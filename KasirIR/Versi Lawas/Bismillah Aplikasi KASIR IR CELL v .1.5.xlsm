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C\Documents\Kasir\KasirIR\"/>
    </mc:Choice>
  </mc:AlternateContent>
  <bookViews>
    <workbookView xWindow="28680" yWindow="-120" windowWidth="21840" windowHeight="13290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DATABARANG!$A$3:$G$364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6" i="4" l="1"/>
  <c r="M36" i="4"/>
  <c r="M35" i="4" l="1"/>
  <c r="L35" i="4"/>
  <c r="M34" i="4"/>
  <c r="L34" i="4"/>
  <c r="M33" i="4"/>
  <c r="L33" i="4"/>
  <c r="M32" i="4"/>
  <c r="L32" i="4"/>
  <c r="M31" i="4"/>
  <c r="L31" i="4"/>
  <c r="M30" i="4"/>
  <c r="L30" i="4"/>
  <c r="M29" i="4"/>
  <c r="L29" i="4"/>
  <c r="M28" i="4"/>
  <c r="L28" i="4"/>
  <c r="M27" i="4"/>
  <c r="L27" i="4"/>
  <c r="M26" i="4"/>
  <c r="L26" i="4"/>
  <c r="M25" i="4"/>
  <c r="L25" i="4"/>
  <c r="M24" i="4"/>
  <c r="L24" i="4"/>
  <c r="M23" i="4"/>
  <c r="L23" i="4"/>
  <c r="M22" i="4"/>
  <c r="L22" i="4"/>
  <c r="M21" i="4"/>
  <c r="L21" i="4"/>
  <c r="M20" i="4"/>
  <c r="L20" i="4"/>
  <c r="M19" i="4"/>
  <c r="L19" i="4"/>
  <c r="M18" i="4"/>
  <c r="L18" i="4"/>
  <c r="M17" i="4"/>
  <c r="L17" i="4"/>
  <c r="M16" i="4"/>
  <c r="L16" i="4"/>
  <c r="M15" i="4"/>
  <c r="L15" i="4"/>
  <c r="M14" i="4"/>
  <c r="L14" i="4"/>
  <c r="M13" i="4"/>
  <c r="L13" i="4"/>
  <c r="M12" i="4"/>
  <c r="L12" i="4"/>
  <c r="M11" i="4"/>
  <c r="L11" i="4"/>
  <c r="M10" i="4"/>
  <c r="L10" i="4"/>
  <c r="M9" i="4"/>
  <c r="L9" i="4"/>
  <c r="M8" i="4"/>
  <c r="L8" i="4"/>
  <c r="M7" i="4"/>
  <c r="L7" i="4"/>
  <c r="M6" i="4"/>
  <c r="L6" i="4"/>
  <c r="M5" i="4"/>
  <c r="L5" i="4"/>
  <c r="A24" i="3" l="1"/>
  <c r="B24" i="3"/>
  <c r="C24" i="3"/>
  <c r="D24" i="3"/>
  <c r="A25" i="3"/>
  <c r="B25" i="3"/>
  <c r="C25" i="3"/>
  <c r="D25" i="3"/>
  <c r="A26" i="3"/>
  <c r="B26" i="3"/>
  <c r="C26" i="3"/>
  <c r="D26" i="3"/>
  <c r="A27" i="3"/>
  <c r="B27" i="3"/>
  <c r="C27" i="3"/>
  <c r="D27" i="3"/>
  <c r="A28" i="3"/>
  <c r="B28" i="3"/>
  <c r="C28" i="3"/>
  <c r="D28" i="3"/>
  <c r="A29" i="3"/>
  <c r="B29" i="3"/>
  <c r="C29" i="3"/>
  <c r="D29" i="3"/>
  <c r="A30" i="3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I4" i="6"/>
  <c r="G7" i="6" s="1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/>
  <c r="L28" i="1"/>
  <c r="M28" i="1" s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B7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10" i="3"/>
  <c r="A27" i="1"/>
  <c r="A28" i="1" s="1"/>
  <c r="D6" i="3"/>
  <c r="E30" i="3" l="1"/>
  <c r="E29" i="3"/>
  <c r="E28" i="3"/>
  <c r="E27" i="3"/>
  <c r="E26" i="3"/>
  <c r="E25" i="3"/>
  <c r="E22" i="3"/>
  <c r="E23" i="3"/>
  <c r="E24" i="3"/>
  <c r="E17" i="3"/>
  <c r="E21" i="3"/>
  <c r="C16" i="6"/>
  <c r="D9" i="6"/>
  <c r="C10" i="6"/>
  <c r="C18" i="6"/>
  <c r="D14" i="6"/>
  <c r="C8" i="6"/>
  <c r="D13" i="6"/>
  <c r="D16" i="6"/>
  <c r="E20" i="3"/>
  <c r="E19" i="3"/>
  <c r="E18" i="3"/>
  <c r="E13" i="3"/>
  <c r="E14" i="3"/>
  <c r="E16" i="3"/>
  <c r="E15" i="3"/>
  <c r="E12" i="3"/>
  <c r="D12" i="6"/>
  <c r="D10" i="6"/>
  <c r="C17" i="6"/>
  <c r="C14" i="6"/>
  <c r="D15" i="6"/>
  <c r="C11" i="6"/>
  <c r="C13" i="6"/>
  <c r="C12" i="6"/>
  <c r="D18" i="6"/>
  <c r="D8" i="6"/>
  <c r="D7" i="6"/>
  <c r="C7" i="6"/>
  <c r="D17" i="6"/>
  <c r="D11" i="6"/>
  <c r="C9" i="6"/>
  <c r="C15" i="6"/>
  <c r="E11" i="3"/>
  <c r="E10" i="3"/>
  <c r="E3" i="1"/>
  <c r="F3" i="1"/>
  <c r="D5" i="3"/>
  <c r="I7" i="6"/>
  <c r="G8" i="6"/>
  <c r="H7" i="6"/>
  <c r="C19" i="6" l="1"/>
  <c r="D19" i="6"/>
  <c r="B5" i="3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<sst xmlns="http://schemas.openxmlformats.org/spreadsheetml/2006/main" count="1557" uniqueCount="771">
  <si>
    <t>Scan Barang</t>
  </si>
  <si>
    <t>Kode Barang</t>
  </si>
  <si>
    <t>Nama Barang</t>
  </si>
  <si>
    <t>Harga Satuan</t>
  </si>
  <si>
    <t>Qty</t>
  </si>
  <si>
    <t>Stok</t>
  </si>
  <si>
    <t>Total Harga</t>
  </si>
  <si>
    <t>Harga Beli</t>
  </si>
  <si>
    <t>Harga Jual</t>
  </si>
  <si>
    <t>Satuan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</si>
  <si>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</si>
  <si>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</si>
  <si>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</si>
  <si>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</si>
  <si>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</si>
  <si>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</si>
  <si>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</si>
  <si>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</si>
  <si>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</si>
  <si>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</si>
  <si>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</si>
  <si>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</si>
  <si>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</si>
  <si>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</si>
  <si>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</si>
  <si>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</si>
  <si>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</si>
  <si>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</si>
  <si>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</si>
  <si>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</si>
  <si>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</si>
  <si>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</si>
  <si>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</si>
  <si>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</si>
  <si>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</si>
  <si>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</si>
  <si>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</si>
  <si>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</si>
  <si>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</si>
  <si>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</si>
  <si>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</si>
  <si>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</si>
  <si>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</si>
  <si>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</si>
  <si>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</si>
  <si>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</si>
  <si>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</si>
  <si>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</si>
  <si>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</si>
  <si>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</si>
  <si>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</si>
  <si>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</si>
  <si>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</si>
  <si>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</si>
  <si>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</si>
  <si>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</si>
  <si>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</si>
  <si>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</si>
  <si>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</si>
  <si>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</si>
  <si>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</si>
  <si>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</si>
  <si>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</si>
  <si>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</si>
  <si>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</si>
  <si>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</si>
  <si>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</si>
  <si>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</si>
  <si>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</si>
  <si>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</si>
  <si>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</si>
  <si>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</si>
  <si>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</si>
  <si>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</si>
  <si>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</si>
  <si>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</si>
  <si>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</si>
  <si>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</si>
  <si>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</si>
  <si>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</si>
  <si>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</si>
  <si>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</si>
  <si>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</si>
  <si>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</si>
  <si>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</si>
  <si>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</si>
  <si>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</si>
  <si>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</si>
  <si>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</si>
  <si>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</si>
  <si>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</si>
  <si>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</si>
  <si>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</si>
  <si>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</si>
  <si>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</si>
  <si>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</si>
  <si>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</si>
  <si>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</si>
  <si>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</si>
  <si>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</si>
  <si>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</si>
  <si>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</si>
  <si>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</si>
  <si>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</si>
  <si>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</si>
  <si>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</si>
  <si>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</si>
  <si>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</si>
  <si>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</si>
  <si>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</si>
  <si>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</si>
  <si>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</si>
  <si>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</si>
  <si>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</si>
  <si>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</si>
  <si>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</si>
  <si>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</si>
  <si>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</si>
  <si>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</si>
  <si>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</si>
  <si>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</si>
  <si>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</si>
  <si>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</si>
  <si>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</si>
  <si>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</si>
  <si>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</si>
  <si>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</si>
  <si>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</si>
  <si>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</si>
  <si>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</si>
  <si>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</si>
  <si>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</si>
  <si>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</si>
  <si>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</si>
  <si>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</si>
  <si>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</si>
  <si>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</si>
  <si>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</si>
  <si>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</si>
  <si>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</si>
  <si>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</si>
  <si>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</si>
  <si>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</si>
  <si>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</si>
  <si>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</si>
  <si>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</si>
  <si>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</si>
  <si>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</si>
  <si>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</si>
  <si>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</si>
  <si>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</si>
  <si>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</si>
  <si>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</si>
  <si>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</si>
  <si>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</si>
  <si>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</si>
  <si>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</si>
  <si>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</si>
  <si>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</si>
  <si>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</si>
  <si>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</si>
  <si>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</si>
  <si>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</si>
  <si>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</si>
  <si>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</si>
  <si>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</si>
  <si>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</si>
  <si>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</si>
  <si>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</si>
  <si>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</si>
  <si>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</si>
  <si>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</si>
  <si>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</si>
  <si>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</si>
  <si>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</si>
  <si>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</si>
  <si>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</si>
  <si>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</si>
  <si>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</si>
  <si>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</si>
  <si>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</si>
  <si>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</si>
  <si>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</si>
  <si>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</si>
  <si>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</si>
  <si>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</si>
  <si>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</si>
  <si>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</si>
  <si>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</si>
  <si>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</si>
  <si>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</si>
  <si>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</si>
  <si>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</si>
  <si>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</si>
  <si>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</si>
  <si>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</si>
  <si>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</si>
  <si>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</si>
  <si>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</si>
  <si>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</si>
  <si>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</si>
  <si>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</si>
  <si>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</si>
  <si>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</si>
  <si>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</si>
  <si>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</si>
  <si>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</si>
  <si>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11082643</t>
  </si>
  <si>
    <t xml:space="preserve">TEMPERED XIAOMI 9A </t>
  </si>
  <si>
    <t>11078086</t>
  </si>
  <si>
    <t>TEMPERED XIAOMI NOTE 8</t>
  </si>
  <si>
    <t>11080337</t>
  </si>
  <si>
    <t>TEMPERED REDMI NOTE 9</t>
  </si>
  <si>
    <t>01498118</t>
  </si>
  <si>
    <t xml:space="preserve">TEMPERED REDMI NOTE 8 PRO </t>
  </si>
  <si>
    <t>11079426</t>
  </si>
  <si>
    <t xml:space="preserve">TEMPERED REDMI 8 </t>
  </si>
  <si>
    <t>11079494</t>
  </si>
  <si>
    <t>TEMPERED REDMI 8A</t>
  </si>
  <si>
    <t>11082011</t>
  </si>
  <si>
    <t>TEMPERED REDMI 9</t>
  </si>
  <si>
    <t>11079935</t>
  </si>
  <si>
    <t>TEMPERED REDMI 8A PRO</t>
  </si>
  <si>
    <t>11079497</t>
  </si>
  <si>
    <t>TEMPERED REDMI 4X</t>
  </si>
  <si>
    <t>11079774</t>
  </si>
  <si>
    <t>TEMPERED REDMI 4X BLUE</t>
  </si>
  <si>
    <t>00060101</t>
  </si>
  <si>
    <t>TEMPERED REDMI 4X BENING</t>
  </si>
  <si>
    <t>11079777</t>
  </si>
  <si>
    <t>TEMPERED REDMI 6A BLUE</t>
  </si>
  <si>
    <t>11077722</t>
  </si>
  <si>
    <t>TEMPERED REDMI 7</t>
  </si>
  <si>
    <t>11080338</t>
  </si>
  <si>
    <t>TEMPERED REDMI NOTE 9 PRO</t>
  </si>
  <si>
    <t>11083609</t>
  </si>
  <si>
    <t>TEMPERED REDMI NOTE 9 PRO MATTE</t>
  </si>
  <si>
    <t>11077721</t>
  </si>
  <si>
    <t>TEMPERED REDMI NOTE 7</t>
  </si>
  <si>
    <t>TEMPERED REDMI NOTE 8</t>
  </si>
  <si>
    <t>11078087</t>
  </si>
  <si>
    <t>TEMPERED REDMI NOTE 8 PRO</t>
  </si>
  <si>
    <t>TEMPERED REDMI NOTE 6</t>
  </si>
  <si>
    <t>11079562</t>
  </si>
  <si>
    <t>TEMPERED REDMI NOTE 5 PRO</t>
  </si>
  <si>
    <t>11077442</t>
  </si>
  <si>
    <t>TEMPERED REDMI GO BENING</t>
  </si>
  <si>
    <t>11076211</t>
  </si>
  <si>
    <t>TEMPERED REDMI NOTE 6 BENING</t>
  </si>
  <si>
    <t>11071318</t>
  </si>
  <si>
    <t>TEMPERED REDMI 3 PRO</t>
  </si>
  <si>
    <t>11070824</t>
  </si>
  <si>
    <t>TEMPERED REDMI NOTE 2</t>
  </si>
  <si>
    <t>11079945</t>
  </si>
  <si>
    <t xml:space="preserve">TEMPERED REALME 6I </t>
  </si>
  <si>
    <t>TEMPERED REALME 6 BENING</t>
  </si>
  <si>
    <t>11078012</t>
  </si>
  <si>
    <t>TEMPERED REALME 5 PRO</t>
  </si>
  <si>
    <t>11079717</t>
  </si>
  <si>
    <t>TEMPERED REALME C BLUE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</si>
  <si>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</si>
  <si>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</si>
  <si>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</si>
  <si>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</si>
  <si>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</si>
  <si>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</si>
  <si>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11081037</t>
  </si>
  <si>
    <t>TEMPERED REALME C11</t>
  </si>
  <si>
    <t>11078011</t>
  </si>
  <si>
    <t xml:space="preserve">TEMPERED REALME 5 </t>
  </si>
  <si>
    <t>11079714</t>
  </si>
  <si>
    <t>TEMPERED REALME 5 BLUE</t>
  </si>
  <si>
    <t>11076446</t>
  </si>
  <si>
    <t>TEMPERED OPPO REALME 2 BENING</t>
  </si>
  <si>
    <t>11079916</t>
  </si>
  <si>
    <t>TEMPERED REALME 5I</t>
  </si>
  <si>
    <t>11077746</t>
  </si>
  <si>
    <t>TEMPERED REALME 3</t>
  </si>
  <si>
    <t>12847556</t>
  </si>
  <si>
    <t>TEMPERED REALME C21</t>
  </si>
  <si>
    <t>11083585</t>
  </si>
  <si>
    <t>TEMPERED REALME C21 MATTE</t>
  </si>
  <si>
    <t>11082637</t>
  </si>
  <si>
    <t xml:space="preserve">TEMPERED C12 </t>
  </si>
  <si>
    <t>11083587</t>
  </si>
  <si>
    <t>TEMPERED REALME 8 MATTE</t>
  </si>
  <si>
    <t>11083638</t>
  </si>
  <si>
    <t>TEMPERED REALME C20 / C15</t>
  </si>
  <si>
    <t>11079949</t>
  </si>
  <si>
    <t>TEMPERED REALME 5S</t>
  </si>
  <si>
    <t>11077750</t>
  </si>
  <si>
    <t>TEMPERED REALME 3 PRO</t>
  </si>
  <si>
    <t>11077749</t>
  </si>
  <si>
    <t>TEMPERED REALME C1 / A3S</t>
  </si>
  <si>
    <t>11079946</t>
  </si>
  <si>
    <t>TEMPERED REALME X</t>
  </si>
  <si>
    <t>11077738</t>
  </si>
  <si>
    <t>TEMPERED IPHONE 6+</t>
  </si>
  <si>
    <t>11078005</t>
  </si>
  <si>
    <t xml:space="preserve">TEMPERED IPHONE 7 </t>
  </si>
  <si>
    <t>11077737</t>
  </si>
  <si>
    <t>TEMPERED IPHONE 6</t>
  </si>
  <si>
    <t>TEMPERED OPPO A11</t>
  </si>
  <si>
    <t>11078008</t>
  </si>
  <si>
    <t>TEMPERED OPPO A5 2020 / A9 2020</t>
  </si>
  <si>
    <t>11083572</t>
  </si>
  <si>
    <t>TEMPERED OPPO A5 2020 MATTE</t>
  </si>
  <si>
    <t>11077742</t>
  </si>
  <si>
    <t>TEMPERED OPPO F9 / A5S / A11K</t>
  </si>
  <si>
    <t>11077747</t>
  </si>
  <si>
    <t>TEMPERED OPPO A5S / F9 / A11K</t>
  </si>
  <si>
    <t>11082630</t>
  </si>
  <si>
    <t>TEMPERED OPPO A11K / A5S / F9</t>
  </si>
  <si>
    <t>11079938</t>
  </si>
  <si>
    <t>TEMPERED OPPO A91</t>
  </si>
  <si>
    <t>11080330</t>
  </si>
  <si>
    <t>TEMPERED OPPO A93</t>
  </si>
  <si>
    <t>11082632</t>
  </si>
  <si>
    <t>TEMPERED OPPO A92</t>
  </si>
  <si>
    <t>11080280</t>
  </si>
  <si>
    <t>TEMPERED OPPO A52</t>
  </si>
  <si>
    <t>11083562</t>
  </si>
  <si>
    <t>TEMPERED OPPO A52 MATTE</t>
  </si>
  <si>
    <t>11080388</t>
  </si>
  <si>
    <t>TEMPERED OPPO A52 BENING</t>
  </si>
  <si>
    <t>11082629</t>
  </si>
  <si>
    <t>TEMPERED OPPO A33</t>
  </si>
  <si>
    <t>11078014</t>
  </si>
  <si>
    <t>TEMPERED OPPO A71</t>
  </si>
  <si>
    <t>11079937</t>
  </si>
  <si>
    <t>TEMPERED OPPO A12 / A1K</t>
  </si>
  <si>
    <t>11077751</t>
  </si>
  <si>
    <t>TEMPERED OPPO A1K / A12</t>
  </si>
  <si>
    <t>TEMPERED OPPO A12 MATTE</t>
  </si>
  <si>
    <t>11082633</t>
  </si>
  <si>
    <t>TEMPERED OPPO A15</t>
  </si>
  <si>
    <t>11083577</t>
  </si>
  <si>
    <t>TEMPERED OPPO A15 MATTE</t>
  </si>
  <si>
    <t>11078089</t>
  </si>
  <si>
    <t>TEMPERED OPPO RENNO 2</t>
  </si>
  <si>
    <t>11078070</t>
  </si>
  <si>
    <t>TEMPERED OPPO RENNO 2 BENING</t>
  </si>
  <si>
    <t>11079706</t>
  </si>
  <si>
    <t>TEMPERED OPPO A7 BLUE</t>
  </si>
  <si>
    <t>TEMPERED OPPO A12</t>
  </si>
  <si>
    <t>TEMPERED OPPO A31</t>
  </si>
  <si>
    <t>11079918</t>
  </si>
  <si>
    <t>TEMPERED OPPO RENO 3</t>
  </si>
  <si>
    <t>TEMPERED OPPO F11 PRO</t>
  </si>
  <si>
    <t xml:space="preserve">TEMPERED OPPO A7 </t>
  </si>
  <si>
    <t>TEMPERED OPPO A5 2019</t>
  </si>
  <si>
    <t>11077741</t>
  </si>
  <si>
    <t xml:space="preserve">TEMPERED OPPO A37 </t>
  </si>
  <si>
    <t>11083574</t>
  </si>
  <si>
    <t>TEMPERED OPPO A37 MATTE</t>
  </si>
  <si>
    <t>TEMPERED OPPO A37 BENING</t>
  </si>
  <si>
    <t>11082012</t>
  </si>
  <si>
    <t>TEMPERED OPPO A53</t>
  </si>
  <si>
    <t>11079478</t>
  </si>
  <si>
    <t>TEMPERED OPPO A83</t>
  </si>
  <si>
    <t>11083580</t>
  </si>
  <si>
    <t>TEMPERED OPPO A55 MATTE</t>
  </si>
  <si>
    <t>11083633</t>
  </si>
  <si>
    <t>TEMPERED OPPO A54</t>
  </si>
  <si>
    <t>11079936</t>
  </si>
  <si>
    <t>TEMPERED OPPO A57 / A39</t>
  </si>
  <si>
    <t>11080329</t>
  </si>
  <si>
    <t>TEMPERED OPPO A92 / A52</t>
  </si>
  <si>
    <t>11078017</t>
  </si>
  <si>
    <t>TEMPERED OPPO F1S</t>
  </si>
  <si>
    <t>11077988</t>
  </si>
  <si>
    <t xml:space="preserve">TEMPERED OPPO F7 </t>
  </si>
  <si>
    <t>TEMPERED OPPO 5F BENING</t>
  </si>
  <si>
    <t>11079566</t>
  </si>
  <si>
    <t>TEMPERED OPPO F5 / Y71</t>
  </si>
  <si>
    <t>11082634</t>
  </si>
  <si>
    <t>TEMPERED OPPO F17</t>
  </si>
  <si>
    <t>11077744</t>
  </si>
  <si>
    <t>TEMPERED OPPO F11</t>
  </si>
  <si>
    <t>11079934</t>
  </si>
  <si>
    <t>TEMPERED OPPO RENO 2F</t>
  </si>
  <si>
    <t>11082631</t>
  </si>
  <si>
    <t>TEMPERED OPPO RENO 4</t>
  </si>
  <si>
    <t>11083566</t>
  </si>
  <si>
    <t xml:space="preserve">TEMPERED OPPO RENO 4 MATTE </t>
  </si>
  <si>
    <t>TEMPRED OPPO F5</t>
  </si>
  <si>
    <t>11082857</t>
  </si>
  <si>
    <t xml:space="preserve">TEMPERED OPPO RENO 5 </t>
  </si>
  <si>
    <t>11083569</t>
  </si>
  <si>
    <t>TEMPERED OPPO RENO 5 MATTE</t>
  </si>
  <si>
    <t xml:space="preserve">TEMPERED OPPO 4F </t>
  </si>
  <si>
    <t>11077745</t>
  </si>
  <si>
    <t>11077133</t>
  </si>
  <si>
    <t>TEMPERED OPPO F11 PRO BENING</t>
  </si>
  <si>
    <t>11078016</t>
  </si>
  <si>
    <t>TEMPERED OPPO F1 +</t>
  </si>
  <si>
    <t>11070793</t>
  </si>
  <si>
    <t>TEMPERED OPPO F1 + BENING</t>
  </si>
  <si>
    <t>TEMPERED REALME 7A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</si>
  <si>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</si>
  <si>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</si>
  <si>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</si>
  <si>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</si>
  <si>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</si>
  <si>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</si>
  <si>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</si>
  <si>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TEMPERED REDMI 6</t>
  </si>
  <si>
    <t>0158174999078</t>
  </si>
  <si>
    <t xml:space="preserve">POWER BANK REALME 10AH </t>
  </si>
  <si>
    <t>08851622</t>
  </si>
  <si>
    <t>EARPHONE EXCELLENT RICH BASS</t>
  </si>
  <si>
    <t>0885909627349</t>
  </si>
  <si>
    <t>CHARGER IPHONE USB POWER ADAPTER</t>
  </si>
  <si>
    <t>11067396</t>
  </si>
  <si>
    <t>MEMORY SD CARD VGEN 8GB</t>
  </si>
  <si>
    <t>11067672</t>
  </si>
  <si>
    <t>MEMORY SD CARD VGEN 64 GB 100 MB/S</t>
  </si>
  <si>
    <t>11068997</t>
  </si>
  <si>
    <t>EARPHONE SAMSUNG J1 ACE</t>
  </si>
  <si>
    <t>11071980</t>
  </si>
  <si>
    <t xml:space="preserve">GURITA PEREKAT HP </t>
  </si>
  <si>
    <t>11074401</t>
  </si>
  <si>
    <t>EARPHONE EXCELLENT UNIVERSAL STEREO</t>
  </si>
  <si>
    <t>11074800</t>
  </si>
  <si>
    <t>KABEL AUDIO JACK 35 SOUND</t>
  </si>
  <si>
    <t>11074959</t>
  </si>
  <si>
    <t>BATERAI EXCELLENT BL-5C</t>
  </si>
  <si>
    <t>11074967</t>
  </si>
  <si>
    <t>BATERAI EXCELLENT G530H / J2 PRIME / GRAND PRIME / J3 / J5</t>
  </si>
  <si>
    <t>11074969</t>
  </si>
  <si>
    <t>BATERAI EXCELLENT SAMSUNG J1</t>
  </si>
  <si>
    <t>11075502</t>
  </si>
  <si>
    <t xml:space="preserve">EARPHONE VIVO R11 </t>
  </si>
  <si>
    <t>11075757</t>
  </si>
  <si>
    <t>CHARGER EXCELLENT 2 USB MICRO</t>
  </si>
  <si>
    <t>11076776</t>
  </si>
  <si>
    <t>EARPHONE W-10 EXTRA BASS</t>
  </si>
  <si>
    <t>11077038</t>
  </si>
  <si>
    <t>BATERAI EXCELLENT BL-4B</t>
  </si>
  <si>
    <t>11077103</t>
  </si>
  <si>
    <t>EARPHONE R11</t>
  </si>
  <si>
    <t>11077911</t>
  </si>
  <si>
    <t>ERAPHONE EXCELLENT GOURA STEREO</t>
  </si>
  <si>
    <t>11079182</t>
  </si>
  <si>
    <t>POWERBANK HIPPO OUTLANDER 2 10</t>
  </si>
  <si>
    <t>11079433</t>
  </si>
  <si>
    <t>CHARGER OPPO R17 VOOC FLASH TYPE C</t>
  </si>
  <si>
    <t>11079572</t>
  </si>
  <si>
    <t xml:space="preserve">EARPHONE LIGHTNING IPHONE </t>
  </si>
  <si>
    <t>11079886</t>
  </si>
  <si>
    <t xml:space="preserve">CAR BLUETOOTH MUSIC RECEIVER </t>
  </si>
  <si>
    <t>11080221</t>
  </si>
  <si>
    <t>CHARGER REALME VOOC 4A REALME X</t>
  </si>
  <si>
    <t>11080236</t>
  </si>
  <si>
    <t>CHARGER REALME 3A VOOC TYPE C</t>
  </si>
  <si>
    <t>11080523</t>
  </si>
  <si>
    <t>EARPHONE VIVO J2020</t>
  </si>
  <si>
    <t>11080529</t>
  </si>
  <si>
    <t>BATERAI SAMSUNG G313</t>
  </si>
  <si>
    <t>11080530</t>
  </si>
  <si>
    <t>BATERAI SAMSUNG J1 ACE</t>
  </si>
  <si>
    <t>11080859</t>
  </si>
  <si>
    <t>OTG KABEL TYPE C KY-167</t>
  </si>
  <si>
    <t>11081373</t>
  </si>
  <si>
    <t xml:space="preserve">EARPHONE VIVO / HUAWEI / SAMSUNG / OPPO R11 </t>
  </si>
  <si>
    <t>11081818</t>
  </si>
  <si>
    <t>EARPHONE U19 MACARON GEN2</t>
  </si>
  <si>
    <t>11082442</t>
  </si>
  <si>
    <t xml:space="preserve">EARPHONE OPPO / REALME MH 135 </t>
  </si>
  <si>
    <t>11082879</t>
  </si>
  <si>
    <t>EARPHONE Z3 STEREO</t>
  </si>
  <si>
    <t>11083118</t>
  </si>
  <si>
    <t xml:space="preserve">EARPHONE HK M29 </t>
  </si>
  <si>
    <t>110M77644</t>
  </si>
  <si>
    <t>CHARGER MS FAST CHARGING SAMSUNG</t>
  </si>
  <si>
    <t>4905524987553</t>
  </si>
  <si>
    <t>HEADPHONE SONY EXTRA BASS</t>
  </si>
  <si>
    <t>619659000424</t>
  </si>
  <si>
    <t>FLASHDISK SANDISK 8 GB USB 2.0</t>
  </si>
  <si>
    <t>619659000431</t>
  </si>
  <si>
    <t>FLASHDISK SANDISK 16GB USB 2.0</t>
  </si>
  <si>
    <t>619659052362</t>
  </si>
  <si>
    <t>MEMORY SD CARD SANDISK 8GB</t>
  </si>
  <si>
    <t>619659052775</t>
  </si>
  <si>
    <t>MEMORY SD CARD SANDISK 16 GB</t>
  </si>
  <si>
    <t>619659055646</t>
  </si>
  <si>
    <t xml:space="preserve">MEMORY SDHC CARD SANDISK 16 GB </t>
  </si>
  <si>
    <t>619659069193</t>
  </si>
  <si>
    <t>FLASHDISK SANDISK 32 GB USB 2.0</t>
  </si>
  <si>
    <t>619659115883</t>
  </si>
  <si>
    <t xml:space="preserve">FLASHDISK SANDISK 16 GB USB3.0 </t>
  </si>
  <si>
    <t>619659115890</t>
  </si>
  <si>
    <t>FLASHDISK SANDISK 32 GB USB 3.0</t>
  </si>
  <si>
    <t>619659115906</t>
  </si>
  <si>
    <t>FLASHDISK SANDISK 64 GB USB 3.0</t>
  </si>
  <si>
    <t>619659142032</t>
  </si>
  <si>
    <t>FLASHDISK + OTG TYPE C SANDISK 16 GB USB 3.1</t>
  </si>
  <si>
    <t>619659142049</t>
  </si>
  <si>
    <t>FLASHDISK + OTG TYPE C SANDISK 32GB USB 3.1</t>
  </si>
  <si>
    <t>619659149598</t>
  </si>
  <si>
    <t xml:space="preserve">FLASHDISK + OTG MICRO SANDISK 32 GB USB 3.0 </t>
  </si>
  <si>
    <t>619659161613</t>
  </si>
  <si>
    <t>619659171773</t>
  </si>
  <si>
    <t xml:space="preserve">FLASHDISK MINI SANDISK 8GB USB 2.0 </t>
  </si>
  <si>
    <t>619659171780</t>
  </si>
  <si>
    <t>FLASHDISK MINI SANDISK 16GB USB 2.0</t>
  </si>
  <si>
    <t>619659171803</t>
  </si>
  <si>
    <t>FLASHDISK MINI SANDISK 64 GB USB 2.0</t>
  </si>
  <si>
    <t>619659184384</t>
  </si>
  <si>
    <t>MEMORY SD CARD SANDISK 32 GB 100 MB/S</t>
  </si>
  <si>
    <t>619659185077</t>
  </si>
  <si>
    <t xml:space="preserve">MEMORY SD CARD SANDISK 64 GB </t>
  </si>
  <si>
    <t>6417182222887</t>
  </si>
  <si>
    <t>BATERAI SAMSUNG CHAMP C3303</t>
  </si>
  <si>
    <t>BATERAI SAMSUNG G530</t>
  </si>
  <si>
    <t>BATERAI SAMSUNG B3410</t>
  </si>
  <si>
    <t>6417182409332</t>
  </si>
  <si>
    <t xml:space="preserve">BATERAI NOKIA BL-5C </t>
  </si>
  <si>
    <t>6454433134544</t>
  </si>
  <si>
    <t>HEADPHONE J-18 EXTRA BASS</t>
  </si>
  <si>
    <t>6510603476101</t>
  </si>
  <si>
    <t>EARPHONE PIONEER PIO-01 BASS+</t>
  </si>
  <si>
    <t>6510623476198</t>
  </si>
  <si>
    <t>EARPHONE SONY HMC-06</t>
  </si>
  <si>
    <t>6842156484631</t>
  </si>
  <si>
    <t>EARPHONE JBL J8-63</t>
  </si>
  <si>
    <t>6899895648992</t>
  </si>
  <si>
    <t>BATERAI SAMSUNG EB-BG530CBE G530</t>
  </si>
  <si>
    <t>6917678004220</t>
  </si>
  <si>
    <t>HEADPHONE EXTRA BASS MDR-XB450AP</t>
  </si>
  <si>
    <t>6946561860131</t>
  </si>
  <si>
    <t>KABEL DATA KINGKONG TYPE C 3A</t>
  </si>
  <si>
    <t>6947686900078</t>
  </si>
  <si>
    <t>EARPHONE SONY ATT-022 EXTRA BASS</t>
  </si>
  <si>
    <t>6954774711133</t>
  </si>
  <si>
    <t>HEADPHONE BLUETOOTH P47 JBL</t>
  </si>
  <si>
    <t>6955412554112</t>
  </si>
  <si>
    <t>CHARGER RMAX QC3.0 VOOC R-18</t>
  </si>
  <si>
    <t>6969201905160</t>
  </si>
  <si>
    <t>KABEL DATA MAGNETIC X-CABLE</t>
  </si>
  <si>
    <t>6971548130631</t>
  </si>
  <si>
    <t>CHARGER MOBIL ROBOT FAST 12 - 24 V</t>
  </si>
  <si>
    <t>6971548131126</t>
  </si>
  <si>
    <t>MOUSE ROBOT M110</t>
  </si>
  <si>
    <t>6971548131225</t>
  </si>
  <si>
    <t>KABEL DATA VIVAN BTK-L LIGHTNING</t>
  </si>
  <si>
    <t>6971548131232</t>
  </si>
  <si>
    <t>KABEL DATA VIVAN BTK-M MICRO</t>
  </si>
  <si>
    <t>6971548131256</t>
  </si>
  <si>
    <t>USB HUB ROBOT 4 PORT H140-80 USB 2.0</t>
  </si>
  <si>
    <t>6971548131447</t>
  </si>
  <si>
    <t>KABEL DATA VIVAN MICRO KALENG</t>
  </si>
  <si>
    <t>6971548131454</t>
  </si>
  <si>
    <t>KABEL DATA VIVAN LIGHTNING KALENG</t>
  </si>
  <si>
    <t>6971548131706</t>
  </si>
  <si>
    <t>FLASHDISK ROBOT 8GB USB 2.0</t>
  </si>
  <si>
    <t>6971548131973</t>
  </si>
  <si>
    <t>CHARGER ROBOT RT-K5</t>
  </si>
  <si>
    <t>6971548132208</t>
  </si>
  <si>
    <t>KABEL DATA VIVAN BTK-C TYPE C</t>
  </si>
  <si>
    <t>6971548132253</t>
  </si>
  <si>
    <t>MOUSE WIRELESS BT ROBOT M200</t>
  </si>
  <si>
    <t>6971548132970</t>
  </si>
  <si>
    <t>CHARGER MOBIL VIVAN CC02C FAST 12 - 24 V</t>
  </si>
  <si>
    <t>6971548133014</t>
  </si>
  <si>
    <t>POWERBANK ROBOT RT170</t>
  </si>
  <si>
    <t>6971548133151</t>
  </si>
  <si>
    <t>EARPHONE ROBOT R101S</t>
  </si>
  <si>
    <t>6971548133724</t>
  </si>
  <si>
    <t>CHARGER ROBOT RT-K7</t>
  </si>
  <si>
    <t>6971548134134</t>
  </si>
  <si>
    <t>HEADSET TWS ROBOT AIRBUDS T20</t>
  </si>
  <si>
    <t>6971548134158</t>
  </si>
  <si>
    <t>HEADSET TWS ROBOT AIRBUDS T10</t>
  </si>
  <si>
    <t>6971548134417</t>
  </si>
  <si>
    <t>MOUSE WIRELESS BT ROBOT M210</t>
  </si>
  <si>
    <t>6971548134530</t>
  </si>
  <si>
    <t>EARPHONE ROBOT RE10</t>
  </si>
  <si>
    <t>6971548135025</t>
  </si>
  <si>
    <t>POWERBANK ROBOT RT180</t>
  </si>
  <si>
    <t>6971548135469</t>
  </si>
  <si>
    <t>KABEL DATA ROBOT TYPE-C</t>
  </si>
  <si>
    <t>6971548135766</t>
  </si>
  <si>
    <t>SPEAKER BLUETOOTH ROBOT RB150</t>
  </si>
  <si>
    <t>6971548135896</t>
  </si>
  <si>
    <t>CHARGER ROBOT RT-K9 2USB 2,1A</t>
  </si>
  <si>
    <t>6971548136480</t>
  </si>
  <si>
    <t xml:space="preserve">EARPHONE ROBOT RE20 </t>
  </si>
  <si>
    <t>6971548137364</t>
  </si>
  <si>
    <t>KABEL DATA ROBOT 2A FAST</t>
  </si>
  <si>
    <t>6971914080072</t>
  </si>
  <si>
    <t>EARPHONE REALME RMA 101</t>
  </si>
  <si>
    <t>6987631565631</t>
  </si>
  <si>
    <t xml:space="preserve">EARPHONE JBL J-363 </t>
  </si>
  <si>
    <t>6995418541563</t>
  </si>
  <si>
    <t xml:space="preserve">HEADSET WIRELESS BT ZBOX MINI M11 </t>
  </si>
  <si>
    <t>8458861682767</t>
  </si>
  <si>
    <t>PENYANGGA HP HD38</t>
  </si>
  <si>
    <t>8850124073419</t>
  </si>
  <si>
    <t>BATERAI SAMSUNG EB-BJ700CBC</t>
  </si>
  <si>
    <t>8997209900892</t>
  </si>
  <si>
    <t xml:space="preserve">FLASHDISK VGEN ATOM 16 GB USB 2.0 </t>
  </si>
  <si>
    <t>8997209900908</t>
  </si>
  <si>
    <t xml:space="preserve">FLASHDISK VGEN ATOM 32 GB USB 2.0 </t>
  </si>
  <si>
    <t>K20</t>
  </si>
  <si>
    <t xml:space="preserve">MEMORY SD CARD VGEN 16 GB </t>
  </si>
  <si>
    <t>K21</t>
  </si>
  <si>
    <t xml:space="preserve">MEMORY SD CARD VGEN 4 GB </t>
  </si>
  <si>
    <t>K22</t>
  </si>
  <si>
    <t>FLASHDISK VGEN AVATAR 8GB USB 2.0</t>
  </si>
  <si>
    <t>K23</t>
  </si>
  <si>
    <t xml:space="preserve">EARPHONE BAGAN STEREO </t>
  </si>
  <si>
    <t>K24</t>
  </si>
  <si>
    <t>EARPHONE JBL PM-19</t>
  </si>
  <si>
    <t>K25</t>
  </si>
  <si>
    <t>EARPHONE HK M28</t>
  </si>
  <si>
    <t>K26</t>
  </si>
  <si>
    <t>EARPHONE WIRELLES BT REALME QP-006</t>
  </si>
  <si>
    <t>K27</t>
  </si>
  <si>
    <t>EARPHONE U19 UNIVERSAL</t>
  </si>
  <si>
    <t>K28</t>
  </si>
  <si>
    <t>CHARGER MOBIL ZBOX QC 3.0 2 PORT FAST</t>
  </si>
  <si>
    <t>K29</t>
  </si>
  <si>
    <t>CHARGER SAMSUNG FC-118</t>
  </si>
  <si>
    <t>K30</t>
  </si>
  <si>
    <t>HEADSET BLUETOOTH ALL BRAND</t>
  </si>
  <si>
    <t>K31</t>
  </si>
  <si>
    <t>EARPHONE ZBOX STEREO ZX-03</t>
  </si>
  <si>
    <t>K32</t>
  </si>
  <si>
    <t>KABEL DATA Y-ONE 3.4A</t>
  </si>
  <si>
    <t>K33</t>
  </si>
  <si>
    <t>SARUNG TANGAN GAME MERK CINA</t>
  </si>
  <si>
    <t>K34</t>
  </si>
  <si>
    <t>BATERAI PANDA BL-4C</t>
  </si>
  <si>
    <t>K35</t>
  </si>
  <si>
    <t>HEADPHONE HK</t>
  </si>
  <si>
    <t>K36</t>
  </si>
  <si>
    <t>HEADSET TWS IN PODS 12 MACARON</t>
  </si>
  <si>
    <t>K37</t>
  </si>
  <si>
    <t>SPEAKER BLUETOOTH STEREO 162</t>
  </si>
  <si>
    <t>K38</t>
  </si>
  <si>
    <t xml:space="preserve">SPEAKER BLUETOOTH T5 </t>
  </si>
  <si>
    <t>K39</t>
  </si>
  <si>
    <t>KABEL DATA VEGER MICRO</t>
  </si>
  <si>
    <t>K40</t>
  </si>
  <si>
    <t xml:space="preserve">EARPHONE SAMSUNG ORIGINAL </t>
  </si>
  <si>
    <t>K41</t>
  </si>
  <si>
    <t>KABEL DATA HIPPO MICRO BOTOL</t>
  </si>
  <si>
    <t>K42</t>
  </si>
  <si>
    <t>PENYANGGA HP HK HD-01</t>
  </si>
  <si>
    <t>K43</t>
  </si>
  <si>
    <t>SPEAKER BLUETOOTH P-17</t>
  </si>
  <si>
    <t>K44</t>
  </si>
  <si>
    <t>POWERBANK HK PB-HK-D6 5Ah</t>
  </si>
  <si>
    <t>K45</t>
  </si>
  <si>
    <t>POWERBANK HK HK-PB-D12 5AH</t>
  </si>
  <si>
    <t>KOSONG1</t>
  </si>
  <si>
    <t>KOSONG10</t>
  </si>
  <si>
    <t>KOSONG11</t>
  </si>
  <si>
    <t>KOSONG12</t>
  </si>
  <si>
    <t>KOSONG13</t>
  </si>
  <si>
    <t>KOSONG14</t>
  </si>
  <si>
    <t>KOSONG15</t>
  </si>
  <si>
    <t>KOSONG16</t>
  </si>
  <si>
    <t>KOSONG17</t>
  </si>
  <si>
    <t>KOSONG18</t>
  </si>
  <si>
    <t>KOSONG19</t>
  </si>
  <si>
    <t>MEMORY SD CARD VGEN 16 GB 100 MB/S</t>
  </si>
  <si>
    <t>KOSONG2</t>
  </si>
  <si>
    <t>KOSONG3</t>
  </si>
  <si>
    <t>KOSONG4</t>
  </si>
  <si>
    <t>KOSONG5</t>
  </si>
  <si>
    <t>KOSONG6</t>
  </si>
  <si>
    <t>KOSONG7</t>
  </si>
  <si>
    <t>KOSONG8</t>
  </si>
  <si>
    <t>KOSONG9</t>
  </si>
  <si>
    <t>K46</t>
  </si>
  <si>
    <t xml:space="preserve">EARPHONE VIVO TOPLES </t>
  </si>
  <si>
    <t>Scan</t>
  </si>
  <si>
    <t>5</t>
  </si>
  <si>
    <t>11075643</t>
  </si>
  <si>
    <t>TEMPERED REDMI 5</t>
  </si>
  <si>
    <t>11076226</t>
  </si>
  <si>
    <t>TEMPERED VIVO Y83 / Y81 / V9 / OPPO A3S / F7</t>
  </si>
  <si>
    <t>11076205</t>
  </si>
  <si>
    <t>TEMPERED OPPO A3S BENING</t>
  </si>
  <si>
    <t>TEMPERED VIVO Y91/ Y93 / Y95</t>
  </si>
  <si>
    <t>K47</t>
  </si>
  <si>
    <t>KABEL DATA MICRO GM WADAH</t>
  </si>
  <si>
    <t>3</t>
  </si>
  <si>
    <t>6</t>
  </si>
  <si>
    <t>4</t>
  </si>
  <si>
    <t>11076204</t>
  </si>
  <si>
    <t>TEMPERED IPHONE X MAX BENING</t>
  </si>
  <si>
    <t>2</t>
  </si>
  <si>
    <t>11074523</t>
  </si>
  <si>
    <t>TEMPERED IPHONE X BENING</t>
  </si>
  <si>
    <t>11083122</t>
  </si>
  <si>
    <t>TEMPERED IPHONE 12 BENING</t>
  </si>
  <si>
    <t>11082720</t>
  </si>
  <si>
    <t>TEMPERED IPHONE 12 BIG BENING</t>
  </si>
  <si>
    <t>11082996</t>
  </si>
  <si>
    <t>TEMPERED IPHONE 12 PRO BENING</t>
  </si>
  <si>
    <t>7</t>
  </si>
  <si>
    <t>8</t>
  </si>
  <si>
    <t>11083579</t>
  </si>
  <si>
    <t>TEMPERED OPPO A54 MATTE</t>
  </si>
  <si>
    <t>11083920</t>
  </si>
  <si>
    <t>TEMPERED J2 PRIME MATTE</t>
  </si>
  <si>
    <t>11083615</t>
  </si>
  <si>
    <t>TEMPERED VIVO Y91C MATTE</t>
  </si>
  <si>
    <t>11084366</t>
  </si>
  <si>
    <t xml:space="preserve">TEMPERED OPPO A16 </t>
  </si>
  <si>
    <t>10</t>
  </si>
  <si>
    <t>11083582</t>
  </si>
  <si>
    <t>TEMPERED OPPO A94 MATTE</t>
  </si>
  <si>
    <t>11083581</t>
  </si>
  <si>
    <t>TEMPERED OPPO A74 MATTE</t>
  </si>
  <si>
    <t>11079180</t>
  </si>
  <si>
    <t>11084365</t>
  </si>
  <si>
    <t>TEMPERED SAMSUNG A03S</t>
  </si>
  <si>
    <t>11083570</t>
  </si>
  <si>
    <t>TEMPERED OPPO A3S MATTE</t>
  </si>
  <si>
    <t>11083636</t>
  </si>
  <si>
    <t xml:space="preserve">TEMPERED OPPO A94 </t>
  </si>
  <si>
    <t>11078080</t>
  </si>
  <si>
    <t xml:space="preserve">TEMPERED VIVO S1 BENING </t>
  </si>
  <si>
    <t>11083578</t>
  </si>
  <si>
    <t>TEMPERED OPPO A53 MATTE</t>
  </si>
  <si>
    <t>11082660</t>
  </si>
  <si>
    <t>TEMPERED OPPO RENO 3 BLUE</t>
  </si>
  <si>
    <t>11082333</t>
  </si>
  <si>
    <t xml:space="preserve">TEMPERED VIVO Y81 </t>
  </si>
  <si>
    <t>11080391</t>
  </si>
  <si>
    <t>TEMPERED VIVO V19 BENING</t>
  </si>
  <si>
    <t>11076447</t>
  </si>
  <si>
    <t>TEMPERED SAMSUNG J2 CORE BENING</t>
  </si>
  <si>
    <t>11080233</t>
  </si>
  <si>
    <t>TEMPERED SAMSUNG A11 BENING</t>
  </si>
  <si>
    <t>11079954</t>
  </si>
  <si>
    <t>TEMPERED OPPO RENO 2 BLUE</t>
  </si>
  <si>
    <t>11083639</t>
  </si>
  <si>
    <t>k39</t>
  </si>
  <si>
    <t>619659075576</t>
  </si>
  <si>
    <t>FLASHDISK SANDISK 32GB USB2.0</t>
  </si>
  <si>
    <t>8997209900915</t>
  </si>
  <si>
    <t>FLASHDISK VGEN ATOM 64GB USB 2.0</t>
  </si>
  <si>
    <t>K48</t>
  </si>
  <si>
    <t>MEMORY SDCARD VGEN 32 GB CLASS 10</t>
  </si>
  <si>
    <t>K49</t>
  </si>
  <si>
    <t>MEMORY SDCARD VGEN 16 GB CLASS 10</t>
  </si>
  <si>
    <t>*Vgen 8gb*</t>
  </si>
  <si>
    <t>K50</t>
  </si>
  <si>
    <t>6971548136497</t>
  </si>
  <si>
    <t>EARPHONE ROBOT RE20</t>
  </si>
  <si>
    <t>9</t>
  </si>
  <si>
    <t>11077087</t>
  </si>
  <si>
    <t>KABEL DATA LIGHTNING IPHONE EXCELLENT 2.4A</t>
  </si>
  <si>
    <t>49451320</t>
  </si>
  <si>
    <t xml:space="preserve">CHARGER MOBIL HK 2.4 </t>
  </si>
  <si>
    <t>11084562</t>
  </si>
  <si>
    <t>EARPHONE LOL L-05 STEREO</t>
  </si>
  <si>
    <t>11084560</t>
  </si>
  <si>
    <t>EARPHONE LOL L-03 STEREO</t>
  </si>
  <si>
    <t>2021040616530</t>
  </si>
  <si>
    <t>EARPHONE UNDER ARMOUR UJ-02</t>
  </si>
  <si>
    <t>11077631</t>
  </si>
  <si>
    <t>OTG MICRO USB 2.0 FOR CARD READER SDCARD SINGLE</t>
  </si>
  <si>
    <t>K51</t>
  </si>
  <si>
    <t>MUSIC CAR BLUETOOTH WIRELESS MUSIC RECEIVER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</si>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</sst>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(&quot;Rp&quot;* #,##0_);_(&quot;Rp&quot;* \(#,##0\);_(&quot;Rp&quot;* &quot;-&quot;_);_(@_)"/>
    <numFmt numFmtId="164" formatCode="_-[$Rp-421]* #,##0_-;\-[$Rp-421]* #,##0_-;_-[$Rp-421]* &quot;-&quot;??_-;_-@_-"/>
    <numFmt numFmtId="165" formatCode="&quot;Rp&quot;#,##0"/>
  </numFmts>
  <fonts count="18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  <font>
      <u/>
      <sz val="11"/>
      <color theme="10"/>
      <name val="Calibri"/>
      <family val="2"/>
      <charset val="1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  <fill>
      <patternFill patternType="solid">
        <fgColor theme="2" tint="-9.9978637043366805E-2"/>
        <bgColor indexed="64"/>
      </patternFill>
    </fill>
  </fills>
  <borders count="35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21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42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42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42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42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5" fillId="0" borderId="0" xfId="0" applyFont="1"/>
    <xf numFmtId="0" fontId="8" fillId="0" borderId="0" xfId="0" applyFont="1"/>
    <xf numFmtId="0" fontId="9" fillId="0" borderId="0" xfId="0" applyFont="1"/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5" fontId="5" fillId="0" borderId="15" xfId="0" applyNumberFormat="1" applyFont="1" applyBorder="1" applyAlignment="1">
      <alignment horizontal="right" vertical="center"/>
    </xf>
    <xf numFmtId="165" fontId="5" fillId="0" borderId="0" xfId="0" applyNumberFormat="1" applyFont="1" applyBorder="1" applyAlignment="1">
      <alignment horizontal="right" vertical="center"/>
    </xf>
    <xf numFmtId="165" fontId="5" fillId="0" borderId="20" xfId="0" applyNumberFormat="1" applyFont="1" applyBorder="1" applyAlignment="1">
      <alignment horizontal="right" vertical="center"/>
    </xf>
    <xf numFmtId="0" fontId="5" fillId="0" borderId="14" xfId="0" applyFont="1" applyBorder="1" applyAlignment="1">
      <alignment horizontal="right"/>
    </xf>
    <xf numFmtId="0" fontId="5" fillId="0" borderId="17" xfId="0" applyFont="1" applyBorder="1" applyAlignment="1">
      <alignment horizontal="right"/>
    </xf>
    <xf numFmtId="0" fontId="5" fillId="0" borderId="19" xfId="0" applyFont="1" applyBorder="1" applyAlignment="1">
      <alignment horizontal="right"/>
    </xf>
    <xf numFmtId="165" fontId="5" fillId="0" borderId="15" xfId="0" applyNumberFormat="1" applyFont="1" applyBorder="1" applyAlignment="1">
      <alignment horizontal="left"/>
    </xf>
    <xf numFmtId="14" fontId="5" fillId="0" borderId="20" xfId="0" applyNumberFormat="1" applyFont="1" applyBorder="1" applyAlignment="1">
      <alignment horizontal="left"/>
    </xf>
    <xf numFmtId="165" fontId="5" fillId="0" borderId="0" xfId="0" applyNumberFormat="1" applyFont="1" applyBorder="1" applyAlignment="1">
      <alignment horizontal="left"/>
    </xf>
    <xf numFmtId="0" fontId="7" fillId="0" borderId="22" xfId="0" applyFont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0" fillId="3" borderId="0" xfId="0" applyNumberFormat="1" applyFont="1" applyFill="1"/>
    <xf numFmtId="0" fontId="10" fillId="3" borderId="0" xfId="0" applyFont="1" applyFill="1"/>
    <xf numFmtId="0" fontId="10" fillId="3" borderId="0" xfId="0" applyFont="1" applyFill="1" applyAlignment="1">
      <alignment horizontal="center" vertical="center"/>
    </xf>
    <xf numFmtId="164" fontId="10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42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4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4" fontId="4" fillId="2" borderId="0" xfId="0" applyNumberFormat="1" applyFont="1" applyFill="1" applyAlignment="1">
      <alignment vertical="center"/>
    </xf>
    <xf numFmtId="164" fontId="0" fillId="0" borderId="0" xfId="0" applyNumberFormat="1"/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42" fontId="0" fillId="0" borderId="23" xfId="1" applyFont="1" applyBorder="1" applyAlignment="1">
      <alignment horizontal="center" vertical="center"/>
    </xf>
    <xf numFmtId="14" fontId="10" fillId="2" borderId="0" xfId="0" applyNumberFormat="1" applyFont="1" applyFill="1"/>
    <xf numFmtId="0" fontId="0" fillId="0" borderId="0" xfId="0" applyAlignment="1">
      <alignment horizontal="left" vertical="center"/>
    </xf>
    <xf numFmtId="42" fontId="0" fillId="0" borderId="0" xfId="1" applyFont="1" applyAlignment="1">
      <alignment horizontal="center" vertical="center"/>
    </xf>
    <xf numFmtId="42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2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42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15" fillId="0" borderId="25" xfId="0" applyNumberFormat="1" applyFont="1" applyFill="1" applyBorder="1"/>
    <xf numFmtId="0" fontId="15" fillId="0" borderId="26" xfId="0" applyFont="1" applyFill="1" applyBorder="1"/>
    <xf numFmtId="42" fontId="15" fillId="0" borderId="26" xfId="1" applyFont="1" applyFill="1" applyBorder="1"/>
    <xf numFmtId="9" fontId="15" fillId="0" borderId="26" xfId="2" applyFont="1" applyFill="1" applyBorder="1" applyAlignment="1">
      <alignment horizontal="center" vertical="center"/>
    </xf>
    <xf numFmtId="42" fontId="15" fillId="0" borderId="27" xfId="1" applyFont="1" applyFill="1" applyBorder="1"/>
    <xf numFmtId="1" fontId="16" fillId="0" borderId="28" xfId="0" applyNumberFormat="1" applyFont="1" applyFill="1" applyBorder="1" applyAlignment="1">
      <alignment horizontal="left" vertical="center"/>
    </xf>
    <xf numFmtId="165" fontId="16" fillId="0" borderId="29" xfId="0" applyNumberFormat="1" applyFont="1" applyFill="1" applyBorder="1" applyAlignment="1">
      <alignment horizontal="left" vertical="center"/>
    </xf>
    <xf numFmtId="165" fontId="16" fillId="0" borderId="29" xfId="1" applyNumberFormat="1" applyFont="1" applyFill="1" applyBorder="1" applyAlignment="1">
      <alignment horizontal="left" vertical="center"/>
    </xf>
    <xf numFmtId="164" fontId="16" fillId="0" borderId="29" xfId="2" applyNumberFormat="1" applyFont="1" applyFill="1" applyBorder="1" applyAlignment="1">
      <alignment horizontal="center" vertical="center"/>
    </xf>
    <xf numFmtId="165" fontId="16" fillId="0" borderId="30" xfId="1" applyNumberFormat="1" applyFont="1" applyFill="1" applyBorder="1" applyAlignment="1">
      <alignment horizontal="left" vertical="center"/>
    </xf>
    <xf numFmtId="49" fontId="6" fillId="5" borderId="31" xfId="0" applyNumberFormat="1" applyFont="1" applyFill="1" applyBorder="1" applyAlignment="1">
      <alignment vertical="center"/>
    </xf>
    <xf numFmtId="0" fontId="0" fillId="6" borderId="33" xfId="0" applyFill="1" applyBorder="1" applyAlignment="1">
      <alignment horizontal="center"/>
    </xf>
    <xf numFmtId="49" fontId="17" fillId="0" borderId="32" xfId="3" applyNumberForma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5" fillId="0" borderId="26" xfId="0" applyFont="1" applyFill="1" applyBorder="1" applyAlignment="1">
      <alignment horizontal="left" vertical="center"/>
    </xf>
    <xf numFmtId="165" fontId="16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165" fontId="5" fillId="0" borderId="15" xfId="0" applyNumberFormat="1" applyFont="1" applyBorder="1" applyAlignment="1">
      <alignment horizontal="left" vertical="center"/>
    </xf>
    <xf numFmtId="165" fontId="5" fillId="0" borderId="16" xfId="0" applyNumberFormat="1" applyFont="1" applyBorder="1" applyAlignment="1">
      <alignment horizontal="left" vertical="center"/>
    </xf>
    <xf numFmtId="165" fontId="5" fillId="0" borderId="0" xfId="0" applyNumberFormat="1" applyFont="1" applyBorder="1" applyAlignment="1">
      <alignment horizontal="left" vertical="center"/>
    </xf>
    <xf numFmtId="165" fontId="5" fillId="0" borderId="18" xfId="0" applyNumberFormat="1" applyFont="1" applyBorder="1" applyAlignment="1">
      <alignment horizontal="left" vertical="center"/>
    </xf>
    <xf numFmtId="165" fontId="5" fillId="0" borderId="20" xfId="0" applyNumberFormat="1" applyFont="1" applyBorder="1" applyAlignment="1">
      <alignment horizontal="left" vertical="center"/>
    </xf>
    <xf numFmtId="165" fontId="5" fillId="0" borderId="21" xfId="0" applyNumberFormat="1" applyFont="1" applyBorder="1" applyAlignment="1">
      <alignment horizontal="left" vertical="center"/>
    </xf>
    <xf numFmtId="1" fontId="17" fillId="0" borderId="34" xfId="3" applyNumberFormat="1" applyBorder="1"/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6864816"/>
        <c:axId val="336865376"/>
        <c:axId val="0"/>
      </c:bar3DChart>
      <c:catAx>
        <c:axId val="33686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6865376"/>
        <c:crosses val="autoZero"/>
        <c:auto val="1"/>
        <c:lblAlgn val="ctr"/>
        <c:lblOffset val="100"/>
        <c:noMultiLvlLbl val="0"/>
      </c:catAx>
      <c:valAx>
        <c:axId val="33686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686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70000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339742240"/>
        <c:axId val="339742800"/>
        <c:axId val="0"/>
      </c:bar3DChart>
      <c:catAx>
        <c:axId val="33974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2800"/>
        <c:crosses val="autoZero"/>
        <c:auto val="1"/>
        <c:lblAlgn val="ctr"/>
        <c:lblOffset val="100"/>
        <c:noMultiLvlLbl val="0"/>
      </c:catAx>
      <c:valAx>
        <c:axId val="3397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224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44472</c:v>
                </c:pt>
                <c:pt idx="1">
                  <c:v>44473</c:v>
                </c:pt>
                <c:pt idx="2">
                  <c:v>44474</c:v>
                </c:pt>
                <c:pt idx="3">
                  <c:v>44475</c:v>
                </c:pt>
                <c:pt idx="4">
                  <c:v>44476</c:v>
                </c:pt>
                <c:pt idx="5">
                  <c:v>44477</c:v>
                </c:pt>
                <c:pt idx="6">
                  <c:v>44478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0</c:v>
                </c:pt>
                <c:pt idx="4">
                  <c:v>9</c:v>
                </c:pt>
                <c:pt idx="5">
                  <c:v>29</c:v>
                </c:pt>
                <c:pt idx="6">
                  <c:v>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745040"/>
        <c:axId val="339745600"/>
      </c:lineChart>
      <c:dateAx>
        <c:axId val="339745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5600"/>
        <c:crosses val="autoZero"/>
        <c:auto val="1"/>
        <c:lblOffset val="100"/>
        <c:baseTimeUnit val="days"/>
      </c:dateAx>
      <c:valAx>
        <c:axId val="3397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397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7.png"/><Relationship Id="rId18" Type="http://schemas.openxmlformats.org/officeDocument/2006/relationships/image" Target="../media/image18.svg"/><Relationship Id="rId26" Type="http://schemas.openxmlformats.org/officeDocument/2006/relationships/image" Target="../media/image25.svg"/><Relationship Id="rId3" Type="http://schemas.openxmlformats.org/officeDocument/2006/relationships/image" Target="../media/image2.png"/><Relationship Id="rId21" Type="http://schemas.openxmlformats.org/officeDocument/2006/relationships/image" Target="../media/image11.jpeg"/><Relationship Id="rId7" Type="http://schemas.openxmlformats.org/officeDocument/2006/relationships/image" Target="../media/image4.png"/><Relationship Id="rId12" Type="http://schemas.openxmlformats.org/officeDocument/2006/relationships/image" Target="../media/image12.svg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29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24" Type="http://schemas.openxmlformats.org/officeDocument/2006/relationships/chart" Target="../charts/chart1.xm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23.svg"/><Relationship Id="rId28" Type="http://schemas.openxmlformats.org/officeDocument/2006/relationships/image" Target="../media/image14.png"/><Relationship Id="rId10" Type="http://schemas.openxmlformats.org/officeDocument/2006/relationships/image" Target="../media/image10.svg"/><Relationship Id="rId19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5.png"/><Relationship Id="rId14" Type="http://schemas.openxmlformats.org/officeDocument/2006/relationships/image" Target="../media/image14.svg"/><Relationship Id="rId22" Type="http://schemas.openxmlformats.org/officeDocument/2006/relationships/image" Target="../media/image12.png"/><Relationship Id="rId27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168344</xdr:colOff>
      <xdr:row>0</xdr:row>
      <xdr:rowOff>1393</xdr:rowOff>
    </xdr:from>
    <xdr:to>
      <xdr:col>20</xdr:col>
      <xdr:colOff>163264</xdr:colOff>
      <xdr:row>8</xdr:row>
      <xdr:rowOff>131275</xdr:rowOff>
    </xdr:to>
    <xdr:sp macro="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152756</xdr:rowOff>
    </xdr:from>
    <xdr:to>
      <xdr:col>12</xdr:col>
      <xdr:colOff>544081</xdr:colOff>
      <xdr:row>4</xdr:row>
      <xdr:rowOff>286453</xdr:rowOff>
    </xdr:to>
    <xdr:grpSp>
      <xdr:nvGrpSpPr>
        <xdr:cNvPr id="42" name="Group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432893" y="794658"/>
          <a:ext cx="1687954" cy="309703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=""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=""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=""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158956</xdr:rowOff>
    </xdr:from>
    <xdr:to>
      <xdr:col>10</xdr:col>
      <xdr:colOff>15525</xdr:colOff>
      <xdr:row>5</xdr:row>
      <xdr:rowOff>7491</xdr:rowOff>
    </xdr:to>
    <xdr:grpSp>
      <xdr:nvGrpSpPr>
        <xdr:cNvPr id="54" name="Group 53">
          <a:extLst>
            <a:ext uri="{FF2B5EF4-FFF2-40B4-BE49-F238E27FC236}">
              <a16:creationId xmlns=""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448710" y="800858"/>
          <a:ext cx="901190" cy="314432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=""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=""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=""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131338</xdr:colOff>
      <xdr:row>4</xdr:row>
      <xdr:rowOff>1546</xdr:rowOff>
    </xdr:from>
    <xdr:to>
      <xdr:col>3</xdr:col>
      <xdr:colOff>949697</xdr:colOff>
      <xdr:row>5</xdr:row>
      <xdr:rowOff>15360</xdr:rowOff>
    </xdr:to>
    <xdr:grpSp>
      <xdr:nvGrpSpPr>
        <xdr:cNvPr id="53" name="Group 52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05034" y="819454"/>
          <a:ext cx="963304" cy="303705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=""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=""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=""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=""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165626</xdr:rowOff>
    </xdr:from>
    <xdr:to>
      <xdr:col>7</xdr:col>
      <xdr:colOff>701226</xdr:colOff>
      <xdr:row>5</xdr:row>
      <xdr:rowOff>3275</xdr:rowOff>
    </xdr:to>
    <xdr:grpSp>
      <xdr:nvGrpSpPr>
        <xdr:cNvPr id="7" name="Group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340776" y="807528"/>
          <a:ext cx="986537" cy="303546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=""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=""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=""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=""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156243</xdr:rowOff>
    </xdr:from>
    <xdr:to>
      <xdr:col>20</xdr:col>
      <xdr:colOff>154578</xdr:colOff>
      <xdr:row>17</xdr:row>
      <xdr:rowOff>156243</xdr:rowOff>
    </xdr:to>
    <xdr:sp macro="" textlink="">
      <xdr:nvSpPr>
        <xdr:cNvPr id="58" name="Rectangle 57"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177506</xdr:colOff>
      <xdr:row>18</xdr:row>
      <xdr:rowOff>19115</xdr:rowOff>
    </xdr:from>
    <xdr:to>
      <xdr:col>20</xdr:col>
      <xdr:colOff>172426</xdr:colOff>
      <xdr:row>27</xdr:row>
      <xdr:rowOff>11494</xdr:rowOff>
    </xdr:to>
    <xdr:sp macro="" textlink="">
      <xdr:nvSpPr>
        <xdr:cNvPr id="63" name="Rectangle 62">
          <a:extLst>
            <a:ext uri="{FF2B5EF4-FFF2-40B4-BE49-F238E27FC236}">
              <a16:creationId xmlns=""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10983</xdr:rowOff>
    </xdr:from>
    <xdr:to>
      <xdr:col>20</xdr:col>
      <xdr:colOff>174789</xdr:colOff>
      <xdr:row>33</xdr:row>
      <xdr:rowOff>90995</xdr:rowOff>
    </xdr:to>
    <xdr:sp macro="" textlink="">
      <xdr:nvSpPr>
        <xdr:cNvPr id="67" name="Rectangle 66">
          <a:extLst>
            <a:ext uri="{FF2B5EF4-FFF2-40B4-BE49-F238E27FC236}">
              <a16:creationId xmlns=""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108309" y="5098041"/>
          <a:ext cx="1752864" cy="575753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=""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=""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Rp70.000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=""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2972630" y="5085818"/>
          <a:ext cx="1644732" cy="575753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=""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=""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Rp1.961.000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=""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=""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798983"/>
          <a:ext cx="1494183" cy="350354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=""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=""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=""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=""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381664"/>
          <a:ext cx="1494183" cy="350354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=""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=""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=""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2939498"/>
          <a:ext cx="1494183" cy="350354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=""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=""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=""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=""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522179"/>
          <a:ext cx="1494183" cy="350355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=""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141331</xdr:rowOff>
    </xdr:to>
    <xdr:pic macro="[0]!TransaksiBaru">
      <xdr:nvPicPr>
        <xdr:cNvPr id="22" name="Picture 21">
          <a:extLst>
            <a:ext uri="{FF2B5EF4-FFF2-40B4-BE49-F238E27FC236}">
              <a16:creationId xmlns=""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=""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026065" y="65567"/>
          <a:ext cx="3777499" cy="1709490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=""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=""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=""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0996443" y="1819693"/>
          <a:ext cx="3756310" cy="1491726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=""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=""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=""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=""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0968012" y="3362878"/>
          <a:ext cx="3644533" cy="1435671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=""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=""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=""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323850</xdr:colOff>
      <xdr:row>3</xdr:row>
      <xdr:rowOff>76200</xdr:rowOff>
    </xdr:from>
    <xdr:to>
      <xdr:col>12</xdr:col>
      <xdr:colOff>123825</xdr:colOff>
      <xdr:row>5</xdr:row>
      <xdr:rowOff>133350</xdr:rowOff>
    </xdr:to>
    <xdr:sp macro="[0]!StokKulakan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115300" y="647700"/>
          <a:ext cx="1628775" cy="4381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600"/>
            <a:t>KULAKAN</a:t>
          </a:r>
        </a:p>
      </xdr:txBody>
    </xdr:sp>
    <xdr:clientData/>
  </xdr:twoCellAnchor>
  <xdr:twoCellAnchor>
    <xdr:from>
      <xdr:col>9</xdr:col>
      <xdr:colOff>323850</xdr:colOff>
      <xdr:row>6</xdr:row>
      <xdr:rowOff>180975</xdr:rowOff>
    </xdr:from>
    <xdr:to>
      <xdr:col>12</xdr:col>
      <xdr:colOff>152400</xdr:colOff>
      <xdr:row>10</xdr:row>
      <xdr:rowOff>76200</xdr:rowOff>
    </xdr:to>
    <xdr:sp macro="[0]!UrutBarang" textlink="">
      <xdr:nvSpPr>
        <xdr:cNvPr id="3" name="Rectangl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8115300" y="1323975"/>
          <a:ext cx="1657350" cy="657225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/>
            <a:t>URUTKAN KODE BARANG</a:t>
          </a:r>
        </a:p>
      </xdr:txBody>
    </xdr:sp>
    <xdr:clientData/>
  </xdr:twoCellAnchor>
  <xdr:twoCellAnchor>
    <xdr:from>
      <xdr:col>9</xdr:col>
      <xdr:colOff>99060</xdr:colOff>
      <xdr:row>14</xdr:row>
      <xdr:rowOff>106680</xdr:rowOff>
    </xdr:from>
    <xdr:to>
      <xdr:col>9</xdr:col>
      <xdr:colOff>571500</xdr:colOff>
      <xdr:row>15</xdr:row>
      <xdr:rowOff>144780</xdr:rowOff>
    </xdr:to>
    <xdr:sp macro="[0]!CariStokOtomatis" textlink="">
      <xdr:nvSpPr>
        <xdr:cNvPr id="4" name="Rectangle 3">
          <a:extLst>
            <a:ext uri="{FF2B5EF4-FFF2-40B4-BE49-F238E27FC236}">
              <a16:creationId xmlns="" xmlns:a16="http://schemas.microsoft.com/office/drawing/2014/main" id="{FFDACFB3-AECE-4934-99B4-C76F458423AF}"/>
            </a:ext>
          </a:extLst>
        </xdr:cNvPr>
        <xdr:cNvSpPr/>
      </xdr:nvSpPr>
      <xdr:spPr>
        <a:xfrm>
          <a:off x="8061960" y="2667000"/>
          <a:ext cx="472440" cy="2209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cari</a:t>
          </a:r>
        </a:p>
        <a:p>
          <a:pPr algn="l"/>
          <a:endParaRPr lang="id-ID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9"/>
  <sheetViews>
    <sheetView showGridLines="0" tabSelected="1" zoomScale="92" zoomScaleNormal="99" workbookViewId="0">
      <selection activeCell="F5" sqref="F5"/>
    </sheetView>
  </sheetViews>
  <sheetFormatPr defaultColWidth="9.140625" defaultRowHeight="12.75"/>
  <cols>
    <col min="1" max="1" width="15.85546875" style="17" customWidth="1"/>
    <col min="2" max="2" width="7.7109375" style="17" customWidth="1"/>
    <col min="3" max="3" width="2.140625" style="5" customWidth="1"/>
    <col min="4" max="4" width="15.28515625" style="9" customWidth="1"/>
    <col min="5" max="5" width="15.85546875" style="61" customWidth="1"/>
    <col min="6" max="6" width="32.28515625" style="10" customWidth="1"/>
    <col min="7" max="7" width="10.28515625" style="11" customWidth="1"/>
    <col min="8" max="8" width="13.85546875" style="62" customWidth="1"/>
    <col min="9" max="9" width="5.85546875" style="66" customWidth="1"/>
    <col min="10" max="10" width="5.85546875" style="59" customWidth="1"/>
    <col min="11" max="11" width="8.42578125" style="59" customWidth="1"/>
    <col min="12" max="12" width="10.28515625" style="5" customWidth="1"/>
    <col min="13" max="13" width="15.85546875" style="5" customWidth="1"/>
    <col min="14" max="14" width="2.42578125" style="5" customWidth="1"/>
    <col min="15" max="16384" width="9.140625" style="5"/>
  </cols>
  <sheetData>
    <row r="1" spans="4:13" ht="13.5" thickBot="1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8.75" thickTop="1">
      <c r="D2" s="90" t="s">
        <v>12</v>
      </c>
      <c r="E2" s="91" t="s">
        <v>13</v>
      </c>
      <c r="F2" s="92" t="s">
        <v>14</v>
      </c>
      <c r="G2" s="105" t="s">
        <v>15</v>
      </c>
      <c r="H2" s="105"/>
      <c r="I2" s="93"/>
      <c r="J2" s="92" t="s">
        <v>16</v>
      </c>
      <c r="K2" s="92"/>
      <c r="L2" s="91"/>
      <c r="M2" s="94" t="s">
        <v>17</v>
      </c>
    </row>
    <row r="3" spans="4:13" ht="18" customHeight="1" thickBot="1">
      <c r="D3" s="95">
        <f>SUM($J$8:$J$90)</f>
        <v>0</v>
      </c>
      <c r="E3" s="96">
        <f>SUM($M$8:$M$90)</f>
        <v>0</v>
      </c>
      <c r="F3" s="97">
        <f>SUM($L$8:$L$90)</f>
        <v>0</v>
      </c>
      <c r="G3" s="106">
        <f>E3-F3</f>
        <v>0</v>
      </c>
      <c r="H3" s="106"/>
      <c r="I3" s="98"/>
      <c r="J3" s="106"/>
      <c r="K3" s="106"/>
      <c r="L3" s="106"/>
      <c r="M3" s="99">
        <f>J3-G3</f>
        <v>0</v>
      </c>
    </row>
    <row r="4" spans="4:13" ht="13.9" customHeight="1" thickTop="1" thickBot="1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>
      <c r="E5" s="100" t="s">
        <v>0</v>
      </c>
      <c r="F5" s="102"/>
      <c r="G5" s="18"/>
      <c r="H5" s="18"/>
      <c r="I5" s="19"/>
      <c r="J5" s="20"/>
      <c r="K5" s="20"/>
    </row>
    <row r="6" spans="4:13">
      <c r="D6" s="4"/>
      <c r="E6" s="5"/>
      <c r="F6" s="6"/>
      <c r="G6" s="7"/>
      <c r="H6" s="8"/>
      <c r="I6" s="65"/>
      <c r="J6" s="6"/>
      <c r="K6" s="6"/>
    </row>
    <row r="7" spans="4:13">
      <c r="D7" s="12" t="s">
        <v>1</v>
      </c>
      <c r="E7" s="12" t="s">
        <v>23</v>
      </c>
      <c r="F7" s="12" t="s">
        <v>2</v>
      </c>
      <c r="G7" s="63" t="s">
        <v>9</v>
      </c>
      <c r="H7" s="12" t="s">
        <v>3</v>
      </c>
      <c r="I7" s="63" t="s">
        <v>5</v>
      </c>
      <c r="J7" s="63" t="s">
        <v>4</v>
      </c>
      <c r="K7" s="12" t="s">
        <v>10</v>
      </c>
      <c r="L7" s="12" t="s">
        <v>11</v>
      </c>
      <c r="M7" s="12" t="s">
        <v>6</v>
      </c>
    </row>
    <row r="8" spans="4:13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>
      <c r="E10" s="60"/>
      <c r="K10" s="67"/>
      <c r="L10" s="10" t="str">
        <f t="shared" si="0"/>
        <v/>
      </c>
      <c r="M10" s="10" t="str">
        <f t="shared" si="1"/>
        <v/>
      </c>
    </row>
    <row r="11" spans="4:13">
      <c r="E11" s="60"/>
      <c r="K11" s="67"/>
      <c r="L11" s="10" t="str">
        <f t="shared" si="0"/>
        <v/>
      </c>
      <c r="M11" s="10" t="str">
        <f t="shared" si="1"/>
        <v/>
      </c>
    </row>
    <row r="12" spans="4:13">
      <c r="E12" s="60"/>
      <c r="K12" s="67"/>
      <c r="L12" s="10" t="str">
        <f t="shared" si="0"/>
        <v/>
      </c>
      <c r="M12" s="10" t="str">
        <f t="shared" si="1"/>
        <v/>
      </c>
    </row>
    <row r="13" spans="4:13">
      <c r="E13" s="60"/>
      <c r="K13" s="67"/>
      <c r="L13" s="10" t="str">
        <f t="shared" si="0"/>
        <v/>
      </c>
      <c r="M13" s="10" t="str">
        <f t="shared" si="1"/>
        <v/>
      </c>
    </row>
    <row r="14" spans="4:13">
      <c r="E14" s="60"/>
      <c r="K14" s="67"/>
      <c r="L14" s="10" t="str">
        <f t="shared" si="0"/>
        <v/>
      </c>
      <c r="M14" s="10" t="str">
        <f t="shared" si="1"/>
        <v/>
      </c>
    </row>
    <row r="15" spans="4:13">
      <c r="E15" s="60"/>
      <c r="K15" s="67"/>
      <c r="L15" s="10" t="str">
        <f t="shared" si="0"/>
        <v/>
      </c>
      <c r="M15" s="10" t="str">
        <f t="shared" si="1"/>
        <v/>
      </c>
    </row>
    <row r="16" spans="4:13">
      <c r="E16" s="60"/>
      <c r="K16" s="67"/>
      <c r="L16" s="10" t="str">
        <f t="shared" si="0"/>
        <v/>
      </c>
      <c r="M16" s="10" t="str">
        <f t="shared" si="1"/>
        <v/>
      </c>
    </row>
    <row r="17" spans="1:13">
      <c r="E17" s="60"/>
      <c r="K17" s="67"/>
      <c r="L17" s="10" t="str">
        <f t="shared" si="0"/>
        <v/>
      </c>
      <c r="M17" s="10" t="str">
        <f t="shared" si="1"/>
        <v/>
      </c>
    </row>
    <row r="18" spans="1:13">
      <c r="E18" s="60"/>
      <c r="K18" s="67"/>
      <c r="L18" s="10" t="str">
        <f t="shared" si="0"/>
        <v/>
      </c>
      <c r="M18" s="10" t="str">
        <f t="shared" si="1"/>
        <v/>
      </c>
    </row>
    <row r="19" spans="1:13">
      <c r="E19" s="60"/>
      <c r="K19" s="67"/>
      <c r="L19" s="10" t="str">
        <f t="shared" si="0"/>
        <v/>
      </c>
      <c r="M19" s="10" t="str">
        <f t="shared" si="1"/>
        <v/>
      </c>
    </row>
    <row r="20" spans="1:13">
      <c r="E20" s="60"/>
      <c r="K20" s="67"/>
      <c r="L20" s="10" t="str">
        <f t="shared" si="0"/>
        <v/>
      </c>
      <c r="M20" s="10" t="str">
        <f t="shared" si="1"/>
        <v/>
      </c>
    </row>
    <row r="21" spans="1:13">
      <c r="E21" s="60"/>
      <c r="K21" s="67"/>
      <c r="L21" s="10" t="str">
        <f t="shared" si="0"/>
        <v/>
      </c>
      <c r="M21" s="10" t="str">
        <f t="shared" si="1"/>
        <v/>
      </c>
    </row>
    <row r="22" spans="1:13">
      <c r="E22" s="60"/>
      <c r="K22" s="67"/>
      <c r="L22" s="10" t="str">
        <f t="shared" si="0"/>
        <v/>
      </c>
      <c r="M22" s="10" t="str">
        <f t="shared" si="1"/>
        <v/>
      </c>
    </row>
    <row r="23" spans="1:13">
      <c r="E23" s="60"/>
      <c r="K23" s="67"/>
      <c r="L23" s="10" t="str">
        <f t="shared" si="0"/>
        <v/>
      </c>
      <c r="M23" s="10" t="str">
        <f t="shared" si="1"/>
        <v/>
      </c>
    </row>
    <row r="24" spans="1:13">
      <c r="E24" s="60"/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>
      <c r="A25" s="107" t="s">
        <v>18</v>
      </c>
      <c r="B25" s="107"/>
      <c r="E25" s="60"/>
      <c r="K25" s="67"/>
      <c r="L25" s="10" t="str">
        <f t="shared" si="0"/>
        <v/>
      </c>
      <c r="M25" s="10" t="str">
        <f t="shared" si="1"/>
        <v/>
      </c>
    </row>
    <row r="26" spans="1:13">
      <c r="A26" s="48"/>
      <c r="B26" s="47"/>
      <c r="E26" s="60"/>
      <c r="K26" s="67"/>
      <c r="L26" s="10" t="str">
        <f t="shared" si="0"/>
        <v/>
      </c>
      <c r="M26" s="10" t="str">
        <f t="shared" si="1"/>
        <v/>
      </c>
    </row>
    <row r="27" spans="1:13">
      <c r="A27" s="49">
        <f>IFERROR(INDEX($D$8:$D$43,$A$26),"")</f>
        <v>0</v>
      </c>
      <c r="B27" s="46"/>
      <c r="E27" s="60"/>
      <c r="K27" s="67"/>
      <c r="L27" s="10" t="str">
        <f t="shared" si="0"/>
        <v/>
      </c>
      <c r="M27" s="10" t="str">
        <f t="shared" si="1"/>
        <v/>
      </c>
    </row>
    <row r="28" spans="1:13">
      <c r="A28" s="49" t="str">
        <f>IFERROR(VLOOKUP($A$27,$D$8:$M$46,7,0),"")</f>
        <v/>
      </c>
      <c r="B28" s="46"/>
      <c r="E28" s="60"/>
      <c r="K28" s="67"/>
      <c r="L28" s="10" t="str">
        <f t="shared" si="0"/>
        <v/>
      </c>
      <c r="M28" s="10" t="str">
        <f t="shared" si="1"/>
        <v/>
      </c>
    </row>
    <row r="29" spans="1:13">
      <c r="A29" s="103"/>
      <c r="B29" s="104"/>
      <c r="C29" s="5" t="s">
        <v>44</v>
      </c>
      <c r="K29" s="67"/>
      <c r="L29" s="10" t="str">
        <f t="shared" si="0"/>
        <v/>
      </c>
      <c r="M29" s="10" t="str">
        <f t="shared" si="1"/>
        <v/>
      </c>
    </row>
    <row r="30" spans="1:13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3.5" thickBot="1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>
      <c r="K34" s="67"/>
      <c r="L34" s="10" t="str">
        <f t="shared" si="0"/>
        <v/>
      </c>
      <c r="M34" s="10" t="str">
        <f t="shared" si="1"/>
        <v/>
      </c>
    </row>
    <row r="35" spans="1:13">
      <c r="K35" s="67"/>
      <c r="L35" s="10" t="str">
        <f t="shared" si="0"/>
        <v/>
      </c>
      <c r="M35" s="10" t="str">
        <f t="shared" si="1"/>
        <v/>
      </c>
    </row>
    <row r="36" spans="1:13">
      <c r="K36" s="67"/>
    </row>
    <row r="37" spans="1:13">
      <c r="A37" s="89"/>
      <c r="B37" s="89"/>
      <c r="K37" s="67"/>
    </row>
    <row r="38" spans="1:13">
      <c r="K38" s="67"/>
    </row>
    <row r="39" spans="1:13">
      <c r="K39" s="67"/>
    </row>
    <row r="40" spans="1:13">
      <c r="K40" s="67"/>
    </row>
    <row r="41" spans="1:13">
      <c r="K41" s="67"/>
    </row>
    <row r="42" spans="1:13">
      <c r="K42" s="67"/>
    </row>
    <row r="43" spans="1:13">
      <c r="K43" s="67"/>
    </row>
    <row r="44" spans="1:13">
      <c r="K44" s="67"/>
    </row>
    <row r="45" spans="1:13">
      <c r="K45" s="67"/>
    </row>
    <row r="46" spans="1:13">
      <c r="K46" s="67"/>
    </row>
    <row r="47" spans="1:13">
      <c r="K47" s="67"/>
    </row>
    <row r="48" spans="1:13">
      <c r="K48" s="67"/>
    </row>
    <row r="49" spans="11:11">
      <c r="K49" s="67"/>
    </row>
    <row r="50" spans="11:11">
      <c r="K50" s="67"/>
    </row>
    <row r="51" spans="11:11">
      <c r="K51" s="67"/>
    </row>
    <row r="52" spans="11:11">
      <c r="K52" s="67"/>
    </row>
    <row r="53" spans="11:11">
      <c r="K53" s="67"/>
    </row>
    <row r="54" spans="11:11">
      <c r="K54" s="67"/>
    </row>
    <row r="55" spans="11:11">
      <c r="K55" s="67"/>
    </row>
    <row r="56" spans="11:11">
      <c r="K56" s="67"/>
    </row>
    <row r="57" spans="11:11">
      <c r="K57" s="67"/>
    </row>
    <row r="58" spans="11:11">
      <c r="K58" s="67"/>
    </row>
    <row r="59" spans="11:11">
      <c r="K59" s="67"/>
    </row>
    <row r="60" spans="11:11">
      <c r="K60" s="67"/>
    </row>
    <row r="61" spans="11:11">
      <c r="K61" s="67"/>
    </row>
    <row r="62" spans="11:11">
      <c r="K62" s="67"/>
    </row>
    <row r="63" spans="11:11">
      <c r="K63" s="67"/>
    </row>
    <row r="64" spans="11:11">
      <c r="K64" s="67"/>
    </row>
    <row r="65" spans="11:11">
      <c r="K65" s="67"/>
    </row>
    <row r="66" spans="11:11">
      <c r="K66" s="67"/>
    </row>
    <row r="67" spans="11:11">
      <c r="K67" s="67"/>
    </row>
    <row r="68" spans="11:11">
      <c r="K68" s="67"/>
    </row>
    <row r="69" spans="11:11">
      <c r="K69" s="67"/>
    </row>
    <row r="70" spans="11:11">
      <c r="K70" s="67"/>
    </row>
    <row r="71" spans="11:11">
      <c r="K71" s="67"/>
    </row>
    <row r="72" spans="11:11">
      <c r="K72" s="67"/>
    </row>
    <row r="73" spans="11:11">
      <c r="K73" s="67"/>
    </row>
    <row r="74" spans="11:11">
      <c r="K74" s="67"/>
    </row>
    <row r="75" spans="11:11">
      <c r="K75" s="67"/>
    </row>
    <row r="76" spans="11:11">
      <c r="K76" s="67"/>
    </row>
    <row r="77" spans="11:11">
      <c r="K77" s="67"/>
    </row>
    <row r="78" spans="11:11">
      <c r="K78" s="67"/>
    </row>
    <row r="79" spans="11:11">
      <c r="K79" s="67"/>
    </row>
    <row r="80" spans="11:11">
      <c r="K80" s="67"/>
    </row>
    <row r="81" spans="11:11">
      <c r="K81" s="67"/>
    </row>
    <row r="82" spans="11:11">
      <c r="K82" s="67"/>
    </row>
    <row r="83" spans="11:11">
      <c r="K83" s="67"/>
    </row>
    <row r="84" spans="11:11">
      <c r="K84" s="67"/>
    </row>
    <row r="85" spans="11:11">
      <c r="K85" s="67"/>
    </row>
    <row r="86" spans="11:11">
      <c r="K86" s="67"/>
    </row>
    <row r="87" spans="11:11">
      <c r="K87" s="67"/>
    </row>
    <row r="88" spans="11:11">
      <c r="K88" s="67"/>
    </row>
    <row r="89" spans="11:11">
      <c r="K89" s="67"/>
    </row>
    <row r="90" spans="11:11">
      <c r="K90" s="67"/>
    </row>
    <row r="91" spans="11:11">
      <c r="K91" s="67"/>
    </row>
    <row r="92" spans="11:11">
      <c r="K92" s="67"/>
    </row>
    <row r="93" spans="11:11">
      <c r="K93" s="67"/>
    </row>
    <row r="94" spans="11:11">
      <c r="K94" s="67"/>
    </row>
    <row r="95" spans="11:11">
      <c r="K95" s="67"/>
    </row>
    <row r="96" spans="11:11">
      <c r="K96" s="67"/>
    </row>
    <row r="97" spans="11:11">
      <c r="K97" s="67"/>
    </row>
    <row r="98" spans="11:11">
      <c r="K98" s="67"/>
    </row>
    <row r="99" spans="11:11">
      <c r="K99" s="67"/>
    </row>
    <row r="100" spans="11:11">
      <c r="K100" s="67"/>
    </row>
    <row r="101" spans="11:11">
      <c r="K101" s="67"/>
    </row>
    <row r="102" spans="11:11">
      <c r="K102" s="67"/>
    </row>
    <row r="103" spans="11:11">
      <c r="K103" s="67"/>
    </row>
    <row r="104" spans="11:11">
      <c r="K104" s="67"/>
    </row>
    <row r="105" spans="11:11">
      <c r="K105" s="67"/>
    </row>
    <row r="106" spans="11:11">
      <c r="K106" s="67"/>
    </row>
    <row r="107" spans="11:11">
      <c r="K107" s="67"/>
    </row>
    <row r="108" spans="11:11">
      <c r="K108" s="67"/>
    </row>
    <row r="109" spans="11:11">
      <c r="K109" s="67"/>
    </row>
    <row r="110" spans="11:11">
      <c r="K110" s="67"/>
    </row>
    <row r="111" spans="11:11">
      <c r="K111" s="67"/>
    </row>
    <row r="112" spans="11:11">
      <c r="K112" s="67"/>
    </row>
    <row r="113" spans="11:11">
      <c r="K113" s="67"/>
    </row>
    <row r="114" spans="11:11">
      <c r="K114" s="67"/>
    </row>
    <row r="115" spans="11:11">
      <c r="K115" s="67"/>
    </row>
    <row r="116" spans="11:11">
      <c r="K116" s="67"/>
    </row>
    <row r="117" spans="11:11">
      <c r="K117" s="67"/>
    </row>
    <row r="118" spans="11:11">
      <c r="K118" s="67"/>
    </row>
    <row r="119" spans="11:11">
      <c r="K119" s="67"/>
    </row>
    <row r="120" spans="11:11">
      <c r="K120" s="67"/>
    </row>
    <row r="121" spans="11:11">
      <c r="K121" s="67"/>
    </row>
    <row r="122" spans="11:11">
      <c r="K122" s="67"/>
    </row>
    <row r="123" spans="11:11">
      <c r="K123" s="67"/>
    </row>
    <row r="124" spans="11:11">
      <c r="K124" s="67"/>
    </row>
    <row r="125" spans="11:11">
      <c r="K125" s="67"/>
    </row>
    <row r="126" spans="11:11">
      <c r="K126" s="67"/>
    </row>
    <row r="127" spans="11:11">
      <c r="K127" s="67"/>
    </row>
    <row r="128" spans="11:11">
      <c r="K128" s="67"/>
    </row>
    <row r="129" spans="11:11">
      <c r="K129" s="67"/>
    </row>
    <row r="130" spans="11:11">
      <c r="K130" s="67"/>
    </row>
    <row r="131" spans="11:11">
      <c r="K131" s="67"/>
    </row>
    <row r="132" spans="11:11">
      <c r="K132" s="67"/>
    </row>
    <row r="133" spans="11:11">
      <c r="K133" s="67"/>
    </row>
    <row r="134" spans="11:11">
      <c r="K134" s="67"/>
    </row>
    <row r="135" spans="11:11">
      <c r="K135" s="67"/>
    </row>
    <row r="136" spans="11:11">
      <c r="K136" s="67"/>
    </row>
    <row r="137" spans="11:11">
      <c r="K137" s="67"/>
    </row>
    <row r="138" spans="11:11">
      <c r="K138" s="67"/>
    </row>
    <row r="139" spans="11:11">
      <c r="K139" s="67"/>
    </row>
    <row r="140" spans="11:11">
      <c r="K140" s="67"/>
    </row>
    <row r="141" spans="11:11">
      <c r="K141" s="67"/>
    </row>
    <row r="142" spans="11:11">
      <c r="K142" s="67"/>
    </row>
    <row r="143" spans="11:11">
      <c r="K143" s="67"/>
    </row>
    <row r="144" spans="11:11">
      <c r="K144" s="67"/>
    </row>
    <row r="145" spans="11:11">
      <c r="K145" s="67"/>
    </row>
    <row r="146" spans="11:11">
      <c r="K146" s="67"/>
    </row>
    <row r="147" spans="11:11">
      <c r="K147" s="67"/>
    </row>
    <row r="148" spans="11:11">
      <c r="K148" s="67"/>
    </row>
    <row r="149" spans="11:11">
      <c r="K149" s="67"/>
    </row>
    <row r="150" spans="11:11">
      <c r="K150" s="67"/>
    </row>
    <row r="151" spans="11:11">
      <c r="K151" s="67"/>
    </row>
    <row r="152" spans="11:11">
      <c r="K152" s="67"/>
    </row>
    <row r="153" spans="11:11">
      <c r="K153" s="67"/>
    </row>
    <row r="154" spans="11:11">
      <c r="K154" s="67"/>
    </row>
    <row r="155" spans="11:11">
      <c r="K155" s="67"/>
    </row>
    <row r="156" spans="11:11">
      <c r="K156" s="67"/>
    </row>
    <row r="157" spans="11:11">
      <c r="K157" s="67"/>
    </row>
    <row r="158" spans="11:11">
      <c r="K158" s="67"/>
    </row>
    <row r="159" spans="11:11">
      <c r="K159" s="67"/>
    </row>
    <row r="160" spans="11:11">
      <c r="K160" s="67"/>
    </row>
    <row r="161" spans="11:11">
      <c r="K161" s="67"/>
    </row>
    <row r="162" spans="11:11">
      <c r="K162" s="67"/>
    </row>
    <row r="163" spans="11:11">
      <c r="K163" s="67"/>
    </row>
    <row r="164" spans="11:11">
      <c r="K164" s="67"/>
    </row>
    <row r="165" spans="11:11">
      <c r="K165" s="67"/>
    </row>
    <row r="166" spans="11:11">
      <c r="K166" s="67"/>
    </row>
    <row r="167" spans="11:11">
      <c r="K167" s="67"/>
    </row>
    <row r="168" spans="11:11">
      <c r="K168" s="67"/>
    </row>
    <row r="169" spans="11:11">
      <c r="K169" s="67"/>
    </row>
    <row r="170" spans="11:11">
      <c r="K170" s="67"/>
    </row>
    <row r="171" spans="11:11">
      <c r="K171" s="67"/>
    </row>
    <row r="172" spans="11:11">
      <c r="K172" s="67"/>
    </row>
    <row r="173" spans="11:11">
      <c r="K173" s="67"/>
    </row>
    <row r="174" spans="11:11">
      <c r="K174" s="67"/>
    </row>
    <row r="175" spans="11:11">
      <c r="K175" s="67"/>
    </row>
    <row r="176" spans="11:11">
      <c r="K176" s="67"/>
    </row>
    <row r="177" spans="11:11">
      <c r="K177" s="67"/>
    </row>
    <row r="178" spans="11:11">
      <c r="K178" s="67"/>
    </row>
    <row r="179" spans="11:11">
      <c r="K179" s="67"/>
    </row>
    <row r="180" spans="11:11">
      <c r="K180" s="67"/>
    </row>
    <row r="181" spans="11:11">
      <c r="K181" s="67"/>
    </row>
    <row r="182" spans="11:11">
      <c r="K182" s="67"/>
    </row>
    <row r="183" spans="11:11">
      <c r="K183" s="67"/>
    </row>
    <row r="184" spans="11:11">
      <c r="K184" s="67"/>
    </row>
    <row r="185" spans="11:11">
      <c r="K185" s="67"/>
    </row>
    <row r="186" spans="11:11">
      <c r="K186" s="67"/>
    </row>
    <row r="187" spans="11:11">
      <c r="K187" s="67"/>
    </row>
    <row r="188" spans="11:11">
      <c r="K188" s="67"/>
    </row>
    <row r="189" spans="11:11">
      <c r="K189" s="67"/>
    </row>
    <row r="190" spans="11:11">
      <c r="K190" s="67"/>
    </row>
    <row r="191" spans="11:11">
      <c r="K191" s="67"/>
    </row>
    <row r="192" spans="11:11">
      <c r="K192" s="67"/>
    </row>
    <row r="193" spans="11:11">
      <c r="K193" s="67"/>
    </row>
    <row r="194" spans="11:11">
      <c r="K194" s="67"/>
    </row>
    <row r="195" spans="11:11">
      <c r="K195" s="67"/>
    </row>
    <row r="196" spans="11:11">
      <c r="K196" s="67"/>
    </row>
    <row r="197" spans="11:11">
      <c r="K197" s="67"/>
    </row>
    <row r="198" spans="11:11">
      <c r="K198" s="67"/>
    </row>
    <row r="199" spans="11:11">
      <c r="K199" s="67"/>
    </row>
    <row r="200" spans="11:11">
      <c r="K200" s="67"/>
    </row>
    <row r="201" spans="11:11">
      <c r="K201" s="67"/>
    </row>
    <row r="202" spans="11:11">
      <c r="K202" s="67"/>
    </row>
    <row r="203" spans="11:11">
      <c r="K203" s="67"/>
    </row>
    <row r="204" spans="11:11">
      <c r="K204" s="67"/>
    </row>
    <row r="205" spans="11:11">
      <c r="K205" s="67"/>
    </row>
    <row r="206" spans="11:11">
      <c r="K206" s="67"/>
    </row>
    <row r="207" spans="11:11">
      <c r="K207" s="67"/>
    </row>
    <row r="208" spans="11:11">
      <c r="K208" s="67"/>
    </row>
    <row r="209" spans="11:11">
      <c r="K209" s="67"/>
    </row>
    <row r="210" spans="11:11">
      <c r="K210" s="67"/>
    </row>
    <row r="211" spans="11:11">
      <c r="K211" s="67"/>
    </row>
    <row r="212" spans="11:11">
      <c r="K212" s="67"/>
    </row>
    <row r="213" spans="11:11">
      <c r="K213" s="67"/>
    </row>
    <row r="214" spans="11:11">
      <c r="K214" s="67"/>
    </row>
    <row r="215" spans="11:11">
      <c r="K215" s="67"/>
    </row>
    <row r="216" spans="11:11">
      <c r="K216" s="67"/>
    </row>
    <row r="217" spans="11:11">
      <c r="K217" s="67"/>
    </row>
    <row r="218" spans="11:11">
      <c r="K218" s="67"/>
    </row>
    <row r="219" spans="11:11">
      <c r="K219" s="67"/>
    </row>
  </sheetData>
  <sortState ref="D8:K219">
    <sortCondition ref="D7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372"/>
  <sheetViews>
    <sheetView showGridLines="0" workbookViewId="0">
      <selection activeCell="L18" sqref="L18"/>
    </sheetView>
  </sheetViews>
  <sheetFormatPr defaultRowHeight="15"/>
  <cols>
    <col min="1" max="1" width="2.85546875" customWidth="1"/>
    <col min="2" max="2" width="13" style="1" customWidth="1"/>
    <col min="3" max="3" width="50.7109375" customWidth="1"/>
    <col min="4" max="4" width="4.85546875" customWidth="1"/>
    <col min="5" max="5" width="9.140625" style="2" customWidth="1"/>
    <col min="6" max="6" width="12.28515625" style="3" customWidth="1"/>
    <col min="7" max="7" width="12.7109375" style="3" customWidth="1"/>
    <col min="11" max="11" width="17.5703125" customWidth="1"/>
  </cols>
  <sheetData>
    <row r="3" spans="2:11" s="51" customFormat="1">
      <c r="B3" s="50" t="s">
        <v>1</v>
      </c>
      <c r="C3" s="51" t="s">
        <v>2</v>
      </c>
      <c r="D3" s="51" t="s">
        <v>9</v>
      </c>
      <c r="E3" s="52" t="s">
        <v>5</v>
      </c>
      <c r="F3" s="53" t="s">
        <v>7</v>
      </c>
      <c r="G3" s="53" t="s">
        <v>8</v>
      </c>
    </row>
    <row r="4" spans="2:11">
      <c r="B4" s="1" t="s">
        <v>227</v>
      </c>
      <c r="C4" t="s">
        <v>228</v>
      </c>
      <c r="D4" t="s">
        <v>44</v>
      </c>
      <c r="E4" s="2">
        <v>3</v>
      </c>
      <c r="F4" s="3">
        <v>6000</v>
      </c>
      <c r="G4" s="3">
        <v>10000</v>
      </c>
    </row>
    <row r="5" spans="2:11">
      <c r="B5" s="1" t="s">
        <v>75</v>
      </c>
      <c r="C5" t="s">
        <v>76</v>
      </c>
      <c r="D5" t="s">
        <v>44</v>
      </c>
      <c r="E5" s="2">
        <v>1</v>
      </c>
      <c r="F5" s="3">
        <v>17000</v>
      </c>
      <c r="G5" s="3">
        <v>25000</v>
      </c>
    </row>
    <row r="6" spans="2:11">
      <c r="B6" s="1" t="s">
        <v>213</v>
      </c>
      <c r="C6" t="s">
        <v>214</v>
      </c>
      <c r="D6" t="s">
        <v>44</v>
      </c>
      <c r="E6" s="2">
        <v>2</v>
      </c>
      <c r="F6" s="3">
        <v>7500</v>
      </c>
      <c r="G6" s="3">
        <v>15000</v>
      </c>
    </row>
    <row r="7" spans="2:11">
      <c r="B7" s="1" t="s">
        <v>407</v>
      </c>
      <c r="C7" t="s">
        <v>408</v>
      </c>
      <c r="D7" t="s">
        <v>44</v>
      </c>
      <c r="E7" s="2">
        <v>1</v>
      </c>
      <c r="F7" s="3">
        <v>50000</v>
      </c>
      <c r="G7" s="3">
        <v>80000</v>
      </c>
    </row>
    <row r="8" spans="2:11">
      <c r="B8" s="1" t="s">
        <v>163</v>
      </c>
      <c r="C8" t="s">
        <v>164</v>
      </c>
      <c r="D8" t="s">
        <v>44</v>
      </c>
      <c r="E8" s="2">
        <v>1</v>
      </c>
      <c r="F8" s="3">
        <v>12000</v>
      </c>
      <c r="G8" s="3">
        <v>25000</v>
      </c>
    </row>
    <row r="9" spans="2:11">
      <c r="B9" s="1" t="s">
        <v>409</v>
      </c>
      <c r="C9" t="s">
        <v>410</v>
      </c>
      <c r="D9" t="s">
        <v>44</v>
      </c>
      <c r="E9" s="2">
        <v>3</v>
      </c>
      <c r="F9" s="3">
        <v>20000</v>
      </c>
      <c r="G9" s="3">
        <v>28000</v>
      </c>
    </row>
    <row r="10" spans="2:11">
      <c r="B10" s="1" t="s">
        <v>411</v>
      </c>
      <c r="C10" t="s">
        <v>412</v>
      </c>
      <c r="D10" t="s">
        <v>44</v>
      </c>
      <c r="E10" s="2">
        <v>2</v>
      </c>
      <c r="F10" s="3">
        <v>60000</v>
      </c>
      <c r="G10" s="3">
        <v>80000</v>
      </c>
    </row>
    <row r="11" spans="2:11">
      <c r="B11" s="1" t="s">
        <v>752</v>
      </c>
      <c r="C11" t="s">
        <v>414</v>
      </c>
      <c r="D11" t="s">
        <v>44</v>
      </c>
      <c r="E11" s="2">
        <v>4</v>
      </c>
      <c r="F11" s="3">
        <v>35000</v>
      </c>
      <c r="G11" s="3">
        <v>50000</v>
      </c>
    </row>
    <row r="12" spans="2:11" ht="15.75" thickBot="1">
      <c r="B12" s="1" t="s">
        <v>415</v>
      </c>
      <c r="C12" t="s">
        <v>416</v>
      </c>
      <c r="D12" t="s">
        <v>44</v>
      </c>
      <c r="E12" s="2">
        <v>2</v>
      </c>
      <c r="F12" s="3">
        <v>160000</v>
      </c>
      <c r="G12" s="3">
        <v>220000</v>
      </c>
    </row>
    <row r="13" spans="2:11" ht="15.75" thickBot="1">
      <c r="B13" s="1" t="s">
        <v>417</v>
      </c>
      <c r="C13" t="s">
        <v>418</v>
      </c>
      <c r="D13" t="s">
        <v>44</v>
      </c>
      <c r="E13" s="2">
        <v>5</v>
      </c>
      <c r="F13" s="3">
        <v>6000</v>
      </c>
      <c r="G13" s="3">
        <v>15000</v>
      </c>
      <c r="J13" s="101" t="s">
        <v>678</v>
      </c>
      <c r="K13" s="120">
        <v>11077911</v>
      </c>
    </row>
    <row r="14" spans="2:11">
      <c r="B14" s="1" t="s">
        <v>189</v>
      </c>
      <c r="C14" t="s">
        <v>190</v>
      </c>
      <c r="D14" t="s">
        <v>44</v>
      </c>
      <c r="E14" s="2">
        <v>1</v>
      </c>
      <c r="F14" s="3">
        <v>6000</v>
      </c>
      <c r="G14" s="3">
        <v>10000</v>
      </c>
    </row>
    <row r="15" spans="2:11">
      <c r="B15" s="1" t="s">
        <v>396</v>
      </c>
      <c r="C15" t="s">
        <v>397</v>
      </c>
      <c r="D15" t="s">
        <v>44</v>
      </c>
      <c r="E15" s="2">
        <v>1</v>
      </c>
      <c r="F15" s="3">
        <v>5000</v>
      </c>
      <c r="G15" s="3">
        <v>10000</v>
      </c>
    </row>
    <row r="16" spans="2:11">
      <c r="B16" s="1" t="s">
        <v>251</v>
      </c>
      <c r="C16" t="s">
        <v>252</v>
      </c>
      <c r="D16" t="s">
        <v>44</v>
      </c>
      <c r="E16" s="2">
        <v>1</v>
      </c>
      <c r="F16" s="3">
        <v>6000</v>
      </c>
      <c r="G16" s="3">
        <v>10000</v>
      </c>
    </row>
    <row r="17" spans="2:7">
      <c r="B17" s="1" t="s">
        <v>249</v>
      </c>
      <c r="C17" t="s">
        <v>250</v>
      </c>
      <c r="D17" t="s">
        <v>44</v>
      </c>
      <c r="E17" s="2">
        <v>1</v>
      </c>
      <c r="F17" s="3">
        <v>6000</v>
      </c>
      <c r="G17" s="3">
        <v>10000</v>
      </c>
    </row>
    <row r="18" spans="2:7">
      <c r="B18" s="1" t="s">
        <v>419</v>
      </c>
      <c r="C18" t="s">
        <v>420</v>
      </c>
      <c r="D18" t="s">
        <v>44</v>
      </c>
      <c r="E18" s="2">
        <v>5</v>
      </c>
      <c r="F18" s="3">
        <v>3000</v>
      </c>
      <c r="G18" s="3">
        <v>6000</v>
      </c>
    </row>
    <row r="19" spans="2:7">
      <c r="B19" s="1" t="s">
        <v>421</v>
      </c>
      <c r="C19" t="s">
        <v>422</v>
      </c>
      <c r="D19" t="s">
        <v>44</v>
      </c>
      <c r="E19" s="2">
        <v>1</v>
      </c>
      <c r="F19" s="3">
        <v>30000</v>
      </c>
      <c r="G19" s="3">
        <v>50000</v>
      </c>
    </row>
    <row r="20" spans="2:7">
      <c r="B20" s="1" t="s">
        <v>59</v>
      </c>
      <c r="C20" t="s">
        <v>60</v>
      </c>
      <c r="D20" t="s">
        <v>44</v>
      </c>
      <c r="E20" s="2">
        <v>3</v>
      </c>
      <c r="F20" s="3">
        <v>22500</v>
      </c>
      <c r="G20" s="3">
        <v>35000</v>
      </c>
    </row>
    <row r="21" spans="2:7">
      <c r="B21" s="1" t="s">
        <v>53</v>
      </c>
      <c r="C21" t="s">
        <v>54</v>
      </c>
      <c r="D21" t="s">
        <v>44</v>
      </c>
      <c r="E21" s="2">
        <v>4</v>
      </c>
      <c r="F21" s="3">
        <v>15000</v>
      </c>
      <c r="G21" s="3">
        <v>20000</v>
      </c>
    </row>
    <row r="22" spans="2:7">
      <c r="B22" s="1" t="s">
        <v>423</v>
      </c>
      <c r="C22" t="s">
        <v>424</v>
      </c>
      <c r="D22" t="s">
        <v>44</v>
      </c>
      <c r="E22" s="2">
        <v>5</v>
      </c>
      <c r="F22" s="3">
        <v>5000</v>
      </c>
      <c r="G22" s="3">
        <v>10000</v>
      </c>
    </row>
    <row r="23" spans="2:7">
      <c r="B23" s="1" t="s">
        <v>425</v>
      </c>
      <c r="C23" t="s">
        <v>426</v>
      </c>
      <c r="D23" t="s">
        <v>44</v>
      </c>
      <c r="E23" s="2">
        <v>2</v>
      </c>
      <c r="F23" s="3">
        <v>20000</v>
      </c>
      <c r="G23" s="3">
        <v>45000</v>
      </c>
    </row>
    <row r="24" spans="2:7">
      <c r="B24" s="1" t="s">
        <v>427</v>
      </c>
      <c r="C24" t="s">
        <v>428</v>
      </c>
      <c r="D24" t="s">
        <v>44</v>
      </c>
      <c r="E24" s="2">
        <v>3</v>
      </c>
      <c r="F24" s="3">
        <v>75000</v>
      </c>
      <c r="G24" s="3">
        <v>89000</v>
      </c>
    </row>
    <row r="25" spans="2:7">
      <c r="B25" s="1" t="s">
        <v>429</v>
      </c>
      <c r="C25" t="s">
        <v>430</v>
      </c>
      <c r="D25" t="s">
        <v>44</v>
      </c>
      <c r="E25" s="2">
        <v>1</v>
      </c>
      <c r="F25" s="3">
        <v>65000</v>
      </c>
      <c r="G25" s="3">
        <v>80000</v>
      </c>
    </row>
    <row r="26" spans="2:7">
      <c r="B26" s="1" t="s">
        <v>87</v>
      </c>
      <c r="C26" t="s">
        <v>88</v>
      </c>
      <c r="D26" t="s">
        <v>44</v>
      </c>
      <c r="E26" s="2">
        <v>3</v>
      </c>
      <c r="F26" s="3">
        <v>44000</v>
      </c>
      <c r="G26" s="3">
        <v>65000</v>
      </c>
    </row>
    <row r="27" spans="2:7">
      <c r="B27" s="1" t="s">
        <v>431</v>
      </c>
      <c r="C27" t="s">
        <v>432</v>
      </c>
      <c r="D27" t="s">
        <v>44</v>
      </c>
      <c r="E27" s="2">
        <v>3</v>
      </c>
      <c r="F27" s="3">
        <v>10000</v>
      </c>
      <c r="G27" s="3">
        <v>23000</v>
      </c>
    </row>
    <row r="28" spans="2:7">
      <c r="B28" s="1" t="s">
        <v>680</v>
      </c>
      <c r="C28" t="s">
        <v>681</v>
      </c>
      <c r="D28" t="s">
        <v>44</v>
      </c>
      <c r="E28" s="2">
        <v>2</v>
      </c>
      <c r="F28" s="3">
        <v>6000</v>
      </c>
      <c r="G28" s="3">
        <v>10000</v>
      </c>
    </row>
    <row r="29" spans="2:7">
      <c r="B29" s="1" t="s">
        <v>433</v>
      </c>
      <c r="C29" t="s">
        <v>434</v>
      </c>
      <c r="D29" t="s">
        <v>44</v>
      </c>
      <c r="E29" s="2">
        <v>3</v>
      </c>
      <c r="F29" s="3">
        <v>50000</v>
      </c>
      <c r="G29" s="3">
        <v>65000</v>
      </c>
    </row>
    <row r="30" spans="2:7">
      <c r="B30" s="1" t="s">
        <v>684</v>
      </c>
      <c r="C30" t="s">
        <v>685</v>
      </c>
      <c r="D30" t="s">
        <v>44</v>
      </c>
      <c r="E30" s="2">
        <v>9</v>
      </c>
      <c r="F30" s="3">
        <v>6000</v>
      </c>
      <c r="G30" s="3">
        <v>10000</v>
      </c>
    </row>
    <row r="31" spans="2:7">
      <c r="B31" s="1" t="s">
        <v>247</v>
      </c>
      <c r="C31" t="s">
        <v>248</v>
      </c>
      <c r="D31" t="s">
        <v>44</v>
      </c>
      <c r="E31" s="2" t="s">
        <v>689</v>
      </c>
      <c r="F31" s="3">
        <v>6000</v>
      </c>
      <c r="G31" s="3">
        <v>10000</v>
      </c>
    </row>
    <row r="32" spans="2:7">
      <c r="B32" s="1" t="s">
        <v>193</v>
      </c>
      <c r="C32" t="s">
        <v>194</v>
      </c>
      <c r="D32" t="s">
        <v>44</v>
      </c>
      <c r="E32" s="2">
        <v>1</v>
      </c>
      <c r="F32" s="3">
        <v>6000</v>
      </c>
      <c r="G32" s="3">
        <v>15000</v>
      </c>
    </row>
    <row r="33" spans="2:7">
      <c r="B33" s="1" t="s">
        <v>682</v>
      </c>
      <c r="C33" t="s">
        <v>683</v>
      </c>
      <c r="D33" t="s">
        <v>44</v>
      </c>
      <c r="E33" s="2">
        <v>5</v>
      </c>
      <c r="F33" s="3">
        <v>6000</v>
      </c>
      <c r="G33" s="3">
        <v>10000</v>
      </c>
    </row>
    <row r="34" spans="2:7">
      <c r="B34" s="1" t="s">
        <v>91</v>
      </c>
      <c r="C34" t="s">
        <v>92</v>
      </c>
      <c r="D34" t="s">
        <v>44</v>
      </c>
      <c r="E34" s="2">
        <v>2</v>
      </c>
      <c r="F34" s="3">
        <v>60000</v>
      </c>
      <c r="G34" s="3">
        <v>80000</v>
      </c>
    </row>
    <row r="35" spans="2:7">
      <c r="B35" s="1" t="s">
        <v>93</v>
      </c>
      <c r="C35" t="s">
        <v>94</v>
      </c>
      <c r="D35" t="s">
        <v>44</v>
      </c>
      <c r="E35" s="2">
        <v>3</v>
      </c>
      <c r="F35" s="3">
        <v>70000</v>
      </c>
      <c r="G35" s="3">
        <v>80000</v>
      </c>
    </row>
    <row r="36" spans="2:7">
      <c r="B36" s="1" t="s">
        <v>89</v>
      </c>
      <c r="C36" t="s">
        <v>90</v>
      </c>
      <c r="D36" t="s">
        <v>44</v>
      </c>
      <c r="E36" s="2">
        <v>3</v>
      </c>
      <c r="F36" s="3">
        <v>60000</v>
      </c>
      <c r="G36" s="3">
        <v>85000</v>
      </c>
    </row>
    <row r="37" spans="2:7">
      <c r="B37" s="1" t="s">
        <v>272</v>
      </c>
      <c r="C37" t="s">
        <v>273</v>
      </c>
      <c r="D37" t="s">
        <v>44</v>
      </c>
      <c r="E37" s="2">
        <v>1</v>
      </c>
      <c r="F37" s="3">
        <v>6000</v>
      </c>
      <c r="G37" s="3">
        <v>10000</v>
      </c>
    </row>
    <row r="38" spans="2:7">
      <c r="B38" s="1" t="s">
        <v>142</v>
      </c>
      <c r="C38" t="s">
        <v>143</v>
      </c>
      <c r="D38" t="s">
        <v>44</v>
      </c>
      <c r="E38" s="2">
        <v>5</v>
      </c>
      <c r="F38" s="3">
        <v>6000</v>
      </c>
      <c r="G38" s="3">
        <v>10000</v>
      </c>
    </row>
    <row r="39" spans="2:7">
      <c r="B39" s="1" t="s">
        <v>435</v>
      </c>
      <c r="C39" t="s">
        <v>436</v>
      </c>
      <c r="D39" t="s">
        <v>44</v>
      </c>
      <c r="E39" s="2">
        <v>5</v>
      </c>
      <c r="F39" s="3">
        <v>11000</v>
      </c>
      <c r="G39" s="3">
        <v>18000</v>
      </c>
    </row>
    <row r="40" spans="2:7">
      <c r="B40" s="1" t="s">
        <v>437</v>
      </c>
      <c r="C40" t="s">
        <v>438</v>
      </c>
      <c r="D40" t="s">
        <v>44</v>
      </c>
      <c r="E40" s="2">
        <v>1</v>
      </c>
      <c r="F40" s="3">
        <v>32000</v>
      </c>
      <c r="G40" s="3">
        <v>50000</v>
      </c>
    </row>
    <row r="41" spans="2:7">
      <c r="B41" s="1" t="s">
        <v>85</v>
      </c>
      <c r="C41" t="s">
        <v>86</v>
      </c>
      <c r="D41" t="s">
        <v>44</v>
      </c>
      <c r="E41" s="2">
        <v>4</v>
      </c>
      <c r="F41" s="3">
        <v>55000</v>
      </c>
      <c r="G41" s="3">
        <v>73000</v>
      </c>
    </row>
    <row r="42" spans="2:7">
      <c r="B42" s="1" t="s">
        <v>439</v>
      </c>
      <c r="C42" t="s">
        <v>440</v>
      </c>
      <c r="D42" t="s">
        <v>44</v>
      </c>
      <c r="E42" s="2">
        <v>1</v>
      </c>
      <c r="F42" s="3">
        <v>13000</v>
      </c>
      <c r="G42" s="3">
        <v>25000</v>
      </c>
    </row>
    <row r="43" spans="2:7">
      <c r="B43" s="1" t="s">
        <v>203</v>
      </c>
      <c r="C43" t="s">
        <v>204</v>
      </c>
      <c r="D43" t="s">
        <v>44</v>
      </c>
      <c r="E43" s="2">
        <v>1</v>
      </c>
      <c r="F43" s="3">
        <v>6000</v>
      </c>
      <c r="G43" s="3">
        <v>10000</v>
      </c>
    </row>
    <row r="44" spans="2:7">
      <c r="B44" s="1" t="s">
        <v>191</v>
      </c>
      <c r="C44" t="s">
        <v>192</v>
      </c>
      <c r="D44" t="s">
        <v>44</v>
      </c>
      <c r="E44" s="2">
        <v>0</v>
      </c>
      <c r="F44" s="3">
        <v>6000</v>
      </c>
      <c r="G44" s="3">
        <v>10000</v>
      </c>
    </row>
    <row r="45" spans="2:7">
      <c r="B45" s="1" t="s">
        <v>154</v>
      </c>
      <c r="C45" t="s">
        <v>155</v>
      </c>
      <c r="D45" t="s">
        <v>44</v>
      </c>
      <c r="E45" s="2">
        <v>2</v>
      </c>
      <c r="F45" s="3">
        <v>6000</v>
      </c>
      <c r="G45" s="3">
        <v>10000</v>
      </c>
    </row>
    <row r="46" spans="2:7">
      <c r="B46" s="1" t="s">
        <v>392</v>
      </c>
      <c r="C46" t="s">
        <v>393</v>
      </c>
      <c r="D46" t="s">
        <v>44</v>
      </c>
      <c r="E46" s="2">
        <v>1</v>
      </c>
      <c r="F46" s="3">
        <v>5000</v>
      </c>
      <c r="G46" s="3">
        <v>10000</v>
      </c>
    </row>
    <row r="47" spans="2:7">
      <c r="B47" s="1" t="s">
        <v>73</v>
      </c>
      <c r="C47" t="s">
        <v>74</v>
      </c>
      <c r="D47" t="s">
        <v>44</v>
      </c>
      <c r="E47" s="2">
        <v>5</v>
      </c>
      <c r="F47" s="3">
        <v>24000</v>
      </c>
      <c r="G47" s="3">
        <v>32000</v>
      </c>
    </row>
    <row r="48" spans="2:7">
      <c r="B48" s="1" t="s">
        <v>61</v>
      </c>
      <c r="C48" t="s">
        <v>62</v>
      </c>
      <c r="D48" t="s">
        <v>44</v>
      </c>
      <c r="E48" s="2">
        <v>1</v>
      </c>
      <c r="F48" s="3">
        <v>24000</v>
      </c>
      <c r="G48" s="3">
        <v>38000</v>
      </c>
    </row>
    <row r="49" spans="2:7">
      <c r="B49" s="1" t="s">
        <v>63</v>
      </c>
      <c r="C49" t="s">
        <v>64</v>
      </c>
      <c r="D49" t="s">
        <v>44</v>
      </c>
      <c r="E49" s="2">
        <v>2</v>
      </c>
      <c r="F49" s="3">
        <v>29000</v>
      </c>
      <c r="G49" s="3">
        <v>45000</v>
      </c>
    </row>
    <row r="50" spans="2:7">
      <c r="B50" s="1" t="s">
        <v>51</v>
      </c>
      <c r="C50" t="s">
        <v>52</v>
      </c>
      <c r="D50" t="s">
        <v>44</v>
      </c>
      <c r="E50" s="2" t="s">
        <v>755</v>
      </c>
      <c r="F50" s="3">
        <v>12000</v>
      </c>
      <c r="G50" s="3">
        <v>17000</v>
      </c>
    </row>
    <row r="51" spans="2:7">
      <c r="B51" s="1" t="s">
        <v>49</v>
      </c>
      <c r="C51" t="s">
        <v>50</v>
      </c>
      <c r="D51" t="s">
        <v>44</v>
      </c>
      <c r="E51" s="2" t="s">
        <v>713</v>
      </c>
      <c r="F51" s="3">
        <v>13000</v>
      </c>
      <c r="G51" s="3">
        <v>18000</v>
      </c>
    </row>
    <row r="52" spans="2:7">
      <c r="B52" s="1" t="s">
        <v>245</v>
      </c>
      <c r="C52" t="s">
        <v>246</v>
      </c>
      <c r="D52" t="s">
        <v>44</v>
      </c>
      <c r="E52" s="2">
        <v>0</v>
      </c>
      <c r="F52" s="3">
        <v>6000</v>
      </c>
      <c r="G52" s="3">
        <v>10000</v>
      </c>
    </row>
    <row r="53" spans="2:7">
      <c r="B53" s="1" t="s">
        <v>237</v>
      </c>
      <c r="C53" t="s">
        <v>238</v>
      </c>
      <c r="D53" t="s">
        <v>44</v>
      </c>
      <c r="E53" s="2">
        <v>5</v>
      </c>
      <c r="F53" s="3">
        <v>7500</v>
      </c>
      <c r="G53" s="3">
        <v>15000</v>
      </c>
    </row>
    <row r="54" spans="2:7">
      <c r="B54" s="1" t="s">
        <v>231</v>
      </c>
      <c r="C54" t="s">
        <v>232</v>
      </c>
      <c r="D54" t="s">
        <v>44</v>
      </c>
      <c r="E54" s="2">
        <v>12</v>
      </c>
      <c r="F54" s="3">
        <v>7500</v>
      </c>
      <c r="G54" s="3">
        <v>15000</v>
      </c>
    </row>
    <row r="55" spans="2:7">
      <c r="B55" s="1" t="s">
        <v>134</v>
      </c>
      <c r="C55" t="s">
        <v>135</v>
      </c>
      <c r="D55" t="s">
        <v>44</v>
      </c>
      <c r="E55" s="2">
        <v>3</v>
      </c>
      <c r="F55" s="3">
        <v>5000</v>
      </c>
      <c r="G55" s="3">
        <v>15000</v>
      </c>
    </row>
    <row r="56" spans="2:7">
      <c r="B56" s="1" t="s">
        <v>120</v>
      </c>
      <c r="C56" t="s">
        <v>121</v>
      </c>
      <c r="D56" t="s">
        <v>44</v>
      </c>
      <c r="E56" s="2">
        <v>0</v>
      </c>
      <c r="F56" s="3">
        <v>5000</v>
      </c>
      <c r="G56" s="3">
        <v>15000</v>
      </c>
    </row>
    <row r="57" spans="2:7">
      <c r="B57" s="1" t="s">
        <v>128</v>
      </c>
      <c r="C57" t="s">
        <v>129</v>
      </c>
      <c r="D57" t="s">
        <v>44</v>
      </c>
      <c r="E57" s="2">
        <v>2</v>
      </c>
      <c r="F57" s="3">
        <v>5000</v>
      </c>
      <c r="G57" s="3">
        <v>15000</v>
      </c>
    </row>
    <row r="58" spans="2:7">
      <c r="B58" s="1" t="s">
        <v>124</v>
      </c>
      <c r="C58" t="s">
        <v>125</v>
      </c>
      <c r="D58" t="s">
        <v>44</v>
      </c>
      <c r="E58" s="2">
        <v>5</v>
      </c>
      <c r="F58" s="3">
        <v>5000</v>
      </c>
      <c r="G58" s="3">
        <v>15000</v>
      </c>
    </row>
    <row r="59" spans="2:7">
      <c r="B59" s="1" t="s">
        <v>171</v>
      </c>
      <c r="C59" t="s">
        <v>172</v>
      </c>
      <c r="D59" t="s">
        <v>44</v>
      </c>
      <c r="E59" s="2">
        <v>6</v>
      </c>
      <c r="F59" s="3">
        <v>7500</v>
      </c>
      <c r="G59" s="3">
        <v>15000</v>
      </c>
    </row>
    <row r="60" spans="2:7">
      <c r="B60" s="1" t="s">
        <v>300</v>
      </c>
      <c r="C60" t="s">
        <v>301</v>
      </c>
      <c r="D60" t="s">
        <v>44</v>
      </c>
      <c r="E60" s="2">
        <v>3</v>
      </c>
      <c r="F60" s="3">
        <v>7500</v>
      </c>
      <c r="G60" s="3">
        <v>15000</v>
      </c>
    </row>
    <row r="61" spans="2:7">
      <c r="B61" s="1" t="s">
        <v>296</v>
      </c>
      <c r="C61" t="s">
        <v>297</v>
      </c>
      <c r="D61" t="s">
        <v>44</v>
      </c>
      <c r="E61" s="2" t="s">
        <v>691</v>
      </c>
      <c r="F61" s="3">
        <v>7500</v>
      </c>
      <c r="G61" s="3">
        <v>15000</v>
      </c>
    </row>
    <row r="62" spans="2:7">
      <c r="B62" s="1" t="s">
        <v>351</v>
      </c>
      <c r="C62" t="s">
        <v>352</v>
      </c>
      <c r="D62" t="s">
        <v>44</v>
      </c>
      <c r="E62" s="2">
        <v>7</v>
      </c>
      <c r="F62" s="3">
        <v>7500</v>
      </c>
      <c r="G62" s="3">
        <v>15000</v>
      </c>
    </row>
    <row r="63" spans="2:7">
      <c r="B63" s="1" t="s">
        <v>307</v>
      </c>
      <c r="C63" t="s">
        <v>308</v>
      </c>
      <c r="D63" t="s">
        <v>44</v>
      </c>
      <c r="E63" s="2">
        <v>7</v>
      </c>
      <c r="F63" s="3">
        <v>7500</v>
      </c>
      <c r="G63" s="3">
        <v>15000</v>
      </c>
    </row>
    <row r="64" spans="2:7">
      <c r="B64" s="1" t="s">
        <v>377</v>
      </c>
      <c r="C64" t="s">
        <v>378</v>
      </c>
      <c r="D64" t="s">
        <v>44</v>
      </c>
      <c r="E64" s="2">
        <v>7</v>
      </c>
      <c r="F64" s="3">
        <v>7500</v>
      </c>
      <c r="G64" s="3">
        <v>15000</v>
      </c>
    </row>
    <row r="65" spans="2:7">
      <c r="B65" s="1" t="s">
        <v>391</v>
      </c>
      <c r="C65" t="s">
        <v>348</v>
      </c>
      <c r="D65" t="s">
        <v>44</v>
      </c>
      <c r="E65" s="2" t="s">
        <v>689</v>
      </c>
      <c r="F65" s="3">
        <v>7500</v>
      </c>
      <c r="G65" s="3">
        <v>15000</v>
      </c>
    </row>
    <row r="66" spans="2:7">
      <c r="B66" s="1" t="s">
        <v>276</v>
      </c>
      <c r="C66" t="s">
        <v>277</v>
      </c>
      <c r="D66" t="s">
        <v>44</v>
      </c>
      <c r="E66" s="2">
        <v>2</v>
      </c>
      <c r="F66" s="3">
        <v>7500</v>
      </c>
      <c r="G66" s="3">
        <v>15000</v>
      </c>
    </row>
    <row r="67" spans="2:7">
      <c r="B67" s="1" t="s">
        <v>309</v>
      </c>
      <c r="C67" t="s">
        <v>310</v>
      </c>
      <c r="D67" t="s">
        <v>44</v>
      </c>
      <c r="E67" s="2">
        <v>6</v>
      </c>
      <c r="F67" s="3">
        <v>7500</v>
      </c>
      <c r="G67" s="3">
        <v>15000</v>
      </c>
    </row>
    <row r="68" spans="2:7">
      <c r="B68" s="1" t="s">
        <v>292</v>
      </c>
      <c r="C68" t="s">
        <v>293</v>
      </c>
      <c r="D68" t="s">
        <v>44</v>
      </c>
      <c r="E68" s="2">
        <v>0</v>
      </c>
      <c r="F68" s="3">
        <v>7500</v>
      </c>
      <c r="G68" s="3">
        <v>15000</v>
      </c>
    </row>
    <row r="69" spans="2:7">
      <c r="B69" s="1" t="s">
        <v>290</v>
      </c>
      <c r="C69" t="s">
        <v>291</v>
      </c>
      <c r="D69" t="s">
        <v>44</v>
      </c>
      <c r="E69" s="2" t="s">
        <v>694</v>
      </c>
      <c r="F69" s="3">
        <v>7500</v>
      </c>
      <c r="G69" s="3">
        <v>15000</v>
      </c>
    </row>
    <row r="70" spans="2:7">
      <c r="B70" s="1" t="s">
        <v>331</v>
      </c>
      <c r="C70" t="s">
        <v>332</v>
      </c>
      <c r="D70" t="s">
        <v>44</v>
      </c>
      <c r="E70" s="2">
        <v>4</v>
      </c>
      <c r="F70" s="3">
        <v>7500</v>
      </c>
      <c r="G70" s="3">
        <v>15000</v>
      </c>
    </row>
    <row r="71" spans="2:7">
      <c r="B71" s="1" t="s">
        <v>441</v>
      </c>
      <c r="C71" t="s">
        <v>442</v>
      </c>
      <c r="D71" t="s">
        <v>44</v>
      </c>
      <c r="E71" s="2" t="s">
        <v>770</v>
      </c>
      <c r="F71" s="3">
        <v>22000</v>
      </c>
      <c r="G71" s="3">
        <v>28000</v>
      </c>
    </row>
    <row r="72" spans="2:7">
      <c r="B72" s="1" t="s">
        <v>119</v>
      </c>
      <c r="C72" t="s">
        <v>686</v>
      </c>
      <c r="D72" t="s">
        <v>44</v>
      </c>
      <c r="E72" s="2">
        <v>7</v>
      </c>
      <c r="F72" s="3">
        <v>5000</v>
      </c>
      <c r="G72" s="3">
        <v>15000</v>
      </c>
    </row>
    <row r="73" spans="2:7">
      <c r="B73" s="1" t="s">
        <v>117</v>
      </c>
      <c r="C73" t="s">
        <v>118</v>
      </c>
      <c r="D73" t="s">
        <v>44</v>
      </c>
      <c r="E73" s="2">
        <v>2</v>
      </c>
      <c r="F73" s="3">
        <v>5000</v>
      </c>
      <c r="G73" s="3">
        <v>15000</v>
      </c>
    </row>
    <row r="74" spans="2:7">
      <c r="B74" s="1" t="s">
        <v>130</v>
      </c>
      <c r="C74" t="s">
        <v>131</v>
      </c>
      <c r="D74" t="s">
        <v>44</v>
      </c>
      <c r="E74" s="2">
        <v>2</v>
      </c>
      <c r="F74" s="3">
        <v>5000</v>
      </c>
      <c r="G74" s="3">
        <v>15000</v>
      </c>
    </row>
    <row r="75" spans="2:7">
      <c r="B75" s="1" t="s">
        <v>370</v>
      </c>
      <c r="C75" t="s">
        <v>371</v>
      </c>
      <c r="D75" t="s">
        <v>44</v>
      </c>
      <c r="E75" s="2">
        <v>5</v>
      </c>
      <c r="F75" s="3">
        <v>7500</v>
      </c>
      <c r="G75" s="3">
        <v>15000</v>
      </c>
    </row>
    <row r="76" spans="2:7">
      <c r="B76" s="1" t="s">
        <v>103</v>
      </c>
      <c r="C76" t="s">
        <v>104</v>
      </c>
      <c r="D76" t="s">
        <v>44</v>
      </c>
      <c r="E76" s="2">
        <v>2</v>
      </c>
      <c r="F76" s="3">
        <v>5000</v>
      </c>
      <c r="G76" s="3">
        <v>15000</v>
      </c>
    </row>
    <row r="77" spans="2:7">
      <c r="B77" s="1" t="s">
        <v>136</v>
      </c>
      <c r="C77" t="s">
        <v>137</v>
      </c>
      <c r="D77" t="s">
        <v>44</v>
      </c>
      <c r="E77" s="2">
        <v>1</v>
      </c>
      <c r="F77" s="3">
        <v>5000</v>
      </c>
      <c r="G77" s="3">
        <v>15000</v>
      </c>
    </row>
    <row r="78" spans="2:7">
      <c r="B78" s="1" t="s">
        <v>177</v>
      </c>
      <c r="C78" t="s">
        <v>178</v>
      </c>
      <c r="D78" t="s">
        <v>44</v>
      </c>
      <c r="E78" s="2">
        <v>0</v>
      </c>
      <c r="F78" s="3">
        <v>6000</v>
      </c>
      <c r="G78" s="3">
        <v>10000</v>
      </c>
    </row>
    <row r="79" spans="2:7">
      <c r="B79" s="1" t="s">
        <v>195</v>
      </c>
      <c r="C79" t="s">
        <v>196</v>
      </c>
      <c r="D79" t="s">
        <v>44</v>
      </c>
      <c r="E79" s="2">
        <v>1</v>
      </c>
      <c r="F79" s="3">
        <v>7500</v>
      </c>
      <c r="G79" s="3">
        <v>15000</v>
      </c>
    </row>
    <row r="80" spans="2:7">
      <c r="B80" s="1" t="s">
        <v>173</v>
      </c>
      <c r="C80" t="s">
        <v>174</v>
      </c>
      <c r="D80" t="s">
        <v>44</v>
      </c>
      <c r="E80" s="2">
        <v>2</v>
      </c>
      <c r="F80" s="3">
        <v>7500</v>
      </c>
      <c r="G80" s="3">
        <v>15000</v>
      </c>
    </row>
    <row r="81" spans="2:7">
      <c r="B81" s="1" t="s">
        <v>298</v>
      </c>
      <c r="C81" t="s">
        <v>299</v>
      </c>
      <c r="D81" t="s">
        <v>44</v>
      </c>
      <c r="E81" s="2">
        <v>1</v>
      </c>
      <c r="F81" s="3">
        <v>7500</v>
      </c>
      <c r="G81" s="3">
        <v>15000</v>
      </c>
    </row>
    <row r="82" spans="2:7">
      <c r="B82" s="1" t="s">
        <v>303</v>
      </c>
      <c r="C82" t="s">
        <v>304</v>
      </c>
      <c r="D82" t="s">
        <v>44</v>
      </c>
      <c r="E82" s="2" t="s">
        <v>690</v>
      </c>
      <c r="F82" s="3">
        <v>7500</v>
      </c>
      <c r="G82" s="3">
        <v>15000</v>
      </c>
    </row>
    <row r="83" spans="2:7">
      <c r="B83" s="1" t="s">
        <v>268</v>
      </c>
      <c r="C83" t="s">
        <v>269</v>
      </c>
      <c r="D83" t="s">
        <v>44</v>
      </c>
      <c r="E83" s="2" t="s">
        <v>691</v>
      </c>
      <c r="F83" s="3">
        <v>7500</v>
      </c>
      <c r="G83" s="3">
        <v>15000</v>
      </c>
    </row>
    <row r="84" spans="2:7">
      <c r="B84" s="1" t="s">
        <v>256</v>
      </c>
      <c r="C84" t="s">
        <v>257</v>
      </c>
      <c r="D84" t="s">
        <v>44</v>
      </c>
      <c r="E84" s="2">
        <v>0</v>
      </c>
      <c r="F84" s="3">
        <v>7500</v>
      </c>
      <c r="G84" s="3">
        <v>15000</v>
      </c>
    </row>
    <row r="85" spans="2:7">
      <c r="B85" s="1" t="s">
        <v>327</v>
      </c>
      <c r="C85" t="s">
        <v>328</v>
      </c>
      <c r="D85" t="s">
        <v>44</v>
      </c>
      <c r="E85" s="2">
        <v>1</v>
      </c>
      <c r="F85" s="3">
        <v>7500</v>
      </c>
      <c r="G85" s="3">
        <v>15000</v>
      </c>
    </row>
    <row r="86" spans="2:7">
      <c r="B86" s="1" t="s">
        <v>394</v>
      </c>
      <c r="C86" t="s">
        <v>395</v>
      </c>
      <c r="D86" t="s">
        <v>44</v>
      </c>
      <c r="E86" s="2">
        <v>2</v>
      </c>
      <c r="F86" s="3">
        <v>7500</v>
      </c>
      <c r="G86" s="3">
        <v>15000</v>
      </c>
    </row>
    <row r="87" spans="2:7">
      <c r="B87" s="1" t="s">
        <v>368</v>
      </c>
      <c r="C87" t="s">
        <v>369</v>
      </c>
      <c r="D87" t="s">
        <v>44</v>
      </c>
      <c r="E87" s="2">
        <v>3</v>
      </c>
      <c r="F87" s="3">
        <v>7500</v>
      </c>
      <c r="G87" s="3">
        <v>15000</v>
      </c>
    </row>
    <row r="88" spans="2:7">
      <c r="B88" s="1" t="s">
        <v>368</v>
      </c>
      <c r="C88" t="s">
        <v>369</v>
      </c>
      <c r="D88" t="s">
        <v>44</v>
      </c>
      <c r="E88" s="2">
        <v>4</v>
      </c>
      <c r="F88" s="3">
        <v>7500</v>
      </c>
      <c r="G88" s="3">
        <v>15000</v>
      </c>
    </row>
    <row r="89" spans="2:7">
      <c r="B89" s="1" t="s">
        <v>340</v>
      </c>
      <c r="C89" t="s">
        <v>341</v>
      </c>
      <c r="D89" t="s">
        <v>44</v>
      </c>
      <c r="E89" s="2">
        <v>1</v>
      </c>
      <c r="F89" s="3">
        <v>6000</v>
      </c>
      <c r="G89" s="3">
        <v>10000</v>
      </c>
    </row>
    <row r="90" spans="2:7">
      <c r="B90" s="1" t="s">
        <v>160</v>
      </c>
      <c r="C90" t="s">
        <v>161</v>
      </c>
      <c r="D90" t="s">
        <v>44</v>
      </c>
      <c r="E90" s="2">
        <v>2</v>
      </c>
      <c r="F90" s="3">
        <v>7500</v>
      </c>
      <c r="G90" s="3">
        <v>15000</v>
      </c>
    </row>
    <row r="91" spans="2:7">
      <c r="B91" s="1" t="s">
        <v>167</v>
      </c>
      <c r="C91" t="s">
        <v>168</v>
      </c>
      <c r="D91" t="s">
        <v>44</v>
      </c>
      <c r="E91" s="2">
        <v>4</v>
      </c>
      <c r="F91" s="3">
        <v>7500</v>
      </c>
      <c r="G91" s="3">
        <v>15000</v>
      </c>
    </row>
    <row r="92" spans="2:7">
      <c r="B92" s="1" t="s">
        <v>144</v>
      </c>
      <c r="C92" t="s">
        <v>145</v>
      </c>
      <c r="D92" t="s">
        <v>44</v>
      </c>
      <c r="E92" s="2">
        <v>4</v>
      </c>
      <c r="F92" s="3">
        <v>5000</v>
      </c>
      <c r="G92" s="3">
        <v>15000</v>
      </c>
    </row>
    <row r="93" spans="2:7">
      <c r="B93" s="1" t="s">
        <v>209</v>
      </c>
      <c r="C93" t="s">
        <v>210</v>
      </c>
      <c r="D93" t="s">
        <v>44</v>
      </c>
      <c r="E93" s="2">
        <v>4</v>
      </c>
      <c r="F93" s="3">
        <v>7500</v>
      </c>
      <c r="G93" s="3">
        <v>15000</v>
      </c>
    </row>
    <row r="94" spans="2:7">
      <c r="B94" s="1" t="s">
        <v>209</v>
      </c>
      <c r="C94" t="s">
        <v>239</v>
      </c>
      <c r="D94" t="s">
        <v>44</v>
      </c>
      <c r="E94" s="2">
        <v>4</v>
      </c>
      <c r="F94" s="3">
        <v>7500</v>
      </c>
      <c r="G94" s="3">
        <v>15000</v>
      </c>
    </row>
    <row r="95" spans="2:7">
      <c r="B95" s="1" t="s">
        <v>240</v>
      </c>
      <c r="C95" t="s">
        <v>241</v>
      </c>
      <c r="D95" t="s">
        <v>44</v>
      </c>
      <c r="E95" s="2">
        <v>1</v>
      </c>
      <c r="F95" s="3">
        <v>7500</v>
      </c>
      <c r="G95" s="3">
        <v>15000</v>
      </c>
    </row>
    <row r="96" spans="2:7">
      <c r="B96" s="1" t="s">
        <v>338</v>
      </c>
      <c r="C96" t="s">
        <v>339</v>
      </c>
      <c r="D96" t="s">
        <v>44</v>
      </c>
      <c r="E96" s="2">
        <v>1</v>
      </c>
      <c r="F96" s="3">
        <v>7500</v>
      </c>
      <c r="G96" s="3">
        <v>15000</v>
      </c>
    </row>
    <row r="97" spans="2:7">
      <c r="B97" s="1" t="s">
        <v>138</v>
      </c>
      <c r="C97" t="s">
        <v>139</v>
      </c>
      <c r="D97" t="s">
        <v>44</v>
      </c>
      <c r="E97" s="2">
        <v>0</v>
      </c>
      <c r="F97" s="3">
        <v>5000</v>
      </c>
      <c r="G97" s="3">
        <v>15000</v>
      </c>
    </row>
    <row r="98" spans="2:7">
      <c r="B98" s="1" t="s">
        <v>111</v>
      </c>
      <c r="C98" t="s">
        <v>112</v>
      </c>
      <c r="D98" t="s">
        <v>44</v>
      </c>
      <c r="E98" s="2">
        <v>8</v>
      </c>
      <c r="F98" s="3">
        <v>5000</v>
      </c>
      <c r="G98" s="3">
        <v>15000</v>
      </c>
    </row>
    <row r="99" spans="2:7">
      <c r="B99" s="1" t="s">
        <v>443</v>
      </c>
      <c r="C99" t="s">
        <v>444</v>
      </c>
      <c r="D99" t="s">
        <v>44</v>
      </c>
      <c r="E99" s="2">
        <v>2</v>
      </c>
      <c r="F99" s="3">
        <v>130000</v>
      </c>
      <c r="G99" s="3">
        <v>165000</v>
      </c>
    </row>
    <row r="100" spans="2:7">
      <c r="B100" s="1" t="s">
        <v>215</v>
      </c>
      <c r="C100" t="s">
        <v>216</v>
      </c>
      <c r="D100" t="s">
        <v>44</v>
      </c>
      <c r="E100" s="2">
        <v>3</v>
      </c>
      <c r="F100" s="3">
        <v>7500</v>
      </c>
      <c r="G100" s="3">
        <v>15000</v>
      </c>
    </row>
    <row r="101" spans="2:7">
      <c r="B101" s="1" t="s">
        <v>445</v>
      </c>
      <c r="C101" t="s">
        <v>446</v>
      </c>
      <c r="D101" t="s">
        <v>44</v>
      </c>
      <c r="E101" s="2">
        <v>3</v>
      </c>
      <c r="F101" s="3">
        <v>40000</v>
      </c>
      <c r="G101" s="3">
        <v>60000</v>
      </c>
    </row>
    <row r="102" spans="2:7">
      <c r="B102" s="1" t="s">
        <v>358</v>
      </c>
      <c r="C102" t="s">
        <v>359</v>
      </c>
      <c r="D102" t="s">
        <v>44</v>
      </c>
      <c r="E102" s="2">
        <v>3</v>
      </c>
      <c r="F102" s="3">
        <v>7500</v>
      </c>
      <c r="G102" s="3">
        <v>15000</v>
      </c>
    </row>
    <row r="103" spans="2:7">
      <c r="B103" s="1" t="s">
        <v>358</v>
      </c>
      <c r="C103" t="s">
        <v>359</v>
      </c>
      <c r="D103" t="s">
        <v>44</v>
      </c>
      <c r="E103" s="2">
        <v>5</v>
      </c>
      <c r="F103" s="3">
        <v>7500</v>
      </c>
      <c r="G103" s="3">
        <v>15000</v>
      </c>
    </row>
    <row r="104" spans="2:7">
      <c r="B104" s="1" t="s">
        <v>148</v>
      </c>
      <c r="C104" t="s">
        <v>149</v>
      </c>
      <c r="D104" t="s">
        <v>44</v>
      </c>
      <c r="E104" s="2">
        <v>1</v>
      </c>
      <c r="F104" s="3">
        <v>7500</v>
      </c>
      <c r="G104" s="3">
        <v>15000</v>
      </c>
    </row>
    <row r="105" spans="2:7">
      <c r="B105" s="1" t="s">
        <v>148</v>
      </c>
      <c r="C105" t="s">
        <v>149</v>
      </c>
      <c r="D105" t="s">
        <v>44</v>
      </c>
      <c r="E105" s="2">
        <v>8</v>
      </c>
      <c r="F105" s="3">
        <v>7500</v>
      </c>
      <c r="G105" s="3">
        <v>15000</v>
      </c>
    </row>
    <row r="106" spans="2:7">
      <c r="B106" s="1" t="s">
        <v>201</v>
      </c>
      <c r="C106" t="s">
        <v>202</v>
      </c>
      <c r="D106" t="s">
        <v>44</v>
      </c>
      <c r="E106" s="2" t="s">
        <v>689</v>
      </c>
      <c r="F106" s="3">
        <v>7500</v>
      </c>
      <c r="G106" s="3">
        <v>15000</v>
      </c>
    </row>
    <row r="107" spans="2:7">
      <c r="B107" s="1" t="s">
        <v>150</v>
      </c>
      <c r="C107" t="s">
        <v>151</v>
      </c>
      <c r="D107" t="s">
        <v>44</v>
      </c>
      <c r="E107" s="2">
        <v>2</v>
      </c>
      <c r="F107" s="3">
        <v>7500</v>
      </c>
      <c r="G107" s="3">
        <v>15000</v>
      </c>
    </row>
    <row r="108" spans="2:7">
      <c r="B108" s="1" t="s">
        <v>150</v>
      </c>
      <c r="C108" t="s">
        <v>151</v>
      </c>
      <c r="D108" t="s">
        <v>44</v>
      </c>
      <c r="E108" s="2">
        <v>4</v>
      </c>
      <c r="F108" s="3">
        <v>7500</v>
      </c>
      <c r="G108" s="3">
        <v>15000</v>
      </c>
    </row>
    <row r="109" spans="2:7">
      <c r="B109" s="1" t="s">
        <v>152</v>
      </c>
      <c r="C109" t="s">
        <v>153</v>
      </c>
      <c r="D109" t="s">
        <v>44</v>
      </c>
      <c r="E109" s="2">
        <v>11</v>
      </c>
      <c r="F109" s="3">
        <v>7500</v>
      </c>
      <c r="G109" s="3">
        <v>15000</v>
      </c>
    </row>
    <row r="110" spans="2:7">
      <c r="B110" s="1" t="s">
        <v>217</v>
      </c>
      <c r="C110" t="s">
        <v>218</v>
      </c>
      <c r="D110" t="s">
        <v>44</v>
      </c>
      <c r="E110" s="2">
        <v>4</v>
      </c>
      <c r="F110" s="3">
        <v>7500</v>
      </c>
      <c r="G110" s="3">
        <v>15000</v>
      </c>
    </row>
    <row r="111" spans="2:7">
      <c r="B111" s="1" t="s">
        <v>183</v>
      </c>
      <c r="C111" t="s">
        <v>184</v>
      </c>
      <c r="D111" t="s">
        <v>44</v>
      </c>
      <c r="E111" s="2">
        <v>13</v>
      </c>
      <c r="F111" s="3">
        <v>7500</v>
      </c>
      <c r="G111" s="3">
        <v>15000</v>
      </c>
    </row>
    <row r="112" spans="2:7">
      <c r="B112" s="1" t="s">
        <v>185</v>
      </c>
      <c r="C112" t="s">
        <v>186</v>
      </c>
      <c r="D112" t="s">
        <v>44</v>
      </c>
      <c r="E112" s="2">
        <v>1</v>
      </c>
      <c r="F112" s="3">
        <v>7500</v>
      </c>
      <c r="G112" s="3">
        <v>15000</v>
      </c>
    </row>
    <row r="113" spans="2:7">
      <c r="B113" s="1" t="s">
        <v>185</v>
      </c>
      <c r="C113" t="s">
        <v>242</v>
      </c>
      <c r="D113" t="s">
        <v>44</v>
      </c>
      <c r="E113" s="2">
        <v>1</v>
      </c>
      <c r="F113" s="3">
        <v>7500</v>
      </c>
      <c r="G113" s="3">
        <v>15000</v>
      </c>
    </row>
    <row r="114" spans="2:7">
      <c r="B114" s="1" t="s">
        <v>223</v>
      </c>
      <c r="C114" t="s">
        <v>224</v>
      </c>
      <c r="D114" t="s">
        <v>44</v>
      </c>
      <c r="E114" s="2">
        <v>8</v>
      </c>
      <c r="F114" s="3">
        <v>7500</v>
      </c>
      <c r="G114" s="3">
        <v>15000</v>
      </c>
    </row>
    <row r="115" spans="2:7">
      <c r="B115" s="1" t="s">
        <v>187</v>
      </c>
      <c r="C115" t="s">
        <v>188</v>
      </c>
      <c r="D115" t="s">
        <v>44</v>
      </c>
      <c r="E115" s="2">
        <v>16</v>
      </c>
      <c r="F115" s="3">
        <v>7500</v>
      </c>
      <c r="G115" s="3">
        <v>15000</v>
      </c>
    </row>
    <row r="116" spans="2:7">
      <c r="B116" s="1" t="s">
        <v>243</v>
      </c>
      <c r="C116" t="s">
        <v>244</v>
      </c>
      <c r="D116" t="s">
        <v>44</v>
      </c>
      <c r="E116" s="2">
        <v>2</v>
      </c>
      <c r="F116" s="3">
        <v>7500</v>
      </c>
      <c r="G116" s="3">
        <v>15000</v>
      </c>
    </row>
    <row r="117" spans="2:7">
      <c r="B117" s="1" t="s">
        <v>181</v>
      </c>
      <c r="C117" t="s">
        <v>182</v>
      </c>
      <c r="D117" t="s">
        <v>44</v>
      </c>
      <c r="E117" s="2">
        <v>4</v>
      </c>
      <c r="F117" s="3">
        <v>7500</v>
      </c>
      <c r="G117" s="3">
        <v>15000</v>
      </c>
    </row>
    <row r="118" spans="2:7">
      <c r="B118" s="1" t="s">
        <v>373</v>
      </c>
      <c r="C118" t="s">
        <v>374</v>
      </c>
      <c r="D118" t="s">
        <v>44</v>
      </c>
      <c r="E118" s="2">
        <v>1</v>
      </c>
      <c r="F118" s="3">
        <v>7500</v>
      </c>
      <c r="G118" s="3">
        <v>15000</v>
      </c>
    </row>
    <row r="119" spans="2:7">
      <c r="B119" s="1" t="s">
        <v>373</v>
      </c>
      <c r="C119" t="s">
        <v>385</v>
      </c>
      <c r="D119" t="s">
        <v>44</v>
      </c>
      <c r="E119" s="2">
        <v>2</v>
      </c>
      <c r="F119" s="3">
        <v>7500</v>
      </c>
      <c r="G119" s="3">
        <v>15000</v>
      </c>
    </row>
    <row r="120" spans="2:7">
      <c r="B120" s="1" t="s">
        <v>447</v>
      </c>
      <c r="C120" t="s">
        <v>448</v>
      </c>
      <c r="D120" t="s">
        <v>44</v>
      </c>
      <c r="E120" s="2">
        <v>1</v>
      </c>
      <c r="F120" s="3">
        <v>30000</v>
      </c>
      <c r="G120" s="3">
        <v>55000</v>
      </c>
    </row>
    <row r="121" spans="2:7">
      <c r="B121" s="1" t="s">
        <v>342</v>
      </c>
      <c r="C121" t="s">
        <v>343</v>
      </c>
      <c r="D121" t="s">
        <v>44</v>
      </c>
      <c r="E121" s="2">
        <v>1</v>
      </c>
      <c r="F121" s="3">
        <v>10000</v>
      </c>
      <c r="G121" s="3">
        <v>20000</v>
      </c>
    </row>
    <row r="122" spans="2:7">
      <c r="B122" s="1" t="s">
        <v>342</v>
      </c>
      <c r="C122" t="s">
        <v>343</v>
      </c>
      <c r="D122" t="s">
        <v>44</v>
      </c>
      <c r="E122" s="2">
        <v>1</v>
      </c>
      <c r="F122" s="3">
        <v>10000</v>
      </c>
      <c r="G122" s="3">
        <v>20000</v>
      </c>
    </row>
    <row r="123" spans="2:7">
      <c r="B123" s="1" t="s">
        <v>270</v>
      </c>
      <c r="C123" t="s">
        <v>271</v>
      </c>
      <c r="D123" t="s">
        <v>44</v>
      </c>
      <c r="E123" s="2">
        <v>4</v>
      </c>
      <c r="F123" s="3">
        <v>10000</v>
      </c>
      <c r="G123" s="3">
        <v>20000</v>
      </c>
    </row>
    <row r="124" spans="2:7">
      <c r="B124" s="1" t="s">
        <v>258</v>
      </c>
      <c r="C124" t="s">
        <v>259</v>
      </c>
      <c r="D124" t="s">
        <v>44</v>
      </c>
      <c r="E124" s="2">
        <v>4</v>
      </c>
      <c r="F124" s="3">
        <v>10000</v>
      </c>
      <c r="G124" s="3">
        <v>20000</v>
      </c>
    </row>
    <row r="125" spans="2:7">
      <c r="B125" s="1" t="s">
        <v>199</v>
      </c>
      <c r="C125" t="s">
        <v>200</v>
      </c>
      <c r="D125" t="s">
        <v>44</v>
      </c>
      <c r="E125" s="2">
        <v>1</v>
      </c>
      <c r="F125" s="3">
        <v>10000</v>
      </c>
      <c r="G125" s="3">
        <v>20000</v>
      </c>
    </row>
    <row r="126" spans="2:7">
      <c r="B126" s="1" t="s">
        <v>113</v>
      </c>
      <c r="C126" t="s">
        <v>114</v>
      </c>
      <c r="D126" t="s">
        <v>44</v>
      </c>
      <c r="E126" s="2">
        <v>4</v>
      </c>
      <c r="F126" s="3">
        <v>10000</v>
      </c>
      <c r="G126" s="3">
        <v>20000</v>
      </c>
    </row>
    <row r="127" spans="2:7">
      <c r="B127" s="1" t="s">
        <v>225</v>
      </c>
      <c r="C127" t="s">
        <v>226</v>
      </c>
      <c r="D127" t="s">
        <v>44</v>
      </c>
      <c r="E127" s="2">
        <v>2</v>
      </c>
      <c r="F127" s="3">
        <v>10000</v>
      </c>
      <c r="G127" s="3">
        <v>20000</v>
      </c>
    </row>
    <row r="128" spans="2:7">
      <c r="B128" s="1" t="s">
        <v>229</v>
      </c>
      <c r="C128" t="s">
        <v>230</v>
      </c>
      <c r="D128" t="s">
        <v>44</v>
      </c>
      <c r="E128" s="2">
        <v>1</v>
      </c>
      <c r="F128" s="3">
        <v>10000</v>
      </c>
      <c r="G128" s="3">
        <v>20000</v>
      </c>
    </row>
    <row r="129" spans="2:7">
      <c r="B129" s="1" t="s">
        <v>449</v>
      </c>
      <c r="C129" t="s">
        <v>450</v>
      </c>
      <c r="D129" t="s">
        <v>44</v>
      </c>
      <c r="E129" s="2">
        <v>3</v>
      </c>
      <c r="F129" s="3">
        <v>22000</v>
      </c>
      <c r="G129" s="3">
        <v>35000</v>
      </c>
    </row>
    <row r="130" spans="2:7">
      <c r="B130" s="1" t="s">
        <v>140</v>
      </c>
      <c r="C130" t="s">
        <v>141</v>
      </c>
      <c r="D130" t="s">
        <v>44</v>
      </c>
      <c r="E130" s="2">
        <v>1</v>
      </c>
      <c r="F130" s="3">
        <v>5000</v>
      </c>
      <c r="G130" s="3">
        <v>15000</v>
      </c>
    </row>
    <row r="131" spans="2:7">
      <c r="B131" s="1" t="s">
        <v>274</v>
      </c>
      <c r="C131" t="s">
        <v>275</v>
      </c>
      <c r="D131" t="s">
        <v>44</v>
      </c>
      <c r="E131" s="2">
        <v>1</v>
      </c>
      <c r="F131" s="3">
        <v>7500</v>
      </c>
      <c r="G131" s="3">
        <v>15000</v>
      </c>
    </row>
    <row r="132" spans="2:7">
      <c r="B132" s="1" t="s">
        <v>346</v>
      </c>
      <c r="C132" t="s">
        <v>347</v>
      </c>
      <c r="D132" t="s">
        <v>44</v>
      </c>
      <c r="E132" s="2">
        <v>1</v>
      </c>
      <c r="F132" s="3">
        <v>7500</v>
      </c>
      <c r="G132" s="3">
        <v>15000</v>
      </c>
    </row>
    <row r="133" spans="2:7">
      <c r="B133" s="1" t="s">
        <v>101</v>
      </c>
      <c r="C133" t="s">
        <v>102</v>
      </c>
      <c r="D133" t="s">
        <v>44</v>
      </c>
      <c r="E133" s="2">
        <v>3</v>
      </c>
      <c r="F133" s="3">
        <v>5000</v>
      </c>
      <c r="G133" s="3">
        <v>15000</v>
      </c>
    </row>
    <row r="134" spans="2:7">
      <c r="B134" s="1" t="s">
        <v>175</v>
      </c>
      <c r="C134" t="s">
        <v>176</v>
      </c>
      <c r="D134" t="s">
        <v>44</v>
      </c>
      <c r="E134" s="2">
        <v>3</v>
      </c>
      <c r="F134" s="3">
        <v>7500</v>
      </c>
      <c r="G134" s="3">
        <v>15000</v>
      </c>
    </row>
    <row r="135" spans="2:7">
      <c r="B135" s="1" t="s">
        <v>379</v>
      </c>
      <c r="C135" t="s">
        <v>380</v>
      </c>
      <c r="D135" t="s">
        <v>44</v>
      </c>
      <c r="E135" s="2">
        <v>3</v>
      </c>
      <c r="F135" s="3">
        <v>7500</v>
      </c>
      <c r="G135" s="3">
        <v>15000</v>
      </c>
    </row>
    <row r="136" spans="2:7">
      <c r="B136" s="1" t="s">
        <v>221</v>
      </c>
      <c r="C136" t="s">
        <v>222</v>
      </c>
      <c r="D136" t="s">
        <v>44</v>
      </c>
      <c r="E136" s="2">
        <v>2</v>
      </c>
      <c r="F136" s="3">
        <v>7500</v>
      </c>
      <c r="G136" s="3">
        <v>15000</v>
      </c>
    </row>
    <row r="137" spans="2:7">
      <c r="B137" s="1" t="s">
        <v>364</v>
      </c>
      <c r="C137" t="s">
        <v>365</v>
      </c>
      <c r="D137" t="s">
        <v>44</v>
      </c>
      <c r="E137" s="2">
        <v>6</v>
      </c>
      <c r="F137" s="3">
        <v>7500</v>
      </c>
      <c r="G137" s="3">
        <v>15000</v>
      </c>
    </row>
    <row r="138" spans="2:7">
      <c r="B138" s="1" t="s">
        <v>329</v>
      </c>
      <c r="C138" t="s">
        <v>330</v>
      </c>
      <c r="D138" t="s">
        <v>44</v>
      </c>
      <c r="E138" s="2">
        <v>6</v>
      </c>
      <c r="F138" s="3">
        <v>7500</v>
      </c>
      <c r="G138" s="3">
        <v>15000</v>
      </c>
    </row>
    <row r="139" spans="2:7">
      <c r="B139" s="1" t="s">
        <v>313</v>
      </c>
      <c r="C139" t="s">
        <v>314</v>
      </c>
      <c r="D139" t="s">
        <v>44</v>
      </c>
      <c r="E139" s="2">
        <v>4</v>
      </c>
      <c r="F139" s="3">
        <v>7500</v>
      </c>
      <c r="G139" s="3">
        <v>15000</v>
      </c>
    </row>
    <row r="140" spans="2:7">
      <c r="B140" s="1" t="s">
        <v>253</v>
      </c>
      <c r="C140" t="s">
        <v>254</v>
      </c>
      <c r="D140" t="s">
        <v>44</v>
      </c>
      <c r="E140" s="2">
        <v>2</v>
      </c>
      <c r="F140" s="3">
        <v>7500</v>
      </c>
      <c r="G140" s="3">
        <v>15000</v>
      </c>
    </row>
    <row r="141" spans="2:7">
      <c r="B141" s="1" t="s">
        <v>294</v>
      </c>
      <c r="C141" t="s">
        <v>295</v>
      </c>
      <c r="D141" t="s">
        <v>44</v>
      </c>
      <c r="E141" s="2" t="s">
        <v>689</v>
      </c>
      <c r="F141" s="3">
        <v>7500</v>
      </c>
      <c r="G141" s="3">
        <v>15000</v>
      </c>
    </row>
    <row r="142" spans="2:7">
      <c r="B142" s="1" t="s">
        <v>288</v>
      </c>
      <c r="C142" t="s">
        <v>289</v>
      </c>
      <c r="D142" t="s">
        <v>44</v>
      </c>
      <c r="E142" s="2">
        <v>2</v>
      </c>
      <c r="F142" s="3">
        <v>7500</v>
      </c>
      <c r="G142" s="3">
        <v>15000</v>
      </c>
    </row>
    <row r="143" spans="2:7">
      <c r="B143" s="1" t="s">
        <v>451</v>
      </c>
      <c r="C143" t="s">
        <v>452</v>
      </c>
      <c r="D143" t="s">
        <v>44</v>
      </c>
      <c r="E143" s="2">
        <v>2</v>
      </c>
      <c r="F143" s="3">
        <v>42000</v>
      </c>
      <c r="G143" s="3">
        <v>60000</v>
      </c>
    </row>
    <row r="144" spans="2:7">
      <c r="B144" s="1" t="s">
        <v>453</v>
      </c>
      <c r="C144" t="s">
        <v>454</v>
      </c>
      <c r="D144" t="s">
        <v>44</v>
      </c>
      <c r="E144" s="2">
        <v>2</v>
      </c>
      <c r="F144" s="3">
        <v>34000</v>
      </c>
      <c r="G144" s="3">
        <v>60000</v>
      </c>
    </row>
    <row r="145" spans="2:7">
      <c r="B145" s="1" t="s">
        <v>319</v>
      </c>
      <c r="C145" t="s">
        <v>320</v>
      </c>
      <c r="D145" t="s">
        <v>44</v>
      </c>
      <c r="E145" s="2">
        <v>8</v>
      </c>
      <c r="F145" s="3">
        <v>7500</v>
      </c>
      <c r="G145" s="3">
        <v>15000</v>
      </c>
    </row>
    <row r="146" spans="2:7">
      <c r="B146" s="1" t="s">
        <v>366</v>
      </c>
      <c r="C146" t="s">
        <v>367</v>
      </c>
      <c r="D146" t="s">
        <v>44</v>
      </c>
      <c r="E146" s="2">
        <v>3</v>
      </c>
      <c r="F146" s="3">
        <v>7500</v>
      </c>
      <c r="G146" s="3">
        <v>15000</v>
      </c>
    </row>
    <row r="147" spans="2:7">
      <c r="B147" s="1" t="s">
        <v>315</v>
      </c>
      <c r="C147" t="s">
        <v>316</v>
      </c>
      <c r="D147" t="s">
        <v>44</v>
      </c>
      <c r="E147" s="2">
        <v>1</v>
      </c>
      <c r="F147" s="3">
        <v>7500</v>
      </c>
      <c r="G147" s="3">
        <v>15000</v>
      </c>
    </row>
    <row r="148" spans="2:7">
      <c r="B148" s="1" t="s">
        <v>315</v>
      </c>
      <c r="C148" t="s">
        <v>316</v>
      </c>
      <c r="D148" t="s">
        <v>44</v>
      </c>
      <c r="E148" s="2">
        <v>3</v>
      </c>
      <c r="F148" s="3">
        <v>7500</v>
      </c>
      <c r="G148" s="3">
        <v>15000</v>
      </c>
    </row>
    <row r="149" spans="2:7">
      <c r="B149" s="1" t="s">
        <v>146</v>
      </c>
      <c r="C149" t="s">
        <v>147</v>
      </c>
      <c r="D149" t="s">
        <v>44</v>
      </c>
      <c r="E149" s="2" t="s">
        <v>689</v>
      </c>
      <c r="F149" s="3">
        <v>5000</v>
      </c>
      <c r="G149" s="3">
        <v>15000</v>
      </c>
    </row>
    <row r="150" spans="2:7">
      <c r="B150" s="1" t="s">
        <v>146</v>
      </c>
      <c r="C150" t="s">
        <v>302</v>
      </c>
      <c r="D150" t="s">
        <v>44</v>
      </c>
      <c r="E150" s="2">
        <v>1</v>
      </c>
      <c r="F150" s="3">
        <v>7500</v>
      </c>
      <c r="G150" s="3">
        <v>15000</v>
      </c>
    </row>
    <row r="151" spans="2:7">
      <c r="B151" s="1" t="s">
        <v>179</v>
      </c>
      <c r="C151" t="s">
        <v>180</v>
      </c>
      <c r="D151" t="s">
        <v>44</v>
      </c>
      <c r="E151" s="2">
        <v>3</v>
      </c>
      <c r="F151" s="3">
        <v>7500</v>
      </c>
      <c r="G151" s="3">
        <v>15000</v>
      </c>
    </row>
    <row r="152" spans="2:7">
      <c r="B152" s="1" t="s">
        <v>107</v>
      </c>
      <c r="C152" t="s">
        <v>108</v>
      </c>
      <c r="D152" t="s">
        <v>44</v>
      </c>
      <c r="E152" s="2">
        <v>2</v>
      </c>
      <c r="F152" s="3">
        <v>5000</v>
      </c>
      <c r="G152" s="3">
        <v>15000</v>
      </c>
    </row>
    <row r="153" spans="2:7">
      <c r="B153" s="1" t="s">
        <v>109</v>
      </c>
      <c r="C153" t="s">
        <v>110</v>
      </c>
      <c r="D153" t="s">
        <v>44</v>
      </c>
      <c r="E153" s="2">
        <v>4</v>
      </c>
      <c r="F153" s="3">
        <v>5000</v>
      </c>
      <c r="G153" s="3">
        <v>15000</v>
      </c>
    </row>
    <row r="154" spans="2:7">
      <c r="B154" s="1" t="s">
        <v>211</v>
      </c>
      <c r="C154" t="s">
        <v>212</v>
      </c>
      <c r="D154" t="s">
        <v>44</v>
      </c>
      <c r="E154" s="2">
        <v>2</v>
      </c>
      <c r="F154" s="3">
        <v>7500</v>
      </c>
      <c r="G154" s="3">
        <v>15000</v>
      </c>
    </row>
    <row r="155" spans="2:7">
      <c r="B155" s="1" t="s">
        <v>233</v>
      </c>
      <c r="C155" t="s">
        <v>234</v>
      </c>
      <c r="D155" t="s">
        <v>44</v>
      </c>
      <c r="E155" s="2" t="s">
        <v>691</v>
      </c>
      <c r="F155" s="3">
        <v>7500</v>
      </c>
      <c r="G155" s="3">
        <v>15000</v>
      </c>
    </row>
    <row r="156" spans="2:7">
      <c r="B156" s="1" t="s">
        <v>323</v>
      </c>
      <c r="C156" t="s">
        <v>324</v>
      </c>
      <c r="D156" t="s">
        <v>44</v>
      </c>
      <c r="E156" s="2">
        <v>3</v>
      </c>
      <c r="F156" s="3">
        <v>6000</v>
      </c>
      <c r="G156" s="3">
        <v>10000</v>
      </c>
    </row>
    <row r="157" spans="2:7">
      <c r="B157" s="1" t="s">
        <v>71</v>
      </c>
      <c r="C157" t="s">
        <v>72</v>
      </c>
      <c r="D157" t="s">
        <v>44</v>
      </c>
      <c r="E157" s="2">
        <v>3</v>
      </c>
      <c r="F157" s="3">
        <v>42000</v>
      </c>
      <c r="G157" s="3">
        <v>60000</v>
      </c>
    </row>
    <row r="158" spans="2:7">
      <c r="B158" s="1" t="s">
        <v>455</v>
      </c>
      <c r="C158" t="s">
        <v>456</v>
      </c>
      <c r="D158" t="s">
        <v>44</v>
      </c>
      <c r="E158" s="2">
        <v>2</v>
      </c>
      <c r="F158" s="3">
        <v>12000</v>
      </c>
      <c r="G158" s="3">
        <v>20000</v>
      </c>
    </row>
    <row r="159" spans="2:7">
      <c r="B159" s="1" t="s">
        <v>457</v>
      </c>
      <c r="C159" t="s">
        <v>458</v>
      </c>
      <c r="D159" t="s">
        <v>44</v>
      </c>
      <c r="E159" s="2">
        <v>1</v>
      </c>
      <c r="F159" s="3">
        <v>30000</v>
      </c>
      <c r="G159" s="3">
        <v>43000</v>
      </c>
    </row>
    <row r="160" spans="2:7">
      <c r="B160" s="1" t="s">
        <v>459</v>
      </c>
      <c r="C160" t="s">
        <v>460</v>
      </c>
      <c r="D160" t="s">
        <v>44</v>
      </c>
      <c r="E160" s="2">
        <v>1</v>
      </c>
      <c r="F160" s="3">
        <v>30000</v>
      </c>
      <c r="G160" s="3">
        <v>43000</v>
      </c>
    </row>
    <row r="161" spans="2:7">
      <c r="B161" s="1" t="s">
        <v>461</v>
      </c>
      <c r="C161" t="s">
        <v>462</v>
      </c>
      <c r="D161" t="s">
        <v>44</v>
      </c>
      <c r="E161" s="2">
        <v>1</v>
      </c>
      <c r="F161" s="3">
        <v>9000</v>
      </c>
      <c r="G161" s="3">
        <v>16000</v>
      </c>
    </row>
    <row r="162" spans="2:7">
      <c r="B162" s="1" t="s">
        <v>266</v>
      </c>
      <c r="C162" t="s">
        <v>267</v>
      </c>
      <c r="D162" t="s">
        <v>44</v>
      </c>
      <c r="E162" s="2">
        <v>9</v>
      </c>
      <c r="F162" s="3">
        <v>7500</v>
      </c>
      <c r="G162" s="3">
        <v>15000</v>
      </c>
    </row>
    <row r="163" spans="2:7">
      <c r="B163" s="1" t="s">
        <v>463</v>
      </c>
      <c r="C163" t="s">
        <v>464</v>
      </c>
      <c r="D163" t="s">
        <v>44</v>
      </c>
      <c r="E163" s="2">
        <v>14</v>
      </c>
      <c r="F163" s="3">
        <v>13000</v>
      </c>
      <c r="G163" s="3">
        <v>25000</v>
      </c>
    </row>
    <row r="164" spans="2:7">
      <c r="B164" s="1" t="s">
        <v>465</v>
      </c>
      <c r="C164" t="s">
        <v>466</v>
      </c>
      <c r="D164" t="s">
        <v>44</v>
      </c>
      <c r="E164" s="2">
        <v>2</v>
      </c>
      <c r="F164" s="3">
        <v>12000</v>
      </c>
      <c r="G164" s="3">
        <v>18000</v>
      </c>
    </row>
    <row r="165" spans="2:7">
      <c r="B165" s="1" t="s">
        <v>219</v>
      </c>
      <c r="C165" t="s">
        <v>220</v>
      </c>
      <c r="D165" t="s">
        <v>44</v>
      </c>
      <c r="E165" s="2">
        <v>2</v>
      </c>
      <c r="F165" s="3">
        <v>7500</v>
      </c>
      <c r="G165" s="3">
        <v>15000</v>
      </c>
    </row>
    <row r="166" spans="2:7">
      <c r="B166" s="1" t="s">
        <v>356</v>
      </c>
      <c r="C166" t="s">
        <v>357</v>
      </c>
      <c r="D166" t="s">
        <v>44</v>
      </c>
      <c r="E166" s="2" t="s">
        <v>679</v>
      </c>
      <c r="F166" s="3">
        <v>7500</v>
      </c>
      <c r="G166" s="3">
        <v>15000</v>
      </c>
    </row>
    <row r="167" spans="2:7">
      <c r="B167" s="1" t="s">
        <v>57</v>
      </c>
      <c r="C167" t="s">
        <v>58</v>
      </c>
      <c r="D167" t="s">
        <v>44</v>
      </c>
      <c r="E167" s="2">
        <v>5</v>
      </c>
      <c r="F167" s="3">
        <v>35000</v>
      </c>
      <c r="G167" s="3">
        <v>50000</v>
      </c>
    </row>
    <row r="168" spans="2:7">
      <c r="B168" s="1" t="s">
        <v>105</v>
      </c>
      <c r="C168" t="s">
        <v>106</v>
      </c>
      <c r="D168" t="s">
        <v>44</v>
      </c>
      <c r="E168" s="2">
        <v>5</v>
      </c>
      <c r="F168" s="3">
        <v>5000</v>
      </c>
      <c r="G168" s="3">
        <v>15000</v>
      </c>
    </row>
    <row r="169" spans="2:7">
      <c r="B169" s="1" t="s">
        <v>467</v>
      </c>
      <c r="C169" t="s">
        <v>468</v>
      </c>
      <c r="D169" t="s">
        <v>44</v>
      </c>
      <c r="E169" s="2">
        <v>3</v>
      </c>
      <c r="F169" s="3">
        <v>12000</v>
      </c>
      <c r="G169" s="3">
        <v>22000</v>
      </c>
    </row>
    <row r="170" spans="2:7">
      <c r="B170" s="1" t="s">
        <v>205</v>
      </c>
      <c r="C170" t="s">
        <v>206</v>
      </c>
      <c r="D170" t="s">
        <v>44</v>
      </c>
      <c r="E170" s="2">
        <v>3</v>
      </c>
      <c r="F170" s="3">
        <v>7500</v>
      </c>
      <c r="G170" s="3">
        <v>15000</v>
      </c>
    </row>
    <row r="171" spans="2:7">
      <c r="B171" s="1" t="s">
        <v>260</v>
      </c>
      <c r="C171" t="s">
        <v>261</v>
      </c>
      <c r="D171" t="s">
        <v>44</v>
      </c>
      <c r="E171" s="2">
        <v>4</v>
      </c>
      <c r="F171" s="3">
        <v>7500</v>
      </c>
      <c r="G171" s="3">
        <v>15000</v>
      </c>
    </row>
    <row r="172" spans="2:7">
      <c r="B172" s="1" t="s">
        <v>262</v>
      </c>
      <c r="C172" t="s">
        <v>263</v>
      </c>
      <c r="D172" t="s">
        <v>44</v>
      </c>
      <c r="E172" s="2">
        <v>2</v>
      </c>
      <c r="F172" s="3">
        <v>7500</v>
      </c>
      <c r="G172" s="3">
        <v>15000</v>
      </c>
    </row>
    <row r="173" spans="2:7">
      <c r="B173" s="1" t="s">
        <v>264</v>
      </c>
      <c r="C173" t="s">
        <v>265</v>
      </c>
      <c r="D173" t="s">
        <v>44</v>
      </c>
      <c r="E173" s="2">
        <v>4</v>
      </c>
      <c r="F173" s="3">
        <v>7500</v>
      </c>
      <c r="G173" s="3">
        <v>15000</v>
      </c>
    </row>
    <row r="174" spans="2:7">
      <c r="B174" s="1" t="s">
        <v>122</v>
      </c>
      <c r="C174" t="s">
        <v>123</v>
      </c>
      <c r="D174" t="s">
        <v>44</v>
      </c>
      <c r="E174" s="2">
        <v>3</v>
      </c>
      <c r="F174" s="3">
        <v>5000</v>
      </c>
      <c r="G174" s="3">
        <v>15000</v>
      </c>
    </row>
    <row r="175" spans="2:7">
      <c r="B175" s="1" t="s">
        <v>126</v>
      </c>
      <c r="C175" t="s">
        <v>127</v>
      </c>
      <c r="D175" t="s">
        <v>44</v>
      </c>
      <c r="E175" s="2">
        <v>3</v>
      </c>
      <c r="F175" s="3">
        <v>5000</v>
      </c>
      <c r="G175" s="3">
        <v>15000</v>
      </c>
    </row>
    <row r="176" spans="2:7">
      <c r="B176" s="1" t="s">
        <v>132</v>
      </c>
      <c r="C176" t="s">
        <v>133</v>
      </c>
      <c r="D176" t="s">
        <v>44</v>
      </c>
      <c r="E176" s="2">
        <v>3</v>
      </c>
      <c r="F176" s="3">
        <v>5000</v>
      </c>
      <c r="G176" s="3">
        <v>15000</v>
      </c>
    </row>
    <row r="177" spans="2:7">
      <c r="B177" s="1" t="s">
        <v>325</v>
      </c>
      <c r="C177" t="s">
        <v>326</v>
      </c>
      <c r="D177" t="s">
        <v>44</v>
      </c>
      <c r="E177" s="2">
        <v>4</v>
      </c>
      <c r="F177" s="3">
        <v>7500</v>
      </c>
      <c r="G177" s="3">
        <v>15000</v>
      </c>
    </row>
    <row r="178" spans="2:7">
      <c r="B178" s="1" t="s">
        <v>311</v>
      </c>
      <c r="C178" t="s">
        <v>312</v>
      </c>
      <c r="D178" t="s">
        <v>44</v>
      </c>
      <c r="E178" s="2">
        <v>4</v>
      </c>
      <c r="F178" s="3">
        <v>7500</v>
      </c>
      <c r="G178" s="3">
        <v>15000</v>
      </c>
    </row>
    <row r="179" spans="2:7">
      <c r="B179" s="1" t="s">
        <v>381</v>
      </c>
      <c r="C179" t="s">
        <v>382</v>
      </c>
      <c r="D179" t="s">
        <v>44</v>
      </c>
      <c r="E179" s="2" t="s">
        <v>691</v>
      </c>
      <c r="F179" s="3">
        <v>7500</v>
      </c>
      <c r="G179" s="3">
        <v>15000</v>
      </c>
    </row>
    <row r="180" spans="2:7">
      <c r="B180" s="1" t="s">
        <v>317</v>
      </c>
      <c r="C180" t="s">
        <v>318</v>
      </c>
      <c r="D180" t="s">
        <v>44</v>
      </c>
      <c r="E180" s="2">
        <v>2</v>
      </c>
      <c r="F180" s="3">
        <v>7500</v>
      </c>
      <c r="G180" s="3">
        <v>15000</v>
      </c>
    </row>
    <row r="181" spans="2:7">
      <c r="B181" s="1" t="s">
        <v>317</v>
      </c>
      <c r="C181" t="s">
        <v>390</v>
      </c>
      <c r="D181" t="s">
        <v>44</v>
      </c>
      <c r="E181" s="2">
        <v>3</v>
      </c>
      <c r="F181" s="3">
        <v>7500</v>
      </c>
      <c r="G181" s="3">
        <v>15000</v>
      </c>
    </row>
    <row r="182" spans="2:7">
      <c r="B182" s="1" t="s">
        <v>334</v>
      </c>
      <c r="C182" t="s">
        <v>335</v>
      </c>
      <c r="D182" t="s">
        <v>44</v>
      </c>
      <c r="E182" s="2" t="s">
        <v>679</v>
      </c>
      <c r="F182" s="3">
        <v>7500</v>
      </c>
      <c r="G182" s="3">
        <v>15000</v>
      </c>
    </row>
    <row r="183" spans="2:7">
      <c r="B183" s="1" t="s">
        <v>375</v>
      </c>
      <c r="C183" t="s">
        <v>376</v>
      </c>
      <c r="D183" t="s">
        <v>44</v>
      </c>
      <c r="E183" s="2">
        <v>3</v>
      </c>
      <c r="F183" s="3">
        <v>7500</v>
      </c>
      <c r="G183" s="3">
        <v>15000</v>
      </c>
    </row>
    <row r="184" spans="2:7">
      <c r="B184" s="1" t="s">
        <v>282</v>
      </c>
      <c r="C184" t="s">
        <v>283</v>
      </c>
      <c r="D184" t="s">
        <v>44</v>
      </c>
      <c r="E184" s="2">
        <v>5</v>
      </c>
      <c r="F184" s="3">
        <v>7500</v>
      </c>
      <c r="G184" s="3">
        <v>15000</v>
      </c>
    </row>
    <row r="185" spans="2:7">
      <c r="B185" s="1" t="s">
        <v>115</v>
      </c>
      <c r="C185" t="s">
        <v>116</v>
      </c>
      <c r="D185" t="s">
        <v>44</v>
      </c>
      <c r="E185" s="2">
        <v>2</v>
      </c>
      <c r="F185" s="3">
        <v>5000</v>
      </c>
      <c r="G185" s="3">
        <v>15000</v>
      </c>
    </row>
    <row r="186" spans="2:7">
      <c r="B186" s="1" t="s">
        <v>207</v>
      </c>
      <c r="C186" t="s">
        <v>208</v>
      </c>
      <c r="D186" t="s">
        <v>44</v>
      </c>
      <c r="E186" s="2" t="s">
        <v>690</v>
      </c>
      <c r="F186" s="3">
        <v>7500</v>
      </c>
      <c r="G186" s="3">
        <v>15000</v>
      </c>
    </row>
    <row r="187" spans="2:7">
      <c r="B187" s="1" t="s">
        <v>386</v>
      </c>
      <c r="C187" t="s">
        <v>387</v>
      </c>
      <c r="D187" t="s">
        <v>44</v>
      </c>
      <c r="E187" s="2">
        <v>5</v>
      </c>
      <c r="F187" s="3">
        <v>7500</v>
      </c>
      <c r="G187" s="3">
        <v>15000</v>
      </c>
    </row>
    <row r="188" spans="2:7">
      <c r="B188" s="1" t="s">
        <v>469</v>
      </c>
      <c r="C188" t="s">
        <v>470</v>
      </c>
      <c r="D188" t="s">
        <v>44</v>
      </c>
      <c r="E188" s="2">
        <v>4</v>
      </c>
      <c r="F188" s="3">
        <v>10000</v>
      </c>
      <c r="G188" s="3">
        <v>20000</v>
      </c>
    </row>
    <row r="189" spans="2:7">
      <c r="B189" s="1" t="s">
        <v>69</v>
      </c>
      <c r="C189" t="s">
        <v>70</v>
      </c>
      <c r="D189" t="s">
        <v>44</v>
      </c>
      <c r="E189" s="2">
        <v>0</v>
      </c>
      <c r="F189" s="3">
        <v>26000</v>
      </c>
      <c r="G189" s="3">
        <v>40000</v>
      </c>
    </row>
    <row r="190" spans="2:7">
      <c r="B190" s="1" t="s">
        <v>77</v>
      </c>
      <c r="C190" t="s">
        <v>78</v>
      </c>
      <c r="D190" t="s">
        <v>44</v>
      </c>
      <c r="E190" s="2">
        <v>0</v>
      </c>
      <c r="F190" s="3">
        <v>40000</v>
      </c>
      <c r="G190" s="3">
        <v>47000</v>
      </c>
    </row>
    <row r="191" spans="2:7">
      <c r="B191" s="1" t="s">
        <v>471</v>
      </c>
      <c r="C191" t="s">
        <v>472</v>
      </c>
      <c r="D191" t="s">
        <v>44</v>
      </c>
      <c r="E191" s="2">
        <v>8</v>
      </c>
      <c r="F191" s="3">
        <v>31000</v>
      </c>
      <c r="G191" s="3">
        <v>40000</v>
      </c>
    </row>
    <row r="192" spans="2:7">
      <c r="B192" s="1" t="s">
        <v>158</v>
      </c>
      <c r="C192" t="s">
        <v>159</v>
      </c>
      <c r="D192" t="s">
        <v>44</v>
      </c>
      <c r="E192" s="2" t="s">
        <v>703</v>
      </c>
      <c r="F192" s="3">
        <v>12000</v>
      </c>
      <c r="G192" s="3">
        <v>25000</v>
      </c>
    </row>
    <row r="193" spans="2:7">
      <c r="B193" s="1" t="s">
        <v>156</v>
      </c>
      <c r="C193" t="s">
        <v>333</v>
      </c>
      <c r="D193" t="s">
        <v>44</v>
      </c>
      <c r="E193" s="2" t="s">
        <v>689</v>
      </c>
      <c r="F193" s="3">
        <v>12000</v>
      </c>
      <c r="G193" s="3">
        <v>25000</v>
      </c>
    </row>
    <row r="194" spans="2:7">
      <c r="B194" s="1" t="s">
        <v>156</v>
      </c>
      <c r="C194" t="s">
        <v>157</v>
      </c>
      <c r="D194" t="s">
        <v>44</v>
      </c>
      <c r="E194" s="2">
        <v>4</v>
      </c>
      <c r="F194" s="3">
        <v>12000</v>
      </c>
      <c r="G194" s="3">
        <v>25000</v>
      </c>
    </row>
    <row r="195" spans="2:7">
      <c r="B195" s="1" t="s">
        <v>156</v>
      </c>
      <c r="C195" t="s">
        <v>157</v>
      </c>
      <c r="D195" t="s">
        <v>44</v>
      </c>
      <c r="E195" s="2">
        <v>4</v>
      </c>
      <c r="F195" s="3">
        <v>12000</v>
      </c>
      <c r="G195" s="3">
        <v>25000</v>
      </c>
    </row>
    <row r="196" spans="2:7">
      <c r="B196" s="1" t="s">
        <v>321</v>
      </c>
      <c r="C196" t="s">
        <v>322</v>
      </c>
      <c r="D196" t="s">
        <v>44</v>
      </c>
      <c r="E196" s="2">
        <v>2</v>
      </c>
      <c r="F196" s="3">
        <v>12000</v>
      </c>
      <c r="G196" s="3">
        <v>25000</v>
      </c>
    </row>
    <row r="197" spans="2:7">
      <c r="B197" s="1" t="s">
        <v>197</v>
      </c>
      <c r="C197" t="s">
        <v>198</v>
      </c>
      <c r="D197" t="s">
        <v>44</v>
      </c>
      <c r="E197" s="2">
        <v>1</v>
      </c>
      <c r="F197" s="3">
        <v>12000</v>
      </c>
      <c r="G197" s="3">
        <v>25000</v>
      </c>
    </row>
    <row r="198" spans="2:7">
      <c r="B198" s="1" t="s">
        <v>383</v>
      </c>
      <c r="C198" t="s">
        <v>384</v>
      </c>
      <c r="D198" t="s">
        <v>44</v>
      </c>
      <c r="E198" s="2">
        <v>1</v>
      </c>
      <c r="F198" s="3">
        <v>12000</v>
      </c>
      <c r="G198" s="3">
        <v>25000</v>
      </c>
    </row>
    <row r="199" spans="2:7">
      <c r="B199" s="1" t="s">
        <v>388</v>
      </c>
      <c r="C199" t="s">
        <v>389</v>
      </c>
      <c r="D199" t="s">
        <v>44</v>
      </c>
      <c r="E199" s="2">
        <v>2</v>
      </c>
      <c r="F199" s="3">
        <v>12000</v>
      </c>
      <c r="G199" s="3">
        <v>25000</v>
      </c>
    </row>
    <row r="200" spans="2:7">
      <c r="B200" s="1" t="s">
        <v>305</v>
      </c>
      <c r="C200" t="s">
        <v>306</v>
      </c>
      <c r="D200" t="s">
        <v>44</v>
      </c>
      <c r="E200" s="2">
        <v>15</v>
      </c>
      <c r="F200" s="3">
        <v>12000</v>
      </c>
      <c r="G200" s="3">
        <v>25000</v>
      </c>
    </row>
    <row r="201" spans="2:7">
      <c r="B201" s="1" t="s">
        <v>353</v>
      </c>
      <c r="C201" t="s">
        <v>354</v>
      </c>
      <c r="D201" t="s">
        <v>44</v>
      </c>
      <c r="E201" s="2" t="s">
        <v>704</v>
      </c>
      <c r="F201" s="3">
        <v>7500</v>
      </c>
      <c r="G201" s="3">
        <v>15000</v>
      </c>
    </row>
    <row r="202" spans="2:7">
      <c r="B202" s="1" t="s">
        <v>336</v>
      </c>
      <c r="C202" t="s">
        <v>337</v>
      </c>
      <c r="D202" t="s">
        <v>44</v>
      </c>
      <c r="E202" s="2">
        <v>4</v>
      </c>
      <c r="F202" s="3">
        <v>7500</v>
      </c>
      <c r="G202" s="3">
        <v>15000</v>
      </c>
    </row>
    <row r="203" spans="2:7">
      <c r="B203" s="1" t="s">
        <v>360</v>
      </c>
      <c r="C203" t="s">
        <v>361</v>
      </c>
      <c r="D203" t="s">
        <v>44</v>
      </c>
      <c r="E203" s="2" t="s">
        <v>691</v>
      </c>
      <c r="F203" s="3">
        <v>12000</v>
      </c>
      <c r="G203" s="3">
        <v>25000</v>
      </c>
    </row>
    <row r="204" spans="2:7">
      <c r="B204" s="1" t="s">
        <v>280</v>
      </c>
      <c r="C204" t="s">
        <v>281</v>
      </c>
      <c r="D204" t="s">
        <v>44</v>
      </c>
      <c r="E204" s="2">
        <v>1</v>
      </c>
      <c r="F204" s="3">
        <v>12000</v>
      </c>
      <c r="G204" s="3">
        <v>25000</v>
      </c>
    </row>
    <row r="205" spans="2:7">
      <c r="B205" s="1" t="s">
        <v>284</v>
      </c>
      <c r="C205" t="s">
        <v>285</v>
      </c>
      <c r="D205" t="s">
        <v>44</v>
      </c>
      <c r="E205" s="2">
        <v>2</v>
      </c>
      <c r="F205" s="3">
        <v>12500</v>
      </c>
      <c r="G205" s="3">
        <v>25000</v>
      </c>
    </row>
    <row r="206" spans="2:7">
      <c r="B206" s="1" t="s">
        <v>235</v>
      </c>
      <c r="C206" t="s">
        <v>236</v>
      </c>
      <c r="D206" t="s">
        <v>44</v>
      </c>
      <c r="E206" s="2">
        <v>1</v>
      </c>
      <c r="F206" s="3">
        <v>12500</v>
      </c>
      <c r="G206" s="3">
        <v>25000</v>
      </c>
    </row>
    <row r="207" spans="2:7">
      <c r="B207" s="1" t="s">
        <v>165</v>
      </c>
      <c r="C207" t="s">
        <v>166</v>
      </c>
      <c r="D207" t="s">
        <v>44</v>
      </c>
      <c r="E207" s="2">
        <v>3</v>
      </c>
      <c r="F207" s="3">
        <v>7500</v>
      </c>
      <c r="G207" s="3">
        <v>15000</v>
      </c>
    </row>
    <row r="208" spans="2:7">
      <c r="B208" s="1" t="s">
        <v>169</v>
      </c>
      <c r="C208" t="s">
        <v>170</v>
      </c>
      <c r="D208" t="s">
        <v>44</v>
      </c>
      <c r="E208" s="2">
        <v>2</v>
      </c>
      <c r="F208" s="3">
        <v>7500</v>
      </c>
      <c r="G208" s="3">
        <v>15000</v>
      </c>
    </row>
    <row r="209" spans="2:7">
      <c r="B209" s="1" t="s">
        <v>362</v>
      </c>
      <c r="C209" t="s">
        <v>363</v>
      </c>
      <c r="D209" t="s">
        <v>44</v>
      </c>
      <c r="E209" s="2">
        <v>4</v>
      </c>
      <c r="F209" s="3">
        <v>7500</v>
      </c>
      <c r="G209" s="3">
        <v>15000</v>
      </c>
    </row>
    <row r="210" spans="2:7">
      <c r="B210" s="1" t="s">
        <v>286</v>
      </c>
      <c r="C210" t="s">
        <v>287</v>
      </c>
      <c r="D210" t="s">
        <v>44</v>
      </c>
      <c r="E210" s="2">
        <v>3</v>
      </c>
      <c r="F210" s="3">
        <v>7500</v>
      </c>
      <c r="G210" s="3">
        <v>15000</v>
      </c>
    </row>
    <row r="211" spans="2:7">
      <c r="B211" s="1" t="s">
        <v>162</v>
      </c>
      <c r="C211" t="s">
        <v>159</v>
      </c>
      <c r="D211" t="s">
        <v>44</v>
      </c>
      <c r="E211" s="2">
        <v>1</v>
      </c>
      <c r="F211" s="3">
        <v>12000</v>
      </c>
      <c r="G211" s="3">
        <v>25000</v>
      </c>
    </row>
    <row r="212" spans="2:7">
      <c r="B212" s="1" t="s">
        <v>473</v>
      </c>
      <c r="C212" t="s">
        <v>474</v>
      </c>
      <c r="D212" t="s">
        <v>44</v>
      </c>
      <c r="E212" s="2">
        <v>1</v>
      </c>
      <c r="F212" s="3">
        <v>17000</v>
      </c>
      <c r="G212" s="3">
        <v>29000</v>
      </c>
    </row>
    <row r="213" spans="2:7">
      <c r="B213" s="1" t="s">
        <v>278</v>
      </c>
      <c r="C213" t="s">
        <v>279</v>
      </c>
      <c r="D213" t="s">
        <v>44</v>
      </c>
      <c r="E213" s="2">
        <v>3</v>
      </c>
      <c r="F213" s="3">
        <v>7500</v>
      </c>
      <c r="G213" s="3">
        <v>15000</v>
      </c>
    </row>
    <row r="214" spans="2:7">
      <c r="B214" s="1" t="s">
        <v>475</v>
      </c>
      <c r="C214" t="s">
        <v>476</v>
      </c>
      <c r="D214" t="s">
        <v>44</v>
      </c>
      <c r="E214" s="2">
        <v>2</v>
      </c>
      <c r="F214" s="3">
        <v>35000</v>
      </c>
      <c r="G214" s="3">
        <v>50000</v>
      </c>
    </row>
    <row r="215" spans="2:7">
      <c r="B215" s="1" t="s">
        <v>83</v>
      </c>
      <c r="C215" t="s">
        <v>84</v>
      </c>
      <c r="D215" t="s">
        <v>44</v>
      </c>
      <c r="E215" s="2">
        <v>3</v>
      </c>
      <c r="F215" s="3">
        <v>50000</v>
      </c>
      <c r="G215" s="3">
        <v>65000</v>
      </c>
    </row>
    <row r="216" spans="2:7">
      <c r="B216" s="1" t="s">
        <v>477</v>
      </c>
      <c r="C216" t="s">
        <v>478</v>
      </c>
      <c r="D216" t="s">
        <v>44</v>
      </c>
      <c r="E216" s="2">
        <v>3</v>
      </c>
      <c r="F216" s="3">
        <v>45000</v>
      </c>
      <c r="G216" s="3">
        <v>60000</v>
      </c>
    </row>
    <row r="217" spans="2:7">
      <c r="B217" s="1" t="s">
        <v>479</v>
      </c>
      <c r="C217" t="s">
        <v>480</v>
      </c>
      <c r="D217" t="s">
        <v>44</v>
      </c>
      <c r="E217" s="2">
        <v>8</v>
      </c>
      <c r="F217" s="3">
        <v>55000</v>
      </c>
      <c r="G217" s="3">
        <v>65000</v>
      </c>
    </row>
    <row r="218" spans="2:7">
      <c r="B218" s="1" t="s">
        <v>481</v>
      </c>
      <c r="C218" t="s">
        <v>482</v>
      </c>
      <c r="D218" t="s">
        <v>44</v>
      </c>
      <c r="E218" s="2" t="s">
        <v>703</v>
      </c>
      <c r="F218" s="3">
        <v>35000</v>
      </c>
      <c r="G218" s="3">
        <v>55000</v>
      </c>
    </row>
    <row r="219" spans="2:7">
      <c r="B219" s="1" t="s">
        <v>483</v>
      </c>
      <c r="C219" t="s">
        <v>484</v>
      </c>
      <c r="D219" t="s">
        <v>44</v>
      </c>
      <c r="E219" s="2">
        <v>5</v>
      </c>
      <c r="F219" s="3">
        <v>45000</v>
      </c>
      <c r="G219" s="3">
        <v>60000</v>
      </c>
    </row>
    <row r="220" spans="2:7">
      <c r="B220" s="1" t="s">
        <v>485</v>
      </c>
      <c r="C220" t="s">
        <v>486</v>
      </c>
      <c r="D220" t="s">
        <v>44</v>
      </c>
      <c r="E220" s="2">
        <v>2</v>
      </c>
      <c r="F220" s="3">
        <v>50000</v>
      </c>
      <c r="G220" s="3">
        <v>75000</v>
      </c>
    </row>
    <row r="221" spans="2:7">
      <c r="B221" s="1" t="s">
        <v>487</v>
      </c>
      <c r="C221" t="s">
        <v>488</v>
      </c>
      <c r="D221" t="s">
        <v>44</v>
      </c>
      <c r="E221" s="2">
        <v>1</v>
      </c>
      <c r="F221" s="3">
        <v>60000</v>
      </c>
      <c r="G221" s="3">
        <v>80000</v>
      </c>
    </row>
    <row r="222" spans="2:7">
      <c r="B222" s="1" t="s">
        <v>489</v>
      </c>
      <c r="C222" t="s">
        <v>490</v>
      </c>
      <c r="D222" t="s">
        <v>44</v>
      </c>
      <c r="E222" s="2" t="s">
        <v>690</v>
      </c>
      <c r="F222" s="3">
        <v>55000</v>
      </c>
      <c r="G222" s="3">
        <v>75000</v>
      </c>
    </row>
    <row r="223" spans="2:7">
      <c r="B223" s="1" t="s">
        <v>491</v>
      </c>
      <c r="C223" t="s">
        <v>492</v>
      </c>
      <c r="D223" t="s">
        <v>44</v>
      </c>
      <c r="E223" s="2">
        <v>4</v>
      </c>
      <c r="F223" s="3">
        <v>75000</v>
      </c>
      <c r="G223" s="3">
        <v>90000</v>
      </c>
    </row>
    <row r="224" spans="2:7">
      <c r="B224" s="1" t="s">
        <v>493</v>
      </c>
      <c r="C224" t="s">
        <v>494</v>
      </c>
      <c r="D224" t="s">
        <v>44</v>
      </c>
      <c r="E224" s="2">
        <v>2</v>
      </c>
      <c r="F224" s="3">
        <v>11000</v>
      </c>
      <c r="G224" s="3">
        <v>13000</v>
      </c>
    </row>
    <row r="225" spans="2:7">
      <c r="B225" s="1" t="s">
        <v>495</v>
      </c>
      <c r="C225" t="s">
        <v>496</v>
      </c>
      <c r="D225" t="s">
        <v>44</v>
      </c>
      <c r="E225" s="2">
        <v>4</v>
      </c>
      <c r="F225" s="3">
        <v>100000</v>
      </c>
      <c r="G225" s="3">
        <v>120000</v>
      </c>
    </row>
    <row r="226" spans="2:7">
      <c r="B226" s="1" t="s">
        <v>497</v>
      </c>
      <c r="C226" t="s">
        <v>498</v>
      </c>
      <c r="D226" t="s">
        <v>44</v>
      </c>
      <c r="E226" s="2">
        <v>2</v>
      </c>
      <c r="F226" s="3">
        <v>125000</v>
      </c>
      <c r="G226" s="3">
        <v>150000</v>
      </c>
    </row>
    <row r="227" spans="2:7">
      <c r="B227" s="1" t="s">
        <v>499</v>
      </c>
      <c r="C227" t="s">
        <v>500</v>
      </c>
      <c r="D227" t="s">
        <v>44</v>
      </c>
      <c r="E227" s="2">
        <v>1</v>
      </c>
      <c r="F227" s="3">
        <v>95000</v>
      </c>
      <c r="G227" s="3">
        <v>110000</v>
      </c>
    </row>
    <row r="228" spans="2:7">
      <c r="B228" s="1" t="s">
        <v>501</v>
      </c>
      <c r="C228" t="s">
        <v>484</v>
      </c>
      <c r="D228" t="s">
        <v>44</v>
      </c>
      <c r="E228" s="2" t="s">
        <v>713</v>
      </c>
      <c r="F228" s="3">
        <v>45000</v>
      </c>
      <c r="G228" s="3">
        <v>65000</v>
      </c>
    </row>
    <row r="229" spans="2:7">
      <c r="B229" s="1" t="s">
        <v>502</v>
      </c>
      <c r="C229" t="s">
        <v>503</v>
      </c>
      <c r="D229" t="s">
        <v>44</v>
      </c>
      <c r="E229" s="2">
        <v>3</v>
      </c>
      <c r="F229" s="3">
        <v>45000</v>
      </c>
      <c r="G229" s="3">
        <v>60000</v>
      </c>
    </row>
    <row r="230" spans="2:7">
      <c r="B230" s="1" t="s">
        <v>504</v>
      </c>
      <c r="C230" t="s">
        <v>505</v>
      </c>
      <c r="D230" t="s">
        <v>44</v>
      </c>
      <c r="E230" s="2">
        <v>3</v>
      </c>
      <c r="F230" s="3">
        <v>55000</v>
      </c>
      <c r="G230" s="3">
        <v>70000</v>
      </c>
    </row>
    <row r="231" spans="2:7">
      <c r="B231" s="1" t="s">
        <v>506</v>
      </c>
      <c r="C231" t="s">
        <v>507</v>
      </c>
      <c r="D231" t="s">
        <v>44</v>
      </c>
      <c r="E231" s="2">
        <v>1</v>
      </c>
      <c r="F231" s="3">
        <v>115000</v>
      </c>
      <c r="G231" s="3">
        <v>130000</v>
      </c>
    </row>
    <row r="232" spans="2:7">
      <c r="B232" s="1" t="s">
        <v>508</v>
      </c>
      <c r="C232" t="s">
        <v>509</v>
      </c>
      <c r="D232" t="s">
        <v>44</v>
      </c>
      <c r="E232" s="2">
        <v>10</v>
      </c>
      <c r="F232" s="3">
        <v>60000</v>
      </c>
      <c r="G232" s="3">
        <v>80000</v>
      </c>
    </row>
    <row r="233" spans="2:7">
      <c r="B233" s="1" t="s">
        <v>510</v>
      </c>
      <c r="C233" t="s">
        <v>511</v>
      </c>
      <c r="D233" t="s">
        <v>44</v>
      </c>
      <c r="E233" s="2">
        <v>3</v>
      </c>
      <c r="F233" s="3">
        <v>100000</v>
      </c>
      <c r="G233" s="3">
        <v>120000</v>
      </c>
    </row>
    <row r="234" spans="2:7">
      <c r="B234" s="1" t="s">
        <v>512</v>
      </c>
      <c r="C234" t="s">
        <v>513</v>
      </c>
      <c r="D234" t="s">
        <v>44</v>
      </c>
      <c r="E234" s="2">
        <v>2</v>
      </c>
      <c r="F234" s="3">
        <v>30000</v>
      </c>
      <c r="G234" s="3">
        <v>40000</v>
      </c>
    </row>
    <row r="235" spans="2:7">
      <c r="B235" s="1" t="s">
        <v>512</v>
      </c>
      <c r="C235" t="s">
        <v>514</v>
      </c>
      <c r="D235" t="s">
        <v>44</v>
      </c>
      <c r="E235" s="2">
        <v>2</v>
      </c>
      <c r="F235" s="3">
        <v>65000</v>
      </c>
      <c r="G235" s="3">
        <v>75000</v>
      </c>
    </row>
    <row r="236" spans="2:7">
      <c r="B236" s="1" t="s">
        <v>512</v>
      </c>
      <c r="C236" t="s">
        <v>515</v>
      </c>
      <c r="D236" t="s">
        <v>44</v>
      </c>
      <c r="E236" s="2">
        <v>4</v>
      </c>
      <c r="F236" s="3">
        <v>30000</v>
      </c>
      <c r="G236" s="3">
        <v>45000</v>
      </c>
    </row>
    <row r="237" spans="2:7">
      <c r="B237" s="1" t="s">
        <v>516</v>
      </c>
      <c r="C237" t="s">
        <v>517</v>
      </c>
      <c r="D237" t="s">
        <v>44</v>
      </c>
      <c r="E237" s="2">
        <v>4</v>
      </c>
      <c r="F237" s="3">
        <v>15000</v>
      </c>
      <c r="G237" s="3">
        <v>23000</v>
      </c>
    </row>
    <row r="238" spans="2:7">
      <c r="B238" s="1" t="s">
        <v>518</v>
      </c>
      <c r="C238" t="s">
        <v>519</v>
      </c>
      <c r="D238" t="s">
        <v>44</v>
      </c>
      <c r="E238" s="2">
        <v>1</v>
      </c>
      <c r="F238" s="3">
        <v>55000</v>
      </c>
      <c r="G238" s="3">
        <v>65000</v>
      </c>
    </row>
    <row r="239" spans="2:7">
      <c r="B239" s="1" t="s">
        <v>520</v>
      </c>
      <c r="C239" t="s">
        <v>521</v>
      </c>
      <c r="D239" t="s">
        <v>44</v>
      </c>
      <c r="E239" s="2">
        <v>3</v>
      </c>
      <c r="F239" s="3">
        <v>12000</v>
      </c>
      <c r="G239" s="3">
        <v>20000</v>
      </c>
    </row>
    <row r="240" spans="2:7">
      <c r="B240" s="1" t="s">
        <v>522</v>
      </c>
      <c r="C240" t="s">
        <v>523</v>
      </c>
      <c r="D240" t="s">
        <v>44</v>
      </c>
      <c r="E240" s="2">
        <v>2</v>
      </c>
      <c r="F240" s="3">
        <v>10000</v>
      </c>
      <c r="G240" s="3">
        <v>20000</v>
      </c>
    </row>
    <row r="241" spans="2:7">
      <c r="B241" s="1" t="s">
        <v>524</v>
      </c>
      <c r="C241" t="s">
        <v>525</v>
      </c>
      <c r="D241" t="s">
        <v>44</v>
      </c>
      <c r="E241" s="2">
        <v>2</v>
      </c>
      <c r="F241" s="3">
        <v>12000</v>
      </c>
      <c r="G241" s="3">
        <v>20000</v>
      </c>
    </row>
    <row r="242" spans="2:7">
      <c r="B242" s="1" t="s">
        <v>55</v>
      </c>
      <c r="C242" t="s">
        <v>56</v>
      </c>
      <c r="D242" t="s">
        <v>44</v>
      </c>
      <c r="E242" s="2">
        <v>4</v>
      </c>
      <c r="F242" s="3">
        <v>19500</v>
      </c>
      <c r="G242" s="3">
        <v>28000</v>
      </c>
    </row>
    <row r="243" spans="2:7">
      <c r="B243" s="1" t="s">
        <v>526</v>
      </c>
      <c r="C243" t="s">
        <v>527</v>
      </c>
      <c r="D243" t="s">
        <v>44</v>
      </c>
      <c r="E243" s="2">
        <v>1</v>
      </c>
      <c r="F243" s="3">
        <v>35000</v>
      </c>
      <c r="G243" s="3">
        <v>50000</v>
      </c>
    </row>
    <row r="244" spans="2:7">
      <c r="B244" s="1" t="s">
        <v>528</v>
      </c>
      <c r="C244" t="s">
        <v>529</v>
      </c>
      <c r="D244" t="s">
        <v>44</v>
      </c>
      <c r="E244" s="2">
        <v>2</v>
      </c>
      <c r="F244" s="3">
        <v>35000</v>
      </c>
      <c r="G244" s="3">
        <v>50000</v>
      </c>
    </row>
    <row r="245" spans="2:7">
      <c r="B245" s="1" t="s">
        <v>67</v>
      </c>
      <c r="C245" t="s">
        <v>68</v>
      </c>
      <c r="D245" t="s">
        <v>44</v>
      </c>
      <c r="E245" s="2">
        <v>3</v>
      </c>
      <c r="F245" s="3">
        <v>30000</v>
      </c>
      <c r="G245" s="3">
        <v>45000</v>
      </c>
    </row>
    <row r="246" spans="2:7">
      <c r="B246" s="1" t="s">
        <v>530</v>
      </c>
      <c r="C246" t="s">
        <v>531</v>
      </c>
      <c r="D246" t="s">
        <v>44</v>
      </c>
      <c r="E246" s="2">
        <v>2</v>
      </c>
      <c r="F246" s="3">
        <v>18000</v>
      </c>
      <c r="G246" s="3">
        <v>28000</v>
      </c>
    </row>
    <row r="247" spans="2:7">
      <c r="B247" s="1" t="s">
        <v>532</v>
      </c>
      <c r="C247" t="s">
        <v>533</v>
      </c>
      <c r="D247" t="s">
        <v>44</v>
      </c>
      <c r="E247" s="2">
        <v>1</v>
      </c>
      <c r="F247" s="3">
        <v>15000</v>
      </c>
      <c r="G247" s="3">
        <v>23000</v>
      </c>
    </row>
    <row r="248" spans="2:7">
      <c r="B248" s="1" t="s">
        <v>65</v>
      </c>
      <c r="C248" t="s">
        <v>66</v>
      </c>
      <c r="D248" t="s">
        <v>44</v>
      </c>
      <c r="E248" s="2">
        <v>3</v>
      </c>
      <c r="F248" s="3">
        <v>35000</v>
      </c>
      <c r="G248" s="3">
        <v>45000</v>
      </c>
    </row>
    <row r="249" spans="2:7">
      <c r="B249" s="1" t="s">
        <v>534</v>
      </c>
      <c r="C249" t="s">
        <v>535</v>
      </c>
      <c r="D249" t="s">
        <v>44</v>
      </c>
      <c r="E249" s="2">
        <v>3</v>
      </c>
      <c r="F249" s="3">
        <v>65000</v>
      </c>
      <c r="G249" s="3">
        <v>75000</v>
      </c>
    </row>
    <row r="250" spans="2:7">
      <c r="B250" s="1" t="s">
        <v>536</v>
      </c>
      <c r="C250" t="s">
        <v>537</v>
      </c>
      <c r="D250" t="s">
        <v>44</v>
      </c>
      <c r="E250" s="2">
        <v>5</v>
      </c>
      <c r="F250" s="3">
        <v>30000</v>
      </c>
      <c r="G250" s="3">
        <v>48000</v>
      </c>
    </row>
    <row r="251" spans="2:7">
      <c r="B251" s="1" t="s">
        <v>538</v>
      </c>
      <c r="C251" t="s">
        <v>539</v>
      </c>
      <c r="D251" t="s">
        <v>44</v>
      </c>
      <c r="E251" s="2">
        <v>3</v>
      </c>
      <c r="F251" s="3">
        <v>18000</v>
      </c>
      <c r="G251" s="3">
        <v>28000</v>
      </c>
    </row>
    <row r="252" spans="2:7">
      <c r="B252" s="1" t="s">
        <v>95</v>
      </c>
      <c r="C252" t="s">
        <v>96</v>
      </c>
      <c r="D252" t="s">
        <v>44</v>
      </c>
      <c r="E252" s="2">
        <v>3</v>
      </c>
      <c r="F252" s="3">
        <v>70000</v>
      </c>
      <c r="G252" s="3">
        <v>95000</v>
      </c>
    </row>
    <row r="253" spans="2:7">
      <c r="B253" s="1" t="s">
        <v>540</v>
      </c>
      <c r="C253" t="s">
        <v>541</v>
      </c>
      <c r="D253" t="s">
        <v>44</v>
      </c>
      <c r="E253" s="2" t="s">
        <v>691</v>
      </c>
      <c r="F253" s="3">
        <v>30000</v>
      </c>
      <c r="G253" s="3">
        <v>45000</v>
      </c>
    </row>
    <row r="254" spans="2:7">
      <c r="B254" s="1" t="s">
        <v>542</v>
      </c>
      <c r="C254" t="s">
        <v>543</v>
      </c>
      <c r="D254" t="s">
        <v>44</v>
      </c>
      <c r="E254" s="2">
        <v>1</v>
      </c>
      <c r="F254" s="3">
        <v>45000</v>
      </c>
      <c r="G254" s="3">
        <v>60000</v>
      </c>
    </row>
    <row r="255" spans="2:7">
      <c r="B255" s="1" t="s">
        <v>544</v>
      </c>
      <c r="C255" t="s">
        <v>545</v>
      </c>
      <c r="D255" t="s">
        <v>44</v>
      </c>
      <c r="E255" s="2">
        <v>2</v>
      </c>
      <c r="F255" s="3">
        <v>35000</v>
      </c>
      <c r="G255" s="3">
        <v>50000</v>
      </c>
    </row>
    <row r="256" spans="2:7">
      <c r="B256" s="1" t="s">
        <v>546</v>
      </c>
      <c r="C256" t="s">
        <v>547</v>
      </c>
      <c r="D256" t="s">
        <v>44</v>
      </c>
      <c r="E256" s="2" t="s">
        <v>690</v>
      </c>
      <c r="F256" s="3">
        <v>35000</v>
      </c>
      <c r="G256" s="3">
        <v>48000</v>
      </c>
    </row>
    <row r="257" spans="2:7">
      <c r="B257" s="1" t="s">
        <v>548</v>
      </c>
      <c r="C257" t="s">
        <v>549</v>
      </c>
      <c r="D257" t="s">
        <v>44</v>
      </c>
      <c r="E257" s="2">
        <v>2</v>
      </c>
      <c r="F257" s="3">
        <v>35000</v>
      </c>
      <c r="G257" s="3">
        <v>50000</v>
      </c>
    </row>
    <row r="258" spans="2:7">
      <c r="B258" s="1" t="s">
        <v>550</v>
      </c>
      <c r="C258" t="s">
        <v>551</v>
      </c>
      <c r="D258" t="s">
        <v>44</v>
      </c>
      <c r="E258" s="2">
        <v>40</v>
      </c>
      <c r="F258" s="3">
        <v>10000</v>
      </c>
      <c r="G258" s="3">
        <v>15000</v>
      </c>
    </row>
    <row r="259" spans="2:7">
      <c r="B259" s="1" t="s">
        <v>552</v>
      </c>
      <c r="C259" t="s">
        <v>553</v>
      </c>
      <c r="D259" t="s">
        <v>44</v>
      </c>
      <c r="E259" s="2">
        <v>24</v>
      </c>
      <c r="F259" s="3">
        <v>15000</v>
      </c>
      <c r="G259" s="3">
        <v>20000</v>
      </c>
    </row>
    <row r="260" spans="2:7">
      <c r="B260" s="1" t="s">
        <v>554</v>
      </c>
      <c r="C260" t="s">
        <v>555</v>
      </c>
      <c r="D260" t="s">
        <v>44</v>
      </c>
      <c r="E260" s="2">
        <v>1</v>
      </c>
      <c r="F260" s="3">
        <v>45000</v>
      </c>
      <c r="G260" s="3">
        <v>60000</v>
      </c>
    </row>
    <row r="261" spans="2:7">
      <c r="B261" s="1" t="s">
        <v>556</v>
      </c>
      <c r="C261" t="s">
        <v>557</v>
      </c>
      <c r="D261" t="s">
        <v>44</v>
      </c>
      <c r="E261" s="2">
        <v>3</v>
      </c>
      <c r="F261" s="3">
        <v>35000</v>
      </c>
      <c r="G261" s="3">
        <v>45000</v>
      </c>
    </row>
    <row r="262" spans="2:7">
      <c r="B262" s="1" t="s">
        <v>558</v>
      </c>
      <c r="C262" t="s">
        <v>559</v>
      </c>
      <c r="D262" t="s">
        <v>44</v>
      </c>
      <c r="E262" s="2">
        <v>3</v>
      </c>
      <c r="F262" s="3">
        <v>35000</v>
      </c>
      <c r="G262" s="3">
        <v>50000</v>
      </c>
    </row>
    <row r="263" spans="2:7">
      <c r="B263" s="1" t="s">
        <v>560</v>
      </c>
      <c r="C263" t="s">
        <v>561</v>
      </c>
      <c r="D263" t="s">
        <v>44</v>
      </c>
      <c r="E263" s="2">
        <v>2</v>
      </c>
      <c r="F263" s="3">
        <v>55000</v>
      </c>
      <c r="G263" s="3">
        <v>75000</v>
      </c>
    </row>
    <row r="264" spans="2:7">
      <c r="B264" s="1" t="s">
        <v>562</v>
      </c>
      <c r="C264" t="s">
        <v>563</v>
      </c>
      <c r="D264" t="s">
        <v>44</v>
      </c>
      <c r="E264" s="2">
        <v>2</v>
      </c>
      <c r="F264" s="3">
        <v>50000</v>
      </c>
      <c r="G264" s="3">
        <v>70000</v>
      </c>
    </row>
    <row r="265" spans="2:7">
      <c r="B265" s="1" t="s">
        <v>564</v>
      </c>
      <c r="C265" t="s">
        <v>565</v>
      </c>
      <c r="D265" t="s">
        <v>44</v>
      </c>
      <c r="E265" s="2">
        <v>1</v>
      </c>
      <c r="F265" s="3">
        <v>130000</v>
      </c>
      <c r="G265" s="3">
        <v>150000</v>
      </c>
    </row>
    <row r="266" spans="2:7">
      <c r="B266" s="1" t="s">
        <v>566</v>
      </c>
      <c r="C266" t="s">
        <v>567</v>
      </c>
      <c r="D266" t="s">
        <v>44</v>
      </c>
      <c r="E266" s="2">
        <v>4</v>
      </c>
      <c r="F266" s="3">
        <v>20000</v>
      </c>
      <c r="G266" s="3">
        <v>30000</v>
      </c>
    </row>
    <row r="267" spans="2:7">
      <c r="B267" s="1" t="s">
        <v>568</v>
      </c>
      <c r="C267" t="s">
        <v>569</v>
      </c>
      <c r="D267" t="s">
        <v>44</v>
      </c>
      <c r="E267" s="2">
        <v>1</v>
      </c>
      <c r="F267" s="3">
        <v>35000</v>
      </c>
      <c r="G267" s="3">
        <v>45000</v>
      </c>
    </row>
    <row r="268" spans="2:7">
      <c r="B268" s="1" t="s">
        <v>570</v>
      </c>
      <c r="C268" t="s">
        <v>571</v>
      </c>
      <c r="D268" t="s">
        <v>44</v>
      </c>
      <c r="E268" s="2">
        <v>1</v>
      </c>
      <c r="F268" s="3">
        <v>190000</v>
      </c>
      <c r="G268" s="3">
        <v>210000</v>
      </c>
    </row>
    <row r="269" spans="2:7">
      <c r="B269" s="1" t="s">
        <v>572</v>
      </c>
      <c r="C269" t="s">
        <v>573</v>
      </c>
      <c r="D269" t="s">
        <v>44</v>
      </c>
      <c r="E269" s="2">
        <v>1</v>
      </c>
      <c r="F269" s="3">
        <v>200000</v>
      </c>
      <c r="G269" s="3">
        <v>220000</v>
      </c>
    </row>
    <row r="270" spans="2:7">
      <c r="B270" s="1" t="s">
        <v>574</v>
      </c>
      <c r="C270" t="s">
        <v>575</v>
      </c>
      <c r="D270" t="s">
        <v>44</v>
      </c>
      <c r="E270" s="2">
        <v>1</v>
      </c>
      <c r="F270" s="3">
        <v>55000</v>
      </c>
      <c r="G270" s="3">
        <v>75000</v>
      </c>
    </row>
    <row r="271" spans="2:7">
      <c r="B271" s="1" t="s">
        <v>576</v>
      </c>
      <c r="C271" t="s">
        <v>577</v>
      </c>
      <c r="D271" t="s">
        <v>44</v>
      </c>
      <c r="E271" s="2">
        <v>4</v>
      </c>
      <c r="F271" s="3">
        <v>15000</v>
      </c>
      <c r="G271" s="3">
        <v>25000</v>
      </c>
    </row>
    <row r="272" spans="2:7">
      <c r="B272" s="1" t="s">
        <v>578</v>
      </c>
      <c r="C272" t="s">
        <v>579</v>
      </c>
      <c r="D272" t="s">
        <v>44</v>
      </c>
      <c r="E272" s="2">
        <v>1</v>
      </c>
      <c r="F272" s="3">
        <v>115000</v>
      </c>
      <c r="G272" s="3">
        <v>135000</v>
      </c>
    </row>
    <row r="273" spans="2:7">
      <c r="B273" s="1" t="s">
        <v>580</v>
      </c>
      <c r="C273" t="s">
        <v>581</v>
      </c>
      <c r="D273" t="s">
        <v>44</v>
      </c>
      <c r="E273" s="2">
        <v>13</v>
      </c>
      <c r="F273" s="3">
        <v>20000</v>
      </c>
      <c r="G273" s="3">
        <v>25000</v>
      </c>
    </row>
    <row r="274" spans="2:7">
      <c r="B274" s="1" t="s">
        <v>582</v>
      </c>
      <c r="C274" t="s">
        <v>583</v>
      </c>
      <c r="D274" t="s">
        <v>44</v>
      </c>
      <c r="E274" s="2">
        <v>1</v>
      </c>
      <c r="F274" s="3">
        <v>120000</v>
      </c>
      <c r="G274" s="3">
        <v>145000</v>
      </c>
    </row>
    <row r="275" spans="2:7">
      <c r="B275" s="1" t="s">
        <v>584</v>
      </c>
      <c r="C275" t="s">
        <v>585</v>
      </c>
      <c r="D275" t="s">
        <v>44</v>
      </c>
      <c r="E275" s="2">
        <v>3</v>
      </c>
      <c r="F275" s="3">
        <v>35000</v>
      </c>
      <c r="G275" s="3">
        <v>50000</v>
      </c>
    </row>
    <row r="276" spans="2:7">
      <c r="B276" s="1" t="s">
        <v>79</v>
      </c>
      <c r="C276" t="s">
        <v>80</v>
      </c>
      <c r="D276" t="s">
        <v>44</v>
      </c>
      <c r="E276" s="2">
        <v>3</v>
      </c>
      <c r="F276" s="3">
        <v>65000</v>
      </c>
      <c r="G276" s="3">
        <v>80000</v>
      </c>
    </row>
    <row r="277" spans="2:7">
      <c r="B277" s="1" t="s">
        <v>81</v>
      </c>
      <c r="C277" t="s">
        <v>82</v>
      </c>
      <c r="D277" t="s">
        <v>44</v>
      </c>
      <c r="E277" s="2">
        <v>2</v>
      </c>
      <c r="F277" s="3">
        <v>65000</v>
      </c>
      <c r="G277" s="3">
        <v>80000</v>
      </c>
    </row>
    <row r="278" spans="2:7">
      <c r="B278" s="1" t="s">
        <v>586</v>
      </c>
      <c r="C278" t="s">
        <v>587</v>
      </c>
      <c r="D278" t="s">
        <v>44</v>
      </c>
      <c r="E278" s="2">
        <v>2</v>
      </c>
      <c r="F278" s="3">
        <v>10000</v>
      </c>
      <c r="G278" s="3">
        <v>20000</v>
      </c>
    </row>
    <row r="279" spans="2:7">
      <c r="B279" s="1" t="s">
        <v>588</v>
      </c>
      <c r="C279" t="s">
        <v>589</v>
      </c>
      <c r="D279" t="s">
        <v>44</v>
      </c>
      <c r="E279" s="2">
        <v>17</v>
      </c>
      <c r="F279" s="3">
        <v>7000</v>
      </c>
      <c r="G279" s="3">
        <v>10000</v>
      </c>
    </row>
    <row r="280" spans="2:7">
      <c r="B280" s="1" t="s">
        <v>590</v>
      </c>
      <c r="C280" t="s">
        <v>591</v>
      </c>
      <c r="D280" t="s">
        <v>44</v>
      </c>
      <c r="E280" s="2">
        <v>3</v>
      </c>
      <c r="F280" s="3">
        <v>8000</v>
      </c>
      <c r="G280" s="3">
        <v>15000</v>
      </c>
    </row>
    <row r="281" spans="2:7">
      <c r="B281" s="1" t="s">
        <v>47</v>
      </c>
      <c r="C281" t="s">
        <v>48</v>
      </c>
      <c r="D281" t="s">
        <v>44</v>
      </c>
      <c r="E281" s="2">
        <v>3</v>
      </c>
      <c r="F281" s="3">
        <v>60000</v>
      </c>
      <c r="G281" s="3">
        <v>70000</v>
      </c>
    </row>
    <row r="282" spans="2:7">
      <c r="B282" s="1" t="s">
        <v>592</v>
      </c>
      <c r="C282" t="s">
        <v>593</v>
      </c>
      <c r="D282" t="s">
        <v>44</v>
      </c>
      <c r="E282" s="2">
        <v>2</v>
      </c>
      <c r="F282" s="3">
        <v>7000</v>
      </c>
      <c r="G282" s="3">
        <v>12000</v>
      </c>
    </row>
    <row r="283" spans="2:7">
      <c r="B283" s="1" t="s">
        <v>594</v>
      </c>
      <c r="C283" t="s">
        <v>595</v>
      </c>
      <c r="D283" t="s">
        <v>44</v>
      </c>
      <c r="E283" s="2">
        <v>1</v>
      </c>
      <c r="F283" s="3">
        <v>45000</v>
      </c>
      <c r="G283" s="3">
        <v>60000</v>
      </c>
    </row>
    <row r="284" spans="2:7">
      <c r="B284" s="1" t="s">
        <v>596</v>
      </c>
      <c r="C284" t="s">
        <v>597</v>
      </c>
      <c r="D284" t="s">
        <v>44</v>
      </c>
      <c r="E284" s="2">
        <v>1</v>
      </c>
      <c r="F284" s="3">
        <v>15000</v>
      </c>
      <c r="G284" s="3">
        <v>25000</v>
      </c>
    </row>
    <row r="285" spans="2:7">
      <c r="B285" s="1" t="s">
        <v>99</v>
      </c>
      <c r="C285" t="s">
        <v>100</v>
      </c>
      <c r="D285" t="s">
        <v>44</v>
      </c>
      <c r="E285" s="2">
        <v>2</v>
      </c>
      <c r="F285" s="3">
        <v>60000</v>
      </c>
      <c r="G285" s="3">
        <v>85000</v>
      </c>
    </row>
    <row r="286" spans="2:7">
      <c r="B286" s="1" t="s">
        <v>598</v>
      </c>
      <c r="C286" t="s">
        <v>599</v>
      </c>
      <c r="D286" t="s">
        <v>44</v>
      </c>
      <c r="E286" s="2">
        <v>1</v>
      </c>
      <c r="F286" s="3">
        <v>40000</v>
      </c>
      <c r="G286" s="3">
        <v>50000</v>
      </c>
    </row>
    <row r="287" spans="2:7">
      <c r="B287" s="1" t="s">
        <v>97</v>
      </c>
      <c r="C287" t="s">
        <v>98</v>
      </c>
      <c r="D287" t="s">
        <v>44</v>
      </c>
      <c r="E287" s="2">
        <v>2</v>
      </c>
      <c r="F287" s="3">
        <v>60000</v>
      </c>
      <c r="G287" s="3">
        <v>80000</v>
      </c>
    </row>
    <row r="288" spans="2:7">
      <c r="B288" s="1" t="s">
        <v>600</v>
      </c>
      <c r="C288" t="s">
        <v>601</v>
      </c>
      <c r="D288" t="s">
        <v>44</v>
      </c>
      <c r="E288" s="2" t="s">
        <v>679</v>
      </c>
      <c r="F288" s="3">
        <v>45000</v>
      </c>
      <c r="G288" s="3">
        <v>60000</v>
      </c>
    </row>
    <row r="289" spans="2:7">
      <c r="B289" s="1" t="s">
        <v>602</v>
      </c>
      <c r="C289" t="s">
        <v>603</v>
      </c>
      <c r="D289" t="s">
        <v>44</v>
      </c>
      <c r="E289" s="2">
        <v>3</v>
      </c>
      <c r="F289" s="3">
        <v>60000</v>
      </c>
      <c r="G289" s="3">
        <v>80000</v>
      </c>
    </row>
    <row r="290" spans="2:7">
      <c r="B290" s="1" t="s">
        <v>604</v>
      </c>
      <c r="C290" t="s">
        <v>605</v>
      </c>
      <c r="D290" t="s">
        <v>44</v>
      </c>
      <c r="E290" s="2" t="s">
        <v>704</v>
      </c>
      <c r="F290" s="3">
        <v>38000</v>
      </c>
      <c r="G290" s="3">
        <v>58000</v>
      </c>
    </row>
    <row r="291" spans="2:7">
      <c r="B291" s="1" t="s">
        <v>606</v>
      </c>
      <c r="C291" t="s">
        <v>607</v>
      </c>
      <c r="D291" t="s">
        <v>44</v>
      </c>
      <c r="E291" s="2">
        <v>5</v>
      </c>
      <c r="F291" s="3">
        <v>25000</v>
      </c>
      <c r="G291" s="3">
        <v>38000</v>
      </c>
    </row>
    <row r="292" spans="2:7">
      <c r="B292" s="1" t="s">
        <v>608</v>
      </c>
      <c r="C292" t="s">
        <v>609</v>
      </c>
      <c r="D292" t="s">
        <v>44</v>
      </c>
      <c r="E292" s="2">
        <v>1</v>
      </c>
      <c r="F292" s="3">
        <v>40000</v>
      </c>
      <c r="G292" s="3">
        <v>55000</v>
      </c>
    </row>
    <row r="293" spans="2:7">
      <c r="B293" s="1" t="s">
        <v>610</v>
      </c>
      <c r="C293" t="s">
        <v>611</v>
      </c>
      <c r="D293" t="s">
        <v>44</v>
      </c>
      <c r="E293" s="2">
        <v>5</v>
      </c>
      <c r="F293" s="3">
        <v>15000</v>
      </c>
      <c r="G293" s="3">
        <v>25000</v>
      </c>
    </row>
    <row r="294" spans="2:7">
      <c r="B294" s="1" t="s">
        <v>612</v>
      </c>
      <c r="C294" t="s">
        <v>613</v>
      </c>
      <c r="D294" t="s">
        <v>44</v>
      </c>
      <c r="E294" s="2">
        <v>5</v>
      </c>
      <c r="F294" s="3">
        <v>15000</v>
      </c>
      <c r="G294" s="3">
        <v>25000</v>
      </c>
    </row>
    <row r="295" spans="2:7">
      <c r="B295" s="1" t="s">
        <v>614</v>
      </c>
      <c r="C295" t="s">
        <v>615</v>
      </c>
      <c r="D295" t="s">
        <v>44</v>
      </c>
      <c r="E295" s="2">
        <v>1</v>
      </c>
      <c r="F295" s="3">
        <v>20000</v>
      </c>
      <c r="G295" s="3">
        <v>30000</v>
      </c>
    </row>
    <row r="296" spans="2:7">
      <c r="B296" s="1" t="s">
        <v>616</v>
      </c>
      <c r="C296" t="s">
        <v>617</v>
      </c>
      <c r="D296" t="s">
        <v>44</v>
      </c>
      <c r="E296" s="2">
        <v>3</v>
      </c>
      <c r="F296" s="3">
        <v>25000</v>
      </c>
      <c r="G296" s="3">
        <v>33000</v>
      </c>
    </row>
    <row r="297" spans="2:7">
      <c r="B297" s="1" t="s">
        <v>618</v>
      </c>
      <c r="C297" t="s">
        <v>619</v>
      </c>
      <c r="D297" t="s">
        <v>44</v>
      </c>
      <c r="E297" s="2">
        <v>5</v>
      </c>
      <c r="F297" s="3">
        <v>10000</v>
      </c>
      <c r="G297" s="3">
        <v>18000</v>
      </c>
    </row>
    <row r="298" spans="2:7">
      <c r="B298" s="1" t="s">
        <v>620</v>
      </c>
      <c r="C298" t="s">
        <v>621</v>
      </c>
      <c r="D298" t="s">
        <v>44</v>
      </c>
      <c r="E298" s="2">
        <v>1</v>
      </c>
      <c r="F298" s="3">
        <v>30000</v>
      </c>
      <c r="G298" s="3">
        <v>48000</v>
      </c>
    </row>
    <row r="299" spans="2:7">
      <c r="B299" s="1" t="s">
        <v>622</v>
      </c>
      <c r="C299" t="s">
        <v>623</v>
      </c>
      <c r="D299" t="s">
        <v>44</v>
      </c>
      <c r="E299" s="2">
        <v>3</v>
      </c>
      <c r="F299" s="3">
        <v>44000</v>
      </c>
      <c r="G299" s="3">
        <v>60000</v>
      </c>
    </row>
    <row r="300" spans="2:7">
      <c r="B300" s="1" t="s">
        <v>624</v>
      </c>
      <c r="C300" t="s">
        <v>625</v>
      </c>
      <c r="D300" t="s">
        <v>44</v>
      </c>
      <c r="E300" s="2">
        <v>3</v>
      </c>
      <c r="F300" s="3">
        <v>18000</v>
      </c>
      <c r="G300" s="3">
        <v>25000</v>
      </c>
    </row>
    <row r="301" spans="2:7">
      <c r="B301" s="1" t="s">
        <v>626</v>
      </c>
      <c r="C301" t="s">
        <v>627</v>
      </c>
      <c r="D301" t="s">
        <v>44</v>
      </c>
      <c r="E301" s="2">
        <v>4</v>
      </c>
      <c r="F301" s="3">
        <v>10000</v>
      </c>
      <c r="G301" s="3">
        <v>20000</v>
      </c>
    </row>
    <row r="302" spans="2:7">
      <c r="B302" s="1" t="s">
        <v>628</v>
      </c>
      <c r="C302" t="s">
        <v>629</v>
      </c>
      <c r="D302" t="s">
        <v>44</v>
      </c>
      <c r="E302" s="2">
        <v>3</v>
      </c>
      <c r="F302" s="3">
        <v>15000</v>
      </c>
      <c r="G302" s="3">
        <v>25000</v>
      </c>
    </row>
    <row r="303" spans="2:7">
      <c r="B303" s="1" t="s">
        <v>630</v>
      </c>
      <c r="C303" t="s">
        <v>631</v>
      </c>
      <c r="D303" t="s">
        <v>44</v>
      </c>
      <c r="E303" s="2">
        <v>9</v>
      </c>
      <c r="F303" s="3">
        <v>6000</v>
      </c>
      <c r="G303" s="3">
        <v>10000</v>
      </c>
    </row>
    <row r="304" spans="2:7">
      <c r="B304" s="1" t="s">
        <v>632</v>
      </c>
      <c r="C304" t="s">
        <v>633</v>
      </c>
      <c r="D304" t="s">
        <v>44</v>
      </c>
      <c r="E304" s="2">
        <v>2</v>
      </c>
      <c r="F304" s="3">
        <v>40000</v>
      </c>
      <c r="G304" s="3">
        <v>50000</v>
      </c>
    </row>
    <row r="305" spans="2:7">
      <c r="B305" s="1" t="s">
        <v>634</v>
      </c>
      <c r="C305" t="s">
        <v>635</v>
      </c>
      <c r="D305" t="s">
        <v>44</v>
      </c>
      <c r="E305" s="2">
        <v>2</v>
      </c>
      <c r="F305" s="3">
        <v>90000</v>
      </c>
      <c r="G305" s="3">
        <v>100000</v>
      </c>
    </row>
    <row r="306" spans="2:7">
      <c r="B306" s="1" t="s">
        <v>636</v>
      </c>
      <c r="C306" t="s">
        <v>637</v>
      </c>
      <c r="D306" t="s">
        <v>44</v>
      </c>
      <c r="E306" s="2">
        <v>5</v>
      </c>
      <c r="F306" s="3">
        <v>60000</v>
      </c>
      <c r="G306" s="3">
        <v>70000</v>
      </c>
    </row>
    <row r="307" spans="2:7">
      <c r="B307" s="1" t="s">
        <v>638</v>
      </c>
      <c r="C307" t="s">
        <v>639</v>
      </c>
      <c r="D307" t="s">
        <v>44</v>
      </c>
      <c r="E307" s="2">
        <v>1</v>
      </c>
      <c r="F307" s="3">
        <v>55000</v>
      </c>
      <c r="G307" s="3">
        <v>65000</v>
      </c>
    </row>
    <row r="308" spans="2:7">
      <c r="B308" s="1" t="s">
        <v>640</v>
      </c>
      <c r="C308" t="s">
        <v>641</v>
      </c>
      <c r="D308" t="s">
        <v>44</v>
      </c>
      <c r="E308" s="2">
        <v>4</v>
      </c>
      <c r="F308" s="3">
        <v>50000</v>
      </c>
      <c r="G308" s="3">
        <v>60000</v>
      </c>
    </row>
    <row r="309" spans="2:7">
      <c r="B309" s="1" t="s">
        <v>642</v>
      </c>
      <c r="C309" t="s">
        <v>643</v>
      </c>
      <c r="D309" t="s">
        <v>44</v>
      </c>
      <c r="E309" s="2">
        <v>19</v>
      </c>
      <c r="F309" s="3">
        <v>10000</v>
      </c>
      <c r="G309" s="3">
        <v>15000</v>
      </c>
    </row>
    <row r="310" spans="2:7">
      <c r="B310" s="1" t="s">
        <v>644</v>
      </c>
      <c r="C310" t="s">
        <v>645</v>
      </c>
      <c r="D310" t="s">
        <v>44</v>
      </c>
      <c r="E310" s="2">
        <v>30</v>
      </c>
      <c r="F310" s="3">
        <v>15000</v>
      </c>
      <c r="G310" s="3">
        <v>20000</v>
      </c>
    </row>
    <row r="311" spans="2:7">
      <c r="B311" s="1" t="s">
        <v>646</v>
      </c>
      <c r="C311" t="s">
        <v>647</v>
      </c>
      <c r="D311" t="s">
        <v>44</v>
      </c>
      <c r="E311" s="2">
        <v>35</v>
      </c>
      <c r="F311" s="3">
        <v>8000</v>
      </c>
      <c r="G311" s="3">
        <v>13000</v>
      </c>
    </row>
    <row r="312" spans="2:7">
      <c r="B312" s="1" t="s">
        <v>648</v>
      </c>
      <c r="C312" t="s">
        <v>649</v>
      </c>
      <c r="D312" t="s">
        <v>44</v>
      </c>
      <c r="E312" s="2">
        <v>1</v>
      </c>
      <c r="F312" s="3">
        <v>30000</v>
      </c>
      <c r="G312" s="3">
        <v>45000</v>
      </c>
    </row>
    <row r="313" spans="2:7">
      <c r="B313" s="1" t="s">
        <v>650</v>
      </c>
      <c r="C313" t="s">
        <v>651</v>
      </c>
      <c r="D313" t="s">
        <v>44</v>
      </c>
      <c r="E313" s="2">
        <v>1</v>
      </c>
      <c r="F313" s="3">
        <v>35000</v>
      </c>
      <c r="G313" s="3">
        <v>45000</v>
      </c>
    </row>
    <row r="314" spans="2:7">
      <c r="B314" s="1" t="s">
        <v>652</v>
      </c>
      <c r="C314" t="s">
        <v>653</v>
      </c>
      <c r="D314" t="s">
        <v>44</v>
      </c>
      <c r="E314" s="2">
        <v>1</v>
      </c>
      <c r="F314" s="3">
        <v>75000</v>
      </c>
      <c r="G314" s="3">
        <v>85000</v>
      </c>
    </row>
    <row r="315" spans="2:7">
      <c r="B315" s="1" t="s">
        <v>654</v>
      </c>
      <c r="C315" t="s">
        <v>655</v>
      </c>
      <c r="D315" t="s">
        <v>44</v>
      </c>
      <c r="E315" s="2" t="s">
        <v>691</v>
      </c>
      <c r="F315" s="3">
        <v>85000</v>
      </c>
      <c r="G315" s="3">
        <v>95000</v>
      </c>
    </row>
    <row r="316" spans="2:7">
      <c r="B316" s="1" t="s">
        <v>676</v>
      </c>
      <c r="C316" t="s">
        <v>677</v>
      </c>
      <c r="D316" t="s">
        <v>44</v>
      </c>
      <c r="E316" s="2">
        <v>1</v>
      </c>
      <c r="F316" s="3">
        <v>12000</v>
      </c>
      <c r="G316" s="3">
        <v>18000</v>
      </c>
    </row>
    <row r="317" spans="2:7">
      <c r="B317" s="1" t="s">
        <v>687</v>
      </c>
      <c r="C317" t="s">
        <v>688</v>
      </c>
      <c r="D317" t="s">
        <v>44</v>
      </c>
      <c r="E317" s="2">
        <v>39</v>
      </c>
      <c r="F317" s="3">
        <v>5000</v>
      </c>
      <c r="G317" s="3">
        <v>7000</v>
      </c>
    </row>
    <row r="318" spans="2:7">
      <c r="B318" s="1" t="s">
        <v>656</v>
      </c>
      <c r="C318" t="s">
        <v>255</v>
      </c>
      <c r="D318" t="s">
        <v>44</v>
      </c>
      <c r="E318" s="2">
        <v>4</v>
      </c>
      <c r="F318" s="3">
        <v>5000</v>
      </c>
      <c r="G318" s="3">
        <v>10000</v>
      </c>
    </row>
    <row r="319" spans="2:7">
      <c r="B319" s="1" t="s">
        <v>657</v>
      </c>
      <c r="C319" t="s">
        <v>406</v>
      </c>
      <c r="D319" t="s">
        <v>44</v>
      </c>
      <c r="E319" s="2">
        <v>2</v>
      </c>
      <c r="F319" s="3">
        <v>7500</v>
      </c>
      <c r="G319" s="3">
        <v>15000</v>
      </c>
    </row>
    <row r="320" spans="2:7">
      <c r="B320" s="1" t="s">
        <v>658</v>
      </c>
      <c r="C320" t="s">
        <v>399</v>
      </c>
      <c r="D320" t="s">
        <v>44</v>
      </c>
      <c r="E320" s="2">
        <v>2</v>
      </c>
      <c r="F320" s="3">
        <v>7500</v>
      </c>
      <c r="G320" s="3">
        <v>15000</v>
      </c>
    </row>
    <row r="321" spans="2:7">
      <c r="B321" s="1" t="s">
        <v>659</v>
      </c>
      <c r="C321" t="s">
        <v>400</v>
      </c>
      <c r="D321" t="s">
        <v>44</v>
      </c>
      <c r="E321" s="2">
        <v>2</v>
      </c>
      <c r="F321" s="3">
        <v>7500</v>
      </c>
      <c r="G321" s="3">
        <v>15000</v>
      </c>
    </row>
    <row r="322" spans="2:7">
      <c r="B322" s="1" t="s">
        <v>660</v>
      </c>
      <c r="C322" t="s">
        <v>401</v>
      </c>
      <c r="D322" t="s">
        <v>44</v>
      </c>
      <c r="E322" s="2">
        <v>5</v>
      </c>
      <c r="F322" s="3">
        <v>5000</v>
      </c>
      <c r="G322" s="3">
        <v>10000</v>
      </c>
    </row>
    <row r="323" spans="2:7">
      <c r="B323" s="1" t="s">
        <v>661</v>
      </c>
      <c r="C323" t="s">
        <v>402</v>
      </c>
      <c r="D323" t="s">
        <v>44</v>
      </c>
      <c r="E323" s="2">
        <v>6</v>
      </c>
      <c r="F323" s="3">
        <v>5000</v>
      </c>
      <c r="G323" s="3">
        <v>10000</v>
      </c>
    </row>
    <row r="324" spans="2:7">
      <c r="B324" s="1" t="s">
        <v>662</v>
      </c>
      <c r="C324" t="s">
        <v>403</v>
      </c>
      <c r="D324" t="s">
        <v>44</v>
      </c>
      <c r="E324" s="2">
        <v>3</v>
      </c>
      <c r="F324" s="3">
        <v>7500</v>
      </c>
      <c r="G324" s="3">
        <v>15000</v>
      </c>
    </row>
    <row r="325" spans="2:7">
      <c r="B325" s="1" t="s">
        <v>663</v>
      </c>
      <c r="C325" t="s">
        <v>404</v>
      </c>
      <c r="D325" t="s">
        <v>44</v>
      </c>
      <c r="E325" s="2">
        <v>6</v>
      </c>
      <c r="F325" s="3">
        <v>7500</v>
      </c>
      <c r="G325" s="3">
        <v>15000</v>
      </c>
    </row>
    <row r="326" spans="2:7">
      <c r="B326" s="1" t="s">
        <v>664</v>
      </c>
      <c r="C326" t="s">
        <v>170</v>
      </c>
      <c r="D326" t="s">
        <v>44</v>
      </c>
      <c r="E326" s="2">
        <v>2</v>
      </c>
      <c r="F326" s="3">
        <v>7500</v>
      </c>
      <c r="G326" s="3">
        <v>15000</v>
      </c>
    </row>
    <row r="327" spans="2:7">
      <c r="B327" s="1" t="s">
        <v>665</v>
      </c>
      <c r="C327" t="s">
        <v>405</v>
      </c>
      <c r="D327" t="s">
        <v>44</v>
      </c>
      <c r="E327" s="2">
        <v>2</v>
      </c>
      <c r="F327" s="3">
        <v>7500</v>
      </c>
      <c r="G327" s="3">
        <v>15000</v>
      </c>
    </row>
    <row r="328" spans="2:7">
      <c r="B328" s="1" t="s">
        <v>666</v>
      </c>
      <c r="C328" t="s">
        <v>667</v>
      </c>
      <c r="D328" t="s">
        <v>44</v>
      </c>
      <c r="E328" s="2">
        <v>6</v>
      </c>
      <c r="F328" s="3">
        <v>50000</v>
      </c>
      <c r="G328" s="3">
        <v>70000</v>
      </c>
    </row>
    <row r="329" spans="2:7">
      <c r="B329" s="1" t="s">
        <v>668</v>
      </c>
      <c r="C329" t="s">
        <v>348</v>
      </c>
      <c r="D329" t="s">
        <v>44</v>
      </c>
      <c r="E329" s="2">
        <v>1</v>
      </c>
      <c r="F329" s="3">
        <v>7500</v>
      </c>
      <c r="G329" s="3">
        <v>15000</v>
      </c>
    </row>
    <row r="330" spans="2:7">
      <c r="B330" s="1" t="s">
        <v>669</v>
      </c>
      <c r="C330" t="s">
        <v>350</v>
      </c>
      <c r="D330" t="s">
        <v>44</v>
      </c>
      <c r="E330" s="2">
        <v>9</v>
      </c>
      <c r="F330" s="3">
        <v>7500</v>
      </c>
      <c r="G330" s="3">
        <v>15000</v>
      </c>
    </row>
    <row r="331" spans="2:7">
      <c r="B331" s="1" t="s">
        <v>670</v>
      </c>
      <c r="C331" t="s">
        <v>344</v>
      </c>
      <c r="D331" t="s">
        <v>44</v>
      </c>
      <c r="E331" s="2">
        <v>2</v>
      </c>
      <c r="F331" s="3">
        <v>7500</v>
      </c>
      <c r="G331" s="3">
        <v>15000</v>
      </c>
    </row>
    <row r="332" spans="2:7">
      <c r="B332" s="1" t="s">
        <v>671</v>
      </c>
      <c r="C332" t="s">
        <v>345</v>
      </c>
      <c r="D332" t="s">
        <v>44</v>
      </c>
      <c r="E332" s="2">
        <v>1</v>
      </c>
      <c r="F332" s="3">
        <v>7500</v>
      </c>
      <c r="G332" s="3">
        <v>15000</v>
      </c>
    </row>
    <row r="333" spans="2:7">
      <c r="B333" s="1" t="s">
        <v>672</v>
      </c>
      <c r="C333" t="s">
        <v>349</v>
      </c>
      <c r="D333" t="s">
        <v>44</v>
      </c>
      <c r="E333" s="2">
        <v>3</v>
      </c>
      <c r="F333" s="3">
        <v>7500</v>
      </c>
      <c r="G333" s="3">
        <v>15000</v>
      </c>
    </row>
    <row r="334" spans="2:7">
      <c r="B334" s="1" t="s">
        <v>673</v>
      </c>
      <c r="C334" t="s">
        <v>355</v>
      </c>
      <c r="D334" t="s">
        <v>44</v>
      </c>
      <c r="E334" s="2">
        <v>4</v>
      </c>
      <c r="F334" s="3">
        <v>5000</v>
      </c>
      <c r="G334" s="3">
        <v>10000</v>
      </c>
    </row>
    <row r="335" spans="2:7">
      <c r="B335" s="1" t="s">
        <v>674</v>
      </c>
      <c r="C335" t="s">
        <v>372</v>
      </c>
      <c r="D335" t="s">
        <v>44</v>
      </c>
      <c r="E335" s="2">
        <v>2</v>
      </c>
      <c r="F335" s="3">
        <v>7500</v>
      </c>
      <c r="G335" s="3">
        <v>15000</v>
      </c>
    </row>
    <row r="336" spans="2:7">
      <c r="B336" s="1" t="s">
        <v>675</v>
      </c>
      <c r="C336" t="s">
        <v>398</v>
      </c>
      <c r="D336" t="s">
        <v>44</v>
      </c>
      <c r="E336" s="2">
        <v>2</v>
      </c>
      <c r="F336" s="3">
        <v>5000</v>
      </c>
      <c r="G336" s="3">
        <v>10000</v>
      </c>
    </row>
    <row r="337" spans="2:7">
      <c r="B337" s="1" t="s">
        <v>692</v>
      </c>
      <c r="C337" t="s">
        <v>693</v>
      </c>
      <c r="D337" t="s">
        <v>44</v>
      </c>
      <c r="E337" s="2" t="s">
        <v>694</v>
      </c>
      <c r="F337" s="3">
        <v>6000</v>
      </c>
      <c r="G337" s="3">
        <v>10000</v>
      </c>
    </row>
    <row r="338" spans="2:7">
      <c r="B338" s="1" t="s">
        <v>695</v>
      </c>
      <c r="C338" t="s">
        <v>696</v>
      </c>
      <c r="D338" t="s">
        <v>44</v>
      </c>
      <c r="E338" s="2">
        <v>2</v>
      </c>
      <c r="F338" s="3">
        <v>6000</v>
      </c>
      <c r="G338" s="3">
        <v>10000</v>
      </c>
    </row>
    <row r="339" spans="2:7">
      <c r="B339" s="1" t="s">
        <v>697</v>
      </c>
      <c r="C339" t="s">
        <v>698</v>
      </c>
      <c r="D339" t="s">
        <v>44</v>
      </c>
      <c r="E339" s="2">
        <v>2</v>
      </c>
      <c r="F339" s="3">
        <v>6000</v>
      </c>
      <c r="G339" s="3">
        <v>10000</v>
      </c>
    </row>
    <row r="340" spans="2:7">
      <c r="B340" s="1" t="s">
        <v>699</v>
      </c>
      <c r="C340" t="s">
        <v>700</v>
      </c>
      <c r="D340" t="s">
        <v>44</v>
      </c>
      <c r="E340" s="2">
        <v>2</v>
      </c>
      <c r="F340" s="3">
        <v>6000</v>
      </c>
      <c r="G340" s="3">
        <v>10000</v>
      </c>
    </row>
    <row r="341" spans="2:7">
      <c r="B341" s="1" t="s">
        <v>701</v>
      </c>
      <c r="C341" t="s">
        <v>702</v>
      </c>
      <c r="D341" t="s">
        <v>44</v>
      </c>
      <c r="E341" s="2">
        <v>2</v>
      </c>
      <c r="F341" s="3">
        <v>6000</v>
      </c>
      <c r="G341" s="3">
        <v>10000</v>
      </c>
    </row>
    <row r="342" spans="2:7">
      <c r="B342" s="1" t="s">
        <v>705</v>
      </c>
      <c r="C342" t="s">
        <v>706</v>
      </c>
      <c r="D342" t="s">
        <v>44</v>
      </c>
      <c r="E342" s="2" t="s">
        <v>694</v>
      </c>
      <c r="F342" s="3">
        <v>12000</v>
      </c>
      <c r="G342" s="3">
        <v>25000</v>
      </c>
    </row>
    <row r="343" spans="2:7">
      <c r="B343" s="1" t="s">
        <v>707</v>
      </c>
      <c r="C343" t="s">
        <v>708</v>
      </c>
      <c r="D343" t="s">
        <v>44</v>
      </c>
      <c r="E343" s="2" t="s">
        <v>689</v>
      </c>
      <c r="F343" s="3">
        <v>12000</v>
      </c>
      <c r="G343" s="3">
        <v>25000</v>
      </c>
    </row>
    <row r="344" spans="2:7">
      <c r="B344" s="1" t="s">
        <v>709</v>
      </c>
      <c r="C344" t="s">
        <v>710</v>
      </c>
      <c r="D344" t="s">
        <v>44</v>
      </c>
      <c r="E344" s="2" t="s">
        <v>694</v>
      </c>
      <c r="F344" s="3">
        <v>12000</v>
      </c>
      <c r="G344" s="3">
        <v>25000</v>
      </c>
    </row>
    <row r="345" spans="2:7">
      <c r="B345" s="1" t="s">
        <v>711</v>
      </c>
      <c r="C345" t="s">
        <v>712</v>
      </c>
      <c r="D345" t="s">
        <v>44</v>
      </c>
      <c r="E345" s="2" t="s">
        <v>713</v>
      </c>
      <c r="F345" s="3">
        <v>10000</v>
      </c>
      <c r="G345" s="3">
        <v>15000</v>
      </c>
    </row>
    <row r="346" spans="2:7">
      <c r="B346" s="1" t="s">
        <v>714</v>
      </c>
      <c r="C346" t="s">
        <v>715</v>
      </c>
      <c r="D346" t="s">
        <v>44</v>
      </c>
      <c r="E346" s="2" t="s">
        <v>689</v>
      </c>
      <c r="F346" s="3">
        <v>12000</v>
      </c>
      <c r="G346" s="3">
        <v>25000</v>
      </c>
    </row>
    <row r="347" spans="2:7">
      <c r="B347" s="1" t="s">
        <v>716</v>
      </c>
      <c r="C347" t="s">
        <v>717</v>
      </c>
      <c r="D347" t="s">
        <v>44</v>
      </c>
      <c r="E347" s="2" t="s">
        <v>694</v>
      </c>
      <c r="F347" s="3">
        <v>12000</v>
      </c>
      <c r="G347" s="3">
        <v>25000</v>
      </c>
    </row>
    <row r="348" spans="2:7">
      <c r="B348" s="1" t="s">
        <v>718</v>
      </c>
      <c r="C348" t="s">
        <v>345</v>
      </c>
      <c r="D348" t="s">
        <v>44</v>
      </c>
      <c r="E348" s="2" t="s">
        <v>694</v>
      </c>
      <c r="F348" s="3">
        <v>9000</v>
      </c>
      <c r="G348" s="3">
        <v>15000</v>
      </c>
    </row>
    <row r="349" spans="2:7">
      <c r="B349" s="1" t="s">
        <v>719</v>
      </c>
      <c r="C349" t="s">
        <v>720</v>
      </c>
      <c r="D349" t="s">
        <v>44</v>
      </c>
      <c r="E349" s="2" t="s">
        <v>689</v>
      </c>
      <c r="F349" s="3">
        <v>9000</v>
      </c>
      <c r="G349" s="3">
        <v>15000</v>
      </c>
    </row>
    <row r="350" spans="2:7">
      <c r="B350" s="1" t="s">
        <v>721</v>
      </c>
      <c r="C350" t="s">
        <v>722</v>
      </c>
      <c r="D350" t="s">
        <v>44</v>
      </c>
      <c r="E350" s="2">
        <v>2</v>
      </c>
      <c r="F350" s="3">
        <v>12000</v>
      </c>
      <c r="G350" s="3">
        <v>25000</v>
      </c>
    </row>
    <row r="351" spans="2:7">
      <c r="B351" s="1" t="s">
        <v>723</v>
      </c>
      <c r="C351" t="s">
        <v>724</v>
      </c>
      <c r="D351" t="s">
        <v>44</v>
      </c>
      <c r="E351" s="2" t="s">
        <v>694</v>
      </c>
      <c r="F351" s="3">
        <v>9000</v>
      </c>
      <c r="G351" s="3">
        <v>15000</v>
      </c>
    </row>
    <row r="352" spans="2:7">
      <c r="B352" s="1" t="s">
        <v>725</v>
      </c>
      <c r="C352" t="s">
        <v>726</v>
      </c>
      <c r="D352" t="s">
        <v>44</v>
      </c>
      <c r="E352" s="2">
        <v>3</v>
      </c>
      <c r="F352" s="3">
        <v>6000</v>
      </c>
      <c r="G352" s="3">
        <v>10000</v>
      </c>
    </row>
    <row r="353" spans="2:7">
      <c r="B353" s="1" t="s">
        <v>727</v>
      </c>
      <c r="C353" t="s">
        <v>728</v>
      </c>
      <c r="D353" t="s">
        <v>44</v>
      </c>
      <c r="E353" s="2">
        <v>2</v>
      </c>
      <c r="F353" s="3">
        <v>12000</v>
      </c>
      <c r="G353" s="3">
        <v>25000</v>
      </c>
    </row>
    <row r="354" spans="2:7">
      <c r="B354" s="1" t="s">
        <v>729</v>
      </c>
      <c r="C354" t="s">
        <v>730</v>
      </c>
      <c r="D354" t="s">
        <v>44</v>
      </c>
      <c r="E354" s="2">
        <v>2</v>
      </c>
      <c r="F354" s="3">
        <v>10000</v>
      </c>
      <c r="G354" s="3">
        <v>20000</v>
      </c>
    </row>
    <row r="355" spans="2:7">
      <c r="B355" s="1" t="s">
        <v>731</v>
      </c>
      <c r="C355" t="s">
        <v>732</v>
      </c>
      <c r="D355" t="s">
        <v>44</v>
      </c>
      <c r="E355" s="2">
        <v>5</v>
      </c>
      <c r="F355" s="3">
        <v>9000</v>
      </c>
      <c r="G355" s="3">
        <v>15000</v>
      </c>
    </row>
    <row r="356" spans="2:7">
      <c r="B356" s="1" t="s">
        <v>733</v>
      </c>
      <c r="C356" t="s">
        <v>734</v>
      </c>
      <c r="D356" t="s">
        <v>44</v>
      </c>
      <c r="E356" s="2">
        <v>3</v>
      </c>
      <c r="F356" s="3">
        <v>6000</v>
      </c>
      <c r="G356" s="3">
        <v>10000</v>
      </c>
    </row>
    <row r="357" spans="2:7">
      <c r="B357" s="1" t="s">
        <v>735</v>
      </c>
      <c r="C357" t="s">
        <v>736</v>
      </c>
      <c r="D357" t="s">
        <v>44</v>
      </c>
      <c r="E357" s="2">
        <v>3</v>
      </c>
      <c r="F357" s="3">
        <v>6000</v>
      </c>
      <c r="G357" s="3">
        <v>10000</v>
      </c>
    </row>
    <row r="358" spans="2:7">
      <c r="B358" s="1" t="s">
        <v>737</v>
      </c>
      <c r="C358" t="s">
        <v>738</v>
      </c>
      <c r="D358" t="s">
        <v>44</v>
      </c>
      <c r="E358" s="2">
        <v>3</v>
      </c>
      <c r="F358" s="3">
        <v>6000</v>
      </c>
      <c r="G358" s="3">
        <v>10000</v>
      </c>
    </row>
    <row r="359" spans="2:7">
      <c r="B359" s="1" t="s">
        <v>739</v>
      </c>
      <c r="C359" t="s">
        <v>740</v>
      </c>
      <c r="D359" t="s">
        <v>44</v>
      </c>
      <c r="E359" s="2">
        <v>2</v>
      </c>
      <c r="F359" s="3">
        <v>10000</v>
      </c>
      <c r="G359" s="3">
        <v>20000</v>
      </c>
    </row>
    <row r="360" spans="2:7">
      <c r="B360" s="1" t="s">
        <v>741</v>
      </c>
      <c r="C360" t="s">
        <v>279</v>
      </c>
      <c r="D360" t="s">
        <v>44</v>
      </c>
      <c r="E360" s="2">
        <v>3</v>
      </c>
      <c r="F360" s="3">
        <v>9000</v>
      </c>
      <c r="G360" s="3">
        <v>15000</v>
      </c>
    </row>
    <row r="361" spans="2:7">
      <c r="B361" s="1" t="s">
        <v>743</v>
      </c>
      <c r="C361" t="s">
        <v>744</v>
      </c>
      <c r="D361" t="s">
        <v>44</v>
      </c>
      <c r="E361" s="2" t="s">
        <v>689</v>
      </c>
      <c r="F361" s="3">
        <v>65000</v>
      </c>
      <c r="G361" s="3">
        <v>85000</v>
      </c>
    </row>
    <row r="362" spans="2:7">
      <c r="B362" s="1" t="s">
        <v>745</v>
      </c>
      <c r="C362" t="s">
        <v>746</v>
      </c>
      <c r="D362" t="s">
        <v>44</v>
      </c>
      <c r="E362" s="2" t="s">
        <v>694</v>
      </c>
      <c r="F362" s="3">
        <v>110000</v>
      </c>
      <c r="G362" s="3">
        <v>125000</v>
      </c>
    </row>
    <row r="363" spans="2:7">
      <c r="B363" s="1" t="s">
        <v>747</v>
      </c>
      <c r="C363" t="s">
        <v>748</v>
      </c>
      <c r="D363" t="s">
        <v>44</v>
      </c>
      <c r="E363" s="2">
        <v>5</v>
      </c>
      <c r="F363" s="3">
        <v>63000</v>
      </c>
      <c r="G363" s="3">
        <v>78000</v>
      </c>
    </row>
    <row r="364" spans="2:7">
      <c r="B364" s="1" t="s">
        <v>749</v>
      </c>
      <c r="C364" t="s">
        <v>750</v>
      </c>
      <c r="D364" t="s">
        <v>44</v>
      </c>
      <c r="E364" s="2">
        <v>6</v>
      </c>
      <c r="F364" s="3">
        <v>45000</v>
      </c>
      <c r="G364" s="3">
        <v>60000</v>
      </c>
    </row>
    <row r="365" spans="2:7">
      <c r="B365" s="1" t="s">
        <v>753</v>
      </c>
      <c r="C365" t="s">
        <v>754</v>
      </c>
      <c r="D365" t="s">
        <v>44</v>
      </c>
      <c r="E365" s="2">
        <v>10</v>
      </c>
      <c r="F365" s="3">
        <v>12000</v>
      </c>
      <c r="G365" s="3">
        <v>20000</v>
      </c>
    </row>
    <row r="366" spans="2:7">
      <c r="B366" s="1" t="s">
        <v>756</v>
      </c>
      <c r="C366" t="s">
        <v>757</v>
      </c>
      <c r="D366" t="s">
        <v>44</v>
      </c>
      <c r="E366" s="2" t="s">
        <v>679</v>
      </c>
      <c r="F366" s="3">
        <v>30000</v>
      </c>
      <c r="G366" s="3">
        <v>37000</v>
      </c>
    </row>
    <row r="367" spans="2:7">
      <c r="B367" s="1" t="s">
        <v>758</v>
      </c>
      <c r="C367" t="s">
        <v>759</v>
      </c>
      <c r="D367" t="s">
        <v>44</v>
      </c>
      <c r="E367" s="2" t="s">
        <v>690</v>
      </c>
      <c r="F367" s="3">
        <v>35000</v>
      </c>
      <c r="G367" s="3">
        <v>40000</v>
      </c>
    </row>
    <row r="368" spans="2:7">
      <c r="B368" s="1" t="s">
        <v>760</v>
      </c>
      <c r="C368" t="s">
        <v>761</v>
      </c>
      <c r="D368" t="s">
        <v>44</v>
      </c>
      <c r="E368" s="2" t="s">
        <v>679</v>
      </c>
      <c r="F368" s="3">
        <v>10000</v>
      </c>
      <c r="G368" s="3">
        <v>20000</v>
      </c>
    </row>
    <row r="369" spans="2:7">
      <c r="B369" s="1" t="s">
        <v>762</v>
      </c>
      <c r="C369" t="s">
        <v>763</v>
      </c>
      <c r="D369" t="s">
        <v>44</v>
      </c>
      <c r="E369" s="2" t="s">
        <v>679</v>
      </c>
      <c r="F369" s="3">
        <v>10000</v>
      </c>
      <c r="G369" s="3">
        <v>20000</v>
      </c>
    </row>
    <row r="370" spans="2:7">
      <c r="B370" s="1" t="s">
        <v>764</v>
      </c>
      <c r="C370" t="s">
        <v>765</v>
      </c>
      <c r="D370" t="s">
        <v>44</v>
      </c>
      <c r="E370" s="2" t="s">
        <v>679</v>
      </c>
      <c r="F370" s="3">
        <v>10000</v>
      </c>
      <c r="G370" s="3">
        <v>15000</v>
      </c>
    </row>
    <row r="371" spans="2:7">
      <c r="B371" s="1" t="s">
        <v>766</v>
      </c>
      <c r="C371" t="s">
        <v>767</v>
      </c>
      <c r="D371" t="s">
        <v>44</v>
      </c>
      <c r="E371" s="2" t="s">
        <v>713</v>
      </c>
      <c r="F371" s="3">
        <v>8000</v>
      </c>
      <c r="G371" s="3">
        <v>15000</v>
      </c>
    </row>
    <row r="372" spans="2:7">
      <c r="B372" s="1" t="s">
        <v>768</v>
      </c>
      <c r="C372" t="s">
        <v>769</v>
      </c>
      <c r="D372" t="s">
        <v>44</v>
      </c>
      <c r="E372" s="2">
        <v>10</v>
      </c>
      <c r="F372" s="3">
        <v>12000</v>
      </c>
      <c r="G372" s="3">
        <v>16000</v>
      </c>
    </row>
  </sheetData>
  <sortState ref="B4:G336">
    <sortCondition ref="B3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78"/>
  <sheetViews>
    <sheetView showGridLines="0" workbookViewId="0">
      <selection activeCell="E36" sqref="E36"/>
    </sheetView>
  </sheetViews>
  <sheetFormatPr defaultColWidth="9" defaultRowHeight="12"/>
  <cols>
    <col min="1" max="1" width="12.140625" style="25" bestFit="1" customWidth="1"/>
    <col min="2" max="2" width="23.7109375" style="25" customWidth="1"/>
    <col min="3" max="3" width="10" style="31" customWidth="1"/>
    <col min="4" max="4" width="4" style="28" customWidth="1"/>
    <col min="5" max="5" width="12.28515625" style="31" customWidth="1"/>
    <col min="6" max="16384" width="9" style="25"/>
  </cols>
  <sheetData>
    <row r="1" spans="1:5" ht="12.75" thickBot="1"/>
    <row r="2" spans="1:5" ht="35.25">
      <c r="A2" s="108" t="s">
        <v>45</v>
      </c>
      <c r="B2" s="109"/>
      <c r="C2" s="109"/>
      <c r="D2" s="109"/>
      <c r="E2" s="110"/>
    </row>
    <row r="3" spans="1:5" ht="13.5" thickBot="1">
      <c r="A3" s="111" t="s">
        <v>46</v>
      </c>
      <c r="B3" s="112"/>
      <c r="C3" s="112"/>
      <c r="D3" s="112"/>
      <c r="E3" s="113"/>
    </row>
    <row r="4" spans="1:5" ht="15.75">
      <c r="A4" s="34"/>
      <c r="B4" s="34"/>
      <c r="C4" s="34"/>
      <c r="D4" s="34"/>
      <c r="E4" s="34"/>
    </row>
    <row r="5" spans="1:5">
      <c r="A5" s="38" t="s">
        <v>13</v>
      </c>
      <c r="B5" s="41">
        <f>SUM($E$10:$E$1100)</f>
        <v>0</v>
      </c>
      <c r="C5" s="35" t="s">
        <v>21</v>
      </c>
      <c r="D5" s="114">
        <f>SUM(MENU!$L$8:$L$900)</f>
        <v>0</v>
      </c>
      <c r="E5" s="115"/>
    </row>
    <row r="6" spans="1:5">
      <c r="A6" s="39" t="s">
        <v>15</v>
      </c>
      <c r="B6" s="43">
        <f>B5-D5</f>
        <v>0</v>
      </c>
      <c r="C6" s="36" t="s">
        <v>16</v>
      </c>
      <c r="D6" s="116">
        <f>MENU!$J$3</f>
        <v>0</v>
      </c>
      <c r="E6" s="117"/>
    </row>
    <row r="7" spans="1:5">
      <c r="A7" s="40" t="s">
        <v>22</v>
      </c>
      <c r="B7" s="42">
        <f ca="1">TODAY()</f>
        <v>44478</v>
      </c>
      <c r="C7" s="37" t="s">
        <v>17</v>
      </c>
      <c r="D7" s="118">
        <f>D6-B6</f>
        <v>0</v>
      </c>
      <c r="E7" s="119"/>
    </row>
    <row r="9" spans="1:5" ht="12.75" thickBot="1">
      <c r="A9" s="44" t="s">
        <v>1</v>
      </c>
      <c r="B9" s="44" t="s">
        <v>2</v>
      </c>
      <c r="C9" s="45" t="s">
        <v>19</v>
      </c>
      <c r="D9" s="44" t="s">
        <v>4</v>
      </c>
      <c r="E9" s="45" t="s">
        <v>20</v>
      </c>
    </row>
    <row r="10" spans="1:5" ht="12.75" thickTop="1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>
      <c r="A42" s="27"/>
      <c r="B42" s="27"/>
      <c r="C42" s="32"/>
      <c r="D42" s="29"/>
      <c r="E42" s="32"/>
    </row>
    <row r="43" spans="1:5">
      <c r="A43" s="27"/>
      <c r="B43" s="27"/>
      <c r="C43" s="32"/>
      <c r="D43" s="29"/>
      <c r="E43" s="32"/>
    </row>
    <row r="44" spans="1:5">
      <c r="A44" s="27"/>
      <c r="B44" s="27"/>
      <c r="C44" s="32"/>
      <c r="D44" s="29"/>
      <c r="E44" s="32"/>
    </row>
    <row r="45" spans="1:5">
      <c r="A45" s="27"/>
      <c r="B45" s="27"/>
      <c r="C45" s="32"/>
      <c r="D45" s="29"/>
      <c r="E45" s="32"/>
    </row>
    <row r="46" spans="1:5">
      <c r="A46" s="27"/>
      <c r="B46" s="27"/>
      <c r="C46" s="32"/>
      <c r="D46" s="29"/>
      <c r="E46" s="32"/>
    </row>
    <row r="47" spans="1:5">
      <c r="A47" s="27"/>
      <c r="B47" s="27"/>
      <c r="C47" s="32"/>
      <c r="D47" s="29"/>
      <c r="E47" s="32"/>
    </row>
    <row r="48" spans="1:5">
      <c r="A48" s="27"/>
      <c r="B48" s="27"/>
      <c r="C48" s="32"/>
      <c r="D48" s="29"/>
      <c r="E48" s="32"/>
    </row>
    <row r="49" spans="1:5">
      <c r="A49" s="27"/>
      <c r="B49" s="27"/>
      <c r="C49" s="32"/>
      <c r="D49" s="29"/>
      <c r="E49" s="32"/>
    </row>
    <row r="50" spans="1:5">
      <c r="A50" s="27"/>
      <c r="B50" s="27"/>
      <c r="C50" s="32"/>
      <c r="D50" s="29"/>
      <c r="E50" s="32"/>
    </row>
    <row r="51" spans="1:5">
      <c r="A51" s="27"/>
      <c r="B51" s="27"/>
      <c r="C51" s="32"/>
      <c r="D51" s="29"/>
      <c r="E51" s="32"/>
    </row>
    <row r="52" spans="1:5">
      <c r="A52" s="27"/>
      <c r="B52" s="27"/>
      <c r="C52" s="32"/>
      <c r="D52" s="29"/>
      <c r="E52" s="32"/>
    </row>
    <row r="53" spans="1:5">
      <c r="A53" s="27"/>
      <c r="B53" s="27"/>
      <c r="C53" s="32"/>
      <c r="D53" s="29"/>
      <c r="E53" s="32"/>
    </row>
    <row r="54" spans="1:5">
      <c r="A54" s="27"/>
      <c r="B54" s="27"/>
      <c r="C54" s="32"/>
      <c r="D54" s="29"/>
      <c r="E54" s="32"/>
    </row>
    <row r="55" spans="1:5">
      <c r="A55" s="27"/>
      <c r="B55" s="27"/>
      <c r="C55" s="32"/>
      <c r="D55" s="29"/>
      <c r="E55" s="32"/>
    </row>
    <row r="56" spans="1:5">
      <c r="A56" s="27"/>
      <c r="B56" s="27"/>
      <c r="C56" s="32"/>
      <c r="D56" s="29"/>
      <c r="E56" s="32"/>
    </row>
    <row r="57" spans="1:5">
      <c r="A57" s="27"/>
      <c r="B57" s="27"/>
      <c r="C57" s="32"/>
      <c r="D57" s="29"/>
      <c r="E57" s="32"/>
    </row>
    <row r="58" spans="1:5">
      <c r="A58" s="27"/>
      <c r="B58" s="27"/>
      <c r="C58" s="32"/>
      <c r="D58" s="29"/>
      <c r="E58" s="32"/>
    </row>
    <row r="59" spans="1:5">
      <c r="A59" s="27"/>
      <c r="B59" s="27"/>
      <c r="C59" s="32"/>
      <c r="D59" s="29"/>
      <c r="E59" s="32"/>
    </row>
    <row r="60" spans="1:5">
      <c r="A60" s="27"/>
      <c r="B60" s="27"/>
      <c r="C60" s="32"/>
      <c r="D60" s="29"/>
      <c r="E60" s="32"/>
    </row>
    <row r="61" spans="1:5">
      <c r="A61" s="27"/>
      <c r="B61" s="27"/>
      <c r="C61" s="32"/>
      <c r="D61" s="29"/>
      <c r="E61" s="32"/>
    </row>
    <row r="62" spans="1:5">
      <c r="A62" s="27"/>
      <c r="B62" s="27"/>
      <c r="C62" s="32"/>
      <c r="D62" s="29"/>
      <c r="E62" s="32"/>
    </row>
    <row r="63" spans="1:5">
      <c r="A63" s="27"/>
      <c r="B63" s="27"/>
      <c r="C63" s="32"/>
      <c r="D63" s="29"/>
      <c r="E63" s="32"/>
    </row>
    <row r="64" spans="1:5">
      <c r="A64" s="27"/>
      <c r="B64" s="27"/>
      <c r="C64" s="32"/>
      <c r="D64" s="29"/>
      <c r="E64" s="32"/>
    </row>
    <row r="65" spans="1:5">
      <c r="A65" s="27"/>
      <c r="B65" s="27"/>
      <c r="C65" s="32"/>
      <c r="D65" s="29"/>
      <c r="E65" s="32"/>
    </row>
    <row r="66" spans="1:5">
      <c r="A66" s="27"/>
      <c r="B66" s="27"/>
      <c r="C66" s="32"/>
      <c r="D66" s="29"/>
      <c r="E66" s="32"/>
    </row>
    <row r="67" spans="1:5">
      <c r="A67" s="27"/>
      <c r="B67" s="27"/>
      <c r="C67" s="32"/>
      <c r="D67" s="29"/>
      <c r="E67" s="32"/>
    </row>
    <row r="68" spans="1:5">
      <c r="A68" s="27"/>
      <c r="B68" s="27"/>
      <c r="C68" s="32"/>
      <c r="D68" s="29"/>
      <c r="E68" s="32"/>
    </row>
    <row r="69" spans="1:5">
      <c r="A69" s="27"/>
      <c r="B69" s="27"/>
      <c r="C69" s="32"/>
      <c r="D69" s="29"/>
      <c r="E69" s="32"/>
    </row>
    <row r="70" spans="1:5">
      <c r="A70" s="27"/>
      <c r="B70" s="27"/>
      <c r="C70" s="32"/>
      <c r="D70" s="29"/>
      <c r="E70" s="32"/>
    </row>
    <row r="71" spans="1:5">
      <c r="A71" s="27"/>
      <c r="B71" s="27"/>
      <c r="C71" s="32"/>
      <c r="D71" s="29"/>
      <c r="E71" s="32"/>
    </row>
    <row r="72" spans="1:5">
      <c r="A72" s="27"/>
      <c r="B72" s="27"/>
      <c r="C72" s="32"/>
      <c r="D72" s="29"/>
      <c r="E72" s="32"/>
    </row>
    <row r="73" spans="1:5">
      <c r="A73" s="27"/>
      <c r="B73" s="27"/>
      <c r="C73" s="32"/>
      <c r="D73" s="29"/>
      <c r="E73" s="32"/>
    </row>
    <row r="74" spans="1:5">
      <c r="A74" s="27"/>
      <c r="B74" s="27"/>
      <c r="C74" s="32"/>
      <c r="D74" s="29"/>
      <c r="E74" s="32"/>
    </row>
    <row r="75" spans="1:5">
      <c r="A75" s="27"/>
      <c r="B75" s="27"/>
      <c r="C75" s="32"/>
      <c r="D75" s="29"/>
      <c r="E75" s="32"/>
    </row>
    <row r="76" spans="1:5">
      <c r="A76" s="27"/>
      <c r="B76" s="27"/>
      <c r="C76" s="32"/>
      <c r="D76" s="29"/>
      <c r="E76" s="32"/>
    </row>
    <row r="77" spans="1:5">
      <c r="A77" s="27"/>
      <c r="B77" s="27"/>
      <c r="C77" s="32"/>
      <c r="D77" s="29"/>
      <c r="E77" s="32"/>
    </row>
    <row r="78" spans="1:5">
      <c r="A78" s="27"/>
      <c r="B78" s="27"/>
      <c r="C78" s="32"/>
      <c r="D78" s="29"/>
      <c r="E78" s="32"/>
    </row>
    <row r="79" spans="1:5">
      <c r="A79" s="27"/>
      <c r="B79" s="27"/>
      <c r="C79" s="32"/>
      <c r="D79" s="29"/>
      <c r="E79" s="32"/>
    </row>
    <row r="80" spans="1:5">
      <c r="A80" s="27"/>
      <c r="B80" s="27"/>
      <c r="C80" s="32"/>
      <c r="D80" s="29"/>
      <c r="E80" s="32"/>
    </row>
    <row r="81" spans="1:5">
      <c r="A81" s="27"/>
      <c r="B81" s="27"/>
      <c r="C81" s="32"/>
      <c r="D81" s="29"/>
      <c r="E81" s="32"/>
    </row>
    <row r="82" spans="1:5">
      <c r="A82" s="27"/>
      <c r="B82" s="27"/>
      <c r="C82" s="32"/>
      <c r="D82" s="29"/>
      <c r="E82" s="32"/>
    </row>
    <row r="83" spans="1:5">
      <c r="A83" s="27"/>
      <c r="B83" s="27"/>
      <c r="C83" s="32"/>
      <c r="D83" s="29"/>
      <c r="E83" s="32"/>
    </row>
    <row r="84" spans="1:5">
      <c r="A84" s="27"/>
      <c r="B84" s="27"/>
      <c r="C84" s="32"/>
      <c r="D84" s="29"/>
      <c r="E84" s="32"/>
    </row>
    <row r="85" spans="1:5">
      <c r="A85" s="27"/>
      <c r="B85" s="27"/>
      <c r="C85" s="32"/>
      <c r="D85" s="29"/>
      <c r="E85" s="32"/>
    </row>
    <row r="86" spans="1:5">
      <c r="A86" s="27"/>
      <c r="B86" s="27"/>
      <c r="C86" s="32"/>
      <c r="D86" s="29"/>
      <c r="E86" s="32"/>
    </row>
    <row r="87" spans="1:5">
      <c r="A87" s="27"/>
      <c r="B87" s="27"/>
      <c r="C87" s="32"/>
      <c r="D87" s="29"/>
      <c r="E87" s="32"/>
    </row>
    <row r="88" spans="1:5">
      <c r="A88" s="27"/>
      <c r="B88" s="27"/>
      <c r="C88" s="32"/>
      <c r="D88" s="29"/>
      <c r="E88" s="32"/>
    </row>
    <row r="89" spans="1:5">
      <c r="A89" s="27"/>
      <c r="B89" s="27"/>
      <c r="C89" s="32"/>
      <c r="D89" s="29"/>
      <c r="E89" s="32"/>
    </row>
    <row r="90" spans="1:5">
      <c r="A90" s="27"/>
      <c r="B90" s="27"/>
      <c r="C90" s="32"/>
      <c r="D90" s="29"/>
      <c r="E90" s="32"/>
    </row>
    <row r="91" spans="1:5">
      <c r="A91" s="27"/>
      <c r="B91" s="27"/>
      <c r="C91" s="32"/>
      <c r="D91" s="29"/>
      <c r="E91" s="32"/>
    </row>
    <row r="92" spans="1:5">
      <c r="A92" s="27"/>
      <c r="B92" s="27"/>
      <c r="C92" s="32"/>
      <c r="D92" s="29"/>
      <c r="E92" s="32"/>
    </row>
    <row r="93" spans="1:5">
      <c r="A93" s="27"/>
      <c r="B93" s="27"/>
      <c r="C93" s="32"/>
      <c r="D93" s="29"/>
      <c r="E93" s="32"/>
    </row>
    <row r="94" spans="1:5">
      <c r="A94" s="27"/>
      <c r="B94" s="27"/>
      <c r="C94" s="32"/>
      <c r="D94" s="29"/>
      <c r="E94" s="32"/>
    </row>
    <row r="95" spans="1:5">
      <c r="A95" s="27"/>
      <c r="B95" s="27"/>
      <c r="C95" s="32"/>
      <c r="D95" s="29"/>
      <c r="E95" s="32"/>
    </row>
    <row r="96" spans="1:5">
      <c r="A96" s="27"/>
      <c r="B96" s="27"/>
      <c r="C96" s="32"/>
      <c r="D96" s="29"/>
      <c r="E96" s="32"/>
    </row>
    <row r="97" spans="1:5">
      <c r="A97" s="27"/>
      <c r="B97" s="27"/>
      <c r="C97" s="32"/>
      <c r="D97" s="29"/>
      <c r="E97" s="32"/>
    </row>
    <row r="98" spans="1:5">
      <c r="A98" s="27"/>
      <c r="B98" s="27"/>
      <c r="C98" s="32"/>
      <c r="D98" s="29"/>
      <c r="E98" s="32"/>
    </row>
    <row r="99" spans="1:5">
      <c r="A99" s="27"/>
      <c r="B99" s="27"/>
      <c r="C99" s="32"/>
      <c r="D99" s="29"/>
      <c r="E99" s="32"/>
    </row>
    <row r="100" spans="1:5">
      <c r="A100" s="27"/>
      <c r="B100" s="27"/>
      <c r="C100" s="32"/>
      <c r="D100" s="29"/>
      <c r="E100" s="32"/>
    </row>
    <row r="101" spans="1:5">
      <c r="A101" s="27"/>
      <c r="B101" s="27"/>
      <c r="C101" s="32"/>
      <c r="D101" s="29"/>
      <c r="E101" s="32"/>
    </row>
    <row r="102" spans="1:5">
      <c r="A102" s="27"/>
      <c r="B102" s="27"/>
      <c r="C102" s="32"/>
      <c r="D102" s="29"/>
      <c r="E102" s="32"/>
    </row>
    <row r="103" spans="1:5">
      <c r="A103" s="27"/>
      <c r="B103" s="27"/>
      <c r="C103" s="32"/>
      <c r="D103" s="29"/>
      <c r="E103" s="32"/>
    </row>
    <row r="104" spans="1:5">
      <c r="A104" s="27"/>
      <c r="B104" s="27"/>
      <c r="C104" s="32"/>
      <c r="D104" s="29"/>
      <c r="E104" s="32"/>
    </row>
    <row r="105" spans="1:5">
      <c r="A105" s="27"/>
      <c r="B105" s="27"/>
      <c r="C105" s="32"/>
      <c r="D105" s="29"/>
      <c r="E105" s="32"/>
    </row>
    <row r="106" spans="1:5">
      <c r="A106" s="27"/>
      <c r="B106" s="27"/>
      <c r="C106" s="32"/>
      <c r="D106" s="29"/>
      <c r="E106" s="32"/>
    </row>
    <row r="107" spans="1:5">
      <c r="A107" s="27"/>
      <c r="B107" s="27"/>
      <c r="C107" s="32"/>
      <c r="D107" s="29"/>
      <c r="E107" s="32"/>
    </row>
    <row r="108" spans="1:5">
      <c r="A108" s="27"/>
      <c r="B108" s="27"/>
      <c r="C108" s="32"/>
      <c r="D108" s="29"/>
      <c r="E108" s="32"/>
    </row>
    <row r="109" spans="1:5">
      <c r="A109" s="27"/>
      <c r="B109" s="27"/>
      <c r="C109" s="32"/>
      <c r="D109" s="29"/>
      <c r="E109" s="32"/>
    </row>
    <row r="110" spans="1:5">
      <c r="A110" s="27"/>
      <c r="B110" s="27"/>
      <c r="C110" s="32"/>
      <c r="D110" s="29"/>
      <c r="E110" s="32"/>
    </row>
    <row r="111" spans="1:5">
      <c r="A111" s="27"/>
      <c r="B111" s="27"/>
      <c r="C111" s="32"/>
      <c r="D111" s="29"/>
      <c r="E111" s="32"/>
    </row>
    <row r="112" spans="1:5">
      <c r="A112" s="27"/>
      <c r="B112" s="27"/>
      <c r="C112" s="32"/>
      <c r="D112" s="29"/>
      <c r="E112" s="32"/>
    </row>
    <row r="113" spans="1:5">
      <c r="A113" s="27"/>
      <c r="B113" s="27"/>
      <c r="C113" s="32"/>
      <c r="D113" s="29"/>
      <c r="E113" s="32"/>
    </row>
    <row r="114" spans="1:5">
      <c r="A114" s="27"/>
      <c r="B114" s="27"/>
      <c r="C114" s="32"/>
      <c r="D114" s="29"/>
      <c r="E114" s="32"/>
    </row>
    <row r="115" spans="1:5">
      <c r="A115" s="27"/>
      <c r="B115" s="27"/>
      <c r="C115" s="32"/>
      <c r="D115" s="29"/>
      <c r="E115" s="32"/>
    </row>
    <row r="116" spans="1:5">
      <c r="A116" s="27"/>
      <c r="B116" s="27"/>
      <c r="C116" s="32"/>
      <c r="D116" s="29"/>
      <c r="E116" s="32"/>
    </row>
    <row r="117" spans="1:5">
      <c r="A117" s="27"/>
      <c r="B117" s="27"/>
      <c r="C117" s="32"/>
      <c r="D117" s="29"/>
      <c r="E117" s="32"/>
    </row>
    <row r="118" spans="1:5">
      <c r="A118" s="27"/>
      <c r="B118" s="27"/>
      <c r="C118" s="32"/>
      <c r="D118" s="29"/>
      <c r="E118" s="32"/>
    </row>
    <row r="119" spans="1:5">
      <c r="A119" s="27"/>
      <c r="B119" s="27"/>
      <c r="C119" s="32"/>
      <c r="D119" s="29"/>
      <c r="E119" s="32"/>
    </row>
    <row r="120" spans="1:5">
      <c r="A120" s="27"/>
      <c r="B120" s="27"/>
      <c r="C120" s="32"/>
      <c r="D120" s="29"/>
      <c r="E120" s="32"/>
    </row>
    <row r="121" spans="1:5">
      <c r="A121" s="27"/>
      <c r="B121" s="27"/>
      <c r="C121" s="32"/>
      <c r="D121" s="29"/>
      <c r="E121" s="32"/>
    </row>
    <row r="122" spans="1:5">
      <c r="A122" s="27"/>
      <c r="B122" s="27"/>
      <c r="C122" s="32"/>
      <c r="D122" s="29"/>
      <c r="E122" s="32"/>
    </row>
    <row r="123" spans="1:5">
      <c r="A123" s="27"/>
      <c r="B123" s="27"/>
      <c r="C123" s="32"/>
      <c r="D123" s="29"/>
      <c r="E123" s="32"/>
    </row>
    <row r="124" spans="1:5">
      <c r="A124" s="27"/>
      <c r="B124" s="27"/>
      <c r="C124" s="32"/>
      <c r="D124" s="29"/>
      <c r="E124" s="32"/>
    </row>
    <row r="125" spans="1:5">
      <c r="A125" s="27"/>
      <c r="B125" s="27"/>
      <c r="C125" s="32"/>
      <c r="D125" s="29"/>
      <c r="E125" s="32"/>
    </row>
    <row r="126" spans="1:5">
      <c r="A126" s="27"/>
      <c r="B126" s="27"/>
      <c r="C126" s="32"/>
      <c r="D126" s="29"/>
      <c r="E126" s="32"/>
    </row>
    <row r="127" spans="1:5">
      <c r="A127" s="27"/>
      <c r="B127" s="27"/>
      <c r="C127" s="32"/>
      <c r="D127" s="29"/>
      <c r="E127" s="32"/>
    </row>
    <row r="128" spans="1:5">
      <c r="A128" s="27"/>
      <c r="B128" s="27"/>
      <c r="C128" s="32"/>
      <c r="D128" s="29"/>
      <c r="E128" s="32"/>
    </row>
    <row r="129" spans="1:5">
      <c r="A129" s="27"/>
      <c r="B129" s="27"/>
      <c r="C129" s="32"/>
      <c r="D129" s="29"/>
      <c r="E129" s="32"/>
    </row>
    <row r="130" spans="1:5">
      <c r="A130" s="27"/>
      <c r="B130" s="27"/>
      <c r="C130" s="32"/>
      <c r="D130" s="29"/>
      <c r="E130" s="32"/>
    </row>
    <row r="131" spans="1:5">
      <c r="A131" s="27"/>
      <c r="B131" s="27"/>
      <c r="C131" s="32"/>
      <c r="D131" s="29"/>
      <c r="E131" s="32"/>
    </row>
    <row r="132" spans="1:5">
      <c r="A132" s="27"/>
      <c r="B132" s="27"/>
      <c r="C132" s="32"/>
      <c r="D132" s="29"/>
      <c r="E132" s="32"/>
    </row>
    <row r="133" spans="1:5">
      <c r="A133" s="27"/>
      <c r="B133" s="27"/>
      <c r="C133" s="32"/>
      <c r="D133" s="29"/>
      <c r="E133" s="32"/>
    </row>
    <row r="134" spans="1:5">
      <c r="A134" s="27"/>
      <c r="B134" s="27"/>
      <c r="C134" s="32"/>
      <c r="D134" s="29"/>
      <c r="E134" s="32"/>
    </row>
    <row r="135" spans="1:5">
      <c r="A135" s="27"/>
      <c r="B135" s="27"/>
      <c r="C135" s="32"/>
      <c r="D135" s="29"/>
      <c r="E135" s="32"/>
    </row>
    <row r="136" spans="1:5">
      <c r="A136" s="27"/>
      <c r="B136" s="27"/>
      <c r="C136" s="32"/>
      <c r="D136" s="29"/>
      <c r="E136" s="32"/>
    </row>
    <row r="137" spans="1:5">
      <c r="A137" s="27"/>
      <c r="B137" s="27"/>
      <c r="C137" s="32"/>
      <c r="D137" s="29"/>
      <c r="E137" s="32"/>
    </row>
    <row r="138" spans="1:5">
      <c r="A138" s="27"/>
      <c r="B138" s="27"/>
      <c r="C138" s="32"/>
      <c r="D138" s="29"/>
      <c r="E138" s="32"/>
    </row>
    <row r="139" spans="1:5">
      <c r="A139" s="27"/>
      <c r="B139" s="27"/>
      <c r="C139" s="32"/>
      <c r="D139" s="29"/>
      <c r="E139" s="32"/>
    </row>
    <row r="140" spans="1:5">
      <c r="A140" s="27"/>
      <c r="B140" s="27"/>
      <c r="C140" s="32"/>
      <c r="D140" s="29"/>
      <c r="E140" s="32"/>
    </row>
    <row r="141" spans="1:5">
      <c r="A141" s="27"/>
      <c r="B141" s="27"/>
      <c r="C141" s="32"/>
      <c r="D141" s="29"/>
      <c r="E141" s="32"/>
    </row>
    <row r="142" spans="1:5">
      <c r="A142" s="27"/>
      <c r="B142" s="27"/>
      <c r="C142" s="32"/>
      <c r="D142" s="29"/>
      <c r="E142" s="32"/>
    </row>
    <row r="143" spans="1:5">
      <c r="A143" s="27"/>
      <c r="B143" s="27"/>
      <c r="C143" s="32"/>
      <c r="D143" s="29"/>
      <c r="E143" s="32"/>
    </row>
    <row r="144" spans="1:5">
      <c r="A144" s="27"/>
      <c r="B144" s="27"/>
      <c r="C144" s="32"/>
      <c r="D144" s="29"/>
      <c r="E144" s="32"/>
    </row>
    <row r="145" spans="1:5">
      <c r="A145" s="27"/>
      <c r="B145" s="27"/>
      <c r="C145" s="32"/>
      <c r="D145" s="29"/>
      <c r="E145" s="32"/>
    </row>
    <row r="146" spans="1:5">
      <c r="A146" s="27"/>
      <c r="B146" s="27"/>
      <c r="C146" s="32"/>
      <c r="D146" s="29"/>
      <c r="E146" s="32"/>
    </row>
    <row r="147" spans="1:5">
      <c r="A147" s="27"/>
      <c r="B147" s="27"/>
      <c r="C147" s="32"/>
      <c r="D147" s="29"/>
      <c r="E147" s="32"/>
    </row>
    <row r="148" spans="1:5">
      <c r="A148" s="27"/>
      <c r="B148" s="27"/>
      <c r="C148" s="32"/>
      <c r="D148" s="29"/>
      <c r="E148" s="32"/>
    </row>
    <row r="149" spans="1:5">
      <c r="A149" s="27"/>
      <c r="B149" s="27"/>
      <c r="C149" s="32"/>
      <c r="D149" s="29"/>
      <c r="E149" s="32"/>
    </row>
    <row r="150" spans="1:5">
      <c r="A150" s="27"/>
      <c r="B150" s="27"/>
      <c r="C150" s="32"/>
      <c r="D150" s="29"/>
      <c r="E150" s="32"/>
    </row>
    <row r="151" spans="1:5">
      <c r="A151" s="27"/>
      <c r="B151" s="27"/>
      <c r="C151" s="32"/>
      <c r="D151" s="29"/>
      <c r="E151" s="32"/>
    </row>
    <row r="152" spans="1:5">
      <c r="A152" s="27"/>
      <c r="B152" s="27"/>
      <c r="C152" s="32"/>
      <c r="D152" s="29"/>
      <c r="E152" s="32"/>
    </row>
    <row r="153" spans="1:5">
      <c r="A153" s="27"/>
      <c r="B153" s="27"/>
      <c r="C153" s="32"/>
      <c r="D153" s="29"/>
      <c r="E153" s="32"/>
    </row>
    <row r="154" spans="1:5">
      <c r="A154" s="27"/>
      <c r="B154" s="27"/>
      <c r="C154" s="32"/>
      <c r="D154" s="29"/>
      <c r="E154" s="32"/>
    </row>
    <row r="155" spans="1:5">
      <c r="A155" s="27"/>
      <c r="B155" s="27"/>
      <c r="C155" s="32"/>
      <c r="D155" s="29"/>
      <c r="E155" s="32"/>
    </row>
    <row r="156" spans="1:5">
      <c r="A156" s="27"/>
      <c r="B156" s="27"/>
      <c r="C156" s="32"/>
      <c r="D156" s="29"/>
      <c r="E156" s="32"/>
    </row>
    <row r="157" spans="1:5">
      <c r="A157" s="27"/>
      <c r="B157" s="27"/>
      <c r="C157" s="32"/>
      <c r="D157" s="29"/>
      <c r="E157" s="32"/>
    </row>
    <row r="158" spans="1:5">
      <c r="A158" s="27"/>
      <c r="B158" s="27"/>
      <c r="C158" s="32"/>
      <c r="D158" s="29"/>
      <c r="E158" s="32"/>
    </row>
    <row r="159" spans="1:5">
      <c r="A159" s="27"/>
      <c r="B159" s="27"/>
      <c r="C159" s="32"/>
      <c r="D159" s="29"/>
      <c r="E159" s="32"/>
    </row>
    <row r="160" spans="1:5">
      <c r="A160" s="27"/>
      <c r="B160" s="27"/>
      <c r="C160" s="32"/>
      <c r="D160" s="29"/>
      <c r="E160" s="32"/>
    </row>
    <row r="161" spans="1:5">
      <c r="A161" s="27"/>
      <c r="B161" s="27"/>
      <c r="C161" s="32"/>
      <c r="D161" s="29"/>
      <c r="E161" s="32"/>
    </row>
    <row r="162" spans="1:5">
      <c r="A162" s="27"/>
      <c r="B162" s="27"/>
      <c r="C162" s="32"/>
      <c r="D162" s="29"/>
      <c r="E162" s="32"/>
    </row>
    <row r="163" spans="1:5">
      <c r="A163" s="27"/>
      <c r="B163" s="27"/>
      <c r="C163" s="32"/>
      <c r="D163" s="29"/>
      <c r="E163" s="32"/>
    </row>
    <row r="164" spans="1:5">
      <c r="A164" s="27"/>
      <c r="B164" s="27"/>
      <c r="C164" s="32"/>
      <c r="D164" s="29"/>
      <c r="E164" s="32"/>
    </row>
    <row r="165" spans="1:5">
      <c r="A165" s="27"/>
      <c r="B165" s="27"/>
      <c r="C165" s="32"/>
      <c r="D165" s="29"/>
      <c r="E165" s="32"/>
    </row>
    <row r="166" spans="1:5">
      <c r="A166" s="27"/>
      <c r="B166" s="27"/>
      <c r="C166" s="32"/>
      <c r="D166" s="29"/>
      <c r="E166" s="32"/>
    </row>
    <row r="167" spans="1:5">
      <c r="A167" s="27"/>
      <c r="B167" s="27"/>
      <c r="C167" s="32"/>
      <c r="D167" s="29"/>
      <c r="E167" s="32"/>
    </row>
    <row r="168" spans="1:5">
      <c r="A168" s="27"/>
      <c r="B168" s="27"/>
      <c r="C168" s="32"/>
      <c r="D168" s="29"/>
      <c r="E168" s="32"/>
    </row>
    <row r="169" spans="1:5">
      <c r="A169" s="27"/>
      <c r="B169" s="27"/>
      <c r="C169" s="32"/>
      <c r="D169" s="29"/>
      <c r="E169" s="32"/>
    </row>
    <row r="170" spans="1:5">
      <c r="A170" s="27"/>
      <c r="B170" s="27"/>
      <c r="C170" s="32"/>
      <c r="D170" s="29"/>
      <c r="E170" s="32"/>
    </row>
    <row r="171" spans="1:5">
      <c r="A171" s="27"/>
      <c r="B171" s="27"/>
      <c r="C171" s="32"/>
      <c r="D171" s="29"/>
      <c r="E171" s="32"/>
    </row>
    <row r="172" spans="1:5">
      <c r="A172" s="27"/>
      <c r="B172" s="27"/>
      <c r="C172" s="32"/>
      <c r="D172" s="29"/>
      <c r="E172" s="32"/>
    </row>
    <row r="173" spans="1:5">
      <c r="A173" s="27"/>
      <c r="B173" s="27"/>
      <c r="C173" s="32"/>
      <c r="D173" s="29"/>
      <c r="E173" s="32"/>
    </row>
    <row r="174" spans="1:5">
      <c r="A174" s="27"/>
      <c r="B174" s="27"/>
      <c r="C174" s="32"/>
      <c r="D174" s="29"/>
      <c r="E174" s="32"/>
    </row>
    <row r="175" spans="1:5">
      <c r="A175" s="27"/>
      <c r="B175" s="27"/>
      <c r="C175" s="32"/>
      <c r="D175" s="29"/>
      <c r="E175" s="32"/>
    </row>
    <row r="176" spans="1:5">
      <c r="A176" s="27"/>
      <c r="B176" s="27"/>
      <c r="C176" s="32"/>
      <c r="D176" s="29"/>
      <c r="E176" s="32"/>
    </row>
    <row r="177" spans="1:5">
      <c r="A177" s="27"/>
      <c r="B177" s="27"/>
      <c r="C177" s="32"/>
      <c r="D177" s="29"/>
      <c r="E177" s="32"/>
    </row>
    <row r="178" spans="1:5">
      <c r="A178" s="27"/>
      <c r="B178" s="27"/>
      <c r="C178" s="32"/>
      <c r="D178" s="29"/>
      <c r="E178" s="32"/>
    </row>
    <row r="179" spans="1:5">
      <c r="A179" s="27"/>
      <c r="B179" s="27"/>
      <c r="C179" s="32"/>
      <c r="D179" s="29"/>
      <c r="E179" s="32"/>
    </row>
    <row r="180" spans="1:5">
      <c r="A180" s="27"/>
      <c r="B180" s="27"/>
      <c r="C180" s="32"/>
      <c r="D180" s="29"/>
      <c r="E180" s="32"/>
    </row>
    <row r="181" spans="1:5">
      <c r="A181" s="27"/>
      <c r="B181" s="27"/>
      <c r="C181" s="32"/>
      <c r="D181" s="29"/>
      <c r="E181" s="32"/>
    </row>
    <row r="182" spans="1:5">
      <c r="A182" s="27"/>
      <c r="B182" s="27"/>
      <c r="C182" s="32"/>
      <c r="D182" s="29"/>
      <c r="E182" s="32"/>
    </row>
    <row r="183" spans="1:5">
      <c r="A183" s="27"/>
      <c r="B183" s="27"/>
      <c r="C183" s="32"/>
      <c r="D183" s="29"/>
      <c r="E183" s="32"/>
    </row>
    <row r="184" spans="1:5">
      <c r="A184" s="27"/>
      <c r="B184" s="27"/>
      <c r="C184" s="32"/>
      <c r="D184" s="29"/>
      <c r="E184" s="32"/>
    </row>
    <row r="185" spans="1:5">
      <c r="A185" s="27"/>
      <c r="B185" s="27"/>
      <c r="C185" s="32"/>
      <c r="D185" s="29"/>
      <c r="E185" s="32"/>
    </row>
    <row r="186" spans="1:5">
      <c r="A186" s="27"/>
      <c r="B186" s="27"/>
      <c r="C186" s="32"/>
      <c r="D186" s="29"/>
      <c r="E186" s="32"/>
    </row>
    <row r="187" spans="1:5">
      <c r="A187" s="27"/>
      <c r="B187" s="27"/>
      <c r="C187" s="32"/>
      <c r="D187" s="29"/>
      <c r="E187" s="32"/>
    </row>
    <row r="188" spans="1:5">
      <c r="A188" s="27"/>
      <c r="B188" s="27"/>
      <c r="C188" s="32"/>
      <c r="D188" s="29"/>
      <c r="E188" s="32"/>
    </row>
    <row r="189" spans="1:5">
      <c r="A189" s="27"/>
      <c r="B189" s="27"/>
      <c r="C189" s="32"/>
      <c r="D189" s="29"/>
      <c r="E189" s="32"/>
    </row>
    <row r="190" spans="1:5">
      <c r="A190" s="27"/>
      <c r="B190" s="27"/>
      <c r="C190" s="32"/>
      <c r="D190" s="29"/>
      <c r="E190" s="32"/>
    </row>
    <row r="191" spans="1:5">
      <c r="A191" s="27"/>
      <c r="B191" s="27"/>
      <c r="C191" s="32"/>
      <c r="D191" s="29"/>
      <c r="E191" s="32"/>
    </row>
    <row r="192" spans="1:5">
      <c r="A192" s="27"/>
      <c r="B192" s="27"/>
      <c r="C192" s="32"/>
      <c r="D192" s="29"/>
      <c r="E192" s="32"/>
    </row>
    <row r="193" spans="1:5">
      <c r="A193" s="27"/>
      <c r="B193" s="27"/>
      <c r="C193" s="32"/>
      <c r="D193" s="29"/>
      <c r="E193" s="32"/>
    </row>
    <row r="194" spans="1:5">
      <c r="A194" s="27"/>
      <c r="B194" s="27"/>
      <c r="C194" s="32"/>
      <c r="D194" s="29"/>
      <c r="E194" s="32"/>
    </row>
    <row r="195" spans="1:5">
      <c r="A195" s="27"/>
      <c r="B195" s="27"/>
      <c r="C195" s="32"/>
      <c r="D195" s="29"/>
      <c r="E195" s="32"/>
    </row>
    <row r="196" spans="1:5">
      <c r="A196" s="27"/>
      <c r="B196" s="27"/>
      <c r="C196" s="32"/>
      <c r="D196" s="29"/>
      <c r="E196" s="32"/>
    </row>
    <row r="197" spans="1:5">
      <c r="A197" s="27"/>
      <c r="B197" s="27"/>
      <c r="C197" s="32"/>
      <c r="D197" s="29"/>
      <c r="E197" s="32"/>
    </row>
    <row r="198" spans="1:5">
      <c r="A198" s="27"/>
      <c r="B198" s="27"/>
      <c r="C198" s="32"/>
      <c r="D198" s="29"/>
      <c r="E198" s="32"/>
    </row>
    <row r="199" spans="1:5">
      <c r="A199" s="27"/>
      <c r="B199" s="27"/>
      <c r="C199" s="32"/>
      <c r="D199" s="29"/>
      <c r="E199" s="32"/>
    </row>
    <row r="200" spans="1:5">
      <c r="A200" s="27"/>
      <c r="B200" s="27"/>
      <c r="C200" s="32"/>
      <c r="D200" s="29"/>
      <c r="E200" s="32"/>
    </row>
    <row r="201" spans="1:5">
      <c r="A201" s="27"/>
      <c r="B201" s="27"/>
      <c r="C201" s="32"/>
      <c r="D201" s="29"/>
      <c r="E201" s="32"/>
    </row>
    <row r="202" spans="1:5">
      <c r="A202" s="27"/>
      <c r="B202" s="27"/>
      <c r="C202" s="32"/>
      <c r="D202" s="29"/>
      <c r="E202" s="32"/>
    </row>
    <row r="203" spans="1:5">
      <c r="A203" s="27"/>
      <c r="B203" s="27"/>
      <c r="C203" s="32"/>
      <c r="D203" s="29"/>
      <c r="E203" s="32"/>
    </row>
    <row r="204" spans="1:5">
      <c r="A204" s="27"/>
      <c r="B204" s="27"/>
      <c r="C204" s="32"/>
      <c r="D204" s="29"/>
      <c r="E204" s="32"/>
    </row>
    <row r="205" spans="1:5">
      <c r="A205" s="27"/>
      <c r="B205" s="27"/>
      <c r="C205" s="32"/>
      <c r="D205" s="29"/>
      <c r="E205" s="32"/>
    </row>
    <row r="206" spans="1:5">
      <c r="A206" s="27"/>
      <c r="B206" s="27"/>
      <c r="C206" s="32"/>
      <c r="D206" s="29"/>
      <c r="E206" s="32"/>
    </row>
    <row r="207" spans="1:5">
      <c r="A207" s="27"/>
      <c r="B207" s="27"/>
      <c r="C207" s="32"/>
      <c r="D207" s="29"/>
      <c r="E207" s="32"/>
    </row>
    <row r="208" spans="1:5">
      <c r="A208" s="27"/>
      <c r="B208" s="27"/>
      <c r="C208" s="32"/>
      <c r="D208" s="29"/>
      <c r="E208" s="32"/>
    </row>
    <row r="209" spans="1:5">
      <c r="A209" s="27"/>
      <c r="B209" s="27"/>
      <c r="C209" s="32"/>
      <c r="D209" s="29"/>
      <c r="E209" s="32"/>
    </row>
    <row r="210" spans="1:5">
      <c r="A210" s="27"/>
      <c r="B210" s="27"/>
      <c r="C210" s="32"/>
      <c r="D210" s="29"/>
      <c r="E210" s="32"/>
    </row>
    <row r="211" spans="1:5">
      <c r="A211" s="27"/>
      <c r="B211" s="27"/>
      <c r="C211" s="32"/>
      <c r="D211" s="29"/>
      <c r="E211" s="32"/>
    </row>
    <row r="212" spans="1:5">
      <c r="A212" s="27"/>
      <c r="B212" s="27"/>
      <c r="C212" s="32"/>
      <c r="D212" s="29"/>
      <c r="E212" s="32"/>
    </row>
    <row r="213" spans="1:5">
      <c r="A213" s="27"/>
      <c r="B213" s="27"/>
      <c r="C213" s="32"/>
      <c r="D213" s="29"/>
      <c r="E213" s="32"/>
    </row>
    <row r="214" spans="1:5">
      <c r="A214" s="27"/>
      <c r="B214" s="27"/>
      <c r="C214" s="32"/>
      <c r="D214" s="29"/>
      <c r="E214" s="32"/>
    </row>
    <row r="215" spans="1:5">
      <c r="A215" s="27"/>
      <c r="B215" s="27"/>
      <c r="C215" s="32"/>
      <c r="D215" s="29"/>
      <c r="E215" s="32"/>
    </row>
    <row r="216" spans="1:5">
      <c r="A216" s="27"/>
      <c r="B216" s="27"/>
      <c r="C216" s="32"/>
      <c r="D216" s="29"/>
      <c r="E216" s="32"/>
    </row>
    <row r="217" spans="1:5">
      <c r="A217" s="27"/>
      <c r="B217" s="27"/>
      <c r="C217" s="32"/>
      <c r="D217" s="29"/>
      <c r="E217" s="32"/>
    </row>
    <row r="218" spans="1:5">
      <c r="A218" s="27"/>
      <c r="B218" s="27"/>
      <c r="C218" s="32"/>
      <c r="D218" s="29"/>
      <c r="E218" s="32"/>
    </row>
    <row r="219" spans="1:5">
      <c r="A219" s="27"/>
      <c r="B219" s="27"/>
      <c r="C219" s="32"/>
      <c r="D219" s="29"/>
      <c r="E219" s="32"/>
    </row>
    <row r="220" spans="1:5">
      <c r="A220" s="27"/>
      <c r="B220" s="27"/>
      <c r="C220" s="32"/>
      <c r="D220" s="29"/>
      <c r="E220" s="32"/>
    </row>
    <row r="221" spans="1:5">
      <c r="A221" s="27"/>
      <c r="B221" s="27"/>
      <c r="C221" s="32"/>
      <c r="D221" s="29"/>
      <c r="E221" s="32"/>
    </row>
    <row r="222" spans="1:5">
      <c r="A222" s="27"/>
      <c r="B222" s="27"/>
      <c r="C222" s="32"/>
      <c r="D222" s="29"/>
      <c r="E222" s="32"/>
    </row>
    <row r="223" spans="1:5">
      <c r="A223" s="27"/>
      <c r="B223" s="27"/>
      <c r="C223" s="32"/>
      <c r="D223" s="29"/>
      <c r="E223" s="32"/>
    </row>
    <row r="224" spans="1:5">
      <c r="A224" s="27"/>
      <c r="B224" s="27"/>
      <c r="C224" s="32"/>
      <c r="D224" s="29"/>
      <c r="E224" s="32"/>
    </row>
    <row r="225" spans="1:5">
      <c r="A225" s="27"/>
      <c r="B225" s="27"/>
      <c r="C225" s="32"/>
      <c r="D225" s="29"/>
      <c r="E225" s="32"/>
    </row>
    <row r="226" spans="1:5">
      <c r="A226" s="27"/>
      <c r="B226" s="27"/>
      <c r="C226" s="32"/>
      <c r="D226" s="29"/>
      <c r="E226" s="32"/>
    </row>
    <row r="227" spans="1:5">
      <c r="A227" s="27"/>
      <c r="B227" s="27"/>
      <c r="C227" s="32"/>
      <c r="D227" s="29"/>
      <c r="E227" s="32"/>
    </row>
    <row r="228" spans="1:5">
      <c r="A228" s="27"/>
      <c r="B228" s="27"/>
      <c r="C228" s="32"/>
      <c r="D228" s="29"/>
      <c r="E228" s="32"/>
    </row>
    <row r="229" spans="1:5">
      <c r="A229" s="27"/>
      <c r="B229" s="27"/>
      <c r="C229" s="32"/>
      <c r="D229" s="29"/>
      <c r="E229" s="32"/>
    </row>
    <row r="230" spans="1:5">
      <c r="A230" s="27"/>
      <c r="B230" s="27"/>
      <c r="C230" s="32"/>
      <c r="D230" s="29"/>
      <c r="E230" s="32"/>
    </row>
    <row r="231" spans="1:5">
      <c r="A231" s="27"/>
      <c r="B231" s="27"/>
      <c r="C231" s="32"/>
      <c r="D231" s="29"/>
      <c r="E231" s="32"/>
    </row>
    <row r="232" spans="1:5">
      <c r="A232" s="27"/>
      <c r="B232" s="27"/>
      <c r="C232" s="32"/>
      <c r="D232" s="29"/>
      <c r="E232" s="32"/>
    </row>
    <row r="233" spans="1:5">
      <c r="A233" s="27"/>
      <c r="B233" s="27"/>
      <c r="C233" s="32"/>
      <c r="D233" s="29"/>
      <c r="E233" s="32"/>
    </row>
    <row r="234" spans="1:5">
      <c r="A234" s="27"/>
      <c r="B234" s="27"/>
      <c r="C234" s="32"/>
      <c r="D234" s="29"/>
      <c r="E234" s="32"/>
    </row>
    <row r="235" spans="1:5">
      <c r="A235" s="27"/>
      <c r="B235" s="27"/>
      <c r="C235" s="32"/>
      <c r="D235" s="29"/>
      <c r="E235" s="32"/>
    </row>
    <row r="236" spans="1:5">
      <c r="A236" s="27"/>
      <c r="B236" s="27"/>
      <c r="C236" s="32"/>
      <c r="D236" s="29"/>
      <c r="E236" s="32"/>
    </row>
    <row r="237" spans="1:5">
      <c r="A237" s="27"/>
      <c r="B237" s="27"/>
      <c r="C237" s="32"/>
      <c r="D237" s="29"/>
      <c r="E237" s="32"/>
    </row>
    <row r="238" spans="1:5">
      <c r="A238" s="27"/>
      <c r="B238" s="27"/>
      <c r="C238" s="32"/>
      <c r="D238" s="29"/>
      <c r="E238" s="32"/>
    </row>
    <row r="239" spans="1:5">
      <c r="A239" s="27"/>
      <c r="B239" s="27"/>
      <c r="C239" s="32"/>
      <c r="D239" s="29"/>
      <c r="E239" s="32"/>
    </row>
    <row r="240" spans="1:5">
      <c r="A240" s="27"/>
      <c r="B240" s="27"/>
      <c r="C240" s="32"/>
      <c r="D240" s="29"/>
      <c r="E240" s="32"/>
    </row>
    <row r="241" spans="1:5">
      <c r="A241" s="27"/>
      <c r="B241" s="27"/>
      <c r="C241" s="32"/>
      <c r="D241" s="29"/>
      <c r="E241" s="32"/>
    </row>
    <row r="242" spans="1:5">
      <c r="A242" s="27"/>
      <c r="B242" s="27"/>
      <c r="C242" s="32"/>
      <c r="D242" s="29"/>
      <c r="E242" s="32"/>
    </row>
    <row r="243" spans="1:5">
      <c r="A243" s="27"/>
      <c r="B243" s="27"/>
      <c r="C243" s="32"/>
      <c r="D243" s="29"/>
      <c r="E243" s="32"/>
    </row>
    <row r="244" spans="1:5">
      <c r="A244" s="27"/>
      <c r="B244" s="27"/>
      <c r="C244" s="32"/>
      <c r="D244" s="29"/>
      <c r="E244" s="32"/>
    </row>
    <row r="245" spans="1:5">
      <c r="A245" s="27"/>
      <c r="B245" s="27"/>
      <c r="C245" s="32"/>
      <c r="D245" s="29"/>
      <c r="E245" s="32"/>
    </row>
    <row r="246" spans="1:5">
      <c r="A246" s="27"/>
      <c r="B246" s="27"/>
      <c r="C246" s="32"/>
      <c r="D246" s="29"/>
      <c r="E246" s="32"/>
    </row>
    <row r="247" spans="1:5">
      <c r="A247" s="27"/>
      <c r="B247" s="27"/>
      <c r="C247" s="32"/>
      <c r="D247" s="29"/>
      <c r="E247" s="32"/>
    </row>
    <row r="248" spans="1:5">
      <c r="A248" s="27"/>
      <c r="B248" s="27"/>
      <c r="C248" s="32"/>
      <c r="D248" s="29"/>
      <c r="E248" s="32"/>
    </row>
    <row r="249" spans="1:5">
      <c r="A249" s="27"/>
      <c r="B249" s="27"/>
      <c r="C249" s="32"/>
      <c r="D249" s="29"/>
      <c r="E249" s="32"/>
    </row>
    <row r="250" spans="1:5">
      <c r="A250" s="27"/>
      <c r="B250" s="27"/>
      <c r="C250" s="32"/>
      <c r="D250" s="29"/>
      <c r="E250" s="32"/>
    </row>
    <row r="251" spans="1:5">
      <c r="A251" s="27"/>
      <c r="B251" s="27"/>
      <c r="C251" s="32"/>
      <c r="D251" s="29"/>
      <c r="E251" s="32"/>
    </row>
    <row r="252" spans="1:5">
      <c r="A252" s="27"/>
      <c r="B252" s="27"/>
      <c r="C252" s="32"/>
      <c r="D252" s="29"/>
      <c r="E252" s="32"/>
    </row>
    <row r="253" spans="1:5">
      <c r="A253" s="27"/>
      <c r="B253" s="27"/>
      <c r="C253" s="32"/>
      <c r="D253" s="29"/>
      <c r="E253" s="32"/>
    </row>
    <row r="254" spans="1:5">
      <c r="A254" s="27"/>
      <c r="B254" s="27"/>
      <c r="C254" s="32"/>
      <c r="D254" s="29"/>
      <c r="E254" s="32"/>
    </row>
    <row r="255" spans="1:5">
      <c r="A255" s="27"/>
      <c r="B255" s="27"/>
      <c r="C255" s="32"/>
      <c r="D255" s="29"/>
      <c r="E255" s="32"/>
    </row>
    <row r="256" spans="1:5">
      <c r="A256" s="27"/>
      <c r="B256" s="27"/>
      <c r="C256" s="32"/>
      <c r="D256" s="29"/>
      <c r="E256" s="32"/>
    </row>
    <row r="257" spans="1:5">
      <c r="A257" s="27"/>
      <c r="B257" s="27"/>
      <c r="C257" s="32"/>
      <c r="D257" s="29"/>
      <c r="E257" s="32"/>
    </row>
    <row r="258" spans="1:5">
      <c r="A258" s="27"/>
      <c r="B258" s="27"/>
      <c r="C258" s="32"/>
      <c r="D258" s="29"/>
      <c r="E258" s="32"/>
    </row>
    <row r="259" spans="1:5">
      <c r="A259" s="27"/>
      <c r="B259" s="27"/>
      <c r="C259" s="32"/>
      <c r="D259" s="29"/>
      <c r="E259" s="32"/>
    </row>
    <row r="260" spans="1:5">
      <c r="A260" s="27"/>
      <c r="B260" s="27"/>
      <c r="C260" s="32"/>
      <c r="D260" s="29"/>
      <c r="E260" s="32"/>
    </row>
    <row r="261" spans="1:5">
      <c r="A261" s="27"/>
      <c r="B261" s="27"/>
      <c r="C261" s="32"/>
      <c r="D261" s="29"/>
      <c r="E261" s="32"/>
    </row>
    <row r="262" spans="1:5">
      <c r="A262" s="27"/>
      <c r="B262" s="27"/>
      <c r="C262" s="32"/>
      <c r="D262" s="29"/>
      <c r="E262" s="32"/>
    </row>
    <row r="263" spans="1:5">
      <c r="A263" s="27"/>
      <c r="B263" s="27"/>
      <c r="C263" s="32"/>
      <c r="D263" s="29"/>
      <c r="E263" s="32"/>
    </row>
    <row r="264" spans="1:5">
      <c r="A264" s="27"/>
      <c r="B264" s="27"/>
      <c r="C264" s="32"/>
      <c r="D264" s="29"/>
      <c r="E264" s="32"/>
    </row>
    <row r="265" spans="1:5">
      <c r="A265" s="27"/>
      <c r="B265" s="27"/>
      <c r="C265" s="32"/>
      <c r="D265" s="29"/>
      <c r="E265" s="32"/>
    </row>
    <row r="266" spans="1:5">
      <c r="A266" s="27"/>
      <c r="B266" s="27"/>
      <c r="C266" s="32"/>
      <c r="D266" s="29"/>
      <c r="E266" s="32"/>
    </row>
    <row r="267" spans="1:5">
      <c r="A267" s="27"/>
      <c r="B267" s="27"/>
      <c r="C267" s="32"/>
      <c r="D267" s="29"/>
      <c r="E267" s="32"/>
    </row>
    <row r="268" spans="1:5">
      <c r="A268" s="27"/>
      <c r="B268" s="27"/>
      <c r="C268" s="32"/>
      <c r="D268" s="29"/>
      <c r="E268" s="32"/>
    </row>
    <row r="269" spans="1:5">
      <c r="A269" s="27"/>
      <c r="B269" s="27"/>
      <c r="C269" s="32"/>
      <c r="D269" s="29"/>
      <c r="E269" s="32"/>
    </row>
    <row r="270" spans="1:5">
      <c r="A270" s="27"/>
      <c r="B270" s="27"/>
      <c r="C270" s="32"/>
      <c r="D270" s="29"/>
      <c r="E270" s="32"/>
    </row>
    <row r="271" spans="1:5">
      <c r="A271" s="27"/>
      <c r="B271" s="27"/>
      <c r="C271" s="32"/>
      <c r="D271" s="29"/>
      <c r="E271" s="32"/>
    </row>
    <row r="272" spans="1:5">
      <c r="A272" s="27"/>
      <c r="B272" s="27"/>
      <c r="C272" s="32"/>
      <c r="D272" s="29"/>
      <c r="E272" s="32"/>
    </row>
    <row r="273" spans="1:5">
      <c r="A273" s="27"/>
      <c r="B273" s="27"/>
      <c r="C273" s="32"/>
      <c r="D273" s="29"/>
      <c r="E273" s="32"/>
    </row>
    <row r="274" spans="1:5">
      <c r="A274" s="27"/>
      <c r="B274" s="27"/>
      <c r="C274" s="32"/>
      <c r="D274" s="29"/>
      <c r="E274" s="32"/>
    </row>
    <row r="275" spans="1:5">
      <c r="A275" s="27"/>
      <c r="B275" s="27"/>
      <c r="C275" s="32"/>
      <c r="D275" s="29"/>
      <c r="E275" s="32"/>
    </row>
    <row r="276" spans="1:5">
      <c r="A276" s="27"/>
      <c r="B276" s="27"/>
      <c r="C276" s="32"/>
      <c r="D276" s="29"/>
      <c r="E276" s="32"/>
    </row>
    <row r="277" spans="1:5">
      <c r="A277" s="27"/>
      <c r="B277" s="27"/>
      <c r="C277" s="32"/>
      <c r="D277" s="29"/>
      <c r="E277" s="32"/>
    </row>
    <row r="278" spans="1:5">
      <c r="A278" s="27"/>
      <c r="B278" s="27"/>
      <c r="C278" s="32"/>
      <c r="D278" s="29"/>
      <c r="E278" s="32"/>
    </row>
    <row r="279" spans="1:5">
      <c r="A279" s="27"/>
      <c r="B279" s="27"/>
      <c r="C279" s="32"/>
      <c r="D279" s="29"/>
      <c r="E279" s="32"/>
    </row>
    <row r="280" spans="1:5">
      <c r="A280" s="27"/>
      <c r="B280" s="27"/>
      <c r="C280" s="32"/>
      <c r="D280" s="29"/>
      <c r="E280" s="32"/>
    </row>
    <row r="281" spans="1:5">
      <c r="A281" s="27"/>
      <c r="B281" s="27"/>
      <c r="C281" s="32"/>
      <c r="D281" s="29"/>
      <c r="E281" s="32"/>
    </row>
    <row r="282" spans="1:5">
      <c r="A282" s="27"/>
      <c r="B282" s="27"/>
      <c r="C282" s="32"/>
      <c r="D282" s="29"/>
      <c r="E282" s="32"/>
    </row>
    <row r="283" spans="1:5">
      <c r="A283" s="27"/>
      <c r="B283" s="27"/>
      <c r="C283" s="32"/>
      <c r="D283" s="29"/>
      <c r="E283" s="32"/>
    </row>
    <row r="284" spans="1:5">
      <c r="A284" s="27"/>
      <c r="B284" s="27"/>
      <c r="C284" s="32"/>
      <c r="D284" s="29"/>
      <c r="E284" s="32"/>
    </row>
    <row r="285" spans="1:5">
      <c r="A285" s="27"/>
      <c r="B285" s="27"/>
      <c r="C285" s="32"/>
      <c r="D285" s="29"/>
      <c r="E285" s="32"/>
    </row>
    <row r="286" spans="1:5">
      <c r="A286" s="27"/>
      <c r="B286" s="27"/>
      <c r="C286" s="32"/>
      <c r="D286" s="29"/>
      <c r="E286" s="32"/>
    </row>
    <row r="287" spans="1:5">
      <c r="A287" s="27"/>
      <c r="B287" s="27"/>
      <c r="C287" s="32"/>
      <c r="D287" s="29"/>
      <c r="E287" s="32"/>
    </row>
    <row r="288" spans="1:5">
      <c r="A288" s="27"/>
      <c r="B288" s="27"/>
      <c r="C288" s="32"/>
      <c r="D288" s="29"/>
      <c r="E288" s="32"/>
    </row>
    <row r="289" spans="1:5">
      <c r="A289" s="27"/>
      <c r="B289" s="27"/>
      <c r="C289" s="32"/>
      <c r="D289" s="29"/>
      <c r="E289" s="32"/>
    </row>
    <row r="290" spans="1:5">
      <c r="A290" s="27"/>
      <c r="B290" s="27"/>
      <c r="C290" s="32"/>
      <c r="D290" s="29"/>
      <c r="E290" s="32"/>
    </row>
    <row r="291" spans="1:5">
      <c r="A291" s="27"/>
      <c r="B291" s="27"/>
      <c r="C291" s="32"/>
      <c r="D291" s="29"/>
      <c r="E291" s="32"/>
    </row>
    <row r="292" spans="1:5">
      <c r="A292" s="27"/>
      <c r="B292" s="27"/>
      <c r="C292" s="32"/>
      <c r="D292" s="29"/>
      <c r="E292" s="32"/>
    </row>
    <row r="293" spans="1:5">
      <c r="A293" s="27"/>
      <c r="B293" s="27"/>
      <c r="C293" s="32"/>
      <c r="D293" s="29"/>
      <c r="E293" s="32"/>
    </row>
    <row r="294" spans="1:5">
      <c r="A294" s="27"/>
      <c r="B294" s="27"/>
      <c r="C294" s="32"/>
      <c r="D294" s="29"/>
      <c r="E294" s="32"/>
    </row>
    <row r="295" spans="1:5">
      <c r="A295" s="27"/>
      <c r="B295" s="27"/>
      <c r="C295" s="32"/>
      <c r="D295" s="29"/>
      <c r="E295" s="32"/>
    </row>
    <row r="296" spans="1:5">
      <c r="A296" s="27"/>
      <c r="B296" s="27"/>
      <c r="C296" s="32"/>
      <c r="D296" s="29"/>
      <c r="E296" s="32"/>
    </row>
    <row r="297" spans="1:5">
      <c r="A297" s="27"/>
      <c r="B297" s="27"/>
      <c r="C297" s="32"/>
      <c r="D297" s="29"/>
      <c r="E297" s="32"/>
    </row>
    <row r="298" spans="1:5">
      <c r="A298" s="27"/>
      <c r="B298" s="27"/>
      <c r="C298" s="32"/>
      <c r="D298" s="29"/>
      <c r="E298" s="32"/>
    </row>
    <row r="299" spans="1:5">
      <c r="A299" s="27"/>
      <c r="B299" s="27"/>
      <c r="C299" s="32"/>
      <c r="D299" s="29"/>
      <c r="E299" s="32"/>
    </row>
    <row r="300" spans="1:5">
      <c r="A300" s="27"/>
      <c r="B300" s="27"/>
      <c r="C300" s="32"/>
      <c r="D300" s="29"/>
      <c r="E300" s="32"/>
    </row>
    <row r="301" spans="1:5">
      <c r="A301" s="27"/>
      <c r="B301" s="27"/>
      <c r="C301" s="32"/>
      <c r="D301" s="29"/>
      <c r="E301" s="32"/>
    </row>
    <row r="302" spans="1:5">
      <c r="A302" s="27"/>
      <c r="B302" s="27"/>
      <c r="C302" s="32"/>
      <c r="D302" s="29"/>
      <c r="E302" s="32"/>
    </row>
    <row r="303" spans="1:5">
      <c r="A303" s="27"/>
      <c r="B303" s="27"/>
      <c r="C303" s="32"/>
      <c r="D303" s="29"/>
      <c r="E303" s="32"/>
    </row>
    <row r="304" spans="1:5">
      <c r="A304" s="27"/>
      <c r="B304" s="27"/>
      <c r="C304" s="32"/>
      <c r="D304" s="29"/>
      <c r="E304" s="32"/>
    </row>
    <row r="305" spans="1:5">
      <c r="A305" s="27"/>
      <c r="B305" s="27"/>
      <c r="C305" s="32"/>
      <c r="D305" s="29"/>
      <c r="E305" s="32"/>
    </row>
    <row r="306" spans="1:5">
      <c r="A306" s="27"/>
      <c r="B306" s="27"/>
      <c r="C306" s="32"/>
      <c r="D306" s="29"/>
      <c r="E306" s="32"/>
    </row>
    <row r="307" spans="1:5">
      <c r="A307" s="27"/>
      <c r="B307" s="27"/>
      <c r="C307" s="32"/>
      <c r="D307" s="29"/>
      <c r="E307" s="32"/>
    </row>
    <row r="308" spans="1:5">
      <c r="A308" s="27"/>
      <c r="B308" s="27"/>
      <c r="C308" s="32"/>
      <c r="D308" s="29"/>
      <c r="E308" s="32"/>
    </row>
    <row r="309" spans="1:5">
      <c r="A309" s="27"/>
      <c r="B309" s="27"/>
      <c r="C309" s="32"/>
      <c r="D309" s="29"/>
      <c r="E309" s="32"/>
    </row>
    <row r="310" spans="1:5">
      <c r="A310" s="27"/>
      <c r="B310" s="27"/>
      <c r="C310" s="32"/>
      <c r="D310" s="29"/>
      <c r="E310" s="32"/>
    </row>
    <row r="311" spans="1:5">
      <c r="A311" s="27"/>
      <c r="B311" s="27"/>
      <c r="C311" s="32"/>
      <c r="D311" s="29"/>
      <c r="E311" s="32"/>
    </row>
    <row r="312" spans="1:5">
      <c r="A312" s="27"/>
      <c r="B312" s="27"/>
      <c r="C312" s="32"/>
      <c r="D312" s="29"/>
      <c r="E312" s="32"/>
    </row>
    <row r="313" spans="1:5">
      <c r="A313" s="27"/>
      <c r="B313" s="27"/>
      <c r="C313" s="32"/>
      <c r="D313" s="29"/>
      <c r="E313" s="32"/>
    </row>
    <row r="314" spans="1:5">
      <c r="A314" s="27"/>
      <c r="B314" s="27"/>
      <c r="C314" s="32"/>
      <c r="D314" s="29"/>
      <c r="E314" s="32"/>
    </row>
    <row r="315" spans="1:5">
      <c r="A315" s="27"/>
      <c r="B315" s="27"/>
      <c r="C315" s="32"/>
      <c r="D315" s="29"/>
      <c r="E315" s="32"/>
    </row>
    <row r="316" spans="1:5">
      <c r="A316" s="27"/>
      <c r="B316" s="27"/>
      <c r="C316" s="32"/>
      <c r="D316" s="29"/>
      <c r="E316" s="32"/>
    </row>
    <row r="317" spans="1:5">
      <c r="A317" s="27"/>
      <c r="B317" s="27"/>
      <c r="C317" s="32"/>
      <c r="D317" s="29"/>
      <c r="E317" s="32"/>
    </row>
    <row r="318" spans="1:5">
      <c r="A318" s="27"/>
      <c r="B318" s="27"/>
      <c r="C318" s="32"/>
      <c r="D318" s="29"/>
      <c r="E318" s="32"/>
    </row>
    <row r="319" spans="1:5">
      <c r="A319" s="27"/>
      <c r="B319" s="27"/>
      <c r="C319" s="32"/>
      <c r="D319" s="29"/>
      <c r="E319" s="32"/>
    </row>
    <row r="320" spans="1:5">
      <c r="A320" s="27"/>
      <c r="B320" s="27"/>
      <c r="C320" s="32"/>
      <c r="D320" s="29"/>
      <c r="E320" s="32"/>
    </row>
    <row r="321" spans="1:5">
      <c r="A321" s="27"/>
      <c r="B321" s="27"/>
      <c r="C321" s="32"/>
      <c r="D321" s="29"/>
      <c r="E321" s="32"/>
    </row>
    <row r="322" spans="1:5">
      <c r="A322" s="27"/>
      <c r="B322" s="27"/>
      <c r="C322" s="32"/>
      <c r="D322" s="29"/>
      <c r="E322" s="32"/>
    </row>
    <row r="323" spans="1:5">
      <c r="A323" s="27"/>
      <c r="B323" s="27"/>
      <c r="C323" s="32"/>
      <c r="D323" s="29"/>
      <c r="E323" s="32"/>
    </row>
    <row r="324" spans="1:5">
      <c r="A324" s="27"/>
      <c r="B324" s="27"/>
      <c r="C324" s="32"/>
      <c r="D324" s="29"/>
      <c r="E324" s="32"/>
    </row>
    <row r="325" spans="1:5">
      <c r="A325" s="27"/>
      <c r="B325" s="27"/>
      <c r="C325" s="32"/>
      <c r="D325" s="29"/>
      <c r="E325" s="32"/>
    </row>
    <row r="326" spans="1:5">
      <c r="A326" s="27"/>
      <c r="B326" s="27"/>
      <c r="C326" s="32"/>
      <c r="D326" s="29"/>
      <c r="E326" s="32"/>
    </row>
    <row r="327" spans="1:5">
      <c r="A327" s="27"/>
      <c r="B327" s="27"/>
      <c r="C327" s="32"/>
      <c r="D327" s="29"/>
      <c r="E327" s="32"/>
    </row>
    <row r="328" spans="1:5">
      <c r="A328" s="27"/>
      <c r="B328" s="27"/>
      <c r="C328" s="32"/>
      <c r="D328" s="29"/>
      <c r="E328" s="32"/>
    </row>
    <row r="329" spans="1:5">
      <c r="A329" s="27"/>
      <c r="B329" s="27"/>
      <c r="C329" s="32"/>
      <c r="D329" s="29"/>
      <c r="E329" s="32"/>
    </row>
    <row r="330" spans="1:5">
      <c r="A330" s="27"/>
      <c r="B330" s="27"/>
      <c r="C330" s="32"/>
      <c r="D330" s="29"/>
      <c r="E330" s="32"/>
    </row>
    <row r="331" spans="1:5">
      <c r="A331" s="27"/>
      <c r="B331" s="27"/>
      <c r="C331" s="32"/>
      <c r="D331" s="29"/>
      <c r="E331" s="32"/>
    </row>
    <row r="332" spans="1:5">
      <c r="A332" s="27"/>
      <c r="B332" s="27"/>
      <c r="C332" s="32"/>
      <c r="D332" s="29"/>
      <c r="E332" s="32"/>
    </row>
    <row r="333" spans="1:5">
      <c r="A333" s="27"/>
      <c r="B333" s="27"/>
      <c r="C333" s="32"/>
      <c r="D333" s="29"/>
      <c r="E333" s="32"/>
    </row>
    <row r="334" spans="1:5">
      <c r="A334" s="27"/>
      <c r="B334" s="27"/>
      <c r="C334" s="32"/>
      <c r="D334" s="29"/>
      <c r="E334" s="32"/>
    </row>
    <row r="335" spans="1:5">
      <c r="A335" s="27"/>
      <c r="B335" s="27"/>
      <c r="C335" s="32"/>
      <c r="D335" s="29"/>
      <c r="E335" s="32"/>
    </row>
    <row r="336" spans="1:5">
      <c r="A336" s="27"/>
      <c r="B336" s="27"/>
      <c r="C336" s="32"/>
      <c r="D336" s="29"/>
      <c r="E336" s="32"/>
    </row>
    <row r="337" spans="1:5">
      <c r="A337" s="27"/>
      <c r="B337" s="27"/>
      <c r="C337" s="32"/>
      <c r="D337" s="29"/>
      <c r="E337" s="32"/>
    </row>
    <row r="338" spans="1:5">
      <c r="A338" s="27"/>
      <c r="B338" s="27"/>
      <c r="C338" s="32"/>
      <c r="D338" s="29"/>
      <c r="E338" s="32"/>
    </row>
    <row r="339" spans="1:5">
      <c r="A339" s="27"/>
      <c r="B339" s="27"/>
      <c r="C339" s="32"/>
      <c r="D339" s="29"/>
      <c r="E339" s="32"/>
    </row>
    <row r="340" spans="1:5">
      <c r="A340" s="27"/>
      <c r="B340" s="27"/>
      <c r="C340" s="32"/>
      <c r="D340" s="29"/>
      <c r="E340" s="32"/>
    </row>
    <row r="341" spans="1:5">
      <c r="A341" s="27"/>
      <c r="B341" s="27"/>
      <c r="C341" s="32"/>
      <c r="D341" s="29"/>
      <c r="E341" s="32"/>
    </row>
    <row r="342" spans="1:5">
      <c r="A342" s="27"/>
      <c r="B342" s="27"/>
      <c r="C342" s="32"/>
      <c r="D342" s="29"/>
      <c r="E342" s="32"/>
    </row>
    <row r="343" spans="1:5">
      <c r="A343" s="27"/>
      <c r="B343" s="27"/>
      <c r="C343" s="32"/>
      <c r="D343" s="29"/>
      <c r="E343" s="32"/>
    </row>
    <row r="344" spans="1:5">
      <c r="A344" s="27"/>
      <c r="B344" s="27"/>
      <c r="C344" s="32"/>
      <c r="D344" s="29"/>
      <c r="E344" s="32"/>
    </row>
    <row r="345" spans="1:5">
      <c r="A345" s="27"/>
      <c r="B345" s="27"/>
      <c r="C345" s="32"/>
      <c r="D345" s="29"/>
      <c r="E345" s="32"/>
    </row>
    <row r="346" spans="1:5">
      <c r="A346" s="27"/>
      <c r="B346" s="27"/>
      <c r="C346" s="32"/>
      <c r="D346" s="29"/>
      <c r="E346" s="32"/>
    </row>
    <row r="347" spans="1:5">
      <c r="A347" s="27"/>
      <c r="B347" s="27"/>
      <c r="C347" s="32"/>
      <c r="D347" s="29"/>
      <c r="E347" s="32"/>
    </row>
    <row r="348" spans="1:5">
      <c r="A348" s="27"/>
      <c r="B348" s="27"/>
      <c r="C348" s="32"/>
      <c r="D348" s="29"/>
      <c r="E348" s="32"/>
    </row>
    <row r="349" spans="1:5">
      <c r="A349" s="27"/>
      <c r="B349" s="27"/>
      <c r="C349" s="32"/>
      <c r="D349" s="29"/>
      <c r="E349" s="32"/>
    </row>
    <row r="350" spans="1:5">
      <c r="A350" s="27"/>
      <c r="B350" s="27"/>
      <c r="C350" s="32"/>
      <c r="D350" s="29"/>
      <c r="E350" s="32"/>
    </row>
    <row r="351" spans="1:5">
      <c r="A351" s="27"/>
      <c r="B351" s="27"/>
      <c r="C351" s="32"/>
      <c r="D351" s="29"/>
      <c r="E351" s="32"/>
    </row>
    <row r="352" spans="1:5">
      <c r="A352" s="27"/>
      <c r="B352" s="27"/>
      <c r="C352" s="32"/>
      <c r="D352" s="29"/>
      <c r="E352" s="32"/>
    </row>
    <row r="353" spans="1:5">
      <c r="A353" s="27"/>
      <c r="B353" s="27"/>
      <c r="C353" s="32"/>
      <c r="D353" s="29"/>
      <c r="E353" s="32"/>
    </row>
    <row r="354" spans="1:5">
      <c r="A354" s="27"/>
      <c r="B354" s="27"/>
      <c r="C354" s="32"/>
      <c r="D354" s="29"/>
      <c r="E354" s="32"/>
    </row>
    <row r="355" spans="1:5">
      <c r="A355" s="27"/>
      <c r="B355" s="27"/>
      <c r="C355" s="32"/>
      <c r="D355" s="29"/>
      <c r="E355" s="32"/>
    </row>
    <row r="356" spans="1:5">
      <c r="A356" s="27"/>
      <c r="B356" s="27"/>
      <c r="C356" s="32"/>
      <c r="D356" s="29"/>
      <c r="E356" s="32"/>
    </row>
    <row r="357" spans="1:5">
      <c r="A357" s="27"/>
      <c r="B357" s="27"/>
      <c r="C357" s="32"/>
      <c r="D357" s="29"/>
      <c r="E357" s="32"/>
    </row>
    <row r="358" spans="1:5">
      <c r="A358" s="27"/>
      <c r="B358" s="27"/>
      <c r="C358" s="32"/>
      <c r="D358" s="29"/>
      <c r="E358" s="32"/>
    </row>
    <row r="359" spans="1:5">
      <c r="A359" s="27"/>
      <c r="B359" s="27"/>
      <c r="C359" s="32"/>
      <c r="D359" s="29"/>
      <c r="E359" s="32"/>
    </row>
    <row r="360" spans="1:5">
      <c r="A360" s="27"/>
      <c r="B360" s="27"/>
      <c r="C360" s="32"/>
      <c r="D360" s="29"/>
      <c r="E360" s="32"/>
    </row>
    <row r="361" spans="1:5">
      <c r="A361" s="27"/>
      <c r="B361" s="27"/>
      <c r="C361" s="32"/>
      <c r="D361" s="29"/>
      <c r="E361" s="32"/>
    </row>
    <row r="362" spans="1:5">
      <c r="A362" s="27"/>
      <c r="B362" s="27"/>
      <c r="C362" s="32"/>
      <c r="D362" s="29"/>
      <c r="E362" s="32"/>
    </row>
    <row r="363" spans="1:5">
      <c r="A363" s="27"/>
      <c r="B363" s="27"/>
      <c r="C363" s="32"/>
      <c r="D363" s="29"/>
      <c r="E363" s="32"/>
    </row>
    <row r="364" spans="1:5">
      <c r="A364" s="27"/>
      <c r="B364" s="27"/>
      <c r="C364" s="32"/>
      <c r="D364" s="29"/>
      <c r="E364" s="32"/>
    </row>
    <row r="365" spans="1:5">
      <c r="A365" s="27"/>
      <c r="B365" s="27"/>
      <c r="C365" s="32"/>
      <c r="D365" s="29"/>
      <c r="E365" s="32"/>
    </row>
    <row r="366" spans="1:5">
      <c r="A366" s="27"/>
      <c r="B366" s="27"/>
      <c r="C366" s="32"/>
      <c r="D366" s="29"/>
      <c r="E366" s="32"/>
    </row>
    <row r="367" spans="1:5">
      <c r="A367" s="27"/>
      <c r="B367" s="27"/>
      <c r="C367" s="32"/>
      <c r="D367" s="29"/>
      <c r="E367" s="32"/>
    </row>
    <row r="368" spans="1:5">
      <c r="A368" s="27"/>
      <c r="B368" s="27"/>
      <c r="C368" s="32"/>
      <c r="D368" s="29"/>
      <c r="E368" s="32"/>
    </row>
    <row r="369" spans="1:5">
      <c r="A369" s="26"/>
      <c r="B369" s="26"/>
      <c r="C369" s="33"/>
      <c r="D369" s="30"/>
      <c r="E369" s="33"/>
    </row>
    <row r="370" spans="1:5">
      <c r="A370" s="26"/>
      <c r="B370" s="26"/>
      <c r="C370" s="33"/>
      <c r="D370" s="30"/>
      <c r="E370" s="33"/>
    </row>
    <row r="371" spans="1:5">
      <c r="A371" s="26"/>
      <c r="B371" s="26"/>
      <c r="C371" s="33"/>
      <c r="D371" s="30"/>
      <c r="E371" s="33"/>
    </row>
    <row r="372" spans="1:5">
      <c r="A372" s="26"/>
      <c r="B372" s="26"/>
      <c r="C372" s="33"/>
      <c r="D372" s="30"/>
      <c r="E372" s="33"/>
    </row>
    <row r="373" spans="1:5">
      <c r="A373" s="26"/>
      <c r="B373" s="26"/>
      <c r="C373" s="33"/>
      <c r="D373" s="30"/>
      <c r="E373" s="33"/>
    </row>
    <row r="374" spans="1:5">
      <c r="A374" s="26"/>
      <c r="B374" s="26"/>
      <c r="C374" s="33"/>
      <c r="D374" s="30"/>
      <c r="E374" s="33"/>
    </row>
    <row r="375" spans="1:5">
      <c r="A375" s="26"/>
      <c r="B375" s="26"/>
      <c r="C375" s="33"/>
      <c r="D375" s="30"/>
      <c r="E375" s="33"/>
    </row>
    <row r="376" spans="1:5">
      <c r="A376" s="26"/>
      <c r="B376" s="26"/>
      <c r="C376" s="33"/>
      <c r="D376" s="30"/>
      <c r="E376" s="33"/>
    </row>
    <row r="377" spans="1:5">
      <c r="A377" s="26"/>
      <c r="B377" s="26"/>
      <c r="C377" s="33"/>
      <c r="D377" s="30"/>
      <c r="E377" s="33"/>
    </row>
    <row r="378" spans="1:5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AA106"/>
  <sheetViews>
    <sheetView showGridLines="0" workbookViewId="0">
      <selection activeCell="A86" sqref="A86:J106"/>
    </sheetView>
  </sheetViews>
  <sheetFormatPr defaultRowHeight="15"/>
  <cols>
    <col min="1" max="1" width="15.28515625" bestFit="1" customWidth="1"/>
    <col min="2" max="2" width="13.28515625" style="69" customWidth="1"/>
    <col min="3" max="3" width="35" customWidth="1"/>
    <col min="4" max="4" width="9.140625" customWidth="1"/>
    <col min="5" max="5" width="13" style="71" customWidth="1"/>
    <col min="6" max="6" width="6.28515625" style="83" customWidth="1"/>
    <col min="7" max="7" width="5.28515625" style="83" customWidth="1"/>
    <col min="8" max="8" width="7.5703125" style="84" bestFit="1" customWidth="1"/>
    <col min="9" max="9" width="11.85546875" style="71" bestFit="1" customWidth="1"/>
    <col min="10" max="10" width="14" style="71" bestFit="1" customWidth="1"/>
    <col min="12" max="12" width="10.85546875" style="2" customWidth="1"/>
    <col min="13" max="13" width="9.140625" style="2"/>
    <col min="15" max="16" width="12.140625" bestFit="1" customWidth="1"/>
    <col min="18" max="18" width="15.28515625" bestFit="1" customWidth="1"/>
    <col min="19" max="19" width="10.7109375" bestFit="1" customWidth="1"/>
    <col min="20" max="20" width="28.28515625" bestFit="1" customWidth="1"/>
    <col min="21" max="21" width="6" bestFit="1" customWidth="1"/>
    <col min="22" max="22" width="12.140625" bestFit="1" customWidth="1"/>
    <col min="23" max="23" width="4.28515625" bestFit="1" customWidth="1"/>
    <col min="24" max="24" width="3.7109375" bestFit="1" customWidth="1"/>
    <col min="25" max="25" width="7.5703125" bestFit="1" customWidth="1"/>
    <col min="26" max="26" width="9.5703125" bestFit="1" customWidth="1"/>
    <col min="27" max="27" width="11.28515625" bestFit="1" customWidth="1"/>
  </cols>
  <sheetData>
    <row r="4" spans="1:27">
      <c r="A4" s="12" t="s">
        <v>1</v>
      </c>
      <c r="B4" s="68" t="s">
        <v>23</v>
      </c>
      <c r="C4" s="12" t="s">
        <v>2</v>
      </c>
      <c r="D4" s="12" t="s">
        <v>9</v>
      </c>
      <c r="E4" s="70" t="s">
        <v>3</v>
      </c>
      <c r="F4" s="81" t="s">
        <v>5</v>
      </c>
      <c r="G4" s="81" t="s">
        <v>4</v>
      </c>
      <c r="H4" s="82" t="s">
        <v>10</v>
      </c>
      <c r="I4" s="70" t="s">
        <v>11</v>
      </c>
      <c r="J4" s="70" t="s">
        <v>6</v>
      </c>
      <c r="L4" s="63" t="s">
        <v>24</v>
      </c>
      <c r="M4" s="63" t="s">
        <v>26</v>
      </c>
      <c r="O4" s="85" t="s">
        <v>23</v>
      </c>
      <c r="P4" s="85" t="s">
        <v>23</v>
      </c>
      <c r="R4" s="12" t="s">
        <v>1</v>
      </c>
      <c r="S4" s="68" t="s">
        <v>23</v>
      </c>
      <c r="T4" s="12" t="s">
        <v>2</v>
      </c>
      <c r="U4" s="12" t="s">
        <v>9</v>
      </c>
      <c r="V4" s="70" t="s">
        <v>3</v>
      </c>
      <c r="W4" s="81" t="s">
        <v>5</v>
      </c>
      <c r="X4" s="81" t="s">
        <v>4</v>
      </c>
      <c r="Y4" s="82" t="s">
        <v>10</v>
      </c>
      <c r="Z4" s="70" t="s">
        <v>11</v>
      </c>
      <c r="AA4" s="70" t="s">
        <v>6</v>
      </c>
    </row>
    <row r="5" spans="1:27">
      <c r="A5" t="s">
        <v>329</v>
      </c>
      <c r="B5" s="69">
        <v>44472</v>
      </c>
      <c r="C5" t="s">
        <v>330</v>
      </c>
      <c r="D5" t="s">
        <v>44</v>
      </c>
      <c r="E5" s="71">
        <v>15000</v>
      </c>
      <c r="F5" s="83">
        <v>7</v>
      </c>
      <c r="G5" s="83">
        <v>1</v>
      </c>
      <c r="H5" s="84">
        <v>0</v>
      </c>
      <c r="I5" s="71">
        <v>0</v>
      </c>
      <c r="J5" s="71">
        <v>15000</v>
      </c>
      <c r="L5" s="2" t="str">
        <f t="shared" ref="L5:L35" si="0">IF(B5="","",TEXT(B5,"MMM"))</f>
        <v>Oct</v>
      </c>
      <c r="M5" s="2">
        <f t="shared" ref="M5:M35" si="1">IF(B5="","",YEAR(B5))</f>
        <v>2021</v>
      </c>
      <c r="O5" s="69"/>
      <c r="P5" s="69"/>
      <c r="S5" s="69"/>
      <c r="V5" s="71"/>
      <c r="W5" s="83"/>
      <c r="X5" s="83"/>
      <c r="Y5" s="84"/>
      <c r="Z5" s="71"/>
      <c r="AA5" s="71"/>
    </row>
    <row r="6" spans="1:27">
      <c r="A6" t="s">
        <v>671</v>
      </c>
      <c r="B6" s="69">
        <v>44471</v>
      </c>
      <c r="C6" t="s">
        <v>345</v>
      </c>
      <c r="D6" t="s">
        <v>44</v>
      </c>
      <c r="E6" s="71">
        <v>15000</v>
      </c>
      <c r="F6" s="83">
        <v>3</v>
      </c>
      <c r="G6" s="83">
        <v>1</v>
      </c>
      <c r="H6" s="84">
        <v>0</v>
      </c>
      <c r="I6" s="71">
        <v>0</v>
      </c>
      <c r="J6" s="71">
        <v>15000</v>
      </c>
      <c r="L6" s="2" t="str">
        <f t="shared" si="0"/>
        <v>Oct</v>
      </c>
      <c r="M6" s="2">
        <f t="shared" si="1"/>
        <v>2021</v>
      </c>
      <c r="S6" s="69"/>
      <c r="V6" s="71"/>
      <c r="W6" s="83"/>
      <c r="X6" s="83"/>
      <c r="Y6" s="84"/>
      <c r="Z6" s="71"/>
      <c r="AA6" s="71"/>
    </row>
    <row r="7" spans="1:27">
      <c r="A7" t="s">
        <v>671</v>
      </c>
      <c r="B7" s="69">
        <v>44473</v>
      </c>
      <c r="C7" t="s">
        <v>345</v>
      </c>
      <c r="D7" t="s">
        <v>44</v>
      </c>
      <c r="E7" s="71">
        <v>15000</v>
      </c>
      <c r="F7" s="83">
        <v>2</v>
      </c>
      <c r="G7" s="83">
        <v>1</v>
      </c>
      <c r="H7" s="84">
        <v>0</v>
      </c>
      <c r="I7" s="71">
        <v>0</v>
      </c>
      <c r="J7" s="71">
        <v>15000</v>
      </c>
      <c r="L7" s="2" t="str">
        <f t="shared" si="0"/>
        <v>Oct</v>
      </c>
      <c r="M7" s="2">
        <f t="shared" si="1"/>
        <v>2021</v>
      </c>
      <c r="S7" s="69"/>
      <c r="V7" s="71"/>
      <c r="W7" s="83"/>
      <c r="X7" s="83"/>
      <c r="Y7" s="84"/>
      <c r="Z7" s="71"/>
      <c r="AA7" s="71"/>
    </row>
    <row r="8" spans="1:27">
      <c r="A8" t="s">
        <v>673</v>
      </c>
      <c r="B8" s="69">
        <v>44471</v>
      </c>
      <c r="C8" t="s">
        <v>355</v>
      </c>
      <c r="D8" t="s">
        <v>44</v>
      </c>
      <c r="E8" s="71">
        <v>10000</v>
      </c>
      <c r="F8" s="83">
        <v>5</v>
      </c>
      <c r="G8" s="83">
        <v>1</v>
      </c>
      <c r="H8" s="84">
        <v>0</v>
      </c>
      <c r="I8" s="71">
        <v>0</v>
      </c>
      <c r="J8" s="71">
        <v>10000</v>
      </c>
      <c r="L8" s="2" t="str">
        <f t="shared" si="0"/>
        <v>Oct</v>
      </c>
      <c r="M8" s="2">
        <f t="shared" si="1"/>
        <v>2021</v>
      </c>
      <c r="S8" s="69"/>
      <c r="V8" s="71"/>
      <c r="W8" s="83"/>
      <c r="X8" s="83"/>
      <c r="Y8" s="84"/>
      <c r="Z8" s="71"/>
      <c r="AA8" s="71"/>
    </row>
    <row r="9" spans="1:27">
      <c r="A9" t="s">
        <v>319</v>
      </c>
      <c r="B9" s="69">
        <v>44472</v>
      </c>
      <c r="C9" t="s">
        <v>320</v>
      </c>
      <c r="D9" t="s">
        <v>44</v>
      </c>
      <c r="E9" s="71">
        <v>15000</v>
      </c>
      <c r="F9" s="83">
        <v>9</v>
      </c>
      <c r="G9" s="83">
        <v>1</v>
      </c>
      <c r="H9" s="84">
        <v>0</v>
      </c>
      <c r="I9" s="71">
        <v>0</v>
      </c>
      <c r="J9" s="71">
        <v>15000</v>
      </c>
      <c r="L9" s="2" t="str">
        <f t="shared" si="0"/>
        <v>Oct</v>
      </c>
      <c r="M9" s="2">
        <f t="shared" si="1"/>
        <v>2021</v>
      </c>
      <c r="S9" s="69"/>
      <c r="V9" s="71"/>
      <c r="W9" s="83"/>
      <c r="X9" s="83"/>
      <c r="Y9" s="84"/>
      <c r="Z9" s="71"/>
      <c r="AA9" s="71"/>
    </row>
    <row r="10" spans="1:27">
      <c r="A10" t="s">
        <v>362</v>
      </c>
      <c r="B10" s="69">
        <v>44473</v>
      </c>
      <c r="C10" t="s">
        <v>363</v>
      </c>
      <c r="D10" t="s">
        <v>44</v>
      </c>
      <c r="E10" s="71">
        <v>15000</v>
      </c>
      <c r="F10" s="83">
        <v>5</v>
      </c>
      <c r="G10" s="83">
        <v>1</v>
      </c>
      <c r="H10" s="84">
        <v>0</v>
      </c>
      <c r="I10" s="71">
        <v>0</v>
      </c>
      <c r="J10" s="71">
        <v>15000</v>
      </c>
      <c r="L10" s="2" t="str">
        <f t="shared" si="0"/>
        <v>Oct</v>
      </c>
      <c r="M10" s="2">
        <f t="shared" si="1"/>
        <v>2021</v>
      </c>
      <c r="S10" s="69"/>
      <c r="V10" s="71"/>
      <c r="W10" s="83"/>
      <c r="X10" s="83"/>
      <c r="Y10" s="84"/>
      <c r="Z10" s="71"/>
      <c r="AA10" s="71"/>
    </row>
    <row r="11" spans="1:27">
      <c r="A11" t="s">
        <v>309</v>
      </c>
      <c r="B11" s="69">
        <v>44473</v>
      </c>
      <c r="C11" t="s">
        <v>310</v>
      </c>
      <c r="D11" t="s">
        <v>44</v>
      </c>
      <c r="E11" s="71">
        <v>15000</v>
      </c>
      <c r="F11" s="83">
        <v>8</v>
      </c>
      <c r="G11" s="83">
        <v>1</v>
      </c>
      <c r="H11" s="84">
        <v>0</v>
      </c>
      <c r="I11" s="71">
        <v>0</v>
      </c>
      <c r="J11" s="71">
        <v>15000</v>
      </c>
      <c r="L11" s="2" t="str">
        <f t="shared" si="0"/>
        <v>Oct</v>
      </c>
      <c r="M11" s="2">
        <f t="shared" si="1"/>
        <v>2021</v>
      </c>
      <c r="S11" s="69"/>
      <c r="V11" s="71"/>
      <c r="W11" s="83"/>
      <c r="X11" s="83"/>
      <c r="Y11" s="84"/>
      <c r="Z11" s="71"/>
      <c r="AA11" s="71"/>
    </row>
    <row r="12" spans="1:27">
      <c r="A12" t="s">
        <v>309</v>
      </c>
      <c r="B12" s="69">
        <v>44473</v>
      </c>
      <c r="C12" t="s">
        <v>310</v>
      </c>
      <c r="D12" t="s">
        <v>44</v>
      </c>
      <c r="E12" s="71">
        <v>15000</v>
      </c>
      <c r="F12" s="83">
        <v>8</v>
      </c>
      <c r="G12" s="83">
        <v>1</v>
      </c>
      <c r="H12" s="84">
        <v>0</v>
      </c>
      <c r="I12" s="71">
        <v>0</v>
      </c>
      <c r="J12" s="71">
        <v>15000</v>
      </c>
      <c r="L12" s="2" t="str">
        <f t="shared" si="0"/>
        <v>Oct</v>
      </c>
      <c r="M12" s="2">
        <f t="shared" si="1"/>
        <v>2021</v>
      </c>
      <c r="S12" s="69"/>
      <c r="V12" s="71"/>
      <c r="W12" s="83"/>
      <c r="X12" s="83"/>
      <c r="Y12" s="84"/>
      <c r="Z12" s="71"/>
      <c r="AA12" s="71"/>
    </row>
    <row r="13" spans="1:27">
      <c r="A13" t="s">
        <v>373</v>
      </c>
      <c r="B13" s="69">
        <v>44474</v>
      </c>
      <c r="C13" t="s">
        <v>374</v>
      </c>
      <c r="D13" t="s">
        <v>44</v>
      </c>
      <c r="E13" s="71">
        <v>15000</v>
      </c>
      <c r="F13" s="83">
        <v>3</v>
      </c>
      <c r="G13" s="83">
        <v>1</v>
      </c>
      <c r="H13" s="84">
        <v>0</v>
      </c>
      <c r="I13" s="71">
        <v>0</v>
      </c>
      <c r="J13" s="71">
        <v>15000</v>
      </c>
      <c r="L13" s="2" t="str">
        <f t="shared" si="0"/>
        <v>Oct</v>
      </c>
      <c r="M13" s="2">
        <f t="shared" si="1"/>
        <v>2021</v>
      </c>
      <c r="S13" s="69"/>
      <c r="V13" s="71"/>
      <c r="W13" s="83"/>
      <c r="X13" s="83"/>
      <c r="Y13" s="84"/>
      <c r="Z13" s="71"/>
      <c r="AA13" s="71"/>
    </row>
    <row r="14" spans="1:27">
      <c r="A14" t="s">
        <v>307</v>
      </c>
      <c r="B14" s="69">
        <v>44471</v>
      </c>
      <c r="C14" t="s">
        <v>308</v>
      </c>
      <c r="D14" t="s">
        <v>44</v>
      </c>
      <c r="E14" s="71">
        <v>15000</v>
      </c>
      <c r="F14" s="83">
        <v>8</v>
      </c>
      <c r="G14" s="83">
        <v>1</v>
      </c>
      <c r="H14" s="84">
        <v>0</v>
      </c>
      <c r="I14" s="71">
        <v>0</v>
      </c>
      <c r="J14" s="71">
        <v>15000</v>
      </c>
      <c r="L14" s="2" t="str">
        <f t="shared" si="0"/>
        <v>Oct</v>
      </c>
      <c r="M14" s="2">
        <f t="shared" si="1"/>
        <v>2021</v>
      </c>
      <c r="S14" s="69"/>
      <c r="V14" s="71"/>
      <c r="W14" s="83"/>
      <c r="X14" s="83"/>
      <c r="Y14" s="84"/>
      <c r="Z14" s="71"/>
      <c r="AA14" s="71"/>
    </row>
    <row r="15" spans="1:27">
      <c r="A15" t="s">
        <v>381</v>
      </c>
      <c r="B15" s="69">
        <v>44472</v>
      </c>
      <c r="C15" t="s">
        <v>382</v>
      </c>
      <c r="D15" t="s">
        <v>44</v>
      </c>
      <c r="E15" s="71">
        <v>15000</v>
      </c>
      <c r="F15" s="83">
        <v>2</v>
      </c>
      <c r="G15" s="83">
        <v>1</v>
      </c>
      <c r="H15" s="84">
        <v>0</v>
      </c>
      <c r="I15" s="71">
        <v>0</v>
      </c>
      <c r="J15" s="71">
        <v>15000</v>
      </c>
      <c r="L15" s="2" t="str">
        <f t="shared" si="0"/>
        <v>Oct</v>
      </c>
      <c r="M15" s="2">
        <f t="shared" si="1"/>
        <v>2021</v>
      </c>
      <c r="S15" s="69"/>
      <c r="V15" s="71"/>
      <c r="W15" s="83"/>
      <c r="X15" s="83"/>
      <c r="Y15" s="84"/>
      <c r="Z15" s="71"/>
      <c r="AA15" s="71"/>
    </row>
    <row r="16" spans="1:27">
      <c r="A16" t="s">
        <v>256</v>
      </c>
      <c r="B16" s="69">
        <v>44472</v>
      </c>
      <c r="C16" t="s">
        <v>257</v>
      </c>
      <c r="D16" t="s">
        <v>44</v>
      </c>
      <c r="E16" s="71">
        <v>15000</v>
      </c>
      <c r="F16" s="83">
        <v>4</v>
      </c>
      <c r="G16" s="83">
        <v>1</v>
      </c>
      <c r="H16" s="84">
        <v>0</v>
      </c>
      <c r="I16" s="71">
        <v>0</v>
      </c>
      <c r="J16" s="71">
        <v>15000</v>
      </c>
      <c r="L16" s="2" t="str">
        <f t="shared" si="0"/>
        <v>Oct</v>
      </c>
      <c r="M16" s="2">
        <f t="shared" si="1"/>
        <v>2021</v>
      </c>
      <c r="S16" s="69"/>
      <c r="V16" s="71"/>
      <c r="W16" s="83"/>
      <c r="X16" s="83"/>
      <c r="Y16" s="84"/>
      <c r="Z16" s="71"/>
      <c r="AA16" s="71"/>
    </row>
    <row r="17" spans="1:27">
      <c r="A17" t="s">
        <v>292</v>
      </c>
      <c r="B17" s="69">
        <v>44473</v>
      </c>
      <c r="C17" t="s">
        <v>293</v>
      </c>
      <c r="D17" t="s">
        <v>44</v>
      </c>
      <c r="E17" s="71">
        <v>15000</v>
      </c>
      <c r="F17" s="83">
        <v>1</v>
      </c>
      <c r="G17" s="83">
        <v>1</v>
      </c>
      <c r="H17" s="84">
        <v>0</v>
      </c>
      <c r="I17" s="71">
        <v>0</v>
      </c>
      <c r="J17" s="71">
        <v>15000</v>
      </c>
      <c r="L17" s="2" t="str">
        <f t="shared" si="0"/>
        <v>Oct</v>
      </c>
      <c r="M17" s="2">
        <f t="shared" si="1"/>
        <v>2021</v>
      </c>
      <c r="S17" s="69"/>
      <c r="V17" s="71"/>
      <c r="W17" s="83"/>
      <c r="X17" s="83"/>
      <c r="Y17" s="84"/>
      <c r="Z17" s="71"/>
      <c r="AA17" s="71"/>
    </row>
    <row r="18" spans="1:27">
      <c r="A18" t="s">
        <v>245</v>
      </c>
      <c r="B18" s="69">
        <v>44474</v>
      </c>
      <c r="C18" t="s">
        <v>246</v>
      </c>
      <c r="D18" t="s">
        <v>44</v>
      </c>
      <c r="E18" s="71">
        <v>10000</v>
      </c>
      <c r="F18" s="83">
        <v>1</v>
      </c>
      <c r="G18" s="83">
        <v>1</v>
      </c>
      <c r="H18" s="84">
        <v>0</v>
      </c>
      <c r="I18" s="71">
        <v>0</v>
      </c>
      <c r="J18" s="71">
        <v>10000</v>
      </c>
      <c r="L18" s="2" t="str">
        <f t="shared" si="0"/>
        <v>Oct</v>
      </c>
      <c r="M18" s="2">
        <f t="shared" si="1"/>
        <v>2021</v>
      </c>
      <c r="S18" s="69"/>
      <c r="V18" s="71"/>
      <c r="W18" s="83"/>
      <c r="X18" s="83"/>
      <c r="Y18" s="84"/>
      <c r="Z18" s="71"/>
      <c r="AA18" s="71"/>
    </row>
    <row r="19" spans="1:27">
      <c r="A19" t="s">
        <v>191</v>
      </c>
      <c r="B19" s="69">
        <v>44473</v>
      </c>
      <c r="C19" t="s">
        <v>192</v>
      </c>
      <c r="D19" t="s">
        <v>44</v>
      </c>
      <c r="E19" s="71">
        <v>10000</v>
      </c>
      <c r="F19" s="83">
        <v>1</v>
      </c>
      <c r="G19" s="83">
        <v>1</v>
      </c>
      <c r="H19" s="84">
        <v>0</v>
      </c>
      <c r="I19" s="71">
        <v>0</v>
      </c>
      <c r="J19" s="71">
        <v>10000</v>
      </c>
      <c r="L19" s="2" t="str">
        <f t="shared" si="0"/>
        <v>Oct</v>
      </c>
      <c r="M19" s="2">
        <f t="shared" si="1"/>
        <v>2021</v>
      </c>
      <c r="S19" s="69"/>
      <c r="V19" s="71"/>
      <c r="W19" s="83"/>
      <c r="X19" s="83"/>
      <c r="Y19" s="84"/>
      <c r="Z19" s="71"/>
      <c r="AA19" s="71"/>
    </row>
    <row r="20" spans="1:27">
      <c r="A20" t="s">
        <v>173</v>
      </c>
      <c r="B20" s="69">
        <v>44473</v>
      </c>
      <c r="C20" t="s">
        <v>174</v>
      </c>
      <c r="D20" t="s">
        <v>44</v>
      </c>
      <c r="E20" s="71">
        <v>15000</v>
      </c>
      <c r="F20" s="83">
        <v>3</v>
      </c>
      <c r="G20" s="83">
        <v>1</v>
      </c>
      <c r="H20" s="84">
        <v>0</v>
      </c>
      <c r="I20" s="71">
        <v>0</v>
      </c>
      <c r="J20" s="71">
        <v>15000</v>
      </c>
      <c r="L20" s="2" t="str">
        <f t="shared" si="0"/>
        <v>Oct</v>
      </c>
      <c r="M20" s="2">
        <f t="shared" si="1"/>
        <v>2021</v>
      </c>
      <c r="S20" s="69"/>
      <c r="V20" s="71"/>
      <c r="W20" s="83"/>
      <c r="X20" s="83"/>
      <c r="Y20" s="84"/>
      <c r="Z20" s="71"/>
      <c r="AA20" s="71"/>
    </row>
    <row r="21" spans="1:27">
      <c r="A21" t="s">
        <v>138</v>
      </c>
      <c r="B21" s="69">
        <v>44473</v>
      </c>
      <c r="C21" t="s">
        <v>139</v>
      </c>
      <c r="D21" t="s">
        <v>44</v>
      </c>
      <c r="E21" s="71">
        <v>15000</v>
      </c>
      <c r="F21" s="83">
        <v>1</v>
      </c>
      <c r="G21" s="83">
        <v>1</v>
      </c>
      <c r="H21" s="84">
        <v>0</v>
      </c>
      <c r="I21" s="71">
        <v>0</v>
      </c>
      <c r="J21" s="71">
        <v>15000</v>
      </c>
      <c r="L21" s="2" t="str">
        <f t="shared" si="0"/>
        <v>Oct</v>
      </c>
      <c r="M21" s="2">
        <f t="shared" si="1"/>
        <v>2021</v>
      </c>
      <c r="S21" s="69"/>
      <c r="V21" s="71"/>
      <c r="W21" s="83"/>
      <c r="X21" s="83"/>
      <c r="Y21" s="84"/>
      <c r="Z21" s="71"/>
      <c r="AA21" s="71"/>
    </row>
    <row r="22" spans="1:27">
      <c r="A22" t="s">
        <v>124</v>
      </c>
      <c r="B22" s="69">
        <v>44472</v>
      </c>
      <c r="C22" t="s">
        <v>125</v>
      </c>
      <c r="D22" t="s">
        <v>44</v>
      </c>
      <c r="E22" s="71">
        <v>15000</v>
      </c>
      <c r="F22" s="83">
        <v>10</v>
      </c>
      <c r="G22" s="83">
        <v>1</v>
      </c>
      <c r="H22" s="84">
        <v>0</v>
      </c>
      <c r="I22" s="71">
        <v>0</v>
      </c>
      <c r="J22" s="71">
        <v>15000</v>
      </c>
      <c r="L22" s="2" t="str">
        <f t="shared" si="0"/>
        <v>Oct</v>
      </c>
      <c r="M22" s="2">
        <f t="shared" si="1"/>
        <v>2021</v>
      </c>
      <c r="S22" s="69"/>
      <c r="V22" s="71"/>
      <c r="W22" s="83"/>
      <c r="X22" s="83"/>
      <c r="Y22" s="84"/>
      <c r="Z22" s="71"/>
      <c r="AA22" s="71"/>
    </row>
    <row r="23" spans="1:27">
      <c r="A23" t="s">
        <v>105</v>
      </c>
      <c r="B23" s="69">
        <v>44474</v>
      </c>
      <c r="C23" t="s">
        <v>106</v>
      </c>
      <c r="D23" t="s">
        <v>44</v>
      </c>
      <c r="E23" s="71">
        <v>15000</v>
      </c>
      <c r="F23" s="83">
        <v>9</v>
      </c>
      <c r="G23" s="83">
        <v>1</v>
      </c>
      <c r="H23" s="84">
        <v>0</v>
      </c>
      <c r="I23" s="71">
        <v>0</v>
      </c>
      <c r="J23" s="71">
        <v>15000</v>
      </c>
      <c r="L23" s="2" t="str">
        <f t="shared" si="0"/>
        <v>Oct</v>
      </c>
      <c r="M23" s="2">
        <f t="shared" si="1"/>
        <v>2021</v>
      </c>
      <c r="S23" s="69"/>
      <c r="V23" s="71"/>
      <c r="W23" s="83"/>
      <c r="X23" s="83"/>
      <c r="Y23" s="84"/>
      <c r="Z23" s="71"/>
      <c r="AA23" s="71"/>
    </row>
    <row r="24" spans="1:27">
      <c r="A24" t="s">
        <v>105</v>
      </c>
      <c r="B24" s="69">
        <v>44474</v>
      </c>
      <c r="C24" t="s">
        <v>106</v>
      </c>
      <c r="D24" t="s">
        <v>44</v>
      </c>
      <c r="E24" s="71">
        <v>15000</v>
      </c>
      <c r="F24" s="83">
        <v>9</v>
      </c>
      <c r="G24" s="83">
        <v>1</v>
      </c>
      <c r="H24" s="84">
        <v>0</v>
      </c>
      <c r="I24" s="71">
        <v>0</v>
      </c>
      <c r="J24" s="71">
        <v>15000</v>
      </c>
      <c r="L24" s="2" t="str">
        <f t="shared" si="0"/>
        <v>Oct</v>
      </c>
      <c r="M24" s="2">
        <f t="shared" si="1"/>
        <v>2021</v>
      </c>
    </row>
    <row r="25" spans="1:27">
      <c r="A25" t="s">
        <v>122</v>
      </c>
      <c r="B25" s="69">
        <v>44473</v>
      </c>
      <c r="C25" t="s">
        <v>123</v>
      </c>
      <c r="D25" t="s">
        <v>44</v>
      </c>
      <c r="E25" s="71">
        <v>15000</v>
      </c>
      <c r="F25" s="83">
        <v>4</v>
      </c>
      <c r="G25" s="83">
        <v>1</v>
      </c>
      <c r="H25" s="84">
        <v>0</v>
      </c>
      <c r="I25" s="71">
        <v>0</v>
      </c>
      <c r="J25" s="71">
        <v>15000</v>
      </c>
      <c r="L25" s="2" t="str">
        <f t="shared" si="0"/>
        <v>Oct</v>
      </c>
      <c r="M25" s="2">
        <f t="shared" si="1"/>
        <v>2021</v>
      </c>
    </row>
    <row r="26" spans="1:27">
      <c r="A26" t="s">
        <v>109</v>
      </c>
      <c r="B26" s="69">
        <v>44471</v>
      </c>
      <c r="C26" t="s">
        <v>110</v>
      </c>
      <c r="D26" t="s">
        <v>44</v>
      </c>
      <c r="E26" s="71">
        <v>15000</v>
      </c>
      <c r="F26" s="83">
        <v>5</v>
      </c>
      <c r="G26" s="83">
        <v>1</v>
      </c>
      <c r="H26" s="84">
        <v>0</v>
      </c>
      <c r="I26" s="71">
        <v>0</v>
      </c>
      <c r="J26" s="71">
        <v>15000</v>
      </c>
      <c r="L26" s="2" t="str">
        <f t="shared" si="0"/>
        <v>Oct</v>
      </c>
      <c r="M26" s="2">
        <f t="shared" si="1"/>
        <v>2021</v>
      </c>
    </row>
    <row r="27" spans="1:27">
      <c r="A27" t="s">
        <v>124</v>
      </c>
      <c r="B27" s="69">
        <v>44476</v>
      </c>
      <c r="C27" t="s">
        <v>125</v>
      </c>
      <c r="D27" t="s">
        <v>44</v>
      </c>
      <c r="E27" s="71">
        <v>15000</v>
      </c>
      <c r="F27" s="83">
        <v>9</v>
      </c>
      <c r="G27" s="83">
        <v>1</v>
      </c>
      <c r="H27" s="84">
        <v>0</v>
      </c>
      <c r="I27" s="71">
        <v>0</v>
      </c>
      <c r="J27" s="71">
        <v>15000</v>
      </c>
      <c r="L27" s="2" t="str">
        <f t="shared" si="0"/>
        <v>Oct</v>
      </c>
      <c r="M27" s="2">
        <f t="shared" si="1"/>
        <v>2021</v>
      </c>
    </row>
    <row r="28" spans="1:27">
      <c r="A28" t="s">
        <v>124</v>
      </c>
      <c r="B28" s="69">
        <v>44476</v>
      </c>
      <c r="C28" t="s">
        <v>125</v>
      </c>
      <c r="D28" t="s">
        <v>44</v>
      </c>
      <c r="E28" s="71">
        <v>15000</v>
      </c>
      <c r="F28" s="83">
        <v>9</v>
      </c>
      <c r="G28" s="83">
        <v>1</v>
      </c>
      <c r="H28" s="84">
        <v>0</v>
      </c>
      <c r="I28" s="71">
        <v>0</v>
      </c>
      <c r="J28" s="71">
        <v>15000</v>
      </c>
      <c r="L28" s="2" t="str">
        <f t="shared" si="0"/>
        <v>Oct</v>
      </c>
      <c r="M28" s="2">
        <f t="shared" si="1"/>
        <v>2021</v>
      </c>
    </row>
    <row r="29" spans="1:27">
      <c r="A29" t="s">
        <v>124</v>
      </c>
      <c r="B29" s="69">
        <v>44476</v>
      </c>
      <c r="C29" t="s">
        <v>125</v>
      </c>
      <c r="D29" t="s">
        <v>44</v>
      </c>
      <c r="E29" s="71">
        <v>15000</v>
      </c>
      <c r="F29" s="83">
        <v>9</v>
      </c>
      <c r="G29" s="83">
        <v>1</v>
      </c>
      <c r="H29" s="84">
        <v>0</v>
      </c>
      <c r="I29" s="71">
        <v>0</v>
      </c>
      <c r="J29" s="71">
        <v>15000</v>
      </c>
      <c r="L29" s="2" t="str">
        <f t="shared" si="0"/>
        <v>Oct</v>
      </c>
      <c r="M29" s="2">
        <f t="shared" si="1"/>
        <v>2021</v>
      </c>
    </row>
    <row r="30" spans="1:27">
      <c r="A30" t="s">
        <v>368</v>
      </c>
      <c r="B30" s="69">
        <v>44476</v>
      </c>
      <c r="C30" t="s">
        <v>369</v>
      </c>
      <c r="D30" t="s">
        <v>44</v>
      </c>
      <c r="E30" s="71">
        <v>15000</v>
      </c>
      <c r="F30" s="83">
        <v>4</v>
      </c>
      <c r="G30" s="83">
        <v>1</v>
      </c>
      <c r="H30" s="84">
        <v>0</v>
      </c>
      <c r="I30" s="71">
        <v>0</v>
      </c>
      <c r="J30" s="71">
        <v>15000</v>
      </c>
      <c r="L30" s="2" t="str">
        <f t="shared" si="0"/>
        <v>Oct</v>
      </c>
      <c r="M30" s="2">
        <f t="shared" si="1"/>
        <v>2021</v>
      </c>
    </row>
    <row r="31" spans="1:27">
      <c r="A31" t="s">
        <v>368</v>
      </c>
      <c r="B31" s="69">
        <v>44476</v>
      </c>
      <c r="C31" t="s">
        <v>369</v>
      </c>
      <c r="D31" t="s">
        <v>44</v>
      </c>
      <c r="E31" s="71">
        <v>15000</v>
      </c>
      <c r="F31" s="83">
        <v>4</v>
      </c>
      <c r="G31" s="83">
        <v>1</v>
      </c>
      <c r="H31" s="84">
        <v>0</v>
      </c>
      <c r="I31" s="71">
        <v>0</v>
      </c>
      <c r="J31" s="71">
        <v>15000</v>
      </c>
      <c r="L31" s="2" t="str">
        <f t="shared" si="0"/>
        <v>Oct</v>
      </c>
      <c r="M31" s="2">
        <f t="shared" si="1"/>
        <v>2021</v>
      </c>
    </row>
    <row r="32" spans="1:27">
      <c r="A32" t="s">
        <v>107</v>
      </c>
      <c r="B32" s="69">
        <v>44476</v>
      </c>
      <c r="C32" t="s">
        <v>108</v>
      </c>
      <c r="D32" t="s">
        <v>44</v>
      </c>
      <c r="E32" s="71">
        <v>15000</v>
      </c>
      <c r="F32" s="83">
        <v>4</v>
      </c>
      <c r="G32" s="83">
        <v>1</v>
      </c>
      <c r="H32" s="84">
        <v>0</v>
      </c>
      <c r="I32" s="71">
        <v>0</v>
      </c>
      <c r="J32" s="71">
        <v>15000</v>
      </c>
      <c r="L32" s="2" t="str">
        <f t="shared" si="0"/>
        <v>Oct</v>
      </c>
      <c r="M32" s="2">
        <f t="shared" si="1"/>
        <v>2021</v>
      </c>
    </row>
    <row r="33" spans="1:13">
      <c r="A33" t="s">
        <v>552</v>
      </c>
      <c r="B33" s="69">
        <v>44476</v>
      </c>
      <c r="C33" t="s">
        <v>581</v>
      </c>
      <c r="D33" t="s">
        <v>44</v>
      </c>
      <c r="E33" s="71">
        <v>25000</v>
      </c>
      <c r="F33" s="83">
        <v>15</v>
      </c>
      <c r="G33" s="83">
        <v>1</v>
      </c>
      <c r="H33" s="84">
        <v>0</v>
      </c>
      <c r="I33" s="71">
        <v>0</v>
      </c>
      <c r="J33" s="71">
        <v>25000</v>
      </c>
      <c r="L33" s="2" t="str">
        <f t="shared" si="0"/>
        <v>Oct</v>
      </c>
      <c r="M33" s="2">
        <f t="shared" si="1"/>
        <v>2021</v>
      </c>
    </row>
    <row r="34" spans="1:13">
      <c r="A34" t="s">
        <v>552</v>
      </c>
      <c r="B34" s="69">
        <v>44476</v>
      </c>
      <c r="C34" t="s">
        <v>553</v>
      </c>
      <c r="D34" t="s">
        <v>44</v>
      </c>
      <c r="E34" s="71">
        <v>20000</v>
      </c>
      <c r="F34" s="83">
        <v>25</v>
      </c>
      <c r="G34" s="83">
        <v>1</v>
      </c>
      <c r="H34" s="84">
        <v>0</v>
      </c>
      <c r="I34" s="71">
        <v>0</v>
      </c>
      <c r="J34" s="71">
        <v>20000</v>
      </c>
      <c r="L34" s="2" t="str">
        <f t="shared" si="0"/>
        <v>Oct</v>
      </c>
      <c r="M34" s="2">
        <f t="shared" si="1"/>
        <v>2021</v>
      </c>
    </row>
    <row r="35" spans="1:13">
      <c r="A35" t="s">
        <v>580</v>
      </c>
      <c r="B35" s="69">
        <v>44476</v>
      </c>
      <c r="C35" t="s">
        <v>581</v>
      </c>
      <c r="D35" t="s">
        <v>44</v>
      </c>
      <c r="E35" s="71">
        <v>25000</v>
      </c>
      <c r="F35" s="83">
        <v>15</v>
      </c>
      <c r="G35" s="83">
        <v>1</v>
      </c>
      <c r="H35" s="84">
        <v>0</v>
      </c>
      <c r="I35" s="71">
        <v>0</v>
      </c>
      <c r="J35" s="71">
        <v>25000</v>
      </c>
      <c r="L35" s="2" t="str">
        <f t="shared" si="0"/>
        <v>Oct</v>
      </c>
      <c r="M35" s="2">
        <f t="shared" si="1"/>
        <v>2021</v>
      </c>
    </row>
    <row r="36" spans="1:13">
      <c r="A36" t="s">
        <v>107</v>
      </c>
      <c r="B36" s="69">
        <v>44477</v>
      </c>
      <c r="C36" t="s">
        <v>125</v>
      </c>
      <c r="D36" t="s">
        <v>44</v>
      </c>
      <c r="E36" s="71">
        <v>15000</v>
      </c>
      <c r="F36" s="83">
        <v>9</v>
      </c>
      <c r="G36" s="83">
        <v>1</v>
      </c>
      <c r="H36" s="84">
        <v>0</v>
      </c>
      <c r="I36" s="71">
        <v>0</v>
      </c>
      <c r="J36" s="71">
        <v>15000</v>
      </c>
      <c r="L36" s="2" t="str">
        <f t="shared" ref="L36" si="2">IF(B36="","",TEXT(B36,"MMM"))</f>
        <v>Oct</v>
      </c>
      <c r="M36" s="2">
        <f t="shared" ref="M36" si="3">IF(B36="","",YEAR(B36))</f>
        <v>2021</v>
      </c>
    </row>
    <row r="37" spans="1:13">
      <c r="A37" t="s">
        <v>124</v>
      </c>
      <c r="B37" s="69">
        <v>44477</v>
      </c>
      <c r="C37" t="s">
        <v>125</v>
      </c>
      <c r="D37" t="s">
        <v>44</v>
      </c>
      <c r="E37" s="71">
        <v>15000</v>
      </c>
      <c r="F37" s="83">
        <v>9</v>
      </c>
      <c r="G37" s="83">
        <v>1</v>
      </c>
      <c r="H37" s="84">
        <v>0</v>
      </c>
      <c r="I37" s="71">
        <v>0</v>
      </c>
      <c r="J37" s="71">
        <v>15000</v>
      </c>
      <c r="L37" s="2" t="str">
        <f t="shared" ref="L37:L69" si="4">IF(B37="","",TEXT(B37,"MMM"))</f>
        <v>Oct</v>
      </c>
      <c r="M37" s="2">
        <f t="shared" ref="M37:M69" si="5">IF(B37="","",YEAR(B37))</f>
        <v>2021</v>
      </c>
    </row>
    <row r="38" spans="1:13">
      <c r="A38" t="s">
        <v>124</v>
      </c>
      <c r="B38" s="69">
        <v>44477</v>
      </c>
      <c r="C38" t="s">
        <v>125</v>
      </c>
      <c r="D38" t="s">
        <v>44</v>
      </c>
      <c r="E38" s="71">
        <v>15000</v>
      </c>
      <c r="F38" s="83">
        <v>9</v>
      </c>
      <c r="G38" s="83">
        <v>1</v>
      </c>
      <c r="H38" s="84">
        <v>0</v>
      </c>
      <c r="I38" s="71">
        <v>0</v>
      </c>
      <c r="J38" s="71">
        <v>15000</v>
      </c>
      <c r="L38" s="2" t="str">
        <f t="shared" si="4"/>
        <v>Oct</v>
      </c>
      <c r="M38" s="2">
        <f t="shared" si="5"/>
        <v>2021</v>
      </c>
    </row>
    <row r="39" spans="1:13">
      <c r="A39" t="s">
        <v>256</v>
      </c>
      <c r="B39" s="69">
        <v>44477</v>
      </c>
      <c r="C39" t="s">
        <v>257</v>
      </c>
      <c r="D39" t="s">
        <v>44</v>
      </c>
      <c r="E39" s="71">
        <v>15000</v>
      </c>
      <c r="F39" s="83">
        <v>3</v>
      </c>
      <c r="G39" s="83">
        <v>1</v>
      </c>
      <c r="H39" s="84">
        <v>0</v>
      </c>
      <c r="I39" s="71">
        <v>0</v>
      </c>
      <c r="J39" s="71">
        <v>15000</v>
      </c>
      <c r="L39" s="2" t="str">
        <f t="shared" si="4"/>
        <v>Oct</v>
      </c>
      <c r="M39" s="2">
        <f t="shared" si="5"/>
        <v>2021</v>
      </c>
    </row>
    <row r="40" spans="1:13">
      <c r="A40" t="s">
        <v>368</v>
      </c>
      <c r="B40" s="69">
        <v>44477</v>
      </c>
      <c r="C40" t="s">
        <v>369</v>
      </c>
      <c r="D40" t="s">
        <v>44</v>
      </c>
      <c r="E40" s="71">
        <v>15000</v>
      </c>
      <c r="F40" s="83">
        <v>4</v>
      </c>
      <c r="G40" s="83">
        <v>1</v>
      </c>
      <c r="H40" s="84">
        <v>0</v>
      </c>
      <c r="I40" s="71">
        <v>0</v>
      </c>
      <c r="J40" s="71">
        <v>15000</v>
      </c>
      <c r="L40" s="2" t="str">
        <f t="shared" si="4"/>
        <v>Oct</v>
      </c>
      <c r="M40" s="2">
        <f t="shared" si="5"/>
        <v>2021</v>
      </c>
    </row>
    <row r="41" spans="1:13">
      <c r="A41" t="s">
        <v>107</v>
      </c>
      <c r="B41" s="69">
        <v>44477</v>
      </c>
      <c r="C41" t="s">
        <v>108</v>
      </c>
      <c r="D41" t="s">
        <v>44</v>
      </c>
      <c r="E41" s="71">
        <v>15000</v>
      </c>
      <c r="F41" s="83">
        <v>4</v>
      </c>
      <c r="G41" s="83">
        <v>1</v>
      </c>
      <c r="H41" s="84">
        <v>0</v>
      </c>
      <c r="I41" s="71">
        <v>0</v>
      </c>
      <c r="J41" s="71">
        <v>15000</v>
      </c>
      <c r="L41" s="2" t="str">
        <f t="shared" si="4"/>
        <v>Oct</v>
      </c>
      <c r="M41" s="2">
        <f t="shared" si="5"/>
        <v>2021</v>
      </c>
    </row>
    <row r="42" spans="1:13">
      <c r="A42" t="s">
        <v>69</v>
      </c>
      <c r="B42" s="69">
        <v>44477</v>
      </c>
      <c r="C42" t="s">
        <v>70</v>
      </c>
      <c r="D42" t="s">
        <v>44</v>
      </c>
      <c r="E42" s="71">
        <v>40000</v>
      </c>
      <c r="F42" s="83">
        <v>3</v>
      </c>
      <c r="G42" s="83">
        <v>1</v>
      </c>
      <c r="H42" s="84">
        <v>0</v>
      </c>
      <c r="I42" s="71">
        <v>0</v>
      </c>
      <c r="J42" s="71">
        <v>40000</v>
      </c>
      <c r="L42" s="2" t="str">
        <f t="shared" si="4"/>
        <v>Oct</v>
      </c>
      <c r="M42" s="2">
        <f t="shared" si="5"/>
        <v>2021</v>
      </c>
    </row>
    <row r="43" spans="1:13">
      <c r="A43" t="s">
        <v>552</v>
      </c>
      <c r="B43" s="69">
        <v>44477</v>
      </c>
      <c r="C43" t="s">
        <v>553</v>
      </c>
      <c r="D43" t="s">
        <v>44</v>
      </c>
      <c r="E43" s="71">
        <v>20000</v>
      </c>
      <c r="F43" s="83">
        <v>25</v>
      </c>
      <c r="G43" s="83">
        <v>1</v>
      </c>
      <c r="H43" s="84">
        <v>0</v>
      </c>
      <c r="I43" s="71">
        <v>0</v>
      </c>
      <c r="J43" s="71">
        <v>20000</v>
      </c>
      <c r="L43" s="2" t="str">
        <f t="shared" si="4"/>
        <v>Oct</v>
      </c>
      <c r="M43" s="2">
        <f t="shared" si="5"/>
        <v>2021</v>
      </c>
    </row>
    <row r="44" spans="1:13">
      <c r="A44" t="s">
        <v>580</v>
      </c>
      <c r="B44" s="69">
        <v>44477</v>
      </c>
      <c r="C44" t="s">
        <v>581</v>
      </c>
      <c r="D44" t="s">
        <v>44</v>
      </c>
      <c r="E44" s="71">
        <v>25000</v>
      </c>
      <c r="F44" s="83">
        <v>15</v>
      </c>
      <c r="G44" s="83">
        <v>1</v>
      </c>
      <c r="H44" s="84">
        <v>0</v>
      </c>
      <c r="I44" s="71">
        <v>0</v>
      </c>
      <c r="J44" s="71">
        <v>25000</v>
      </c>
      <c r="L44" s="2" t="str">
        <f t="shared" si="4"/>
        <v>Oct</v>
      </c>
      <c r="M44" s="2">
        <f t="shared" si="5"/>
        <v>2021</v>
      </c>
    </row>
    <row r="45" spans="1:13">
      <c r="A45" t="s">
        <v>580</v>
      </c>
      <c r="B45" s="69">
        <v>44477</v>
      </c>
      <c r="C45" t="s">
        <v>581</v>
      </c>
      <c r="D45" t="s">
        <v>44</v>
      </c>
      <c r="E45" s="71">
        <v>25000</v>
      </c>
      <c r="F45" s="83">
        <v>15</v>
      </c>
      <c r="G45" s="83">
        <v>1</v>
      </c>
      <c r="H45" s="84">
        <v>0</v>
      </c>
      <c r="I45" s="71">
        <v>0</v>
      </c>
      <c r="J45" s="71">
        <v>25000</v>
      </c>
      <c r="L45" s="2" t="str">
        <f t="shared" si="4"/>
        <v>Oct</v>
      </c>
      <c r="M45" s="2">
        <f t="shared" si="5"/>
        <v>2021</v>
      </c>
    </row>
    <row r="46" spans="1:13">
      <c r="A46" t="s">
        <v>642</v>
      </c>
      <c r="B46" s="69">
        <v>44477</v>
      </c>
      <c r="C46" t="s">
        <v>643</v>
      </c>
      <c r="D46" t="s">
        <v>44</v>
      </c>
      <c r="E46" s="71">
        <v>15000</v>
      </c>
      <c r="F46" s="83">
        <v>22</v>
      </c>
      <c r="G46" s="83">
        <v>1</v>
      </c>
      <c r="H46" s="84">
        <v>0</v>
      </c>
      <c r="I46" s="71">
        <v>0</v>
      </c>
      <c r="J46" s="71">
        <v>15000</v>
      </c>
      <c r="L46" s="2" t="str">
        <f t="shared" si="4"/>
        <v>Oct</v>
      </c>
      <c r="M46" s="2">
        <f t="shared" si="5"/>
        <v>2021</v>
      </c>
    </row>
    <row r="47" spans="1:13">
      <c r="A47" t="s">
        <v>69</v>
      </c>
      <c r="B47" s="69">
        <v>44477</v>
      </c>
      <c r="C47" t="s">
        <v>70</v>
      </c>
      <c r="D47" t="s">
        <v>44</v>
      </c>
      <c r="E47" s="71">
        <v>40000</v>
      </c>
      <c r="F47" s="83">
        <v>2</v>
      </c>
      <c r="G47" s="83">
        <v>1</v>
      </c>
      <c r="H47" s="84">
        <v>0</v>
      </c>
      <c r="I47" s="71">
        <v>0</v>
      </c>
      <c r="J47" s="71">
        <v>40000</v>
      </c>
      <c r="L47" s="2" t="str">
        <f t="shared" si="4"/>
        <v>Oct</v>
      </c>
      <c r="M47" s="2">
        <f t="shared" si="5"/>
        <v>2021</v>
      </c>
    </row>
    <row r="48" spans="1:13">
      <c r="A48" t="s">
        <v>594</v>
      </c>
      <c r="B48" s="69">
        <v>44477</v>
      </c>
      <c r="C48" t="s">
        <v>595</v>
      </c>
      <c r="D48" t="s">
        <v>44</v>
      </c>
      <c r="E48" s="71">
        <v>60000</v>
      </c>
      <c r="F48" s="83">
        <v>3</v>
      </c>
      <c r="G48" s="83">
        <v>1</v>
      </c>
      <c r="H48" s="84">
        <v>0</v>
      </c>
      <c r="I48" s="71">
        <v>0</v>
      </c>
      <c r="J48" s="71">
        <v>60000</v>
      </c>
      <c r="L48" s="2" t="str">
        <f t="shared" si="4"/>
        <v>Oct</v>
      </c>
      <c r="M48" s="2">
        <f t="shared" si="5"/>
        <v>2021</v>
      </c>
    </row>
    <row r="49" spans="1:13">
      <c r="A49" t="s">
        <v>594</v>
      </c>
      <c r="B49" s="69">
        <v>44477</v>
      </c>
      <c r="C49" t="s">
        <v>595</v>
      </c>
      <c r="D49" t="s">
        <v>44</v>
      </c>
      <c r="E49" s="71">
        <v>60000</v>
      </c>
      <c r="F49" s="83">
        <v>3</v>
      </c>
      <c r="G49" s="83">
        <v>1</v>
      </c>
      <c r="H49" s="84">
        <v>0</v>
      </c>
      <c r="I49" s="71">
        <v>0</v>
      </c>
      <c r="J49" s="71">
        <v>60000</v>
      </c>
      <c r="L49" s="2" t="str">
        <f t="shared" si="4"/>
        <v>Oct</v>
      </c>
      <c r="M49" s="2">
        <f t="shared" si="5"/>
        <v>2021</v>
      </c>
    </row>
    <row r="50" spans="1:13">
      <c r="A50" t="s">
        <v>327</v>
      </c>
      <c r="B50" s="69">
        <v>44477</v>
      </c>
      <c r="C50" t="s">
        <v>328</v>
      </c>
      <c r="D50" t="s">
        <v>44</v>
      </c>
      <c r="E50" s="71">
        <v>15000</v>
      </c>
      <c r="F50" s="83">
        <v>3</v>
      </c>
      <c r="G50" s="83">
        <v>1</v>
      </c>
      <c r="H50" s="84">
        <v>0</v>
      </c>
      <c r="I50" s="71">
        <v>0</v>
      </c>
      <c r="J50" s="71">
        <v>15000</v>
      </c>
      <c r="L50" s="2" t="str">
        <f t="shared" si="4"/>
        <v>Oct</v>
      </c>
      <c r="M50" s="2">
        <f t="shared" si="5"/>
        <v>2021</v>
      </c>
    </row>
    <row r="51" spans="1:13">
      <c r="A51" t="s">
        <v>256</v>
      </c>
      <c r="B51" s="69">
        <v>44477</v>
      </c>
      <c r="C51" t="s">
        <v>257</v>
      </c>
      <c r="D51" t="s">
        <v>44</v>
      </c>
      <c r="E51" s="71">
        <v>15000</v>
      </c>
      <c r="F51" s="83">
        <v>2</v>
      </c>
      <c r="G51" s="83">
        <v>1</v>
      </c>
      <c r="H51" s="84">
        <v>0</v>
      </c>
      <c r="I51" s="71">
        <v>0</v>
      </c>
      <c r="J51" s="71">
        <v>15000</v>
      </c>
      <c r="L51" s="2" t="str">
        <f t="shared" si="4"/>
        <v>Oct</v>
      </c>
      <c r="M51" s="2">
        <f t="shared" si="5"/>
        <v>2021</v>
      </c>
    </row>
    <row r="52" spans="1:13">
      <c r="A52" t="s">
        <v>51</v>
      </c>
      <c r="B52" s="69">
        <v>44477</v>
      </c>
      <c r="C52" t="s">
        <v>52</v>
      </c>
      <c r="D52" t="s">
        <v>44</v>
      </c>
      <c r="E52" s="71">
        <v>17000</v>
      </c>
      <c r="F52" s="83">
        <v>8</v>
      </c>
      <c r="G52" s="83">
        <v>1</v>
      </c>
      <c r="H52" s="84">
        <v>0</v>
      </c>
      <c r="I52" s="71">
        <v>0</v>
      </c>
      <c r="J52" s="71">
        <v>17000</v>
      </c>
      <c r="L52" s="2" t="str">
        <f t="shared" si="4"/>
        <v>Oct</v>
      </c>
      <c r="M52" s="2">
        <f t="shared" si="5"/>
        <v>2021</v>
      </c>
    </row>
    <row r="53" spans="1:13">
      <c r="A53" t="s">
        <v>676</v>
      </c>
      <c r="B53" s="69">
        <v>44477</v>
      </c>
      <c r="C53" t="s">
        <v>677</v>
      </c>
      <c r="D53" t="s">
        <v>44</v>
      </c>
      <c r="E53" s="71">
        <v>18000</v>
      </c>
      <c r="F53" s="83">
        <v>3</v>
      </c>
      <c r="G53" s="83">
        <v>1</v>
      </c>
      <c r="H53" s="84">
        <v>0</v>
      </c>
      <c r="I53" s="71">
        <v>0</v>
      </c>
      <c r="J53" s="71">
        <v>18000</v>
      </c>
      <c r="L53" s="2" t="str">
        <f t="shared" si="4"/>
        <v>Oct</v>
      </c>
      <c r="M53" s="2">
        <f t="shared" si="5"/>
        <v>2021</v>
      </c>
    </row>
    <row r="54" spans="1:13">
      <c r="A54" t="s">
        <v>69</v>
      </c>
      <c r="B54" s="69">
        <v>44477</v>
      </c>
      <c r="C54" t="s">
        <v>70</v>
      </c>
      <c r="D54" t="s">
        <v>44</v>
      </c>
      <c r="E54" s="71">
        <v>40000</v>
      </c>
      <c r="F54" s="83">
        <v>2</v>
      </c>
      <c r="G54" s="83">
        <v>1</v>
      </c>
      <c r="H54" s="84">
        <v>0</v>
      </c>
      <c r="I54" s="71">
        <v>0</v>
      </c>
      <c r="J54" s="71">
        <v>40000</v>
      </c>
      <c r="L54" s="2" t="str">
        <f t="shared" si="4"/>
        <v>Oct</v>
      </c>
      <c r="M54" s="2">
        <f t="shared" si="5"/>
        <v>2021</v>
      </c>
    </row>
    <row r="55" spans="1:13">
      <c r="A55" t="s">
        <v>594</v>
      </c>
      <c r="B55" s="69">
        <v>44477</v>
      </c>
      <c r="C55" t="s">
        <v>595</v>
      </c>
      <c r="D55" t="s">
        <v>44</v>
      </c>
      <c r="E55" s="71">
        <v>60000</v>
      </c>
      <c r="F55" s="83">
        <v>3</v>
      </c>
      <c r="G55" s="83">
        <v>1</v>
      </c>
      <c r="H55" s="84">
        <v>0</v>
      </c>
      <c r="I55" s="71">
        <v>0</v>
      </c>
      <c r="J55" s="71">
        <v>60000</v>
      </c>
      <c r="L55" s="2" t="str">
        <f t="shared" si="4"/>
        <v>Oct</v>
      </c>
      <c r="M55" s="2">
        <f t="shared" si="5"/>
        <v>2021</v>
      </c>
    </row>
    <row r="56" spans="1:13">
      <c r="A56" t="s">
        <v>594</v>
      </c>
      <c r="B56" s="69">
        <v>44477</v>
      </c>
      <c r="C56" t="s">
        <v>595</v>
      </c>
      <c r="D56" t="s">
        <v>44</v>
      </c>
      <c r="E56" s="71">
        <v>60000</v>
      </c>
      <c r="F56" s="83">
        <v>3</v>
      </c>
      <c r="G56" s="83">
        <v>1</v>
      </c>
      <c r="H56" s="84">
        <v>0</v>
      </c>
      <c r="I56" s="71">
        <v>0</v>
      </c>
      <c r="J56" s="71">
        <v>60000</v>
      </c>
      <c r="L56" s="2" t="str">
        <f t="shared" si="4"/>
        <v>Oct</v>
      </c>
      <c r="M56" s="2">
        <f t="shared" si="5"/>
        <v>2021</v>
      </c>
    </row>
    <row r="57" spans="1:13">
      <c r="A57" t="s">
        <v>327</v>
      </c>
      <c r="B57" s="69">
        <v>44477</v>
      </c>
      <c r="C57" t="s">
        <v>328</v>
      </c>
      <c r="D57" t="s">
        <v>44</v>
      </c>
      <c r="E57" s="71">
        <v>15000</v>
      </c>
      <c r="F57" s="83">
        <v>3</v>
      </c>
      <c r="G57" s="83">
        <v>1</v>
      </c>
      <c r="H57" s="84">
        <v>0</v>
      </c>
      <c r="I57" s="71">
        <v>0</v>
      </c>
      <c r="J57" s="71">
        <v>15000</v>
      </c>
      <c r="L57" s="2" t="str">
        <f t="shared" si="4"/>
        <v>Oct</v>
      </c>
      <c r="M57" s="2">
        <f t="shared" si="5"/>
        <v>2021</v>
      </c>
    </row>
    <row r="58" spans="1:13">
      <c r="A58" t="s">
        <v>256</v>
      </c>
      <c r="B58" s="69">
        <v>44477</v>
      </c>
      <c r="C58" t="s">
        <v>257</v>
      </c>
      <c r="D58" t="s">
        <v>44</v>
      </c>
      <c r="E58" s="71">
        <v>15000</v>
      </c>
      <c r="F58" s="83">
        <v>2</v>
      </c>
      <c r="G58" s="83">
        <v>1</v>
      </c>
      <c r="H58" s="84">
        <v>0</v>
      </c>
      <c r="I58" s="71">
        <v>0</v>
      </c>
      <c r="J58" s="71">
        <v>15000</v>
      </c>
      <c r="L58" s="2" t="str">
        <f t="shared" si="4"/>
        <v>Oct</v>
      </c>
      <c r="M58" s="2">
        <f t="shared" si="5"/>
        <v>2021</v>
      </c>
    </row>
    <row r="59" spans="1:13">
      <c r="A59" t="s">
        <v>51</v>
      </c>
      <c r="B59" s="69">
        <v>44477</v>
      </c>
      <c r="C59" t="s">
        <v>52</v>
      </c>
      <c r="D59" t="s">
        <v>44</v>
      </c>
      <c r="E59" s="71">
        <v>17000</v>
      </c>
      <c r="F59" s="83">
        <v>8</v>
      </c>
      <c r="G59" s="83">
        <v>1</v>
      </c>
      <c r="H59" s="84">
        <v>0</v>
      </c>
      <c r="I59" s="71">
        <v>0</v>
      </c>
      <c r="J59" s="71">
        <v>17000</v>
      </c>
      <c r="L59" s="2" t="str">
        <f t="shared" si="4"/>
        <v>Oct</v>
      </c>
      <c r="M59" s="2">
        <f t="shared" si="5"/>
        <v>2021</v>
      </c>
    </row>
    <row r="60" spans="1:13">
      <c r="A60" t="s">
        <v>676</v>
      </c>
      <c r="B60" s="69">
        <v>44477</v>
      </c>
      <c r="C60" t="s">
        <v>677</v>
      </c>
      <c r="D60" t="s">
        <v>44</v>
      </c>
      <c r="E60" s="71">
        <v>18000</v>
      </c>
      <c r="F60" s="83">
        <v>3</v>
      </c>
      <c r="G60" s="83">
        <v>1</v>
      </c>
      <c r="H60" s="84">
        <v>0</v>
      </c>
      <c r="I60" s="71">
        <v>0</v>
      </c>
      <c r="J60" s="71">
        <v>18000</v>
      </c>
      <c r="L60" s="2" t="str">
        <f t="shared" si="4"/>
        <v>Oct</v>
      </c>
      <c r="M60" s="2">
        <f t="shared" si="5"/>
        <v>2021</v>
      </c>
    </row>
    <row r="61" spans="1:13">
      <c r="A61" t="s">
        <v>413</v>
      </c>
      <c r="B61" s="69">
        <v>44477</v>
      </c>
      <c r="C61" t="s">
        <v>414</v>
      </c>
      <c r="D61" t="s">
        <v>44</v>
      </c>
      <c r="E61" s="71">
        <v>50000</v>
      </c>
      <c r="F61" s="83">
        <v>6</v>
      </c>
      <c r="G61" s="83">
        <v>1</v>
      </c>
      <c r="H61" s="84">
        <v>0</v>
      </c>
      <c r="I61" s="71">
        <v>0</v>
      </c>
      <c r="J61" s="71">
        <v>50000</v>
      </c>
      <c r="L61" s="2" t="str">
        <f t="shared" si="4"/>
        <v>Oct</v>
      </c>
      <c r="M61" s="2">
        <f t="shared" si="5"/>
        <v>2021</v>
      </c>
    </row>
    <row r="62" spans="1:13">
      <c r="A62" t="s">
        <v>120</v>
      </c>
      <c r="B62" s="69">
        <v>44477</v>
      </c>
      <c r="C62" t="s">
        <v>121</v>
      </c>
      <c r="D62" t="s">
        <v>44</v>
      </c>
      <c r="E62" s="71">
        <v>15000</v>
      </c>
      <c r="F62" s="83">
        <v>1</v>
      </c>
      <c r="G62" s="83">
        <v>1</v>
      </c>
      <c r="H62" s="84">
        <v>0</v>
      </c>
      <c r="I62" s="71">
        <v>0</v>
      </c>
      <c r="J62" s="71">
        <v>15000</v>
      </c>
      <c r="L62" s="2" t="str">
        <f t="shared" si="4"/>
        <v>Oct</v>
      </c>
      <c r="M62" s="2">
        <f t="shared" si="5"/>
        <v>2021</v>
      </c>
    </row>
    <row r="63" spans="1:13">
      <c r="A63" t="s">
        <v>642</v>
      </c>
      <c r="B63" s="69">
        <v>44477</v>
      </c>
      <c r="C63" t="s">
        <v>643</v>
      </c>
      <c r="D63" t="s">
        <v>44</v>
      </c>
      <c r="E63" s="71">
        <v>15000</v>
      </c>
      <c r="F63" s="83">
        <v>21</v>
      </c>
      <c r="G63" s="83">
        <v>1</v>
      </c>
      <c r="H63" s="84">
        <v>0</v>
      </c>
      <c r="I63" s="71">
        <v>0</v>
      </c>
      <c r="J63" s="71">
        <v>15000</v>
      </c>
      <c r="L63" s="2" t="str">
        <f t="shared" si="4"/>
        <v>Oct</v>
      </c>
      <c r="M63" s="2">
        <f t="shared" si="5"/>
        <v>2021</v>
      </c>
    </row>
    <row r="64" spans="1:13">
      <c r="A64" t="s">
        <v>520</v>
      </c>
      <c r="B64" s="69">
        <v>44477</v>
      </c>
      <c r="C64" t="s">
        <v>521</v>
      </c>
      <c r="D64" t="s">
        <v>44</v>
      </c>
      <c r="E64" s="71">
        <v>20000</v>
      </c>
      <c r="F64" s="83">
        <v>4</v>
      </c>
      <c r="G64" s="83">
        <v>1</v>
      </c>
      <c r="H64" s="84">
        <v>0</v>
      </c>
      <c r="I64" s="71">
        <v>0</v>
      </c>
      <c r="J64" s="71">
        <v>20000</v>
      </c>
      <c r="L64" s="2" t="str">
        <f t="shared" si="4"/>
        <v>Oct</v>
      </c>
      <c r="M64" s="2">
        <f t="shared" si="5"/>
        <v>2021</v>
      </c>
    </row>
    <row r="65" spans="1:13">
      <c r="A65" t="s">
        <v>684</v>
      </c>
      <c r="B65" s="69">
        <v>44478</v>
      </c>
      <c r="C65" t="s">
        <v>685</v>
      </c>
      <c r="D65" t="s">
        <v>44</v>
      </c>
      <c r="E65" s="71">
        <v>10000</v>
      </c>
      <c r="F65" s="83">
        <v>5</v>
      </c>
      <c r="G65" s="83">
        <v>1</v>
      </c>
      <c r="H65" s="84">
        <v>0</v>
      </c>
      <c r="I65" s="71">
        <v>0</v>
      </c>
      <c r="J65" s="71">
        <v>10000</v>
      </c>
      <c r="L65" s="2" t="str">
        <f t="shared" si="4"/>
        <v>Okt</v>
      </c>
      <c r="M65" s="2">
        <f t="shared" si="5"/>
        <v>2021</v>
      </c>
    </row>
    <row r="66" spans="1:13">
      <c r="A66" t="s">
        <v>124</v>
      </c>
      <c r="B66" s="69">
        <v>44478</v>
      </c>
      <c r="C66" t="s">
        <v>125</v>
      </c>
      <c r="D66" t="s">
        <v>44</v>
      </c>
      <c r="E66" s="71">
        <v>15000</v>
      </c>
      <c r="F66" s="83">
        <v>7</v>
      </c>
      <c r="G66" s="83">
        <v>1</v>
      </c>
      <c r="H66" s="84">
        <v>0</v>
      </c>
      <c r="I66" s="71">
        <v>0</v>
      </c>
      <c r="J66" s="71">
        <v>15000</v>
      </c>
      <c r="L66" s="2" t="str">
        <f t="shared" si="4"/>
        <v>Okt</v>
      </c>
      <c r="M66" s="2">
        <f t="shared" si="5"/>
        <v>2021</v>
      </c>
    </row>
    <row r="67" spans="1:13">
      <c r="A67" t="s">
        <v>124</v>
      </c>
      <c r="B67" s="69">
        <v>44478</v>
      </c>
      <c r="C67" t="s">
        <v>125</v>
      </c>
      <c r="D67" t="s">
        <v>44</v>
      </c>
      <c r="E67" s="71">
        <v>15000</v>
      </c>
      <c r="F67" s="83">
        <v>7</v>
      </c>
      <c r="G67" s="83">
        <v>1</v>
      </c>
      <c r="H67" s="84">
        <v>0</v>
      </c>
      <c r="I67" s="71">
        <v>0</v>
      </c>
      <c r="J67" s="71">
        <v>15000</v>
      </c>
      <c r="L67" s="2" t="str">
        <f t="shared" si="4"/>
        <v>Okt</v>
      </c>
      <c r="M67" s="2">
        <f t="shared" si="5"/>
        <v>2021</v>
      </c>
    </row>
    <row r="68" spans="1:13">
      <c r="A68" t="s">
        <v>171</v>
      </c>
      <c r="B68" s="69">
        <v>44478</v>
      </c>
      <c r="C68" t="s">
        <v>172</v>
      </c>
      <c r="D68" t="s">
        <v>44</v>
      </c>
      <c r="E68" s="71">
        <v>15000</v>
      </c>
      <c r="F68" s="83">
        <v>7</v>
      </c>
      <c r="G68" s="83">
        <v>1</v>
      </c>
      <c r="H68" s="84">
        <v>0</v>
      </c>
      <c r="I68" s="71">
        <v>0</v>
      </c>
      <c r="J68" s="71">
        <v>15000</v>
      </c>
      <c r="L68" s="2" t="str">
        <f t="shared" si="4"/>
        <v>Okt</v>
      </c>
      <c r="M68" s="2">
        <f t="shared" si="5"/>
        <v>2021</v>
      </c>
    </row>
    <row r="69" spans="1:13">
      <c r="A69" t="s">
        <v>223</v>
      </c>
      <c r="B69" s="69">
        <v>44478</v>
      </c>
      <c r="C69" t="s">
        <v>224</v>
      </c>
      <c r="D69" t="s">
        <v>44</v>
      </c>
      <c r="E69" s="71">
        <v>15000</v>
      </c>
      <c r="F69" s="83">
        <v>9</v>
      </c>
      <c r="G69" s="83">
        <v>1</v>
      </c>
      <c r="H69" s="84">
        <v>0</v>
      </c>
      <c r="I69" s="71">
        <v>0</v>
      </c>
      <c r="J69" s="71">
        <v>15000</v>
      </c>
      <c r="L69" s="2" t="str">
        <f t="shared" si="4"/>
        <v>Okt</v>
      </c>
      <c r="M69" s="2">
        <f t="shared" si="5"/>
        <v>2021</v>
      </c>
    </row>
    <row r="70" spans="1:13">
      <c r="A70" t="s">
        <v>105</v>
      </c>
      <c r="B70" s="69">
        <v>44478</v>
      </c>
      <c r="C70" t="s">
        <v>106</v>
      </c>
      <c r="D70" t="s">
        <v>44</v>
      </c>
      <c r="E70" s="71">
        <v>15000</v>
      </c>
      <c r="F70" s="83">
        <v>7</v>
      </c>
      <c r="G70" s="83">
        <v>1</v>
      </c>
      <c r="H70" s="84">
        <v>0</v>
      </c>
      <c r="I70" s="71">
        <v>0</v>
      </c>
      <c r="J70" s="71">
        <v>15000</v>
      </c>
    </row>
    <row r="71" spans="1:13">
      <c r="A71" t="s">
        <v>105</v>
      </c>
      <c r="B71" s="69">
        <v>44478</v>
      </c>
      <c r="C71" t="s">
        <v>106</v>
      </c>
      <c r="D71" t="s">
        <v>44</v>
      </c>
      <c r="E71" s="71">
        <v>15000</v>
      </c>
      <c r="F71" s="83">
        <v>7</v>
      </c>
      <c r="G71" s="83">
        <v>1</v>
      </c>
      <c r="H71" s="84">
        <v>0</v>
      </c>
      <c r="I71" s="71">
        <v>0</v>
      </c>
      <c r="J71" s="71">
        <v>15000</v>
      </c>
    </row>
    <row r="72" spans="1:13">
      <c r="A72" t="s">
        <v>721</v>
      </c>
      <c r="B72" s="69">
        <v>44478</v>
      </c>
      <c r="C72" t="s">
        <v>722</v>
      </c>
      <c r="D72" t="s">
        <v>44</v>
      </c>
      <c r="E72" s="71">
        <v>25000</v>
      </c>
      <c r="F72" s="83">
        <v>3</v>
      </c>
      <c r="G72" s="83">
        <v>1</v>
      </c>
      <c r="H72" s="84">
        <v>0</v>
      </c>
      <c r="I72" s="71">
        <v>0</v>
      </c>
      <c r="J72" s="71">
        <v>25000</v>
      </c>
    </row>
    <row r="73" spans="1:13">
      <c r="A73" t="s">
        <v>336</v>
      </c>
      <c r="B73" s="69">
        <v>44478</v>
      </c>
      <c r="C73" t="s">
        <v>337</v>
      </c>
      <c r="D73" t="s">
        <v>44</v>
      </c>
      <c r="E73" s="71">
        <v>15000</v>
      </c>
      <c r="F73" s="83">
        <v>5</v>
      </c>
      <c r="G73" s="83">
        <v>1</v>
      </c>
      <c r="H73" s="84">
        <v>0</v>
      </c>
      <c r="I73" s="71">
        <v>0</v>
      </c>
      <c r="J73" s="71">
        <v>15000</v>
      </c>
    </row>
    <row r="74" spans="1:13">
      <c r="A74" t="s">
        <v>741</v>
      </c>
      <c r="B74" s="69">
        <v>44478</v>
      </c>
      <c r="C74" t="s">
        <v>279</v>
      </c>
      <c r="D74" t="s">
        <v>44</v>
      </c>
      <c r="E74" s="71">
        <v>15000</v>
      </c>
      <c r="F74" s="83">
        <v>4</v>
      </c>
      <c r="G74" s="83">
        <v>1</v>
      </c>
      <c r="H74" s="84">
        <v>0</v>
      </c>
      <c r="I74" s="71">
        <v>0</v>
      </c>
      <c r="J74" s="71">
        <v>15000</v>
      </c>
    </row>
    <row r="75" spans="1:13">
      <c r="A75" t="s">
        <v>55</v>
      </c>
      <c r="B75" s="69">
        <v>44478</v>
      </c>
      <c r="C75" t="s">
        <v>56</v>
      </c>
      <c r="D75" t="s">
        <v>44</v>
      </c>
      <c r="E75" s="71">
        <v>28000</v>
      </c>
      <c r="F75" s="83">
        <v>5</v>
      </c>
      <c r="G75" s="83">
        <v>1</v>
      </c>
      <c r="H75" s="84">
        <v>0</v>
      </c>
      <c r="I75" s="71">
        <v>0</v>
      </c>
      <c r="J75" s="71">
        <v>28000</v>
      </c>
    </row>
    <row r="76" spans="1:13">
      <c r="A76" t="s">
        <v>526</v>
      </c>
      <c r="B76" s="69">
        <v>44478</v>
      </c>
      <c r="C76" t="s">
        <v>527</v>
      </c>
      <c r="D76" t="s">
        <v>44</v>
      </c>
      <c r="E76" s="71">
        <v>50000</v>
      </c>
      <c r="F76" s="83">
        <v>2</v>
      </c>
      <c r="G76" s="83">
        <v>1</v>
      </c>
      <c r="H76" s="84">
        <v>0</v>
      </c>
      <c r="I76" s="71">
        <v>0</v>
      </c>
      <c r="J76" s="71">
        <v>50000</v>
      </c>
    </row>
    <row r="77" spans="1:13">
      <c r="A77" t="s">
        <v>588</v>
      </c>
      <c r="B77" s="69">
        <v>44478</v>
      </c>
      <c r="C77" t="s">
        <v>589</v>
      </c>
      <c r="D77" t="s">
        <v>44</v>
      </c>
      <c r="E77" s="71">
        <v>10000</v>
      </c>
      <c r="F77" s="83">
        <v>20</v>
      </c>
      <c r="G77" s="83">
        <v>1</v>
      </c>
      <c r="H77" s="84">
        <v>0</v>
      </c>
      <c r="I77" s="71">
        <v>0</v>
      </c>
      <c r="J77" s="71">
        <v>10000</v>
      </c>
    </row>
    <row r="78" spans="1:13">
      <c r="A78" t="s">
        <v>588</v>
      </c>
      <c r="B78" s="69">
        <v>44478</v>
      </c>
      <c r="C78" t="s">
        <v>589</v>
      </c>
      <c r="D78" t="s">
        <v>44</v>
      </c>
      <c r="E78" s="71">
        <v>10000</v>
      </c>
      <c r="F78" s="83">
        <v>20</v>
      </c>
      <c r="G78" s="83">
        <v>1</v>
      </c>
      <c r="H78" s="84">
        <v>0</v>
      </c>
      <c r="I78" s="71">
        <v>0</v>
      </c>
      <c r="J78" s="71">
        <v>10000</v>
      </c>
    </row>
    <row r="79" spans="1:13">
      <c r="A79" t="s">
        <v>588</v>
      </c>
      <c r="B79" s="69">
        <v>44478</v>
      </c>
      <c r="C79" t="s">
        <v>589</v>
      </c>
      <c r="D79" t="s">
        <v>44</v>
      </c>
      <c r="E79" s="71">
        <v>10000</v>
      </c>
      <c r="F79" s="83">
        <v>20</v>
      </c>
      <c r="G79" s="83">
        <v>1</v>
      </c>
      <c r="H79" s="84">
        <v>0</v>
      </c>
      <c r="I79" s="71">
        <v>0</v>
      </c>
      <c r="J79" s="71">
        <v>10000</v>
      </c>
    </row>
    <row r="80" spans="1:13">
      <c r="A80" t="s">
        <v>687</v>
      </c>
      <c r="B80" s="69">
        <v>44478</v>
      </c>
      <c r="C80" t="s">
        <v>688</v>
      </c>
      <c r="D80" t="s">
        <v>44</v>
      </c>
      <c r="E80" s="71">
        <v>7000</v>
      </c>
      <c r="F80" s="83">
        <v>40</v>
      </c>
      <c r="G80" s="83">
        <v>1</v>
      </c>
      <c r="H80" s="84">
        <v>0</v>
      </c>
      <c r="I80" s="71">
        <v>0</v>
      </c>
      <c r="J80" s="71">
        <v>7000</v>
      </c>
    </row>
    <row r="81" spans="1:10">
      <c r="A81" t="s">
        <v>274</v>
      </c>
      <c r="B81" s="69">
        <v>44478</v>
      </c>
      <c r="C81" t="s">
        <v>275</v>
      </c>
      <c r="D81" t="s">
        <v>44</v>
      </c>
      <c r="E81" s="71">
        <v>15000</v>
      </c>
      <c r="F81" s="83">
        <v>2</v>
      </c>
      <c r="G81" s="83">
        <v>1</v>
      </c>
      <c r="H81" s="84">
        <v>0</v>
      </c>
      <c r="I81" s="71">
        <v>0</v>
      </c>
      <c r="J81" s="71">
        <v>15000</v>
      </c>
    </row>
    <row r="82" spans="1:10">
      <c r="A82" t="s">
        <v>373</v>
      </c>
      <c r="B82" s="69">
        <v>44478</v>
      </c>
      <c r="C82" t="s">
        <v>374</v>
      </c>
      <c r="D82" t="s">
        <v>44</v>
      </c>
      <c r="E82" s="71">
        <v>15000</v>
      </c>
      <c r="F82" s="83">
        <v>2</v>
      </c>
      <c r="G82" s="83">
        <v>1</v>
      </c>
      <c r="H82" s="84">
        <v>0</v>
      </c>
      <c r="I82" s="71">
        <v>0</v>
      </c>
      <c r="J82" s="71">
        <v>15000</v>
      </c>
    </row>
    <row r="83" spans="1:10">
      <c r="A83" t="s">
        <v>532</v>
      </c>
      <c r="B83" s="69">
        <v>44478</v>
      </c>
      <c r="C83" t="s">
        <v>533</v>
      </c>
      <c r="D83" t="s">
        <v>44</v>
      </c>
      <c r="E83" s="71">
        <v>23000</v>
      </c>
      <c r="F83" s="83">
        <v>2</v>
      </c>
      <c r="G83" s="83">
        <v>1</v>
      </c>
      <c r="H83" s="84">
        <v>0</v>
      </c>
      <c r="I83" s="71">
        <v>0</v>
      </c>
      <c r="J83" s="71">
        <v>23000</v>
      </c>
    </row>
    <row r="84" spans="1:10">
      <c r="A84" t="s">
        <v>742</v>
      </c>
      <c r="B84" s="69">
        <v>44478</v>
      </c>
      <c r="C84" t="s">
        <v>643</v>
      </c>
      <c r="D84" t="s">
        <v>44</v>
      </c>
      <c r="E84" s="71">
        <v>15000</v>
      </c>
      <c r="F84" s="83">
        <v>20</v>
      </c>
      <c r="G84" s="83">
        <v>1</v>
      </c>
      <c r="H84" s="84">
        <v>0</v>
      </c>
      <c r="I84" s="71">
        <v>0</v>
      </c>
      <c r="J84" s="71">
        <v>15000</v>
      </c>
    </row>
    <row r="85" spans="1:10">
      <c r="A85" t="s">
        <v>752</v>
      </c>
      <c r="B85" s="69">
        <v>44478</v>
      </c>
      <c r="C85" t="s">
        <v>414</v>
      </c>
      <c r="D85" t="s">
        <v>44</v>
      </c>
      <c r="E85" s="71">
        <v>50000</v>
      </c>
      <c r="F85" s="83">
        <v>5</v>
      </c>
      <c r="G85" s="83">
        <v>1</v>
      </c>
      <c r="H85" s="84">
        <v>0</v>
      </c>
      <c r="I85" s="71">
        <v>0</v>
      </c>
      <c r="J85" s="71">
        <v>50000</v>
      </c>
    </row>
    <row r="86" spans="1:10">
      <c r="A86" t="s">
        <v>684</v>
      </c>
      <c r="B86" s="69">
        <v>44478</v>
      </c>
      <c r="C86" t="s">
        <v>685</v>
      </c>
      <c r="D86" t="s">
        <v>44</v>
      </c>
      <c r="E86" s="71">
        <v>10000</v>
      </c>
      <c r="F86" s="83">
        <v>5</v>
      </c>
      <c r="G86" s="83">
        <v>1</v>
      </c>
      <c r="H86" s="84">
        <v>0</v>
      </c>
      <c r="I86" s="71">
        <v>0</v>
      </c>
      <c r="J86" s="71">
        <v>10000</v>
      </c>
    </row>
    <row r="87" spans="1:10">
      <c r="A87" t="s">
        <v>124</v>
      </c>
      <c r="B87" s="69">
        <v>44478</v>
      </c>
      <c r="C87" t="s">
        <v>125</v>
      </c>
      <c r="D87" t="s">
        <v>44</v>
      </c>
      <c r="E87" s="71">
        <v>15000</v>
      </c>
      <c r="F87" s="83">
        <v>7</v>
      </c>
      <c r="G87" s="83">
        <v>1</v>
      </c>
      <c r="H87" s="84">
        <v>0</v>
      </c>
      <c r="I87" s="71">
        <v>0</v>
      </c>
      <c r="J87" s="71">
        <v>15000</v>
      </c>
    </row>
    <row r="88" spans="1:10">
      <c r="A88" t="s">
        <v>124</v>
      </c>
      <c r="B88" s="69">
        <v>44478</v>
      </c>
      <c r="C88" t="s">
        <v>125</v>
      </c>
      <c r="D88" t="s">
        <v>44</v>
      </c>
      <c r="E88" s="71">
        <v>15000</v>
      </c>
      <c r="F88" s="83">
        <v>7</v>
      </c>
      <c r="G88" s="83">
        <v>1</v>
      </c>
      <c r="H88" s="84">
        <v>0</v>
      </c>
      <c r="I88" s="71">
        <v>0</v>
      </c>
      <c r="J88" s="71">
        <v>15000</v>
      </c>
    </row>
    <row r="89" spans="1:10">
      <c r="A89" t="s">
        <v>171</v>
      </c>
      <c r="B89" s="69">
        <v>44478</v>
      </c>
      <c r="C89" t="s">
        <v>172</v>
      </c>
      <c r="D89" t="s">
        <v>44</v>
      </c>
      <c r="E89" s="71">
        <v>15000</v>
      </c>
      <c r="F89" s="83">
        <v>7</v>
      </c>
      <c r="G89" s="83">
        <v>1</v>
      </c>
      <c r="H89" s="84">
        <v>0</v>
      </c>
      <c r="I89" s="71">
        <v>0</v>
      </c>
      <c r="J89" s="71">
        <v>15000</v>
      </c>
    </row>
    <row r="90" spans="1:10">
      <c r="A90" t="s">
        <v>223</v>
      </c>
      <c r="B90" s="69">
        <v>44478</v>
      </c>
      <c r="C90" t="s">
        <v>224</v>
      </c>
      <c r="D90" t="s">
        <v>44</v>
      </c>
      <c r="E90" s="71">
        <v>15000</v>
      </c>
      <c r="F90" s="83">
        <v>9</v>
      </c>
      <c r="G90" s="83">
        <v>1</v>
      </c>
      <c r="H90" s="84">
        <v>0</v>
      </c>
      <c r="I90" s="71">
        <v>0</v>
      </c>
      <c r="J90" s="71">
        <v>15000</v>
      </c>
    </row>
    <row r="91" spans="1:10">
      <c r="A91" t="s">
        <v>105</v>
      </c>
      <c r="B91" s="69">
        <v>44478</v>
      </c>
      <c r="C91" t="s">
        <v>106</v>
      </c>
      <c r="D91" t="s">
        <v>44</v>
      </c>
      <c r="E91" s="71">
        <v>15000</v>
      </c>
      <c r="F91" s="83">
        <v>7</v>
      </c>
      <c r="G91" s="83">
        <v>1</v>
      </c>
      <c r="H91" s="84">
        <v>0</v>
      </c>
      <c r="I91" s="71">
        <v>0</v>
      </c>
      <c r="J91" s="71">
        <v>15000</v>
      </c>
    </row>
    <row r="92" spans="1:10">
      <c r="A92" t="s">
        <v>105</v>
      </c>
      <c r="B92" s="69">
        <v>44478</v>
      </c>
      <c r="C92" t="s">
        <v>106</v>
      </c>
      <c r="D92" t="s">
        <v>44</v>
      </c>
      <c r="E92" s="71">
        <v>15000</v>
      </c>
      <c r="F92" s="83">
        <v>7</v>
      </c>
      <c r="G92" s="83">
        <v>1</v>
      </c>
      <c r="H92" s="84">
        <v>0</v>
      </c>
      <c r="I92" s="71">
        <v>0</v>
      </c>
      <c r="J92" s="71">
        <v>15000</v>
      </c>
    </row>
    <row r="93" spans="1:10">
      <c r="A93" t="s">
        <v>721</v>
      </c>
      <c r="B93" s="69">
        <v>44478</v>
      </c>
      <c r="C93" t="s">
        <v>722</v>
      </c>
      <c r="D93" t="s">
        <v>44</v>
      </c>
      <c r="E93" s="71">
        <v>25000</v>
      </c>
      <c r="F93" s="83">
        <v>3</v>
      </c>
      <c r="G93" s="83">
        <v>1</v>
      </c>
      <c r="H93" s="84">
        <v>0</v>
      </c>
      <c r="I93" s="71">
        <v>0</v>
      </c>
      <c r="J93" s="71">
        <v>25000</v>
      </c>
    </row>
    <row r="94" spans="1:10">
      <c r="A94" t="s">
        <v>336</v>
      </c>
      <c r="B94" s="69">
        <v>44478</v>
      </c>
      <c r="C94" t="s">
        <v>337</v>
      </c>
      <c r="D94" t="s">
        <v>44</v>
      </c>
      <c r="E94" s="71">
        <v>15000</v>
      </c>
      <c r="F94" s="83">
        <v>5</v>
      </c>
      <c r="G94" s="83">
        <v>1</v>
      </c>
      <c r="H94" s="84">
        <v>0</v>
      </c>
      <c r="I94" s="71">
        <v>0</v>
      </c>
      <c r="J94" s="71">
        <v>15000</v>
      </c>
    </row>
    <row r="95" spans="1:10">
      <c r="A95" t="s">
        <v>741</v>
      </c>
      <c r="B95" s="69">
        <v>44478</v>
      </c>
      <c r="C95" t="s">
        <v>279</v>
      </c>
      <c r="D95" t="s">
        <v>44</v>
      </c>
      <c r="E95" s="71">
        <v>15000</v>
      </c>
      <c r="F95" s="83">
        <v>4</v>
      </c>
      <c r="G95" s="83">
        <v>1</v>
      </c>
      <c r="H95" s="84">
        <v>0</v>
      </c>
      <c r="I95" s="71">
        <v>0</v>
      </c>
      <c r="J95" s="71">
        <v>15000</v>
      </c>
    </row>
    <row r="96" spans="1:10">
      <c r="A96" t="s">
        <v>55</v>
      </c>
      <c r="B96" s="69">
        <v>44478</v>
      </c>
      <c r="C96" t="s">
        <v>56</v>
      </c>
      <c r="D96" t="s">
        <v>44</v>
      </c>
      <c r="E96" s="71">
        <v>28000</v>
      </c>
      <c r="F96" s="83">
        <v>5</v>
      </c>
      <c r="G96" s="83">
        <v>1</v>
      </c>
      <c r="H96" s="84">
        <v>0</v>
      </c>
      <c r="I96" s="71">
        <v>0</v>
      </c>
      <c r="J96" s="71">
        <v>28000</v>
      </c>
    </row>
    <row r="97" spans="1:10">
      <c r="A97" t="s">
        <v>526</v>
      </c>
      <c r="B97" s="69">
        <v>44478</v>
      </c>
      <c r="C97" t="s">
        <v>527</v>
      </c>
      <c r="D97" t="s">
        <v>44</v>
      </c>
      <c r="E97" s="71">
        <v>50000</v>
      </c>
      <c r="F97" s="83">
        <v>2</v>
      </c>
      <c r="G97" s="83">
        <v>1</v>
      </c>
      <c r="H97" s="84">
        <v>0</v>
      </c>
      <c r="I97" s="71">
        <v>0</v>
      </c>
      <c r="J97" s="71">
        <v>50000</v>
      </c>
    </row>
    <row r="98" spans="1:10">
      <c r="A98" t="s">
        <v>588</v>
      </c>
      <c r="B98" s="69">
        <v>44478</v>
      </c>
      <c r="C98" t="s">
        <v>589</v>
      </c>
      <c r="D98" t="s">
        <v>44</v>
      </c>
      <c r="E98" s="71">
        <v>10000</v>
      </c>
      <c r="F98" s="83">
        <v>20</v>
      </c>
      <c r="G98" s="83">
        <v>1</v>
      </c>
      <c r="H98" s="84">
        <v>0</v>
      </c>
      <c r="I98" s="71">
        <v>0</v>
      </c>
      <c r="J98" s="71">
        <v>10000</v>
      </c>
    </row>
    <row r="99" spans="1:10">
      <c r="A99" t="s">
        <v>588</v>
      </c>
      <c r="B99" s="69">
        <v>44478</v>
      </c>
      <c r="C99" t="s">
        <v>589</v>
      </c>
      <c r="D99" t="s">
        <v>44</v>
      </c>
      <c r="E99" s="71">
        <v>10000</v>
      </c>
      <c r="F99" s="83">
        <v>20</v>
      </c>
      <c r="G99" s="83">
        <v>1</v>
      </c>
      <c r="H99" s="84">
        <v>0</v>
      </c>
      <c r="I99" s="71">
        <v>0</v>
      </c>
      <c r="J99" s="71">
        <v>10000</v>
      </c>
    </row>
    <row r="100" spans="1:10">
      <c r="A100" t="s">
        <v>588</v>
      </c>
      <c r="B100" s="69">
        <v>44478</v>
      </c>
      <c r="C100" t="s">
        <v>589</v>
      </c>
      <c r="D100" t="s">
        <v>44</v>
      </c>
      <c r="E100" s="71">
        <v>10000</v>
      </c>
      <c r="F100" s="83">
        <v>20</v>
      </c>
      <c r="G100" s="83">
        <v>1</v>
      </c>
      <c r="H100" s="84">
        <v>0</v>
      </c>
      <c r="I100" s="71">
        <v>0</v>
      </c>
      <c r="J100" s="71">
        <v>10000</v>
      </c>
    </row>
    <row r="101" spans="1:10">
      <c r="A101" t="s">
        <v>687</v>
      </c>
      <c r="B101" s="69">
        <v>44478</v>
      </c>
      <c r="C101" t="s">
        <v>688</v>
      </c>
      <c r="D101" t="s">
        <v>44</v>
      </c>
      <c r="E101" s="71">
        <v>7000</v>
      </c>
      <c r="F101" s="83">
        <v>40</v>
      </c>
      <c r="G101" s="83">
        <v>1</v>
      </c>
      <c r="H101" s="84">
        <v>0</v>
      </c>
      <c r="I101" s="71">
        <v>0</v>
      </c>
      <c r="J101" s="71">
        <v>7000</v>
      </c>
    </row>
    <row r="102" spans="1:10">
      <c r="A102" t="s">
        <v>274</v>
      </c>
      <c r="B102" s="69">
        <v>44478</v>
      </c>
      <c r="C102" t="s">
        <v>275</v>
      </c>
      <c r="D102" t="s">
        <v>44</v>
      </c>
      <c r="E102" s="71">
        <v>15000</v>
      </c>
      <c r="F102" s="83">
        <v>2</v>
      </c>
      <c r="G102" s="83">
        <v>1</v>
      </c>
      <c r="H102" s="84">
        <v>0</v>
      </c>
      <c r="I102" s="71">
        <v>0</v>
      </c>
      <c r="J102" s="71">
        <v>15000</v>
      </c>
    </row>
    <row r="103" spans="1:10">
      <c r="A103" t="s">
        <v>373</v>
      </c>
      <c r="B103" s="69">
        <v>44478</v>
      </c>
      <c r="C103" t="s">
        <v>374</v>
      </c>
      <c r="D103" t="s">
        <v>44</v>
      </c>
      <c r="E103" s="71">
        <v>15000</v>
      </c>
      <c r="F103" s="83">
        <v>2</v>
      </c>
      <c r="G103" s="83">
        <v>1</v>
      </c>
      <c r="H103" s="84">
        <v>0</v>
      </c>
      <c r="I103" s="71">
        <v>0</v>
      </c>
      <c r="J103" s="71">
        <v>15000</v>
      </c>
    </row>
    <row r="104" spans="1:10">
      <c r="A104" t="s">
        <v>532</v>
      </c>
      <c r="B104" s="69">
        <v>44478</v>
      </c>
      <c r="C104" t="s">
        <v>533</v>
      </c>
      <c r="D104" t="s">
        <v>44</v>
      </c>
      <c r="E104" s="71">
        <v>23000</v>
      </c>
      <c r="F104" s="83">
        <v>2</v>
      </c>
      <c r="G104" s="83">
        <v>1</v>
      </c>
      <c r="H104" s="84">
        <v>0</v>
      </c>
      <c r="I104" s="71">
        <v>0</v>
      </c>
      <c r="J104" s="71">
        <v>23000</v>
      </c>
    </row>
    <row r="105" spans="1:10">
      <c r="A105" t="s">
        <v>742</v>
      </c>
      <c r="B105" s="69">
        <v>44478</v>
      </c>
      <c r="C105" t="s">
        <v>643</v>
      </c>
      <c r="D105" t="s">
        <v>44</v>
      </c>
      <c r="E105" s="71">
        <v>15000</v>
      </c>
      <c r="F105" s="83">
        <v>20</v>
      </c>
      <c r="G105" s="83">
        <v>1</v>
      </c>
      <c r="H105" s="84">
        <v>0</v>
      </c>
      <c r="I105" s="71">
        <v>0</v>
      </c>
      <c r="J105" s="71">
        <v>15000</v>
      </c>
    </row>
    <row r="106" spans="1:10">
      <c r="A106" t="s">
        <v>752</v>
      </c>
      <c r="B106" s="69">
        <v>44478</v>
      </c>
      <c r="C106" t="s">
        <v>414</v>
      </c>
      <c r="D106" t="s">
        <v>44</v>
      </c>
      <c r="E106" s="71">
        <v>50000</v>
      </c>
      <c r="F106" s="83">
        <v>5</v>
      </c>
      <c r="G106" s="83">
        <v>1</v>
      </c>
      <c r="H106" s="84">
        <v>0</v>
      </c>
      <c r="I106" s="71">
        <v>0</v>
      </c>
      <c r="J106" s="71">
        <v>50000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58"/>
  <sheetViews>
    <sheetView workbookViewId="0">
      <selection activeCell="J12" sqref="J12"/>
    </sheetView>
  </sheetViews>
  <sheetFormatPr defaultRowHeight="15"/>
  <cols>
    <col min="1" max="1" width="15.28515625" bestFit="1" customWidth="1"/>
    <col min="2" max="2" width="28.28515625" bestFit="1" customWidth="1"/>
    <col min="3" max="3" width="7.42578125" bestFit="1" customWidth="1"/>
    <col min="4" max="4" width="4.28515625" bestFit="1" customWidth="1"/>
    <col min="5" max="6" width="10.28515625" bestFit="1" customWidth="1"/>
    <col min="8" max="8" width="12.5703125" bestFit="1" customWidth="1"/>
  </cols>
  <sheetData>
    <row r="1" spans="1:8">
      <c r="A1" s="12" t="s">
        <v>1</v>
      </c>
      <c r="B1" s="13" t="s">
        <v>2</v>
      </c>
      <c r="C1" s="14" t="s">
        <v>9</v>
      </c>
      <c r="D1" s="15" t="s">
        <v>5</v>
      </c>
      <c r="E1" s="15" t="s">
        <v>7</v>
      </c>
      <c r="F1" s="16" t="s">
        <v>8</v>
      </c>
      <c r="H1" t="s">
        <v>2</v>
      </c>
    </row>
    <row r="2" spans="1:8">
      <c r="A2" s="1" t="s">
        <v>413</v>
      </c>
      <c r="B2" t="s">
        <v>414</v>
      </c>
      <c r="C2" t="s">
        <v>44</v>
      </c>
      <c r="D2" s="2">
        <v>5</v>
      </c>
      <c r="E2" s="3">
        <v>35000</v>
      </c>
      <c r="F2" s="3">
        <v>50000</v>
      </c>
      <c r="H2" t="s">
        <v>751</v>
      </c>
    </row>
    <row r="3" spans="1:8">
      <c r="A3" s="1"/>
      <c r="D3" s="2"/>
      <c r="E3" s="3"/>
      <c r="F3" s="3"/>
    </row>
    <row r="4" spans="1:8">
      <c r="A4" s="1"/>
      <c r="D4" s="2"/>
      <c r="E4" s="3"/>
      <c r="F4" s="3"/>
    </row>
    <row r="5" spans="1:8">
      <c r="A5" s="1"/>
      <c r="D5" s="2"/>
      <c r="E5" s="3"/>
      <c r="F5" s="3"/>
    </row>
    <row r="6" spans="1:8">
      <c r="A6" s="1"/>
      <c r="D6" s="2"/>
      <c r="E6" s="3"/>
      <c r="F6" s="3"/>
    </row>
    <row r="7" spans="1:8">
      <c r="A7" s="1"/>
      <c r="D7" s="2"/>
      <c r="E7" s="3"/>
      <c r="F7" s="3"/>
    </row>
    <row r="8" spans="1:8">
      <c r="A8" s="1"/>
      <c r="D8" s="2"/>
      <c r="E8" s="3"/>
      <c r="F8" s="3"/>
    </row>
    <row r="9" spans="1:8">
      <c r="A9" s="1"/>
      <c r="D9" s="2"/>
      <c r="E9" s="3"/>
      <c r="F9" s="3"/>
    </row>
    <row r="10" spans="1:8">
      <c r="A10" s="1"/>
      <c r="D10" s="2"/>
      <c r="E10" s="3"/>
      <c r="F10" s="3"/>
    </row>
    <row r="11" spans="1:8">
      <c r="A11" s="1"/>
      <c r="D11" s="2"/>
      <c r="E11" s="3"/>
      <c r="F11" s="3"/>
    </row>
    <row r="12" spans="1:8">
      <c r="A12" s="1"/>
      <c r="D12" s="2"/>
      <c r="E12" s="3"/>
      <c r="F12" s="3"/>
    </row>
    <row r="13" spans="1:8">
      <c r="A13" s="1"/>
      <c r="D13" s="2"/>
      <c r="E13" s="3"/>
      <c r="F13" s="3"/>
    </row>
    <row r="14" spans="1:8">
      <c r="A14" s="1"/>
      <c r="D14" s="2"/>
      <c r="E14" s="3"/>
      <c r="F14" s="3"/>
    </row>
    <row r="15" spans="1:8">
      <c r="A15" s="1"/>
      <c r="D15" s="2"/>
      <c r="E15" s="3"/>
      <c r="F15" s="3"/>
    </row>
    <row r="16" spans="1:8">
      <c r="A16" s="1"/>
      <c r="D16" s="2"/>
      <c r="E16" s="3"/>
      <c r="F16" s="3"/>
    </row>
    <row r="17" spans="1:6">
      <c r="A17" s="1"/>
      <c r="D17" s="2"/>
      <c r="E17" s="3"/>
      <c r="F17" s="3"/>
    </row>
    <row r="18" spans="1:6">
      <c r="A18" s="1"/>
      <c r="D18" s="2"/>
      <c r="E18" s="3"/>
      <c r="F18" s="3"/>
    </row>
    <row r="19" spans="1:6">
      <c r="A19" s="1"/>
      <c r="D19" s="2"/>
      <c r="E19" s="3"/>
      <c r="F19" s="3"/>
    </row>
    <row r="20" spans="1:6">
      <c r="A20" s="1"/>
      <c r="D20" s="2"/>
      <c r="E20" s="3"/>
      <c r="F20" s="3"/>
    </row>
    <row r="21" spans="1:6">
      <c r="A21" s="1"/>
      <c r="D21" s="2"/>
      <c r="E21" s="3"/>
      <c r="F21" s="3"/>
    </row>
    <row r="22" spans="1:6">
      <c r="A22" s="1"/>
      <c r="D22" s="2"/>
      <c r="E22" s="3"/>
      <c r="F22" s="3"/>
    </row>
    <row r="23" spans="1:6">
      <c r="A23" s="1"/>
      <c r="D23" s="2"/>
      <c r="E23" s="3"/>
      <c r="F23" s="3"/>
    </row>
    <row r="24" spans="1:6">
      <c r="A24" s="1"/>
      <c r="D24" s="2"/>
      <c r="E24" s="3"/>
      <c r="F24" s="3"/>
    </row>
    <row r="25" spans="1:6">
      <c r="A25" s="1"/>
      <c r="D25" s="2"/>
      <c r="E25" s="3"/>
      <c r="F25" s="3"/>
    </row>
    <row r="26" spans="1:6">
      <c r="A26" s="1"/>
      <c r="D26" s="2"/>
      <c r="E26" s="3"/>
      <c r="F26" s="3"/>
    </row>
    <row r="27" spans="1:6">
      <c r="A27" s="1"/>
      <c r="D27" s="2"/>
      <c r="E27" s="3"/>
      <c r="F27" s="3"/>
    </row>
    <row r="28" spans="1:6">
      <c r="A28" s="1"/>
      <c r="D28" s="2"/>
      <c r="E28" s="3"/>
      <c r="F28" s="3"/>
    </row>
    <row r="29" spans="1:6">
      <c r="A29" s="1"/>
      <c r="D29" s="2"/>
      <c r="E29" s="3"/>
      <c r="F29" s="3"/>
    </row>
    <row r="30" spans="1:6">
      <c r="A30" s="1"/>
      <c r="D30" s="2"/>
      <c r="E30" s="3"/>
      <c r="F30" s="3"/>
    </row>
    <row r="31" spans="1:6">
      <c r="A31" s="1"/>
      <c r="D31" s="2"/>
      <c r="E31" s="3"/>
      <c r="F31" s="3"/>
    </row>
    <row r="32" spans="1:6">
      <c r="A32" s="1"/>
      <c r="D32" s="2"/>
      <c r="E32" s="3"/>
      <c r="F32" s="3"/>
    </row>
    <row r="33" spans="1:6">
      <c r="A33" s="1"/>
      <c r="D33" s="2"/>
      <c r="E33" s="3"/>
      <c r="F33" s="3"/>
    </row>
    <row r="34" spans="1:6">
      <c r="A34" s="1"/>
      <c r="D34" s="2"/>
      <c r="E34" s="3"/>
      <c r="F34" s="3"/>
    </row>
    <row r="35" spans="1:6">
      <c r="A35" s="1"/>
      <c r="D35" s="2"/>
      <c r="E35" s="3"/>
      <c r="F35" s="3"/>
    </row>
    <row r="36" spans="1:6">
      <c r="A36" s="1"/>
      <c r="D36" s="2"/>
      <c r="E36" s="3"/>
      <c r="F36" s="3"/>
    </row>
    <row r="37" spans="1:6">
      <c r="A37" s="1"/>
      <c r="D37" s="2"/>
      <c r="E37" s="3"/>
      <c r="F37" s="3"/>
    </row>
    <row r="38" spans="1:6">
      <c r="A38" s="1"/>
      <c r="D38" s="2"/>
      <c r="E38" s="3"/>
      <c r="F38" s="3"/>
    </row>
    <row r="39" spans="1:6">
      <c r="A39" s="1"/>
      <c r="D39" s="2"/>
      <c r="E39" s="3"/>
      <c r="F39" s="3"/>
    </row>
    <row r="40" spans="1:6">
      <c r="A40" s="1"/>
      <c r="D40" s="2"/>
      <c r="E40" s="3"/>
      <c r="F40" s="3"/>
    </row>
    <row r="41" spans="1:6">
      <c r="A41" s="1"/>
      <c r="D41" s="2"/>
      <c r="E41" s="3"/>
      <c r="F41" s="3"/>
    </row>
    <row r="42" spans="1:6">
      <c r="A42" s="1"/>
      <c r="D42" s="2"/>
      <c r="E42" s="3"/>
      <c r="F42" s="3"/>
    </row>
    <row r="43" spans="1:6">
      <c r="A43" s="1"/>
      <c r="D43" s="2"/>
      <c r="E43" s="3"/>
      <c r="F43" s="3"/>
    </row>
    <row r="44" spans="1:6">
      <c r="A44" s="1"/>
      <c r="D44" s="2"/>
      <c r="E44" s="3"/>
      <c r="F44" s="3"/>
    </row>
    <row r="45" spans="1:6">
      <c r="A45" s="1"/>
      <c r="D45" s="2"/>
      <c r="E45" s="3"/>
      <c r="F45" s="3"/>
    </row>
    <row r="46" spans="1:6">
      <c r="A46" s="1"/>
      <c r="D46" s="2"/>
      <c r="E46" s="3"/>
      <c r="F46" s="3"/>
    </row>
    <row r="47" spans="1:6">
      <c r="A47" s="1"/>
      <c r="D47" s="2"/>
      <c r="E47" s="3"/>
      <c r="F47" s="3"/>
    </row>
    <row r="48" spans="1:6">
      <c r="A48" s="1"/>
      <c r="D48" s="2"/>
      <c r="E48" s="3"/>
      <c r="F48" s="3"/>
    </row>
    <row r="49" spans="1:6">
      <c r="A49" s="1"/>
      <c r="D49" s="2"/>
      <c r="E49" s="3"/>
      <c r="F49" s="3"/>
    </row>
    <row r="50" spans="1:6">
      <c r="A50" s="1"/>
      <c r="D50" s="2"/>
      <c r="E50" s="3"/>
      <c r="F50" s="3"/>
    </row>
    <row r="51" spans="1:6">
      <c r="A51" s="1"/>
      <c r="D51" s="2"/>
      <c r="E51" s="3"/>
      <c r="F51" s="3"/>
    </row>
    <row r="52" spans="1:6">
      <c r="A52" s="1"/>
      <c r="D52" s="2"/>
      <c r="E52" s="3"/>
      <c r="F52" s="3"/>
    </row>
    <row r="53" spans="1:6">
      <c r="A53" s="1"/>
      <c r="D53" s="2"/>
      <c r="E53" s="3"/>
      <c r="F53" s="3"/>
    </row>
    <row r="54" spans="1:6">
      <c r="A54" s="1"/>
      <c r="D54" s="2"/>
      <c r="E54" s="3"/>
      <c r="F54" s="3"/>
    </row>
    <row r="55" spans="1:6">
      <c r="A55" s="1"/>
      <c r="D55" s="2"/>
      <c r="E55" s="3"/>
      <c r="F55" s="3"/>
    </row>
    <row r="56" spans="1:6">
      <c r="A56" s="1"/>
      <c r="D56" s="2"/>
      <c r="E56" s="3"/>
      <c r="F56" s="3"/>
    </row>
    <row r="57" spans="1:6">
      <c r="A57" s="1"/>
      <c r="D57" s="2"/>
      <c r="E57" s="3"/>
      <c r="F57" s="3"/>
    </row>
    <row r="58" spans="1:6">
      <c r="A58" s="1"/>
      <c r="D58" s="2"/>
      <c r="E58" s="3"/>
      <c r="F58" s="3"/>
    </row>
    <row r="59" spans="1:6">
      <c r="A59" s="1"/>
      <c r="D59" s="2"/>
      <c r="E59" s="3"/>
      <c r="F59" s="3"/>
    </row>
    <row r="60" spans="1:6">
      <c r="A60" s="1"/>
      <c r="D60" s="2"/>
      <c r="E60" s="3"/>
      <c r="F60" s="3"/>
    </row>
    <row r="61" spans="1:6">
      <c r="A61" s="1"/>
      <c r="D61" s="2"/>
      <c r="E61" s="3"/>
      <c r="F61" s="3"/>
    </row>
    <row r="62" spans="1:6">
      <c r="A62" s="1"/>
      <c r="D62" s="2"/>
      <c r="E62" s="3"/>
      <c r="F62" s="3"/>
    </row>
    <row r="63" spans="1:6">
      <c r="A63" s="1"/>
      <c r="D63" s="2"/>
      <c r="E63" s="3"/>
      <c r="F63" s="3"/>
    </row>
    <row r="64" spans="1:6">
      <c r="A64" s="1"/>
      <c r="D64" s="2"/>
      <c r="E64" s="3"/>
      <c r="F64" s="3"/>
    </row>
    <row r="65" spans="1:6">
      <c r="A65" s="1"/>
      <c r="D65" s="2"/>
      <c r="E65" s="3"/>
      <c r="F65" s="3"/>
    </row>
    <row r="66" spans="1:6">
      <c r="A66" s="1"/>
      <c r="D66" s="2"/>
      <c r="E66" s="3"/>
      <c r="F66" s="3"/>
    </row>
    <row r="67" spans="1:6">
      <c r="A67" s="1"/>
      <c r="D67" s="2"/>
      <c r="E67" s="3"/>
      <c r="F67" s="3"/>
    </row>
    <row r="68" spans="1:6">
      <c r="A68" s="1"/>
      <c r="D68" s="2"/>
      <c r="E68" s="3"/>
      <c r="F68" s="3"/>
    </row>
    <row r="69" spans="1:6">
      <c r="A69" s="1"/>
      <c r="D69" s="2"/>
      <c r="E69" s="3"/>
      <c r="F69" s="3"/>
    </row>
    <row r="70" spans="1:6">
      <c r="A70" s="1"/>
      <c r="D70" s="2"/>
      <c r="E70" s="3"/>
      <c r="F70" s="3"/>
    </row>
    <row r="71" spans="1:6">
      <c r="A71" s="1"/>
      <c r="D71" s="2"/>
      <c r="E71" s="3"/>
      <c r="F71" s="3"/>
    </row>
    <row r="72" spans="1:6">
      <c r="A72" s="1"/>
      <c r="D72" s="2"/>
      <c r="E72" s="3"/>
      <c r="F72" s="3"/>
    </row>
    <row r="73" spans="1:6">
      <c r="A73" s="1"/>
      <c r="D73" s="2"/>
      <c r="E73" s="3"/>
      <c r="F73" s="3"/>
    </row>
    <row r="74" spans="1:6">
      <c r="A74" s="1"/>
      <c r="D74" s="2"/>
      <c r="E74" s="3"/>
      <c r="F74" s="3"/>
    </row>
    <row r="75" spans="1:6">
      <c r="A75" s="1"/>
      <c r="D75" s="2"/>
      <c r="E75" s="3"/>
      <c r="F75" s="3"/>
    </row>
    <row r="76" spans="1:6">
      <c r="A76" s="1"/>
      <c r="D76" s="2"/>
      <c r="E76" s="3"/>
      <c r="F76" s="3"/>
    </row>
    <row r="77" spans="1:6">
      <c r="A77" s="1"/>
      <c r="D77" s="2"/>
      <c r="E77" s="3"/>
      <c r="F77" s="3"/>
    </row>
    <row r="78" spans="1:6">
      <c r="A78" s="1"/>
      <c r="D78" s="2"/>
      <c r="E78" s="3"/>
      <c r="F78" s="3"/>
    </row>
    <row r="79" spans="1:6">
      <c r="A79" s="1"/>
      <c r="D79" s="2"/>
      <c r="E79" s="3"/>
      <c r="F79" s="3"/>
    </row>
    <row r="80" spans="1:6">
      <c r="A80" s="1"/>
      <c r="D80" s="2"/>
      <c r="E80" s="3"/>
      <c r="F80" s="3"/>
    </row>
    <row r="81" spans="1:6">
      <c r="A81" s="1"/>
      <c r="D81" s="2"/>
      <c r="E81" s="3"/>
      <c r="F81" s="3"/>
    </row>
    <row r="82" spans="1:6">
      <c r="A82" s="1"/>
      <c r="D82" s="2"/>
      <c r="E82" s="3"/>
      <c r="F82" s="3"/>
    </row>
    <row r="83" spans="1:6">
      <c r="A83" s="1"/>
      <c r="D83" s="2"/>
      <c r="E83" s="3"/>
      <c r="F83" s="3"/>
    </row>
    <row r="84" spans="1:6">
      <c r="A84" s="1"/>
      <c r="D84" s="2"/>
      <c r="E84" s="3"/>
      <c r="F84" s="3"/>
    </row>
    <row r="85" spans="1:6">
      <c r="A85" s="1"/>
      <c r="D85" s="2"/>
      <c r="E85" s="3"/>
      <c r="F85" s="3"/>
    </row>
    <row r="86" spans="1:6">
      <c r="A86" s="1"/>
      <c r="D86" s="2"/>
      <c r="E86" s="3"/>
      <c r="F86" s="3"/>
    </row>
    <row r="87" spans="1:6">
      <c r="A87" s="1"/>
      <c r="D87" s="2"/>
      <c r="E87" s="3"/>
      <c r="F87" s="3"/>
    </row>
    <row r="88" spans="1:6">
      <c r="A88" s="1"/>
      <c r="D88" s="2"/>
      <c r="E88" s="3"/>
      <c r="F88" s="3"/>
    </row>
    <row r="89" spans="1:6">
      <c r="A89" s="1"/>
      <c r="D89" s="2"/>
      <c r="E89" s="3"/>
      <c r="F89" s="3"/>
    </row>
    <row r="90" spans="1:6">
      <c r="A90" s="1"/>
      <c r="D90" s="2"/>
      <c r="E90" s="3"/>
      <c r="F90" s="3"/>
    </row>
    <row r="91" spans="1:6">
      <c r="A91" s="1"/>
      <c r="D91" s="2"/>
      <c r="E91" s="3"/>
      <c r="F91" s="3"/>
    </row>
    <row r="92" spans="1:6">
      <c r="A92" s="1"/>
      <c r="D92" s="2"/>
      <c r="E92" s="3"/>
      <c r="F92" s="3"/>
    </row>
    <row r="93" spans="1:6">
      <c r="A93" s="1"/>
      <c r="D93" s="2"/>
      <c r="E93" s="3"/>
      <c r="F93" s="3"/>
    </row>
    <row r="94" spans="1:6">
      <c r="A94" s="1"/>
      <c r="D94" s="2"/>
      <c r="E94" s="3"/>
      <c r="F94" s="3"/>
    </row>
    <row r="95" spans="1:6">
      <c r="A95" s="1"/>
      <c r="D95" s="2"/>
      <c r="E95" s="3"/>
      <c r="F95" s="3"/>
    </row>
    <row r="96" spans="1:6">
      <c r="A96" s="1"/>
      <c r="D96" s="2"/>
      <c r="E96" s="3"/>
      <c r="F96" s="3"/>
    </row>
    <row r="97" spans="1:6">
      <c r="A97" s="1"/>
      <c r="D97" s="2"/>
      <c r="E97" s="3"/>
      <c r="F97" s="3"/>
    </row>
    <row r="98" spans="1:6">
      <c r="A98" s="1"/>
      <c r="D98" s="2"/>
      <c r="E98" s="3"/>
      <c r="F98" s="3"/>
    </row>
    <row r="99" spans="1:6">
      <c r="A99" s="1"/>
      <c r="D99" s="2"/>
      <c r="E99" s="3"/>
      <c r="F99" s="3"/>
    </row>
    <row r="100" spans="1:6">
      <c r="A100" s="1"/>
      <c r="D100" s="2"/>
      <c r="E100" s="3"/>
      <c r="F100" s="3"/>
    </row>
    <row r="101" spans="1:6">
      <c r="A101" s="1"/>
      <c r="D101" s="2"/>
      <c r="E101" s="3"/>
      <c r="F101" s="3"/>
    </row>
    <row r="102" spans="1:6">
      <c r="A102" s="1"/>
      <c r="D102" s="2"/>
      <c r="E102" s="3"/>
      <c r="F102" s="3"/>
    </row>
    <row r="103" spans="1:6">
      <c r="A103" s="1"/>
      <c r="D103" s="2"/>
      <c r="E103" s="3"/>
      <c r="F103" s="3"/>
    </row>
    <row r="104" spans="1:6">
      <c r="A104" s="1"/>
      <c r="D104" s="2"/>
      <c r="E104" s="3"/>
      <c r="F104" s="3"/>
    </row>
    <row r="105" spans="1:6">
      <c r="A105" s="1"/>
      <c r="D105" s="2"/>
      <c r="E105" s="3"/>
      <c r="F105" s="3"/>
    </row>
    <row r="106" spans="1:6">
      <c r="A106" s="1"/>
      <c r="D106" s="2"/>
      <c r="E106" s="3"/>
      <c r="F106" s="3"/>
    </row>
    <row r="107" spans="1:6">
      <c r="A107" s="1"/>
      <c r="D107" s="2"/>
      <c r="E107" s="3"/>
      <c r="F107" s="3"/>
    </row>
    <row r="108" spans="1:6">
      <c r="A108" s="1"/>
      <c r="D108" s="2"/>
      <c r="E108" s="3"/>
      <c r="F108" s="3"/>
    </row>
    <row r="109" spans="1:6">
      <c r="A109" s="1"/>
      <c r="D109" s="2"/>
      <c r="E109" s="3"/>
      <c r="F109" s="3"/>
    </row>
    <row r="110" spans="1:6">
      <c r="A110" s="1"/>
      <c r="D110" s="2"/>
      <c r="E110" s="3"/>
      <c r="F110" s="3"/>
    </row>
    <row r="111" spans="1:6">
      <c r="A111" s="1"/>
      <c r="D111" s="2"/>
      <c r="E111" s="3"/>
      <c r="F111" s="3"/>
    </row>
    <row r="112" spans="1:6">
      <c r="A112" s="1"/>
      <c r="D112" s="2"/>
      <c r="E112" s="3"/>
      <c r="F112" s="3"/>
    </row>
    <row r="113" spans="1:6">
      <c r="A113" s="1"/>
      <c r="D113" s="2"/>
      <c r="E113" s="3"/>
      <c r="F113" s="3"/>
    </row>
    <row r="114" spans="1:6">
      <c r="A114" s="1"/>
      <c r="D114" s="2"/>
      <c r="E114" s="3"/>
      <c r="F114" s="3"/>
    </row>
    <row r="115" spans="1:6">
      <c r="A115" s="1"/>
      <c r="D115" s="2"/>
      <c r="E115" s="3"/>
      <c r="F115" s="3"/>
    </row>
    <row r="116" spans="1:6">
      <c r="A116" s="1"/>
      <c r="D116" s="2"/>
      <c r="E116" s="3"/>
      <c r="F116" s="3"/>
    </row>
    <row r="117" spans="1:6">
      <c r="A117" s="1"/>
      <c r="D117" s="2"/>
      <c r="E117" s="3"/>
      <c r="F117" s="3"/>
    </row>
    <row r="118" spans="1:6">
      <c r="A118" s="1"/>
      <c r="D118" s="2"/>
      <c r="E118" s="3"/>
      <c r="F118" s="3"/>
    </row>
    <row r="119" spans="1:6">
      <c r="A119" s="1"/>
      <c r="D119" s="2"/>
      <c r="E119" s="3"/>
      <c r="F119" s="3"/>
    </row>
    <row r="120" spans="1:6">
      <c r="A120" s="1"/>
      <c r="D120" s="2"/>
      <c r="E120" s="3"/>
      <c r="F120" s="3"/>
    </row>
    <row r="121" spans="1:6">
      <c r="A121" s="1"/>
      <c r="D121" s="2"/>
      <c r="E121" s="3"/>
      <c r="F121" s="3"/>
    </row>
    <row r="122" spans="1:6">
      <c r="A122" s="1"/>
      <c r="D122" s="2"/>
      <c r="E122" s="3"/>
      <c r="F122" s="3"/>
    </row>
    <row r="123" spans="1:6">
      <c r="A123" s="1"/>
      <c r="D123" s="2"/>
      <c r="E123" s="3"/>
      <c r="F123" s="3"/>
    </row>
    <row r="124" spans="1:6">
      <c r="A124" s="1"/>
      <c r="D124" s="2"/>
      <c r="E124" s="3"/>
      <c r="F124" s="3"/>
    </row>
    <row r="125" spans="1:6">
      <c r="A125" s="1"/>
      <c r="D125" s="2"/>
      <c r="E125" s="3"/>
      <c r="F125" s="3"/>
    </row>
    <row r="126" spans="1:6">
      <c r="A126" s="1"/>
      <c r="D126" s="2"/>
      <c r="E126" s="3"/>
      <c r="F126" s="3"/>
    </row>
    <row r="127" spans="1:6">
      <c r="A127" s="1"/>
      <c r="D127" s="2"/>
      <c r="E127" s="3"/>
      <c r="F127" s="3"/>
    </row>
    <row r="128" spans="1:6">
      <c r="A128" s="1"/>
      <c r="D128" s="2"/>
      <c r="E128" s="3"/>
      <c r="F128" s="3"/>
    </row>
    <row r="129" spans="1:6">
      <c r="A129" s="1"/>
      <c r="D129" s="2"/>
      <c r="E129" s="3"/>
      <c r="F129" s="3"/>
    </row>
    <row r="130" spans="1:6">
      <c r="A130" s="1"/>
      <c r="D130" s="2"/>
      <c r="E130" s="3"/>
      <c r="F130" s="3"/>
    </row>
    <row r="131" spans="1:6">
      <c r="A131" s="1"/>
      <c r="D131" s="2"/>
      <c r="E131" s="3"/>
      <c r="F131" s="3"/>
    </row>
    <row r="132" spans="1:6">
      <c r="A132" s="1"/>
      <c r="D132" s="2"/>
      <c r="E132" s="3"/>
      <c r="F132" s="3"/>
    </row>
    <row r="133" spans="1:6">
      <c r="A133" s="1"/>
      <c r="D133" s="2"/>
      <c r="E133" s="3"/>
      <c r="F133" s="3"/>
    </row>
    <row r="134" spans="1:6">
      <c r="A134" s="1"/>
      <c r="D134" s="2"/>
      <c r="E134" s="3"/>
      <c r="F134" s="3"/>
    </row>
    <row r="135" spans="1:6">
      <c r="A135" s="1"/>
      <c r="D135" s="2"/>
      <c r="E135" s="3"/>
      <c r="F135" s="3"/>
    </row>
    <row r="136" spans="1:6">
      <c r="A136" s="1"/>
      <c r="D136" s="2"/>
      <c r="E136" s="3"/>
      <c r="F136" s="3"/>
    </row>
    <row r="137" spans="1:6">
      <c r="A137" s="1"/>
      <c r="D137" s="2"/>
      <c r="E137" s="3"/>
      <c r="F137" s="3"/>
    </row>
    <row r="138" spans="1:6">
      <c r="A138" s="1"/>
      <c r="D138" s="2"/>
      <c r="E138" s="3"/>
      <c r="F138" s="3"/>
    </row>
    <row r="139" spans="1:6">
      <c r="A139" s="1"/>
      <c r="D139" s="2"/>
      <c r="E139" s="3"/>
      <c r="F139" s="3"/>
    </row>
    <row r="140" spans="1:6">
      <c r="A140" s="1"/>
      <c r="D140" s="2"/>
      <c r="E140" s="3"/>
      <c r="F140" s="3"/>
    </row>
    <row r="141" spans="1:6">
      <c r="A141" s="1"/>
      <c r="D141" s="2"/>
      <c r="E141" s="3"/>
      <c r="F141" s="3"/>
    </row>
    <row r="142" spans="1:6">
      <c r="A142" s="1"/>
      <c r="D142" s="2"/>
      <c r="E142" s="3"/>
      <c r="F142" s="3"/>
    </row>
    <row r="143" spans="1:6">
      <c r="A143" s="1"/>
      <c r="D143" s="2"/>
      <c r="E143" s="3"/>
      <c r="F143" s="3"/>
    </row>
    <row r="144" spans="1:6">
      <c r="A144" s="1"/>
      <c r="D144" s="2"/>
      <c r="E144" s="3"/>
      <c r="F144" s="3"/>
    </row>
    <row r="145" spans="1:6">
      <c r="A145" s="1"/>
      <c r="D145" s="2"/>
      <c r="E145" s="3"/>
      <c r="F145" s="3"/>
    </row>
    <row r="146" spans="1:6">
      <c r="A146" s="1"/>
      <c r="D146" s="2"/>
      <c r="E146" s="3"/>
      <c r="F146" s="3"/>
    </row>
    <row r="147" spans="1:6">
      <c r="A147" s="1"/>
      <c r="D147" s="2"/>
      <c r="E147" s="3"/>
      <c r="F147" s="3"/>
    </row>
    <row r="148" spans="1:6">
      <c r="A148" s="1"/>
      <c r="D148" s="2"/>
      <c r="E148" s="3"/>
      <c r="F148" s="3"/>
    </row>
    <row r="149" spans="1:6">
      <c r="A149" s="1"/>
      <c r="D149" s="2"/>
      <c r="E149" s="3"/>
      <c r="F149" s="3"/>
    </row>
    <row r="150" spans="1:6">
      <c r="A150" s="1"/>
      <c r="D150" s="2"/>
      <c r="E150" s="3"/>
      <c r="F150" s="3"/>
    </row>
    <row r="151" spans="1:6">
      <c r="A151" s="1"/>
      <c r="D151" s="2"/>
      <c r="E151" s="3"/>
      <c r="F151" s="3"/>
    </row>
    <row r="152" spans="1:6">
      <c r="A152" s="1"/>
      <c r="D152" s="2"/>
      <c r="E152" s="3"/>
      <c r="F152" s="3"/>
    </row>
    <row r="153" spans="1:6">
      <c r="A153" s="1"/>
      <c r="D153" s="2"/>
      <c r="E153" s="3"/>
      <c r="F153" s="3"/>
    </row>
    <row r="154" spans="1:6">
      <c r="A154" s="1"/>
      <c r="D154" s="2"/>
      <c r="E154" s="3"/>
      <c r="F154" s="3"/>
    </row>
    <row r="155" spans="1:6">
      <c r="A155" s="1"/>
      <c r="D155" s="2"/>
      <c r="E155" s="3"/>
      <c r="F155" s="3"/>
    </row>
    <row r="156" spans="1:6">
      <c r="A156" s="1"/>
      <c r="D156" s="2"/>
      <c r="E156" s="3"/>
      <c r="F156" s="3"/>
    </row>
    <row r="157" spans="1:6">
      <c r="A157" s="1"/>
      <c r="D157" s="2"/>
      <c r="E157" s="3"/>
      <c r="F157" s="3"/>
    </row>
    <row r="158" spans="1:6">
      <c r="A158" s="1"/>
      <c r="D158" s="2"/>
      <c r="E158" s="3"/>
      <c r="F158" s="3"/>
    </row>
    <row r="159" spans="1:6">
      <c r="A159" s="1"/>
      <c r="D159" s="2"/>
      <c r="E159" s="3"/>
      <c r="F159" s="3"/>
    </row>
    <row r="160" spans="1:6">
      <c r="A160" s="1"/>
      <c r="D160" s="2"/>
      <c r="E160" s="3"/>
      <c r="F160" s="3"/>
    </row>
    <row r="161" spans="1:6">
      <c r="A161" s="1"/>
      <c r="D161" s="2"/>
      <c r="E161" s="3"/>
      <c r="F161" s="3"/>
    </row>
    <row r="162" spans="1:6">
      <c r="A162" s="1"/>
      <c r="D162" s="2"/>
      <c r="E162" s="3"/>
      <c r="F162" s="3"/>
    </row>
    <row r="163" spans="1:6">
      <c r="A163" s="1"/>
      <c r="D163" s="2"/>
      <c r="E163" s="3"/>
      <c r="F163" s="3"/>
    </row>
    <row r="164" spans="1:6">
      <c r="A164" s="1"/>
      <c r="D164" s="2"/>
      <c r="E164" s="3"/>
      <c r="F164" s="3"/>
    </row>
    <row r="165" spans="1:6">
      <c r="A165" s="1"/>
      <c r="D165" s="2"/>
      <c r="E165" s="3"/>
      <c r="F165" s="3"/>
    </row>
    <row r="166" spans="1:6">
      <c r="A166" s="1"/>
      <c r="D166" s="2"/>
      <c r="E166" s="3"/>
      <c r="F166" s="3"/>
    </row>
    <row r="167" spans="1:6">
      <c r="A167" s="1"/>
      <c r="D167" s="2"/>
      <c r="E167" s="3"/>
      <c r="F167" s="3"/>
    </row>
    <row r="168" spans="1:6">
      <c r="A168" s="1"/>
      <c r="D168" s="2"/>
      <c r="E168" s="3"/>
      <c r="F168" s="3"/>
    </row>
    <row r="169" spans="1:6">
      <c r="A169" s="1"/>
      <c r="D169" s="2"/>
      <c r="E169" s="3"/>
      <c r="F169" s="3"/>
    </row>
    <row r="170" spans="1:6">
      <c r="A170" s="1"/>
      <c r="D170" s="2"/>
      <c r="E170" s="3"/>
      <c r="F170" s="3"/>
    </row>
    <row r="171" spans="1:6">
      <c r="A171" s="1"/>
      <c r="D171" s="2"/>
      <c r="E171" s="3"/>
      <c r="F171" s="3"/>
    </row>
    <row r="172" spans="1:6">
      <c r="A172" s="1"/>
      <c r="D172" s="2"/>
      <c r="E172" s="3"/>
      <c r="F172" s="3"/>
    </row>
    <row r="173" spans="1:6">
      <c r="A173" s="1"/>
      <c r="D173" s="2"/>
      <c r="E173" s="3"/>
      <c r="F173" s="3"/>
    </row>
    <row r="174" spans="1:6">
      <c r="A174" s="1"/>
      <c r="D174" s="2"/>
      <c r="E174" s="3"/>
      <c r="F174" s="3"/>
    </row>
    <row r="175" spans="1:6">
      <c r="A175" s="1"/>
      <c r="D175" s="2"/>
      <c r="E175" s="3"/>
      <c r="F175" s="3"/>
    </row>
    <row r="176" spans="1:6">
      <c r="A176" s="1"/>
      <c r="D176" s="2"/>
      <c r="E176" s="3"/>
      <c r="F176" s="3"/>
    </row>
    <row r="177" spans="1:6">
      <c r="A177" s="1"/>
      <c r="D177" s="2"/>
      <c r="E177" s="3"/>
      <c r="F177" s="3"/>
    </row>
    <row r="178" spans="1:6">
      <c r="A178" s="1"/>
      <c r="D178" s="2"/>
      <c r="E178" s="3"/>
      <c r="F178" s="3"/>
    </row>
    <row r="179" spans="1:6">
      <c r="A179" s="1"/>
      <c r="D179" s="2"/>
      <c r="E179" s="3"/>
      <c r="F179" s="3"/>
    </row>
    <row r="180" spans="1:6">
      <c r="A180" s="1"/>
      <c r="D180" s="2"/>
      <c r="E180" s="3"/>
      <c r="F180" s="3"/>
    </row>
    <row r="181" spans="1:6">
      <c r="A181" s="1"/>
      <c r="D181" s="2"/>
      <c r="E181" s="3"/>
      <c r="F181" s="3"/>
    </row>
    <row r="182" spans="1:6">
      <c r="A182" s="1"/>
      <c r="D182" s="2"/>
      <c r="E182" s="3"/>
      <c r="F182" s="3"/>
    </row>
    <row r="183" spans="1:6">
      <c r="A183" s="1"/>
      <c r="D183" s="2"/>
      <c r="E183" s="3"/>
      <c r="F183" s="3"/>
    </row>
    <row r="184" spans="1:6">
      <c r="A184" s="1"/>
      <c r="D184" s="2"/>
      <c r="E184" s="3"/>
      <c r="F184" s="3"/>
    </row>
    <row r="185" spans="1:6">
      <c r="A185" s="1"/>
      <c r="D185" s="2"/>
      <c r="E185" s="3"/>
      <c r="F185" s="3"/>
    </row>
    <row r="186" spans="1:6">
      <c r="A186" s="1"/>
      <c r="D186" s="2"/>
      <c r="E186" s="3"/>
      <c r="F186" s="3"/>
    </row>
    <row r="187" spans="1:6">
      <c r="A187" s="1"/>
      <c r="D187" s="2"/>
      <c r="E187" s="3"/>
      <c r="F187" s="3"/>
    </row>
    <row r="188" spans="1:6">
      <c r="A188" s="1"/>
      <c r="D188" s="2"/>
      <c r="E188" s="3"/>
      <c r="F188" s="3"/>
    </row>
    <row r="189" spans="1:6">
      <c r="A189" s="1"/>
      <c r="D189" s="2"/>
      <c r="E189" s="3"/>
      <c r="F189" s="3"/>
    </row>
    <row r="190" spans="1:6">
      <c r="A190" s="1"/>
      <c r="D190" s="2"/>
      <c r="E190" s="3"/>
      <c r="F190" s="3"/>
    </row>
    <row r="191" spans="1:6">
      <c r="A191" s="1"/>
      <c r="D191" s="2"/>
      <c r="E191" s="3"/>
      <c r="F191" s="3"/>
    </row>
    <row r="192" spans="1:6">
      <c r="A192" s="1"/>
      <c r="D192" s="2"/>
      <c r="E192" s="3"/>
      <c r="F192" s="3"/>
    </row>
    <row r="193" spans="1:6">
      <c r="A193" s="1"/>
      <c r="D193" s="2"/>
      <c r="E193" s="3"/>
      <c r="F193" s="3"/>
    </row>
    <row r="194" spans="1:6">
      <c r="A194" s="1"/>
      <c r="D194" s="2"/>
      <c r="E194" s="3"/>
      <c r="F194" s="3"/>
    </row>
    <row r="195" spans="1:6">
      <c r="A195" s="1"/>
      <c r="D195" s="2"/>
      <c r="E195" s="3"/>
      <c r="F195" s="3"/>
    </row>
    <row r="196" spans="1:6">
      <c r="A196" s="1"/>
      <c r="D196" s="2"/>
      <c r="E196" s="3"/>
      <c r="F196" s="3"/>
    </row>
    <row r="197" spans="1:6">
      <c r="A197" s="1"/>
      <c r="D197" s="2"/>
      <c r="E197" s="3"/>
      <c r="F197" s="3"/>
    </row>
    <row r="198" spans="1:6">
      <c r="A198" s="1"/>
      <c r="D198" s="2"/>
      <c r="E198" s="3"/>
      <c r="F198" s="3"/>
    </row>
    <row r="199" spans="1:6">
      <c r="A199" s="1"/>
      <c r="D199" s="2"/>
      <c r="E199" s="3"/>
      <c r="F199" s="3"/>
    </row>
    <row r="200" spans="1:6">
      <c r="A200" s="1"/>
      <c r="D200" s="2"/>
      <c r="E200" s="3"/>
      <c r="F200" s="3"/>
    </row>
    <row r="201" spans="1:6">
      <c r="A201" s="1"/>
      <c r="D201" s="2"/>
      <c r="E201" s="3"/>
      <c r="F201" s="3"/>
    </row>
    <row r="202" spans="1:6">
      <c r="A202" s="1"/>
      <c r="D202" s="2"/>
      <c r="E202" s="3"/>
      <c r="F202" s="3"/>
    </row>
    <row r="203" spans="1:6">
      <c r="A203" s="1"/>
      <c r="D203" s="2"/>
      <c r="E203" s="3"/>
      <c r="F203" s="3"/>
    </row>
    <row r="204" spans="1:6">
      <c r="A204" s="1"/>
      <c r="D204" s="2"/>
      <c r="E204" s="3"/>
      <c r="F204" s="3"/>
    </row>
    <row r="205" spans="1:6">
      <c r="A205" s="1"/>
      <c r="D205" s="2"/>
      <c r="E205" s="3"/>
      <c r="F205" s="3"/>
    </row>
    <row r="206" spans="1:6">
      <c r="A206" s="1"/>
      <c r="D206" s="2"/>
      <c r="E206" s="3"/>
      <c r="F206" s="3"/>
    </row>
    <row r="207" spans="1:6">
      <c r="A207" s="1"/>
      <c r="D207" s="2"/>
      <c r="E207" s="3"/>
      <c r="F207" s="3"/>
    </row>
    <row r="208" spans="1:6">
      <c r="A208" s="1"/>
      <c r="D208" s="2"/>
      <c r="E208" s="3"/>
      <c r="F208" s="3"/>
    </row>
    <row r="209" spans="1:6">
      <c r="A209" s="1"/>
      <c r="D209" s="2"/>
      <c r="E209" s="3"/>
      <c r="F209" s="3"/>
    </row>
    <row r="210" spans="1:6">
      <c r="A210" s="1"/>
      <c r="D210" s="2"/>
      <c r="E210" s="3"/>
      <c r="F210" s="3"/>
    </row>
    <row r="211" spans="1:6">
      <c r="A211" s="1"/>
      <c r="D211" s="2"/>
      <c r="E211" s="3"/>
      <c r="F211" s="3"/>
    </row>
    <row r="212" spans="1:6">
      <c r="A212" s="1"/>
      <c r="D212" s="2"/>
      <c r="E212" s="3"/>
      <c r="F212" s="3"/>
    </row>
    <row r="213" spans="1:6">
      <c r="A213" s="1"/>
      <c r="D213" s="2"/>
      <c r="E213" s="3"/>
      <c r="F213" s="3"/>
    </row>
    <row r="214" spans="1:6">
      <c r="A214" s="1"/>
      <c r="D214" s="2"/>
      <c r="E214" s="3"/>
      <c r="F214" s="3"/>
    </row>
    <row r="215" spans="1:6">
      <c r="A215" s="1"/>
      <c r="D215" s="2"/>
      <c r="E215" s="3"/>
      <c r="F215" s="3"/>
    </row>
    <row r="216" spans="1:6">
      <c r="A216" s="1"/>
      <c r="D216" s="2"/>
      <c r="E216" s="3"/>
      <c r="F216" s="3"/>
    </row>
    <row r="217" spans="1:6">
      <c r="A217" s="1"/>
      <c r="D217" s="2"/>
      <c r="E217" s="3"/>
      <c r="F217" s="3"/>
    </row>
    <row r="218" spans="1:6">
      <c r="A218" s="1"/>
      <c r="D218" s="2"/>
      <c r="E218" s="3"/>
      <c r="F218" s="3"/>
    </row>
    <row r="219" spans="1:6">
      <c r="A219" s="1"/>
      <c r="D219" s="2"/>
      <c r="E219" s="3"/>
      <c r="F219" s="3"/>
    </row>
    <row r="220" spans="1:6">
      <c r="A220" s="1"/>
      <c r="D220" s="2"/>
      <c r="E220" s="3"/>
      <c r="F220" s="3"/>
    </row>
    <row r="221" spans="1:6">
      <c r="A221" s="1"/>
      <c r="D221" s="2"/>
      <c r="E221" s="3"/>
      <c r="F221" s="3"/>
    </row>
    <row r="222" spans="1:6">
      <c r="A222" s="1"/>
      <c r="D222" s="2"/>
      <c r="E222" s="3"/>
      <c r="F222" s="3"/>
    </row>
    <row r="223" spans="1:6">
      <c r="A223" s="1"/>
      <c r="D223" s="2"/>
      <c r="E223" s="3"/>
      <c r="F223" s="3"/>
    </row>
    <row r="224" spans="1:6">
      <c r="A224" s="1"/>
      <c r="D224" s="2"/>
      <c r="E224" s="3"/>
      <c r="F224" s="3"/>
    </row>
    <row r="225" spans="1:6">
      <c r="A225" s="1"/>
      <c r="D225" s="2"/>
      <c r="E225" s="3"/>
      <c r="F225" s="3"/>
    </row>
    <row r="226" spans="1:6">
      <c r="A226" s="1"/>
      <c r="D226" s="2"/>
      <c r="E226" s="3"/>
      <c r="F226" s="3"/>
    </row>
    <row r="227" spans="1:6">
      <c r="A227" s="1"/>
      <c r="D227" s="2"/>
      <c r="E227" s="3"/>
      <c r="F227" s="3"/>
    </row>
    <row r="228" spans="1:6">
      <c r="A228" s="1"/>
      <c r="D228" s="2"/>
      <c r="E228" s="3"/>
      <c r="F228" s="3"/>
    </row>
    <row r="229" spans="1:6">
      <c r="A229" s="1"/>
      <c r="D229" s="2"/>
      <c r="E229" s="3"/>
      <c r="F229" s="3"/>
    </row>
    <row r="230" spans="1:6">
      <c r="A230" s="1"/>
      <c r="D230" s="2"/>
      <c r="E230" s="3"/>
      <c r="F230" s="3"/>
    </row>
    <row r="231" spans="1:6">
      <c r="A231" s="1"/>
      <c r="D231" s="2"/>
      <c r="E231" s="3"/>
      <c r="F231" s="3"/>
    </row>
    <row r="232" spans="1:6">
      <c r="A232" s="1"/>
      <c r="D232" s="2"/>
      <c r="E232" s="3"/>
      <c r="F232" s="3"/>
    </row>
    <row r="233" spans="1:6">
      <c r="A233" s="1"/>
      <c r="D233" s="2"/>
      <c r="E233" s="3"/>
      <c r="F233" s="3"/>
    </row>
    <row r="234" spans="1:6">
      <c r="A234" s="1"/>
      <c r="D234" s="2"/>
      <c r="E234" s="3"/>
      <c r="F234" s="3"/>
    </row>
    <row r="235" spans="1:6">
      <c r="A235" s="1"/>
      <c r="D235" s="2"/>
      <c r="E235" s="3"/>
      <c r="F235" s="3"/>
    </row>
    <row r="236" spans="1:6">
      <c r="A236" s="1"/>
      <c r="D236" s="2"/>
      <c r="E236" s="3"/>
      <c r="F236" s="3"/>
    </row>
    <row r="237" spans="1:6">
      <c r="A237" s="1"/>
      <c r="D237" s="2"/>
      <c r="E237" s="3"/>
      <c r="F237" s="3"/>
    </row>
    <row r="238" spans="1:6">
      <c r="A238" s="1"/>
      <c r="D238" s="2"/>
      <c r="E238" s="3"/>
      <c r="F238" s="3"/>
    </row>
    <row r="239" spans="1:6">
      <c r="A239" s="1"/>
      <c r="D239" s="2"/>
      <c r="E239" s="3"/>
      <c r="F239" s="3"/>
    </row>
    <row r="240" spans="1:6">
      <c r="A240" s="1"/>
      <c r="D240" s="2"/>
      <c r="E240" s="3"/>
      <c r="F240" s="3"/>
    </row>
    <row r="241" spans="1:6">
      <c r="A241" s="1"/>
      <c r="D241" s="2"/>
      <c r="E241" s="3"/>
      <c r="F241" s="3"/>
    </row>
    <row r="242" spans="1:6">
      <c r="A242" s="1"/>
      <c r="D242" s="2"/>
      <c r="E242" s="3"/>
      <c r="F242" s="3"/>
    </row>
    <row r="243" spans="1:6">
      <c r="A243" s="1"/>
      <c r="D243" s="2"/>
      <c r="E243" s="3"/>
      <c r="F243" s="3"/>
    </row>
    <row r="244" spans="1:6">
      <c r="A244" s="1"/>
      <c r="D244" s="2"/>
      <c r="E244" s="3"/>
      <c r="F244" s="3"/>
    </row>
    <row r="245" spans="1:6">
      <c r="A245" s="1"/>
      <c r="D245" s="2"/>
      <c r="E245" s="3"/>
      <c r="F245" s="3"/>
    </row>
    <row r="246" spans="1:6">
      <c r="A246" s="1"/>
      <c r="D246" s="2"/>
      <c r="E246" s="3"/>
      <c r="F246" s="3"/>
    </row>
    <row r="247" spans="1:6">
      <c r="A247" s="1"/>
      <c r="D247" s="2"/>
      <c r="E247" s="3"/>
      <c r="F247" s="3"/>
    </row>
    <row r="248" spans="1:6">
      <c r="A248" s="1"/>
      <c r="D248" s="2"/>
      <c r="E248" s="3"/>
      <c r="F248" s="3"/>
    </row>
    <row r="249" spans="1:6">
      <c r="A249" s="1"/>
      <c r="D249" s="2"/>
      <c r="E249" s="3"/>
      <c r="F249" s="3"/>
    </row>
    <row r="250" spans="1:6">
      <c r="A250" s="1"/>
      <c r="D250" s="2"/>
      <c r="E250" s="3"/>
      <c r="F250" s="3"/>
    </row>
    <row r="251" spans="1:6">
      <c r="A251" s="1"/>
      <c r="D251" s="2"/>
      <c r="E251" s="3"/>
      <c r="F251" s="3"/>
    </row>
    <row r="252" spans="1:6">
      <c r="A252" s="1"/>
      <c r="D252" s="2"/>
      <c r="E252" s="3"/>
      <c r="F252" s="3"/>
    </row>
    <row r="253" spans="1:6">
      <c r="A253" s="1"/>
      <c r="D253" s="2"/>
      <c r="E253" s="3"/>
      <c r="F253" s="3"/>
    </row>
    <row r="254" spans="1:6">
      <c r="A254" s="1"/>
      <c r="D254" s="2"/>
      <c r="E254" s="3"/>
      <c r="F254" s="3"/>
    </row>
    <row r="255" spans="1:6">
      <c r="A255" s="1"/>
      <c r="D255" s="2"/>
      <c r="E255" s="3"/>
      <c r="F255" s="3"/>
    </row>
    <row r="256" spans="1:6">
      <c r="A256" s="1"/>
      <c r="D256" s="2"/>
      <c r="E256" s="3"/>
      <c r="F256" s="3"/>
    </row>
    <row r="257" spans="1:6">
      <c r="A257" s="1"/>
      <c r="D257" s="2"/>
      <c r="E257" s="3"/>
      <c r="F257" s="3"/>
    </row>
    <row r="258" spans="1:6">
      <c r="A258" s="1"/>
      <c r="D258" s="2"/>
      <c r="E258" s="3"/>
      <c r="F258" s="3"/>
    </row>
    <row r="259" spans="1:6">
      <c r="A259" s="1"/>
      <c r="D259" s="2"/>
      <c r="E259" s="3"/>
      <c r="F259" s="3"/>
    </row>
    <row r="260" spans="1:6">
      <c r="A260" s="1"/>
      <c r="D260" s="2"/>
      <c r="E260" s="3"/>
      <c r="F260" s="3"/>
    </row>
    <row r="261" spans="1:6">
      <c r="A261" s="1"/>
      <c r="D261" s="2"/>
      <c r="E261" s="3"/>
      <c r="F261" s="3"/>
    </row>
    <row r="262" spans="1:6">
      <c r="A262" s="1"/>
      <c r="D262" s="2"/>
      <c r="E262" s="3"/>
      <c r="F262" s="3"/>
    </row>
    <row r="263" spans="1:6">
      <c r="A263" s="1"/>
      <c r="D263" s="2"/>
      <c r="E263" s="3"/>
      <c r="F263" s="3"/>
    </row>
    <row r="264" spans="1:6">
      <c r="A264" s="1"/>
      <c r="D264" s="2"/>
      <c r="E264" s="3"/>
      <c r="F264" s="3"/>
    </row>
    <row r="265" spans="1:6">
      <c r="A265" s="1"/>
      <c r="D265" s="2"/>
      <c r="E265" s="3"/>
      <c r="F265" s="3"/>
    </row>
    <row r="266" spans="1:6">
      <c r="A266" s="1"/>
      <c r="D266" s="2"/>
      <c r="E266" s="3"/>
      <c r="F266" s="3"/>
    </row>
    <row r="267" spans="1:6">
      <c r="A267" s="1"/>
      <c r="D267" s="2"/>
      <c r="E267" s="3"/>
      <c r="F267" s="3"/>
    </row>
    <row r="268" spans="1:6">
      <c r="A268" s="1"/>
      <c r="D268" s="2"/>
      <c r="E268" s="3"/>
      <c r="F268" s="3"/>
    </row>
    <row r="269" spans="1:6">
      <c r="A269" s="1"/>
      <c r="D269" s="2"/>
      <c r="E269" s="3"/>
      <c r="F269" s="3"/>
    </row>
    <row r="270" spans="1:6">
      <c r="A270" s="1"/>
      <c r="D270" s="2"/>
      <c r="E270" s="3"/>
      <c r="F270" s="3"/>
    </row>
    <row r="271" spans="1:6">
      <c r="A271" s="1"/>
      <c r="D271" s="2"/>
      <c r="E271" s="3"/>
      <c r="F271" s="3"/>
    </row>
    <row r="272" spans="1:6">
      <c r="A272" s="1"/>
      <c r="D272" s="2"/>
      <c r="E272" s="3"/>
      <c r="F272" s="3"/>
    </row>
    <row r="273" spans="1:6">
      <c r="A273" s="1"/>
      <c r="D273" s="2"/>
      <c r="E273" s="3"/>
      <c r="F273" s="3"/>
    </row>
    <row r="274" spans="1:6">
      <c r="A274" s="1"/>
      <c r="D274" s="2"/>
      <c r="E274" s="3"/>
      <c r="F274" s="3"/>
    </row>
    <row r="275" spans="1:6">
      <c r="A275" s="1"/>
      <c r="D275" s="2"/>
      <c r="E275" s="3"/>
      <c r="F275" s="3"/>
    </row>
    <row r="276" spans="1:6">
      <c r="A276" s="1"/>
      <c r="D276" s="2"/>
      <c r="E276" s="3"/>
      <c r="F276" s="3"/>
    </row>
    <row r="277" spans="1:6">
      <c r="A277" s="1"/>
      <c r="D277" s="2"/>
      <c r="E277" s="3"/>
      <c r="F277" s="3"/>
    </row>
    <row r="278" spans="1:6">
      <c r="A278" s="1"/>
      <c r="D278" s="2"/>
      <c r="E278" s="3"/>
      <c r="F278" s="3"/>
    </row>
    <row r="279" spans="1:6">
      <c r="A279" s="1"/>
      <c r="D279" s="2"/>
      <c r="E279" s="3"/>
      <c r="F279" s="3"/>
    </row>
    <row r="280" spans="1:6">
      <c r="A280" s="1"/>
      <c r="D280" s="2"/>
      <c r="E280" s="3"/>
      <c r="F280" s="3"/>
    </row>
    <row r="281" spans="1:6">
      <c r="A281" s="1"/>
      <c r="D281" s="2"/>
      <c r="E281" s="3"/>
      <c r="F281" s="3"/>
    </row>
    <row r="282" spans="1:6">
      <c r="A282" s="1"/>
      <c r="D282" s="2"/>
      <c r="E282" s="3"/>
      <c r="F282" s="3"/>
    </row>
    <row r="283" spans="1:6">
      <c r="A283" s="1"/>
      <c r="D283" s="2"/>
      <c r="E283" s="3"/>
      <c r="F283" s="3"/>
    </row>
    <row r="284" spans="1:6">
      <c r="A284" s="1"/>
      <c r="D284" s="2"/>
      <c r="E284" s="3"/>
      <c r="F284" s="3"/>
    </row>
    <row r="285" spans="1:6">
      <c r="A285" s="1"/>
      <c r="D285" s="2"/>
      <c r="E285" s="3"/>
      <c r="F285" s="3"/>
    </row>
    <row r="286" spans="1:6">
      <c r="A286" s="1"/>
      <c r="D286" s="2"/>
      <c r="E286" s="3"/>
      <c r="F286" s="3"/>
    </row>
    <row r="287" spans="1:6">
      <c r="A287" s="1"/>
      <c r="D287" s="2"/>
      <c r="E287" s="3"/>
      <c r="F287" s="3"/>
    </row>
    <row r="288" spans="1:6">
      <c r="A288" s="1"/>
      <c r="D288" s="2"/>
      <c r="E288" s="3"/>
      <c r="F288" s="3"/>
    </row>
    <row r="289" spans="1:6">
      <c r="A289" s="1"/>
      <c r="D289" s="2"/>
      <c r="E289" s="3"/>
      <c r="F289" s="3"/>
    </row>
    <row r="290" spans="1:6">
      <c r="A290" s="1"/>
      <c r="D290" s="2"/>
      <c r="E290" s="3"/>
      <c r="F290" s="3"/>
    </row>
    <row r="291" spans="1:6">
      <c r="A291" s="1"/>
      <c r="D291" s="2"/>
      <c r="E291" s="3"/>
      <c r="F291" s="3"/>
    </row>
    <row r="292" spans="1:6">
      <c r="A292" s="1"/>
      <c r="D292" s="2"/>
      <c r="E292" s="3"/>
      <c r="F292" s="3"/>
    </row>
    <row r="293" spans="1:6">
      <c r="A293" s="1"/>
      <c r="D293" s="2"/>
      <c r="E293" s="3"/>
      <c r="F293" s="3"/>
    </row>
    <row r="294" spans="1:6">
      <c r="A294" s="1"/>
      <c r="D294" s="2"/>
      <c r="E294" s="3"/>
      <c r="F294" s="3"/>
    </row>
    <row r="295" spans="1:6">
      <c r="A295" s="1"/>
      <c r="D295" s="2"/>
      <c r="E295" s="3"/>
      <c r="F295" s="3"/>
    </row>
    <row r="296" spans="1:6">
      <c r="A296" s="1"/>
      <c r="D296" s="2"/>
      <c r="E296" s="3"/>
      <c r="F296" s="3"/>
    </row>
    <row r="297" spans="1:6">
      <c r="A297" s="1"/>
      <c r="D297" s="2"/>
      <c r="E297" s="3"/>
      <c r="F297" s="3"/>
    </row>
    <row r="298" spans="1:6">
      <c r="A298" s="1"/>
      <c r="D298" s="2"/>
      <c r="E298" s="3"/>
      <c r="F298" s="3"/>
    </row>
    <row r="299" spans="1:6">
      <c r="A299" s="1"/>
      <c r="D299" s="2"/>
      <c r="E299" s="3"/>
      <c r="F299" s="3"/>
    </row>
    <row r="300" spans="1:6">
      <c r="A300" s="1"/>
      <c r="D300" s="2"/>
      <c r="E300" s="3"/>
      <c r="F300" s="3"/>
    </row>
    <row r="301" spans="1:6">
      <c r="A301" s="1"/>
      <c r="D301" s="2"/>
      <c r="E301" s="3"/>
      <c r="F301" s="3"/>
    </row>
    <row r="302" spans="1:6">
      <c r="A302" s="1"/>
      <c r="D302" s="2"/>
      <c r="E302" s="3"/>
      <c r="F302" s="3"/>
    </row>
    <row r="303" spans="1:6">
      <c r="A303" s="1"/>
      <c r="D303" s="2"/>
      <c r="E303" s="3"/>
      <c r="F303" s="3"/>
    </row>
    <row r="304" spans="1:6">
      <c r="A304" s="1"/>
      <c r="D304" s="2"/>
      <c r="E304" s="3"/>
      <c r="F304" s="3"/>
    </row>
    <row r="305" spans="1:6">
      <c r="A305" s="1"/>
      <c r="D305" s="2"/>
      <c r="E305" s="3"/>
      <c r="F305" s="3"/>
    </row>
    <row r="306" spans="1:6">
      <c r="A306" s="1"/>
      <c r="D306" s="2"/>
      <c r="E306" s="3"/>
      <c r="F306" s="3"/>
    </row>
    <row r="307" spans="1:6">
      <c r="A307" s="1"/>
      <c r="D307" s="2"/>
      <c r="E307" s="3"/>
      <c r="F307" s="3"/>
    </row>
    <row r="308" spans="1:6">
      <c r="A308" s="1"/>
      <c r="D308" s="2"/>
      <c r="E308" s="3"/>
      <c r="F308" s="3"/>
    </row>
    <row r="309" spans="1:6">
      <c r="A309" s="1"/>
      <c r="D309" s="2"/>
      <c r="E309" s="3"/>
      <c r="F309" s="3"/>
    </row>
    <row r="310" spans="1:6">
      <c r="A310" s="1"/>
      <c r="D310" s="2"/>
      <c r="E310" s="3"/>
      <c r="F310" s="3"/>
    </row>
    <row r="311" spans="1:6">
      <c r="A311" s="1"/>
      <c r="D311" s="2"/>
      <c r="E311" s="3"/>
      <c r="F311" s="3"/>
    </row>
    <row r="312" spans="1:6">
      <c r="A312" s="1"/>
      <c r="D312" s="2"/>
      <c r="E312" s="3"/>
      <c r="F312" s="3"/>
    </row>
    <row r="313" spans="1:6">
      <c r="A313" s="1"/>
      <c r="D313" s="2"/>
      <c r="E313" s="3"/>
      <c r="F313" s="3"/>
    </row>
    <row r="314" spans="1:6">
      <c r="A314" s="1"/>
      <c r="D314" s="2"/>
      <c r="E314" s="3"/>
      <c r="F314" s="3"/>
    </row>
    <row r="315" spans="1:6">
      <c r="A315" s="1"/>
      <c r="D315" s="2"/>
      <c r="E315" s="3"/>
      <c r="F315" s="3"/>
    </row>
    <row r="316" spans="1:6">
      <c r="A316" s="1"/>
      <c r="D316" s="2"/>
      <c r="E316" s="3"/>
      <c r="F316" s="3"/>
    </row>
    <row r="317" spans="1:6">
      <c r="A317" s="1"/>
      <c r="D317" s="2"/>
      <c r="E317" s="3"/>
      <c r="F317" s="3"/>
    </row>
    <row r="318" spans="1:6">
      <c r="A318" s="1"/>
      <c r="D318" s="2"/>
      <c r="E318" s="3"/>
      <c r="F318" s="3"/>
    </row>
    <row r="319" spans="1:6">
      <c r="A319" s="1"/>
      <c r="D319" s="2"/>
      <c r="E319" s="3"/>
      <c r="F319" s="3"/>
    </row>
    <row r="320" spans="1:6">
      <c r="A320" s="1"/>
      <c r="D320" s="2"/>
      <c r="E320" s="3"/>
      <c r="F320" s="3"/>
    </row>
    <row r="321" spans="1:6">
      <c r="A321" s="1"/>
      <c r="D321" s="2"/>
      <c r="E321" s="3"/>
      <c r="F321" s="3"/>
    </row>
    <row r="322" spans="1:6">
      <c r="A322" s="1"/>
      <c r="D322" s="2"/>
      <c r="E322" s="3"/>
      <c r="F322" s="3"/>
    </row>
    <row r="323" spans="1:6">
      <c r="A323" s="1"/>
      <c r="D323" s="2"/>
      <c r="E323" s="3"/>
      <c r="F323" s="3"/>
    </row>
    <row r="324" spans="1:6">
      <c r="A324" s="1"/>
      <c r="D324" s="2"/>
      <c r="E324" s="3"/>
      <c r="F324" s="3"/>
    </row>
    <row r="325" spans="1:6">
      <c r="A325" s="1"/>
      <c r="D325" s="2"/>
      <c r="E325" s="3"/>
      <c r="F325" s="3"/>
    </row>
    <row r="326" spans="1:6">
      <c r="A326" s="1"/>
      <c r="D326" s="2"/>
      <c r="E326" s="3"/>
      <c r="F326" s="3"/>
    </row>
    <row r="327" spans="1:6">
      <c r="A327" s="1"/>
      <c r="D327" s="2"/>
      <c r="E327" s="3"/>
      <c r="F327" s="3"/>
    </row>
    <row r="328" spans="1:6">
      <c r="A328" s="1"/>
      <c r="D328" s="2"/>
      <c r="E328" s="3"/>
      <c r="F328" s="3"/>
    </row>
    <row r="329" spans="1:6">
      <c r="A329" s="1"/>
      <c r="D329" s="2"/>
      <c r="E329" s="3"/>
      <c r="F329" s="3"/>
    </row>
    <row r="330" spans="1:6">
      <c r="A330" s="1"/>
      <c r="D330" s="2"/>
      <c r="E330" s="3"/>
      <c r="F330" s="3"/>
    </row>
    <row r="331" spans="1:6">
      <c r="A331" s="1"/>
      <c r="D331" s="2"/>
      <c r="E331" s="3"/>
      <c r="F331" s="3"/>
    </row>
    <row r="332" spans="1:6">
      <c r="A332" s="1"/>
      <c r="D332" s="2"/>
      <c r="E332" s="3"/>
      <c r="F332" s="3"/>
    </row>
    <row r="333" spans="1:6">
      <c r="A333" s="1"/>
      <c r="D333" s="2"/>
      <c r="E333" s="3"/>
      <c r="F333" s="3"/>
    </row>
    <row r="334" spans="1:6">
      <c r="A334" s="1"/>
      <c r="D334" s="2"/>
      <c r="E334" s="3"/>
      <c r="F334" s="3"/>
    </row>
    <row r="335" spans="1:6">
      <c r="A335" s="1"/>
      <c r="D335" s="2"/>
      <c r="E335" s="3"/>
      <c r="F335" s="3"/>
    </row>
    <row r="336" spans="1:6">
      <c r="A336" s="1"/>
      <c r="D336" s="2"/>
      <c r="E336" s="3"/>
      <c r="F336" s="3"/>
    </row>
    <row r="337" spans="1:6">
      <c r="A337" s="1"/>
      <c r="D337" s="2"/>
      <c r="E337" s="3"/>
      <c r="F337" s="3"/>
    </row>
    <row r="338" spans="1:6">
      <c r="A338" s="1"/>
      <c r="D338" s="2"/>
      <c r="E338" s="3"/>
      <c r="F338" s="3"/>
    </row>
    <row r="339" spans="1:6">
      <c r="A339" s="1"/>
      <c r="D339" s="2"/>
      <c r="E339" s="3"/>
      <c r="F339" s="3"/>
    </row>
    <row r="340" spans="1:6">
      <c r="A340" s="1"/>
      <c r="D340" s="2"/>
      <c r="E340" s="3"/>
      <c r="F340" s="3"/>
    </row>
    <row r="341" spans="1:6">
      <c r="A341" s="1"/>
      <c r="D341" s="2"/>
      <c r="E341" s="3"/>
      <c r="F341" s="3"/>
    </row>
    <row r="342" spans="1:6">
      <c r="A342" s="1"/>
      <c r="D342" s="2"/>
      <c r="E342" s="3"/>
      <c r="F342" s="3"/>
    </row>
    <row r="343" spans="1:6">
      <c r="A343" s="1"/>
      <c r="D343" s="2"/>
      <c r="E343" s="3"/>
      <c r="F343" s="3"/>
    </row>
    <row r="344" spans="1:6">
      <c r="A344" s="1"/>
      <c r="D344" s="2"/>
      <c r="E344" s="3"/>
      <c r="F344" s="3"/>
    </row>
    <row r="345" spans="1:6">
      <c r="A345" s="1"/>
      <c r="D345" s="2"/>
      <c r="E345" s="3"/>
      <c r="F345" s="3"/>
    </row>
    <row r="346" spans="1:6">
      <c r="A346" s="1"/>
      <c r="D346" s="2"/>
      <c r="E346" s="3"/>
      <c r="F346" s="3"/>
    </row>
    <row r="347" spans="1:6">
      <c r="A347" s="1"/>
      <c r="D347" s="2"/>
      <c r="E347" s="3"/>
      <c r="F347" s="3"/>
    </row>
    <row r="348" spans="1:6">
      <c r="A348" s="1"/>
      <c r="D348" s="2"/>
      <c r="E348" s="3"/>
      <c r="F348" s="3"/>
    </row>
    <row r="349" spans="1:6">
      <c r="A349" s="1"/>
      <c r="D349" s="2"/>
      <c r="E349" s="3"/>
      <c r="F349" s="3"/>
    </row>
    <row r="350" spans="1:6">
      <c r="A350" s="1"/>
      <c r="D350" s="2"/>
      <c r="E350" s="3"/>
      <c r="F350" s="3"/>
    </row>
    <row r="351" spans="1:6">
      <c r="A351" s="1"/>
      <c r="D351" s="2"/>
      <c r="E351" s="3"/>
      <c r="F351" s="3"/>
    </row>
    <row r="352" spans="1:6">
      <c r="A352" s="1"/>
      <c r="D352" s="2"/>
      <c r="E352" s="3"/>
      <c r="F352" s="3"/>
    </row>
    <row r="353" spans="1:6">
      <c r="A353" s="1"/>
      <c r="D353" s="2"/>
      <c r="E353" s="3"/>
      <c r="F353" s="3"/>
    </row>
    <row r="354" spans="1:6">
      <c r="A354" s="1"/>
      <c r="D354" s="2"/>
      <c r="E354" s="3"/>
      <c r="F354" s="3"/>
    </row>
    <row r="355" spans="1:6">
      <c r="A355" s="1"/>
      <c r="D355" s="2"/>
      <c r="E355" s="3"/>
      <c r="F355" s="3"/>
    </row>
    <row r="356" spans="1:6">
      <c r="A356" s="1"/>
      <c r="D356" s="2"/>
      <c r="E356" s="3"/>
      <c r="F356" s="3"/>
    </row>
    <row r="357" spans="1:6">
      <c r="A357" s="1"/>
      <c r="D357" s="2"/>
      <c r="E357" s="3"/>
      <c r="F357" s="3"/>
    </row>
    <row r="358" spans="1:6">
      <c r="A358" s="1"/>
      <c r="D358" s="2"/>
      <c r="E358" s="3"/>
      <c r="F358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4:I19"/>
  <sheetViews>
    <sheetView showGridLines="0" workbookViewId="0">
      <selection activeCell="I13" sqref="I13"/>
    </sheetView>
  </sheetViews>
  <sheetFormatPr defaultRowHeight="15"/>
  <cols>
    <col min="2" max="2" width="14.85546875" customWidth="1"/>
    <col min="3" max="3" width="16" style="2" customWidth="1"/>
    <col min="4" max="4" width="14.42578125" style="2" customWidth="1"/>
    <col min="6" max="6" width="5.28515625" style="2" customWidth="1"/>
    <col min="7" max="7" width="16" customWidth="1"/>
    <col min="8" max="8" width="14.42578125" style="2" customWidth="1"/>
    <col min="9" max="9" width="13" customWidth="1"/>
  </cols>
  <sheetData>
    <row r="4" spans="2:9">
      <c r="B4" s="51" t="s">
        <v>28</v>
      </c>
      <c r="C4" s="52"/>
      <c r="D4" s="52">
        <v>2021</v>
      </c>
      <c r="F4" s="78" t="s">
        <v>29</v>
      </c>
      <c r="I4" s="77">
        <f ca="1">TODAY()</f>
        <v>44478</v>
      </c>
    </row>
    <row r="6" spans="2:9">
      <c r="B6" s="72" t="s">
        <v>24</v>
      </c>
      <c r="C6" s="73" t="s">
        <v>25</v>
      </c>
      <c r="D6" s="73" t="s">
        <v>6</v>
      </c>
      <c r="F6" s="73" t="s">
        <v>31</v>
      </c>
      <c r="G6" s="73" t="s">
        <v>23</v>
      </c>
      <c r="H6" s="73" t="s">
        <v>25</v>
      </c>
      <c r="I6" s="72" t="s">
        <v>30</v>
      </c>
    </row>
    <row r="7" spans="2:9">
      <c r="B7" s="74" t="s">
        <v>32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44472</v>
      </c>
      <c r="H7" s="86">
        <f ca="1">SUMIF(TRANSAKSI!$B$5:$B$90000,REKAPITULASI!G7,TRANSAKSI!$G$5:$G$90000)</f>
        <v>5</v>
      </c>
      <c r="I7" s="88">
        <f ca="1">SUMIF(TRANSAKSI!$B$5:$B$90000,REKAPITULASI!G7,TRANSAKSI!$J$5:$J$90000)</f>
        <v>75000</v>
      </c>
    </row>
    <row r="8" spans="2:9">
      <c r="B8" s="74" t="s">
        <v>33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44473</v>
      </c>
      <c r="H8" s="86">
        <f ca="1">SUMIF(TRANSAKSI!$B$5:$B$90000,REKAPITULASI!G8,TRANSAKSI!$G$5:$G$90000)</f>
        <v>9</v>
      </c>
      <c r="I8" s="88">
        <f ca="1">SUMIF(TRANSAKSI!$B$5:$B$90000,REKAPITULASI!G8,TRANSAKSI!$J$5:$J$90000)</f>
        <v>130000</v>
      </c>
    </row>
    <row r="9" spans="2:9">
      <c r="B9" s="74" t="s">
        <v>34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44474</v>
      </c>
      <c r="H9" s="86">
        <f ca="1">SUMIF(TRANSAKSI!$B$5:$B$90000,REKAPITULASI!G9,TRANSAKSI!$G$5:$G$90000)</f>
        <v>4</v>
      </c>
      <c r="I9" s="88">
        <f ca="1">SUMIF(TRANSAKSI!$B$5:$B$90000,REKAPITULASI!G9,TRANSAKSI!$J$5:$J$90000)</f>
        <v>55000</v>
      </c>
    </row>
    <row r="10" spans="2:9">
      <c r="B10" s="74" t="s">
        <v>35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44475</v>
      </c>
      <c r="H10" s="86">
        <f ca="1">SUMIF(TRANSAKSI!$B$5:$B$90000,REKAPITULASI!G10,TRANSAKSI!$G$5:$G$90000)</f>
        <v>0</v>
      </c>
      <c r="I10" s="88">
        <f ca="1">SUMIF(TRANSAKSI!$B$5:$B$90000,REKAPITULASI!G10,TRANSAKSI!$J$5:$J$90000)</f>
        <v>0</v>
      </c>
    </row>
    <row r="11" spans="2:9">
      <c r="B11" s="74" t="s">
        <v>27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44476</v>
      </c>
      <c r="H11" s="86">
        <f ca="1">SUMIF(TRANSAKSI!$B$5:$B$90000,REKAPITULASI!G11,TRANSAKSI!$G$5:$G$90000)</f>
        <v>9</v>
      </c>
      <c r="I11" s="88">
        <f ca="1">SUMIF(TRANSAKSI!$B$5:$B$90000,REKAPITULASI!G11,TRANSAKSI!$J$5:$J$90000)</f>
        <v>160000</v>
      </c>
    </row>
    <row r="12" spans="2:9">
      <c r="B12" s="74" t="s">
        <v>36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44477</v>
      </c>
      <c r="H12" s="86">
        <f ca="1">SUMIF(TRANSAKSI!$B$5:$B$90000,REKAPITULASI!G12,TRANSAKSI!$G$5:$G$90000)</f>
        <v>29</v>
      </c>
      <c r="I12" s="88">
        <f ca="1">SUMIF(TRANSAKSI!$B$5:$B$90000,REKAPITULASI!G12,TRANSAKSI!$J$5:$J$90000)</f>
        <v>765000</v>
      </c>
    </row>
    <row r="13" spans="2:9">
      <c r="B13" s="74" t="s">
        <v>37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44478</v>
      </c>
      <c r="H13" s="86">
        <f ca="1">SUMIF(TRANSAKSI!$B$5:$B$90000,REKAPITULASI!G13,TRANSAKSI!$G$5:$G$90000)</f>
        <v>42</v>
      </c>
      <c r="I13" s="88">
        <f ca="1">SUMIF(TRANSAKSI!$B$5:$B$90000,REKAPITULASI!G13,TRANSAKSI!$J$5:$J$90000)</f>
        <v>776000</v>
      </c>
    </row>
    <row r="14" spans="2:9">
      <c r="B14" s="74" t="s">
        <v>38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>
      <c r="B15" s="74" t="s">
        <v>39</v>
      </c>
      <c r="C15" s="75">
        <f>SUMIFS(TRANSAKSI!$G$5:$G$90000,TRANSAKSI!$L$5:$L$90000,REKAPITULASI!B15,TRANSAKSI!$M$5:$M$90000,REKAPITULASI!$D$4)</f>
        <v>0</v>
      </c>
      <c r="D15" s="76">
        <f>SUMIFS(TRANSAKSI!$J$5:$J$90000,TRANSAKSI!$L$5:$L$90000,REKAPITULASI!B15,TRANSAKSI!$M$5:$M$90000,REKAPITULASI!$D$4)</f>
        <v>0</v>
      </c>
      <c r="G15" t="s">
        <v>43</v>
      </c>
      <c r="H15" s="2">
        <f ca="1">SUM(H7:H13)</f>
        <v>98</v>
      </c>
      <c r="I15" s="79">
        <f ca="1">SUM(I7:I13)</f>
        <v>1961000</v>
      </c>
    </row>
    <row r="16" spans="2:9">
      <c r="B16" s="74" t="s">
        <v>40</v>
      </c>
      <c r="C16" s="75">
        <f>SUMIFS(TRANSAKSI!$G$5:$G$90000,TRANSAKSI!$L$5:$L$90000,REKAPITULASI!B16,TRANSAKSI!$M$5:$M$90000,REKAPITULASI!$D$4)</f>
        <v>5</v>
      </c>
      <c r="D16" s="76">
        <f>SUMIFS(TRANSAKSI!$J$5:$J$90000,TRANSAKSI!$L$5:$L$90000,REKAPITULASI!B16,TRANSAKSI!$M$5:$M$90000,REKAPITULASI!$D$4)</f>
        <v>70000</v>
      </c>
    </row>
    <row r="17" spans="2:4">
      <c r="B17" s="74" t="s">
        <v>41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>
      <c r="B18" s="74" t="s">
        <v>42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>
      <c r="B19" s="74" t="s">
        <v>20</v>
      </c>
      <c r="C19" s="75">
        <f>SUM(C7:C18)</f>
        <v>5</v>
      </c>
      <c r="D19" s="76">
        <f>SUM(D7:D18)</f>
        <v>70000</v>
      </c>
    </row>
  </sheetData>
  <phoneticPr fontId="1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AOC</cp:lastModifiedBy>
  <cp:lastPrinted>2021-10-09T14:31:18Z</cp:lastPrinted>
  <dcterms:created xsi:type="dcterms:W3CDTF">2021-04-14T11:12:43Z</dcterms:created>
  <dcterms:modified xsi:type="dcterms:W3CDTF">2021-10-09T14:37:58Z</dcterms:modified>
</cp:coreProperties>
</file>