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File titip\IR cell\kasir\KasirIR\KasirIR\"/>
    </mc:Choice>
  </mc:AlternateContent>
  <xr:revisionPtr revIDLastSave="0" documentId="13_ncr:1_{BC6CA13A-1EF2-47EE-93BA-01F5060CC74E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MENU" sheetId="1" r:id="rId1"/>
    <sheet name="DATABARANG" sheetId="2" r:id="rId2"/>
    <sheet name="DATAKONTER" sheetId="10" r:id="rId3"/>
    <sheet name="Cetak Barcode" sheetId="7" r:id="rId4"/>
    <sheet name="Struk" sheetId="3" r:id="rId5"/>
    <sheet name="TRANSAKSI" sheetId="4" r:id="rId6"/>
    <sheet name="CARIBARANG" sheetId="5" r:id="rId7"/>
    <sheet name="REKAPITULASI" sheetId="6" r:id="rId8"/>
  </sheets>
  <definedNames>
    <definedName name="_xlnm._FilterDatabase" localSheetId="1" hidden="1">DATABARANG!$A$3:$P$473</definedName>
    <definedName name="_xlnm._FilterDatabase" localSheetId="5" hidden="1">TRANSAKSI!$A$4:$H$83</definedName>
    <definedName name="BatasBarcode">'Cetak Barcode'!$A$2:$C$56</definedName>
    <definedName name="_xlnm.Criteria" localSheetId="6">CARIBARANG!$S$4:$S$5</definedName>
    <definedName name="DATAKASIR">OFFSET(MENU!$D$8,0,0,COUNTA(MENU!$D$8:$D$9000),9)</definedName>
    <definedName name="_xlnm.Extract" localSheetId="6">CARIBARANG!$A$1:$I$1</definedName>
    <definedName name="KODE">'Cetak Barcode'!$A$2:$B$56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5" i="4" l="1"/>
  <c r="J26" i="4"/>
  <c r="J27" i="4"/>
  <c r="J28" i="4"/>
  <c r="K25" i="4"/>
  <c r="K26" i="4"/>
  <c r="K27" i="4"/>
  <c r="K28" i="4"/>
  <c r="L25" i="4"/>
  <c r="L26" i="4"/>
  <c r="L27" i="4"/>
  <c r="L28" i="4"/>
  <c r="M25" i="4"/>
  <c r="M26" i="4"/>
  <c r="M27" i="4"/>
  <c r="M28" i="4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A251" i="3"/>
  <c r="B251" i="3"/>
  <c r="C251" i="3"/>
  <c r="D251" i="3"/>
  <c r="E251" i="3"/>
  <c r="A252" i="3"/>
  <c r="B252" i="3"/>
  <c r="C252" i="3"/>
  <c r="D252" i="3"/>
  <c r="E252" i="3"/>
  <c r="A253" i="3"/>
  <c r="B253" i="3"/>
  <c r="C253" i="3"/>
  <c r="D253" i="3"/>
  <c r="E253" i="3"/>
  <c r="A254" i="3"/>
  <c r="B254" i="3"/>
  <c r="C254" i="3"/>
  <c r="D254" i="3"/>
  <c r="E254" i="3"/>
  <c r="A255" i="3"/>
  <c r="B255" i="3"/>
  <c r="C255" i="3"/>
  <c r="D255" i="3"/>
  <c r="E255" i="3"/>
  <c r="A256" i="3"/>
  <c r="B256" i="3"/>
  <c r="C256" i="3"/>
  <c r="D256" i="3"/>
  <c r="E256" i="3"/>
  <c r="A257" i="3"/>
  <c r="B257" i="3"/>
  <c r="C257" i="3"/>
  <c r="D257" i="3"/>
  <c r="E257" i="3"/>
  <c r="A258" i="3"/>
  <c r="B258" i="3"/>
  <c r="C258" i="3"/>
  <c r="D258" i="3"/>
  <c r="E258" i="3"/>
  <c r="A259" i="3"/>
  <c r="B259" i="3"/>
  <c r="C259" i="3"/>
  <c r="D259" i="3"/>
  <c r="E259" i="3"/>
  <c r="A260" i="3"/>
  <c r="B260" i="3"/>
  <c r="C260" i="3"/>
  <c r="D260" i="3"/>
  <c r="E260" i="3"/>
  <c r="A261" i="3"/>
  <c r="B261" i="3"/>
  <c r="C261" i="3"/>
  <c r="D261" i="3"/>
  <c r="E261" i="3"/>
  <c r="A262" i="3"/>
  <c r="B262" i="3"/>
  <c r="C262" i="3"/>
  <c r="D262" i="3"/>
  <c r="E262" i="3"/>
  <c r="A263" i="3"/>
  <c r="B263" i="3"/>
  <c r="C263" i="3"/>
  <c r="D263" i="3"/>
  <c r="E263" i="3"/>
  <c r="A264" i="3"/>
  <c r="B264" i="3"/>
  <c r="C264" i="3"/>
  <c r="D264" i="3"/>
  <c r="E264" i="3"/>
  <c r="A265" i="3"/>
  <c r="B265" i="3"/>
  <c r="C265" i="3"/>
  <c r="D265" i="3"/>
  <c r="E265" i="3"/>
  <c r="A266" i="3"/>
  <c r="B266" i="3"/>
  <c r="C266" i="3"/>
  <c r="D266" i="3"/>
  <c r="E266" i="3"/>
  <c r="A267" i="3"/>
  <c r="B267" i="3"/>
  <c r="C267" i="3"/>
  <c r="D267" i="3"/>
  <c r="E267" i="3"/>
  <c r="A268" i="3"/>
  <c r="B268" i="3"/>
  <c r="C268" i="3"/>
  <c r="D268" i="3"/>
  <c r="E268" i="3"/>
  <c r="A269" i="3"/>
  <c r="B269" i="3"/>
  <c r="C269" i="3"/>
  <c r="D269" i="3"/>
  <c r="E269" i="3"/>
  <c r="A270" i="3"/>
  <c r="B270" i="3"/>
  <c r="C270" i="3"/>
  <c r="D270" i="3"/>
  <c r="E270" i="3"/>
  <c r="A271" i="3"/>
  <c r="B271" i="3"/>
  <c r="C271" i="3"/>
  <c r="D271" i="3"/>
  <c r="E271" i="3"/>
  <c r="A272" i="3"/>
  <c r="B272" i="3"/>
  <c r="C272" i="3"/>
  <c r="D272" i="3"/>
  <c r="E272" i="3"/>
  <c r="A273" i="3"/>
  <c r="B273" i="3"/>
  <c r="C273" i="3"/>
  <c r="D273" i="3"/>
  <c r="E273" i="3"/>
  <c r="A274" i="3"/>
  <c r="B274" i="3"/>
  <c r="C274" i="3"/>
  <c r="D274" i="3"/>
  <c r="E274" i="3"/>
  <c r="A275" i="3"/>
  <c r="B275" i="3"/>
  <c r="C275" i="3"/>
  <c r="D275" i="3"/>
  <c r="E275" i="3"/>
  <c r="A276" i="3"/>
  <c r="B276" i="3"/>
  <c r="C276" i="3"/>
  <c r="D276" i="3"/>
  <c r="E276" i="3"/>
  <c r="E10" i="3"/>
  <c r="D10" i="3"/>
  <c r="C10" i="3"/>
  <c r="B10" i="3"/>
  <c r="A10" i="3"/>
  <c r="J23" i="4" l="1"/>
  <c r="J24" i="4"/>
  <c r="K23" i="4"/>
  <c r="K24" i="4"/>
  <c r="L23" i="4"/>
  <c r="L24" i="4"/>
  <c r="M23" i="4"/>
  <c r="M24" i="4"/>
  <c r="J20" i="4"/>
  <c r="J21" i="4"/>
  <c r="J22" i="4"/>
  <c r="K20" i="4"/>
  <c r="K21" i="4"/>
  <c r="K22" i="4"/>
  <c r="L20" i="4"/>
  <c r="L21" i="4"/>
  <c r="L22" i="4"/>
  <c r="M20" i="4"/>
  <c r="M21" i="4"/>
  <c r="M22" i="4"/>
  <c r="J13" i="4"/>
  <c r="J14" i="4"/>
  <c r="J15" i="4"/>
  <c r="J16" i="4"/>
  <c r="J17" i="4"/>
  <c r="J18" i="4"/>
  <c r="J19" i="4"/>
  <c r="K13" i="4"/>
  <c r="K14" i="4"/>
  <c r="K15" i="4"/>
  <c r="K16" i="4"/>
  <c r="K17" i="4"/>
  <c r="K18" i="4"/>
  <c r="K19" i="4"/>
  <c r="L13" i="4"/>
  <c r="L14" i="4"/>
  <c r="L15" i="4"/>
  <c r="L16" i="4"/>
  <c r="L17" i="4"/>
  <c r="L18" i="4"/>
  <c r="L19" i="4"/>
  <c r="M13" i="4"/>
  <c r="M14" i="4"/>
  <c r="M15" i="4"/>
  <c r="M16" i="4"/>
  <c r="M17" i="4"/>
  <c r="M18" i="4"/>
  <c r="M19" i="4"/>
  <c r="G392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3" i="2"/>
  <c r="G394" i="2"/>
  <c r="G395" i="2"/>
  <c r="G396" i="2"/>
  <c r="G7" i="10" l="1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G6" i="10"/>
  <c r="J4" i="2"/>
  <c r="G4" i="2"/>
  <c r="J9" i="4"/>
  <c r="J10" i="4"/>
  <c r="J11" i="4"/>
  <c r="J12" i="4"/>
  <c r="K9" i="4"/>
  <c r="K10" i="4"/>
  <c r="K11" i="4"/>
  <c r="K12" i="4"/>
  <c r="L9" i="4"/>
  <c r="L10" i="4"/>
  <c r="L11" i="4"/>
  <c r="L12" i="4"/>
  <c r="M9" i="4"/>
  <c r="M10" i="4"/>
  <c r="M11" i="4"/>
  <c r="M12" i="4"/>
  <c r="J7" i="4"/>
  <c r="J8" i="4"/>
  <c r="K7" i="4"/>
  <c r="K8" i="4"/>
  <c r="L7" i="4"/>
  <c r="L8" i="4"/>
  <c r="M7" i="4"/>
  <c r="M8" i="4"/>
  <c r="J3" i="1"/>
  <c r="J5" i="4"/>
  <c r="J6" i="4"/>
  <c r="K5" i="4"/>
  <c r="K6" i="4"/>
  <c r="L5" i="4"/>
  <c r="L6" i="4"/>
  <c r="M5" i="4"/>
  <c r="M6" i="4"/>
  <c r="A27" i="1" l="1"/>
  <c r="I3" i="1"/>
  <c r="D3" i="1"/>
  <c r="E5" i="7" l="1"/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2" i="7"/>
  <c r="A28" i="1" l="1"/>
  <c r="K20" i="2"/>
  <c r="M20" i="2"/>
  <c r="N20" i="2"/>
  <c r="O20" i="2"/>
  <c r="L20" i="2"/>
  <c r="J4" i="6" l="1"/>
  <c r="H7" i="6" s="1"/>
  <c r="B7" i="3"/>
  <c r="D6" i="3"/>
  <c r="C18" i="6" l="1"/>
  <c r="D14" i="6"/>
  <c r="D16" i="6"/>
  <c r="I7" i="6"/>
  <c r="K7" i="6"/>
  <c r="J7" i="6"/>
  <c r="H8" i="6"/>
  <c r="C16" i="6"/>
  <c r="D13" i="6"/>
  <c r="C8" i="6"/>
  <c r="C14" i="6"/>
  <c r="D12" i="6"/>
  <c r="D17" i="6"/>
  <c r="C15" i="6"/>
  <c r="C7" i="6"/>
  <c r="C13" i="6"/>
  <c r="E7" i="6"/>
  <c r="D11" i="6"/>
  <c r="D7" i="6"/>
  <c r="C11" i="6"/>
  <c r="C9" i="6"/>
  <c r="C12" i="6"/>
  <c r="D10" i="6"/>
  <c r="C17" i="6"/>
  <c r="C10" i="6"/>
  <c r="D15" i="6"/>
  <c r="D18" i="6"/>
  <c r="D9" i="6"/>
  <c r="D8" i="6"/>
  <c r="E13" i="6"/>
  <c r="E9" i="6"/>
  <c r="E14" i="6"/>
  <c r="E16" i="6"/>
  <c r="E12" i="6"/>
  <c r="E10" i="6"/>
  <c r="E15" i="6"/>
  <c r="E18" i="6"/>
  <c r="E8" i="6"/>
  <c r="E17" i="6"/>
  <c r="E11" i="6"/>
  <c r="D5" i="3"/>
  <c r="I8" i="6" l="1"/>
  <c r="K8" i="6"/>
  <c r="J8" i="6"/>
  <c r="C19" i="6"/>
  <c r="D19" i="6"/>
  <c r="E19" i="6"/>
  <c r="B5" i="3"/>
  <c r="B6" i="3" s="1"/>
  <c r="D7" i="3" s="1"/>
  <c r="H9" i="6"/>
  <c r="I9" i="6" l="1"/>
  <c r="K9" i="6"/>
  <c r="J9" i="6"/>
  <c r="H10" i="6"/>
  <c r="I10" i="6" l="1"/>
  <c r="K10" i="6"/>
  <c r="J10" i="6"/>
  <c r="H11" i="6"/>
  <c r="I11" i="6" l="1"/>
  <c r="K11" i="6"/>
  <c r="J11" i="6"/>
  <c r="H12" i="6"/>
  <c r="I12" i="6" l="1"/>
  <c r="K12" i="6"/>
  <c r="J12" i="6"/>
  <c r="H13" i="6"/>
  <c r="I13" i="6" s="1"/>
  <c r="J13" i="6" l="1"/>
  <c r="J15" i="6" s="1"/>
  <c r="I15" i="6"/>
  <c r="K13" i="6"/>
  <c r="K15" i="6" s="1"/>
  <c r="P20" i="2"/>
</calcChain>
</file>

<file path=xl/sharedStrings.xml><?xml version="1.0" encoding="utf-8"?>
<sst xmlns="http://schemas.openxmlformats.org/spreadsheetml/2006/main" count="1768" uniqueCount="987">
  <si>
    <t>Kode Barang</t>
  </si>
  <si>
    <t>Nama Barang</t>
  </si>
  <si>
    <t>Qty</t>
  </si>
  <si>
    <t>Stok</t>
  </si>
  <si>
    <t>Total Harga</t>
  </si>
  <si>
    <t>Harga Beli</t>
  </si>
  <si>
    <t>Harga Jual</t>
  </si>
  <si>
    <t>Total Barang :</t>
  </si>
  <si>
    <t>Total Harga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</si>
  <si>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</si>
  <si>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</si>
  <si>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</si>
  <si>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</si>
  <si>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</si>
  <si>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</si>
  <si>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</si>
  <si>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</si>
  <si>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</si>
  <si>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</si>
  <si>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</si>
  <si>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</si>
  <si>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</si>
  <si>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</si>
  <si>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</si>
  <si>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</si>
  <si>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</si>
  <si>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</si>
  <si>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</si>
  <si>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</si>
  <si>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</si>
  <si>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</si>
  <si>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</si>
  <si>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Sep</t>
  </si>
  <si>
    <t>Nov</t>
  </si>
  <si>
    <t>Des</t>
  </si>
  <si>
    <t>Total Penjualan</t>
  </si>
  <si>
    <t>IR CELL</t>
  </si>
  <si>
    <t>Jl. KUSUMA BANGSA NO 31 (BONG MERENG) KEC, BURNEH KAB,BANGKALAN</t>
  </si>
  <si>
    <t>KODE</t>
  </si>
  <si>
    <t>NAMA</t>
  </si>
  <si>
    <t>SATUAN</t>
  </si>
  <si>
    <t>STOK</t>
  </si>
  <si>
    <t>HARGA BELI</t>
  </si>
  <si>
    <t>HARGA JUAL</t>
  </si>
  <si>
    <t>DATA PALING BAWAH :</t>
  </si>
  <si>
    <t>SCAN</t>
  </si>
  <si>
    <t>Total Laba</t>
  </si>
  <si>
    <t>Oct</t>
  </si>
  <si>
    <t>Aug</t>
  </si>
  <si>
    <t>Laba Kotor</t>
  </si>
  <si>
    <t>Laba Bersih</t>
  </si>
  <si>
    <t>AWAS ADA RUMUS</t>
  </si>
  <si>
    <t>Jumlah Laba</t>
  </si>
  <si>
    <t>NAMA BARANG</t>
  </si>
  <si>
    <t>KODE BARANG</t>
  </si>
  <si>
    <t>TEMPERED REDMI 4X BENING</t>
  </si>
  <si>
    <t>VC-ISAT2</t>
  </si>
  <si>
    <t>VOUCHER INDOSAT UNLIMITED 3 GB</t>
  </si>
  <si>
    <t>KB</t>
  </si>
  <si>
    <t>Tanggal2</t>
  </si>
  <si>
    <t>Tipe</t>
  </si>
  <si>
    <t>Stok Sisa</t>
  </si>
  <si>
    <t>Stok Masuk</t>
  </si>
  <si>
    <t>Stok Keluar</t>
  </si>
  <si>
    <t>Modal</t>
  </si>
  <si>
    <t>Acc</t>
  </si>
  <si>
    <t>NonAcc</t>
  </si>
  <si>
    <t>Telkom</t>
  </si>
  <si>
    <t>A1</t>
  </si>
  <si>
    <t>k1</t>
  </si>
  <si>
    <t>Stok Lama</t>
  </si>
  <si>
    <t>harga Beli</t>
  </si>
  <si>
    <t>Harga/Pcs</t>
  </si>
  <si>
    <t>9</t>
  </si>
  <si>
    <t>11</t>
  </si>
  <si>
    <t>12</t>
  </si>
  <si>
    <t>SP-AX1</t>
  </si>
  <si>
    <t>SP-AX2</t>
  </si>
  <si>
    <t>SP-AX3</t>
  </si>
  <si>
    <t>SP-ISAT1</t>
  </si>
  <si>
    <t>SP-ISAT2</t>
  </si>
  <si>
    <t>SP-ISAT3</t>
  </si>
  <si>
    <t>SP-ISAT4</t>
  </si>
  <si>
    <t>SP-ISAT5</t>
  </si>
  <si>
    <t>SP-IM36</t>
  </si>
  <si>
    <t>SP-SMA1</t>
  </si>
  <si>
    <t>SP-SMA10</t>
  </si>
  <si>
    <t>SP-SMA11</t>
  </si>
  <si>
    <t>SP-SMA2</t>
  </si>
  <si>
    <t>SP-SMA3</t>
  </si>
  <si>
    <t>SP-SMA4</t>
  </si>
  <si>
    <t>SP-SMA5</t>
  </si>
  <si>
    <t>SP-SMA6</t>
  </si>
  <si>
    <t>SP-SMA7</t>
  </si>
  <si>
    <t>SP-SMA8</t>
  </si>
  <si>
    <t>SP-SMA9</t>
  </si>
  <si>
    <t>SP-TEL1</t>
  </si>
  <si>
    <t>SP-TEL2</t>
  </si>
  <si>
    <t>SP-TEL3</t>
  </si>
  <si>
    <t>SP-TEL4</t>
  </si>
  <si>
    <t>SP-TRI1</t>
  </si>
  <si>
    <t>SP-TRI2</t>
  </si>
  <si>
    <t>SP-TRI3</t>
  </si>
  <si>
    <t>SP-TRI4</t>
  </si>
  <si>
    <t>SP-TRI5</t>
  </si>
  <si>
    <t>SP-TRI6</t>
  </si>
  <si>
    <t>SP-XL1</t>
  </si>
  <si>
    <t>SP-XL2</t>
  </si>
  <si>
    <t>SP-XL3</t>
  </si>
  <si>
    <t>SP-XL4</t>
  </si>
  <si>
    <t>SP-XL5</t>
  </si>
  <si>
    <t>SP-XL6</t>
  </si>
  <si>
    <t>SP-XL7</t>
  </si>
  <si>
    <t>SP-XL8</t>
  </si>
  <si>
    <t>VC-AX1</t>
  </si>
  <si>
    <t>VC-AX2</t>
  </si>
  <si>
    <t>VC-AX3</t>
  </si>
  <si>
    <t>VC-AX4</t>
  </si>
  <si>
    <t>VC-AX5</t>
  </si>
  <si>
    <t>VC-AX6</t>
  </si>
  <si>
    <t>VC-AX7</t>
  </si>
  <si>
    <t>VC-AX8</t>
  </si>
  <si>
    <t>VC-ISAT1</t>
  </si>
  <si>
    <t>VC-ISAT3</t>
  </si>
  <si>
    <t>VC-ISAT4</t>
  </si>
  <si>
    <t>VC-SMA1</t>
  </si>
  <si>
    <t>VC-SMA2</t>
  </si>
  <si>
    <t>VC-SMA3</t>
  </si>
  <si>
    <t>VC-SMA4</t>
  </si>
  <si>
    <t>VC-SMA5</t>
  </si>
  <si>
    <t>VC-SMA6</t>
  </si>
  <si>
    <t>VC-SMA7</t>
  </si>
  <si>
    <t>VC-TEL1</t>
  </si>
  <si>
    <t>VC-TEL2</t>
  </si>
  <si>
    <t>VC-TEL3</t>
  </si>
  <si>
    <t>VC-TEL4</t>
  </si>
  <si>
    <t>VC-TRI1</t>
  </si>
  <si>
    <t>VC-TRI2</t>
  </si>
  <si>
    <t>VC-TRI3</t>
  </si>
  <si>
    <t>VC-TRI4</t>
  </si>
  <si>
    <t>VC-XL1</t>
  </si>
  <si>
    <t>VC-XL2</t>
  </si>
  <si>
    <t>VC-XL3</t>
  </si>
  <si>
    <t>VC-XL4</t>
  </si>
  <si>
    <t>SP AXIS 3 GB</t>
  </si>
  <si>
    <t xml:space="preserve">SP AXIS 5.5 GB </t>
  </si>
  <si>
    <t>SP AXIS 8 GB</t>
  </si>
  <si>
    <t>SP INDOSAT 2GB 24 JAM</t>
  </si>
  <si>
    <t>SP INDOSAT 8 GB 24 JAM</t>
  </si>
  <si>
    <t>SP INDOSAT 20 GB FREEDOM (15+5)</t>
  </si>
  <si>
    <t xml:space="preserve">SP INDOSAT 16 GB 24 JAM </t>
  </si>
  <si>
    <t xml:space="preserve">SP INDOSAT UNLIMITED 3 GB </t>
  </si>
  <si>
    <t xml:space="preserve">SP INDOSAT UNLIMITED 7GB </t>
  </si>
  <si>
    <t>SP SMARTFREN UNLIMITED LITE</t>
  </si>
  <si>
    <t>SP SMARTFREN NONSTOP 18 GB</t>
  </si>
  <si>
    <t>SP SMARTFREN NONSTOP 30 GB</t>
  </si>
  <si>
    <t>SP SMARTFREN UNLIMITED MAX</t>
  </si>
  <si>
    <t>SP SMARTFREN UNLIMITED 7 HARI</t>
  </si>
  <si>
    <t>SP SMARTFREN 3.5 GB</t>
  </si>
  <si>
    <t>SP SMARTFREN GOKIL 9 GB</t>
  </si>
  <si>
    <t>SP SMARTFREN GOKIL 21 GB</t>
  </si>
  <si>
    <t>SP SMARTFREN GOKIL 36 GB</t>
  </si>
  <si>
    <t>SP SMARTFREN NONSTOP 6 GB</t>
  </si>
  <si>
    <t>SP SMARTFREN NONSTOP 10 GB</t>
  </si>
  <si>
    <t>SP TELKOMSEL 7 GB UNL MAX</t>
  </si>
  <si>
    <t>SP TELKOMSEL 12 GB UNL MAX</t>
  </si>
  <si>
    <t>SP TELKOMSEL 22 GB UNL MAX</t>
  </si>
  <si>
    <t>SP TELKOMSEL 35 GB UNL MAX</t>
  </si>
  <si>
    <t>SP TRI AON 1 GB</t>
  </si>
  <si>
    <t>SP TRI 4.5 GB</t>
  </si>
  <si>
    <t>SP TRI 9 GB</t>
  </si>
  <si>
    <t>SP TRI 22 GB NASIONAL</t>
  </si>
  <si>
    <t>SP TRI 22 GB LOKAL (PROMO)</t>
  </si>
  <si>
    <t>SP TRI 7 GB + UNLIMITED YT</t>
  </si>
  <si>
    <t>SP XL MINI 6GB</t>
  </si>
  <si>
    <t>SP XL 2GB</t>
  </si>
  <si>
    <t>SP XL 3,5GB</t>
  </si>
  <si>
    <t xml:space="preserve">SP XL 8 GB </t>
  </si>
  <si>
    <t>SP XL 13GB</t>
  </si>
  <si>
    <t>SP XL 28 GB</t>
  </si>
  <si>
    <t xml:space="preserve">SP XL 50 GB </t>
  </si>
  <si>
    <t>SP XL 66 GB</t>
  </si>
  <si>
    <t>VOUCHER AXIS NELPON 14 HARI</t>
  </si>
  <si>
    <t>VOUCHER AXIS AIGO 2 MINI</t>
  </si>
  <si>
    <t>VOUCHER AXIS AIGO 1 GB</t>
  </si>
  <si>
    <t>VOUCHER AXIS AIGO 3 GB</t>
  </si>
  <si>
    <t>VOUCHER AXIS AIGO 5 GB</t>
  </si>
  <si>
    <t>VOUCHER AXIS AIGO 8 GB</t>
  </si>
  <si>
    <t xml:space="preserve">VOUCHER AXIS AIGO 12 GB </t>
  </si>
  <si>
    <t>VOUCHER AXIS AIGO 25 GB</t>
  </si>
  <si>
    <t xml:space="preserve">VOUCHER INDOSAT UNLIMITED 2 GB </t>
  </si>
  <si>
    <t>VOUCHER INDOSAT UNLIMITED 7 GB</t>
  </si>
  <si>
    <t xml:space="preserve">VOUCHER INDOSAT UNLIMTED 10 GB </t>
  </si>
  <si>
    <t>VOUCHER SMARTFREN UNLIMITED LITE</t>
  </si>
  <si>
    <t>VOUCHER SMARTFREN UNLIMITED MAX</t>
  </si>
  <si>
    <t>VOUCHER SMARTFREN 4 GB</t>
  </si>
  <si>
    <t>VOUCHER SMARTFREN 6 GB</t>
  </si>
  <si>
    <t>VOUCHER SMARTFREN 10GB</t>
  </si>
  <si>
    <t>VOUCHER SMARTFREN 18 GB</t>
  </si>
  <si>
    <t>VOUCHER SMARTFREN UNLIMITED 7 HARI</t>
  </si>
  <si>
    <t>VOUCHER TELKOMSEL 2,5 GB 5 HARI</t>
  </si>
  <si>
    <t xml:space="preserve">VOUCHER TELKOMSEL 4 GB </t>
  </si>
  <si>
    <t>VOUCHER TELKOMSEL 10 GB</t>
  </si>
  <si>
    <t>VOUCHER TELKOMSEL 14 GB</t>
  </si>
  <si>
    <t xml:space="preserve">VOUCHER TRI 4.5 GB </t>
  </si>
  <si>
    <t>VOUCHER TRI 9 GB</t>
  </si>
  <si>
    <t>VOUCHER TRI 22 GB LOKAL (PROMO)</t>
  </si>
  <si>
    <t>VOUCHER TRI 22 GB NASIONAL</t>
  </si>
  <si>
    <t>VOUCHER  XL 1 GB 7 HARI</t>
  </si>
  <si>
    <t>VOUCHER XL 6 GB</t>
  </si>
  <si>
    <t>VOUCHER XL 10 GB</t>
  </si>
  <si>
    <t>VOUCHER XL 18 GB</t>
  </si>
  <si>
    <t>10</t>
  </si>
  <si>
    <t>8</t>
  </si>
  <si>
    <t>5</t>
  </si>
  <si>
    <t>20</t>
  </si>
  <si>
    <t>13</t>
  </si>
  <si>
    <t>1</t>
  </si>
  <si>
    <t>4</t>
  </si>
  <si>
    <t>00060101</t>
  </si>
  <si>
    <t>01267017</t>
  </si>
  <si>
    <t>01498118</t>
  </si>
  <si>
    <t>0158174999078</t>
  </si>
  <si>
    <t>0619659161613</t>
  </si>
  <si>
    <t>06429821</t>
  </si>
  <si>
    <t>08851622</t>
  </si>
  <si>
    <t>0885909627349</t>
  </si>
  <si>
    <t>10117088</t>
  </si>
  <si>
    <t>11067672</t>
  </si>
  <si>
    <t>11068997</t>
  </si>
  <si>
    <t>11070720</t>
  </si>
  <si>
    <t>11070793</t>
  </si>
  <si>
    <t>11070824</t>
  </si>
  <si>
    <t>11071318</t>
  </si>
  <si>
    <t>11071980</t>
  </si>
  <si>
    <t>11074401</t>
  </si>
  <si>
    <t>11074410</t>
  </si>
  <si>
    <t>11074523</t>
  </si>
  <si>
    <t>11074781</t>
  </si>
  <si>
    <t>11074800</t>
  </si>
  <si>
    <t>11074959</t>
  </si>
  <si>
    <t>11074960</t>
  </si>
  <si>
    <t>11074965</t>
  </si>
  <si>
    <t>11074967</t>
  </si>
  <si>
    <t>11074968</t>
  </si>
  <si>
    <t>11074969</t>
  </si>
  <si>
    <t>11074970</t>
  </si>
  <si>
    <t>11074992</t>
  </si>
  <si>
    <t>11075502</t>
  </si>
  <si>
    <t>11075643</t>
  </si>
  <si>
    <t>11075757</t>
  </si>
  <si>
    <t>11076204</t>
  </si>
  <si>
    <t>11076205</t>
  </si>
  <si>
    <t>11076211</t>
  </si>
  <si>
    <t>11076214</t>
  </si>
  <si>
    <t>11076226</t>
  </si>
  <si>
    <t>11076289</t>
  </si>
  <si>
    <t>11076290</t>
  </si>
  <si>
    <t>11076291</t>
  </si>
  <si>
    <t>11076446</t>
  </si>
  <si>
    <t>11076447</t>
  </si>
  <si>
    <t>11076452</t>
  </si>
  <si>
    <t>11076776</t>
  </si>
  <si>
    <t>11077038</t>
  </si>
  <si>
    <t>11077083</t>
  </si>
  <si>
    <t>11077086</t>
  </si>
  <si>
    <t>11077087</t>
  </si>
  <si>
    <t>11077103</t>
  </si>
  <si>
    <t>11077126</t>
  </si>
  <si>
    <t>11077129</t>
  </si>
  <si>
    <t>11077132</t>
  </si>
  <si>
    <t>11077133</t>
  </si>
  <si>
    <t>11077315</t>
  </si>
  <si>
    <t>11077350</t>
  </si>
  <si>
    <t>11077357</t>
  </si>
  <si>
    <t>11077358</t>
  </si>
  <si>
    <t>11077359</t>
  </si>
  <si>
    <t>11077442</t>
  </si>
  <si>
    <t>11077631</t>
  </si>
  <si>
    <t>11077721</t>
  </si>
  <si>
    <t>11077722</t>
  </si>
  <si>
    <t>11077724</t>
  </si>
  <si>
    <t>11077726</t>
  </si>
  <si>
    <t>11077727</t>
  </si>
  <si>
    <t>11077728</t>
  </si>
  <si>
    <t>11077730</t>
  </si>
  <si>
    <t>11077731</t>
  </si>
  <si>
    <t>11077737</t>
  </si>
  <si>
    <t>11077738</t>
  </si>
  <si>
    <t>11077741</t>
  </si>
  <si>
    <t>11077742</t>
  </si>
  <si>
    <t>11077744</t>
  </si>
  <si>
    <t>11077745</t>
  </si>
  <si>
    <t>11077746</t>
  </si>
  <si>
    <t>11077747</t>
  </si>
  <si>
    <t>11077749</t>
  </si>
  <si>
    <t>11077750</t>
  </si>
  <si>
    <t>11077751</t>
  </si>
  <si>
    <t>11077911</t>
  </si>
  <si>
    <t>11077983</t>
  </si>
  <si>
    <t>11077986</t>
  </si>
  <si>
    <t>11077987</t>
  </si>
  <si>
    <t>11077988</t>
  </si>
  <si>
    <t>11077990</t>
  </si>
  <si>
    <t>11077992</t>
  </si>
  <si>
    <t>11077994</t>
  </si>
  <si>
    <t>11077995</t>
  </si>
  <si>
    <t>11078000</t>
  </si>
  <si>
    <t>11078005</t>
  </si>
  <si>
    <t>11078008</t>
  </si>
  <si>
    <t>11078011</t>
  </si>
  <si>
    <t>11078012</t>
  </si>
  <si>
    <t>11078014</t>
  </si>
  <si>
    <t>11078016</t>
  </si>
  <si>
    <t>11078017</t>
  </si>
  <si>
    <t>11078070</t>
  </si>
  <si>
    <t>11078080</t>
  </si>
  <si>
    <t>11078082</t>
  </si>
  <si>
    <t>11078083</t>
  </si>
  <si>
    <t>11078085</t>
  </si>
  <si>
    <t>11078086</t>
  </si>
  <si>
    <t>11078087</t>
  </si>
  <si>
    <t>11078089</t>
  </si>
  <si>
    <t>11078247</t>
  </si>
  <si>
    <t>11078248</t>
  </si>
  <si>
    <t>11079180</t>
  </si>
  <si>
    <t>11079182</t>
  </si>
  <si>
    <t>11079426</t>
  </si>
  <si>
    <t>11079433</t>
  </si>
  <si>
    <t>11079478</t>
  </si>
  <si>
    <t>11079480</t>
  </si>
  <si>
    <t>11079485</t>
  </si>
  <si>
    <t>11079491</t>
  </si>
  <si>
    <t>11079492</t>
  </si>
  <si>
    <t>11079494</t>
  </si>
  <si>
    <t>11079495</t>
  </si>
  <si>
    <t>11079496</t>
  </si>
  <si>
    <t>11079497</t>
  </si>
  <si>
    <t>11079505</t>
  </si>
  <si>
    <t>11079562</t>
  </si>
  <si>
    <t>11079563</t>
  </si>
  <si>
    <t>11079566</t>
  </si>
  <si>
    <t>11079572</t>
  </si>
  <si>
    <t>11079706</t>
  </si>
  <si>
    <t>11079714</t>
  </si>
  <si>
    <t>11079717</t>
  </si>
  <si>
    <t>11079721</t>
  </si>
  <si>
    <t>11079757</t>
  </si>
  <si>
    <t>11079774</t>
  </si>
  <si>
    <t>11079777</t>
  </si>
  <si>
    <t>11079886</t>
  </si>
  <si>
    <t>11079887</t>
  </si>
  <si>
    <t>11079916</t>
  </si>
  <si>
    <t>11079918</t>
  </si>
  <si>
    <t>11079925</t>
  </si>
  <si>
    <t>11079932</t>
  </si>
  <si>
    <t>11079934</t>
  </si>
  <si>
    <t>11079935</t>
  </si>
  <si>
    <t>11079936</t>
  </si>
  <si>
    <t>11079937</t>
  </si>
  <si>
    <t>11079938</t>
  </si>
  <si>
    <t>11079945</t>
  </si>
  <si>
    <t>11079946</t>
  </si>
  <si>
    <t>11079949</t>
  </si>
  <si>
    <t>11079954</t>
  </si>
  <si>
    <t>11080221</t>
  </si>
  <si>
    <t>11080233</t>
  </si>
  <si>
    <t>11080236</t>
  </si>
  <si>
    <t>11080280</t>
  </si>
  <si>
    <t>11080329</t>
  </si>
  <si>
    <t>11080330</t>
  </si>
  <si>
    <t>11080332</t>
  </si>
  <si>
    <t>11080333</t>
  </si>
  <si>
    <t>11080335</t>
  </si>
  <si>
    <t>11080336</t>
  </si>
  <si>
    <t>11080337</t>
  </si>
  <si>
    <t>11080338</t>
  </si>
  <si>
    <t>11080388</t>
  </si>
  <si>
    <t>11080391</t>
  </si>
  <si>
    <t>11080396</t>
  </si>
  <si>
    <t>11080406</t>
  </si>
  <si>
    <t>11080523</t>
  </si>
  <si>
    <t>11080529</t>
  </si>
  <si>
    <t>11080530</t>
  </si>
  <si>
    <t>11080859</t>
  </si>
  <si>
    <t>11081037</t>
  </si>
  <si>
    <t>11081373</t>
  </si>
  <si>
    <t>11081648</t>
  </si>
  <si>
    <t>11081818</t>
  </si>
  <si>
    <t>11082011</t>
  </si>
  <si>
    <t>11082012</t>
  </si>
  <si>
    <t>11082030</t>
  </si>
  <si>
    <t>11082333</t>
  </si>
  <si>
    <t>11082334</t>
  </si>
  <si>
    <t>11082442</t>
  </si>
  <si>
    <t>11082444</t>
  </si>
  <si>
    <t>11082445</t>
  </si>
  <si>
    <t>11082605</t>
  </si>
  <si>
    <t>11082606</t>
  </si>
  <si>
    <t>11082607</t>
  </si>
  <si>
    <t>11082608</t>
  </si>
  <si>
    <t>11082609</t>
  </si>
  <si>
    <t>11082629</t>
  </si>
  <si>
    <t>11082630</t>
  </si>
  <si>
    <t>11082631</t>
  </si>
  <si>
    <t>11082632</t>
  </si>
  <si>
    <t>11082633</t>
  </si>
  <si>
    <t>11082634</t>
  </si>
  <si>
    <t>11082637</t>
  </si>
  <si>
    <t>11082642</t>
  </si>
  <si>
    <t>11082643</t>
  </si>
  <si>
    <t>11082660</t>
  </si>
  <si>
    <t>11082720</t>
  </si>
  <si>
    <t>11082857</t>
  </si>
  <si>
    <t>11082859</t>
  </si>
  <si>
    <t>11082879</t>
  </si>
  <si>
    <t>11082924</t>
  </si>
  <si>
    <t>11082996</t>
  </si>
  <si>
    <t>11083102</t>
  </si>
  <si>
    <t>11083118</t>
  </si>
  <si>
    <t>11083122</t>
  </si>
  <si>
    <t>11083558</t>
  </si>
  <si>
    <t>11083559</t>
  </si>
  <si>
    <t>11083560</t>
  </si>
  <si>
    <t>11083562</t>
  </si>
  <si>
    <t>11083564</t>
  </si>
  <si>
    <t>11083565</t>
  </si>
  <si>
    <t>11083566</t>
  </si>
  <si>
    <t>11083569</t>
  </si>
  <si>
    <t>11083570</t>
  </si>
  <si>
    <t>11083572</t>
  </si>
  <si>
    <t>11083574</t>
  </si>
  <si>
    <t>11083575</t>
  </si>
  <si>
    <t>11083577</t>
  </si>
  <si>
    <t>11083578</t>
  </si>
  <si>
    <t>11083579</t>
  </si>
  <si>
    <t>11083580</t>
  </si>
  <si>
    <t>11083581</t>
  </si>
  <si>
    <t>11083582</t>
  </si>
  <si>
    <t>11083585</t>
  </si>
  <si>
    <t>11083587</t>
  </si>
  <si>
    <t>11083608</t>
  </si>
  <si>
    <t>11083609</t>
  </si>
  <si>
    <t>11083615</t>
  </si>
  <si>
    <t>11083628</t>
  </si>
  <si>
    <t>11083630</t>
  </si>
  <si>
    <t>11083633</t>
  </si>
  <si>
    <t>11083636</t>
  </si>
  <si>
    <t>11083638</t>
  </si>
  <si>
    <t>11083639</t>
  </si>
  <si>
    <t>11083919</t>
  </si>
  <si>
    <t>11083920</t>
  </si>
  <si>
    <t>11084365</t>
  </si>
  <si>
    <t>11084366</t>
  </si>
  <si>
    <t>11084560</t>
  </si>
  <si>
    <t>11084562</t>
  </si>
  <si>
    <t>110M77644</t>
  </si>
  <si>
    <t>12847556</t>
  </si>
  <si>
    <t>2021040616530</t>
  </si>
  <si>
    <t>4905524987553</t>
  </si>
  <si>
    <t>49451320</t>
  </si>
  <si>
    <t>57984018</t>
  </si>
  <si>
    <t>619659000424</t>
  </si>
  <si>
    <t>0619659000431</t>
  </si>
  <si>
    <t>619659052362</t>
  </si>
  <si>
    <t>619659052775</t>
  </si>
  <si>
    <t>619659055646</t>
  </si>
  <si>
    <t>619659069193</t>
  </si>
  <si>
    <t>619659075576</t>
  </si>
  <si>
    <t>0619659115883</t>
  </si>
  <si>
    <t>619659115890</t>
  </si>
  <si>
    <t>619659115906</t>
  </si>
  <si>
    <t>619659142032</t>
  </si>
  <si>
    <t>619659142049</t>
  </si>
  <si>
    <t>619659149598</t>
  </si>
  <si>
    <t>619659171773</t>
  </si>
  <si>
    <t>0619659171780</t>
  </si>
  <si>
    <t>619659171803</t>
  </si>
  <si>
    <t>619659184384</t>
  </si>
  <si>
    <t>619659185077</t>
  </si>
  <si>
    <t>6417182222887</t>
  </si>
  <si>
    <t>6417182239502</t>
  </si>
  <si>
    <t>6417182409332</t>
  </si>
  <si>
    <t>6435381098034</t>
  </si>
  <si>
    <t>6454433134544</t>
  </si>
  <si>
    <t>6510603476101</t>
  </si>
  <si>
    <t>6510623476198</t>
  </si>
  <si>
    <t>6842156484631</t>
  </si>
  <si>
    <t>6869869745811</t>
  </si>
  <si>
    <t>6899895648992</t>
  </si>
  <si>
    <t>6917678004220</t>
  </si>
  <si>
    <t>6921762247875</t>
  </si>
  <si>
    <t>6946561860131</t>
  </si>
  <si>
    <t>6947686900078</t>
  </si>
  <si>
    <t>6951758864243</t>
  </si>
  <si>
    <t>6954774711133</t>
  </si>
  <si>
    <t>6955412554112</t>
  </si>
  <si>
    <t>6969201905160</t>
  </si>
  <si>
    <t>6969743955876</t>
  </si>
  <si>
    <t>6971548130402</t>
  </si>
  <si>
    <t>6971548130631</t>
  </si>
  <si>
    <t>6971548131126</t>
  </si>
  <si>
    <t>6971548131225</t>
  </si>
  <si>
    <t>6971548131232</t>
  </si>
  <si>
    <t>6971548131256</t>
  </si>
  <si>
    <t>6971548131447</t>
  </si>
  <si>
    <t>6971548131454</t>
  </si>
  <si>
    <t>6971548131706</t>
  </si>
  <si>
    <t>6971548131973</t>
  </si>
  <si>
    <t>6971548132208</t>
  </si>
  <si>
    <t>6971548132253</t>
  </si>
  <si>
    <t>6971548132932</t>
  </si>
  <si>
    <t>6971548132970</t>
  </si>
  <si>
    <t>6971548133014</t>
  </si>
  <si>
    <t>6971548133151</t>
  </si>
  <si>
    <t>6971548133724</t>
  </si>
  <si>
    <t>6971548134134</t>
  </si>
  <si>
    <t>6971548134158</t>
  </si>
  <si>
    <t>6971548134417</t>
  </si>
  <si>
    <t>6971548134523</t>
  </si>
  <si>
    <t>6971548134530</t>
  </si>
  <si>
    <t>6971548135025</t>
  </si>
  <si>
    <t>6971548135452</t>
  </si>
  <si>
    <t>6971548135469</t>
  </si>
  <si>
    <t>6971548135766</t>
  </si>
  <si>
    <t>6971548135896</t>
  </si>
  <si>
    <t>6971548136152</t>
  </si>
  <si>
    <t>6971548136213</t>
  </si>
  <si>
    <t>6971548136480</t>
  </si>
  <si>
    <t>6971548136497</t>
  </si>
  <si>
    <t>6971548136619</t>
  </si>
  <si>
    <t>6971548137364</t>
  </si>
  <si>
    <t>6971914080072</t>
  </si>
  <si>
    <t>6987125632788</t>
  </si>
  <si>
    <t>6987631565631</t>
  </si>
  <si>
    <t>6995418541563</t>
  </si>
  <si>
    <t>8458861682767</t>
  </si>
  <si>
    <t>8629498465225</t>
  </si>
  <si>
    <t>8850124073419</t>
  </si>
  <si>
    <t>885909627349</t>
  </si>
  <si>
    <t>8997209900892</t>
  </si>
  <si>
    <t>8997209900908</t>
  </si>
  <si>
    <t>8997209900915</t>
  </si>
  <si>
    <t>K01</t>
  </si>
  <si>
    <t>K02</t>
  </si>
  <si>
    <t>K03</t>
  </si>
  <si>
    <t>K04</t>
  </si>
  <si>
    <t>K05</t>
  </si>
  <si>
    <t>K06</t>
  </si>
  <si>
    <t>K07</t>
  </si>
  <si>
    <t>K08</t>
  </si>
  <si>
    <t>K09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</si>
  <si>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</si>
  <si>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</si>
  <si>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</si>
  <si>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</si>
  <si>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</si>
  <si>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</si>
  <si>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</si>
  <si>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</si>
  <si>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</si>
  <si>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</si>
  <si>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</si>
  <si>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</si>
  <si>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</si>
  <si>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</si>
  <si>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</si>
  <si>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</si>
  <si>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</si>
  <si>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</si>
  <si>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</si>
  <si>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</si>
  <si>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</si>
  <si>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</si>
  <si>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</si>
  <si>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</si>
  <si>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</si>
  <si>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</si>
  <si>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</si>
  <si>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</si>
  <si>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</si>
  <si>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</si>
  <si>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</si>
  <si>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</si>
  <si>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</si>
  <si>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</si>
  <si>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</si>
  <si>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</si>
  <si>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</si>
  <si>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</si>
  <si>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</si>
  <si>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</si>
  <si>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</si>
  <si>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</si>
  <si>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</si>
  <si>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</si>
  <si>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</si>
  <si>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CHARGER MICRO SAMSUNG 15 W FAST CHARGING</t>
  </si>
  <si>
    <t xml:space="preserve">TEMPERED REDMI NOTE 8 PRO </t>
  </si>
  <si>
    <t xml:space="preserve">POWER BANK REALME 10AH </t>
  </si>
  <si>
    <t>MEMORY SD CARD SANDISK 16 GB</t>
  </si>
  <si>
    <t>TEMPERED SAMSUNG A02 MATTE</t>
  </si>
  <si>
    <t>EARPHONE EXCELLENT RICH BASS</t>
  </si>
  <si>
    <t>CHARGER IPHONE USB POWER ADAPTER</t>
  </si>
  <si>
    <t>KABEL DATA EXCELLENT MICRO CLOVER</t>
  </si>
  <si>
    <t>MEMORY SD CARD VGEN 64 GB 100 MB/S</t>
  </si>
  <si>
    <t>EARPHONE SAMSUNG J1 ACE</t>
  </si>
  <si>
    <t>TEMPERED SAMSUNG J1 BENING</t>
  </si>
  <si>
    <t>TEMPERED OPPO F1 + BENING</t>
  </si>
  <si>
    <t>TEMPERED REDMI NOTE 2</t>
  </si>
  <si>
    <t>TEMPERED REDMI 3 PRO</t>
  </si>
  <si>
    <t xml:space="preserve">GURITA PEREKAT HP </t>
  </si>
  <si>
    <t>EARPHONE EXCELLENT UNIVERSAL STEREO</t>
  </si>
  <si>
    <t>CHARGER MICRO EXCELLENT 2 PORT WHITE 2.1 A</t>
  </si>
  <si>
    <t>TEMPERED IPHONE X BENING</t>
  </si>
  <si>
    <t>USB DONGLE BLUETOOTH MUSIC RECEIVE CAR WIRELESS</t>
  </si>
  <si>
    <t>KABEL AUDIO JACK 35 SOUND</t>
  </si>
  <si>
    <t>BATERAI EXCELLENT BL-5C</t>
  </si>
  <si>
    <t>BATERAI EXCELLENT BL-4C</t>
  </si>
  <si>
    <t xml:space="preserve">BATERAI EXCELLENT SAMSUNG J2 </t>
  </si>
  <si>
    <t>BATERAI EXCELLENT G530H / J2 PRIME / GRAND PRIME / J3 / J5</t>
  </si>
  <si>
    <t xml:space="preserve">BATERAI EXCELLENT SAMSUNG ACE3/S7270/V </t>
  </si>
  <si>
    <t>BATERAI EXCELLENT SAMSUNG J1</t>
  </si>
  <si>
    <t>BATERAI EXCELLENT J1 ACE LONG LASTING</t>
  </si>
  <si>
    <t>CHARGER MICRO EXCELLENT EUDORA 2 USB</t>
  </si>
  <si>
    <t xml:space="preserve">EARPHONE VIVO R11 </t>
  </si>
  <si>
    <t>TEMPERED REDMI 5</t>
  </si>
  <si>
    <t>CHARGER EXCELLENT 2 USB MICRO</t>
  </si>
  <si>
    <t>TEMPERED IPHONE X MAX BENING</t>
  </si>
  <si>
    <t>TEMPERED OPPO A3S BENING</t>
  </si>
  <si>
    <t>TEMPERED REDMI NOTE 6 BENING</t>
  </si>
  <si>
    <t>TEMPERED SAMSUNG J8 2018 BENING</t>
  </si>
  <si>
    <t>TEMPERED VIVO Y83 / Y81 / V9 / OPPO A3S / F7</t>
  </si>
  <si>
    <t>CHARGER MICRO EXCELLENT RUBY QC 3.0 18 W</t>
  </si>
  <si>
    <t>CHARGER LIGHTNING EXCELLENT RUBY QC 3.0 18 W</t>
  </si>
  <si>
    <t>CHARGER TYPE C EXCELLENT RUBY QC 3.0 18 W</t>
  </si>
  <si>
    <t>TEMPERED OPPO REALME 2 BENING</t>
  </si>
  <si>
    <t>TEMPERED SAMSUNG J2 CORE BENING</t>
  </si>
  <si>
    <t>TEMPERED VIVO V11 PRO BENING</t>
  </si>
  <si>
    <t>EARPHONE W-10 EXTRA BASS</t>
  </si>
  <si>
    <t>BATERAI EXCELLENT BL-4B</t>
  </si>
  <si>
    <t xml:space="preserve">CHARGER MICRO EXCELLENT ALPHA 2 USB </t>
  </si>
  <si>
    <t>KABEL DATA LIGHTNING IPHONE EXCELLENT 2.4A</t>
  </si>
  <si>
    <t>EARPHONE R11</t>
  </si>
  <si>
    <t xml:space="preserve">TEMPERED SAMSUNG M10 BENING </t>
  </si>
  <si>
    <t>TEMPERED SAMSUNG A10 BENING</t>
  </si>
  <si>
    <t>TEMPERED SAMSUNG A50 BENING</t>
  </si>
  <si>
    <t>TEMPERED OPPO F11 PRO BENING</t>
  </si>
  <si>
    <t>KABEL DATA TYPE C EXCELLENT ASOKA 100CM FAST</t>
  </si>
  <si>
    <t>CHARGER MICRO EXCELLENT BRUNO 2 USB</t>
  </si>
  <si>
    <t>CHARGER MICRO EXCELLENT LED 2A 2 USB</t>
  </si>
  <si>
    <t>OTG USB MICRO EXCELLENT</t>
  </si>
  <si>
    <t>OTG USB TYPE C EXCELLENT</t>
  </si>
  <si>
    <t>TEMPERED REDMI GO BENING</t>
  </si>
  <si>
    <t>OTG MICRO USB 2.0 FOR CARD READER SDCARD SINGLE</t>
  </si>
  <si>
    <t>TEMPERED REDMI NOTE 7</t>
  </si>
  <si>
    <t>TEMPERED REDMI 7</t>
  </si>
  <si>
    <t>TEMPERED VIVO V11</t>
  </si>
  <si>
    <t>TEMPERED VIVO Y91</t>
  </si>
  <si>
    <t xml:space="preserve">TEMPERED VIVO Y17 </t>
  </si>
  <si>
    <t>TEMPERED VIVO V15</t>
  </si>
  <si>
    <t>TEMPERED VIVO Y12/15/17</t>
  </si>
  <si>
    <t>TEMPERED SAMSUNG J2 PRIME</t>
  </si>
  <si>
    <t>TEMPERED IPHONE 6</t>
  </si>
  <si>
    <t>TEMPERED IPHONE 6+</t>
  </si>
  <si>
    <t xml:space="preserve">TEMPERED OPPO A37 </t>
  </si>
  <si>
    <t>TEMPERED OPPO F9 / A5S / A11K</t>
  </si>
  <si>
    <t>TEMPERED OPPO F11</t>
  </si>
  <si>
    <t>TEMPERED OPPO F11 PRO</t>
  </si>
  <si>
    <t>TEMPERED REALME 3</t>
  </si>
  <si>
    <t>TEMPERED OPPO A5S / F9 / A11K</t>
  </si>
  <si>
    <t>TEMPERED REALME C1 / A3S</t>
  </si>
  <si>
    <t>TEMPERED REALME 3 PRO</t>
  </si>
  <si>
    <t>TEMPERED OPPO A1K / A12</t>
  </si>
  <si>
    <t>ERAPHONE EXCELLENT GOURA STEREO</t>
  </si>
  <si>
    <t>TEMPERED VIVO Y91/ Y93 / Y95</t>
  </si>
  <si>
    <t xml:space="preserve">TEMPERED VIVO V17 </t>
  </si>
  <si>
    <t>TEMPERED VIVO 15 PRO</t>
  </si>
  <si>
    <t xml:space="preserve">TEMPERED OPPO F7 </t>
  </si>
  <si>
    <t>TEMPERED VIVO V5</t>
  </si>
  <si>
    <t>TEMPERED VIVO V7 PLUS</t>
  </si>
  <si>
    <t xml:space="preserve">TEMPERED SAMSUNG J2 PRO </t>
  </si>
  <si>
    <t>TEMPERED SAMSUNG J310</t>
  </si>
  <si>
    <t>TEMPERED SAMSUNG J7 PRO</t>
  </si>
  <si>
    <t xml:space="preserve">TEMPERED IPHONE 7 </t>
  </si>
  <si>
    <t>TEMPERED OPPO A5 2020 / A9 2020</t>
  </si>
  <si>
    <t xml:space="preserve">TEMPERED REALME 5 </t>
  </si>
  <si>
    <t>TEMPERED REALME 5 PRO</t>
  </si>
  <si>
    <t>TEMPERED OPPO A71</t>
  </si>
  <si>
    <t>TEMPERED OPPO F1 +</t>
  </si>
  <si>
    <t>TEMPERED OPPO F1S</t>
  </si>
  <si>
    <t>TEMPERED OPPO RENNO 2 BENING</t>
  </si>
  <si>
    <t xml:space="preserve">TEMPERED VIVO S1 BENING </t>
  </si>
  <si>
    <t>TEMPERED SAMSUNG A20S</t>
  </si>
  <si>
    <t>TEMPERED SAMSUNG A30S</t>
  </si>
  <si>
    <t>TEMPERED SAMSUNG M30S</t>
  </si>
  <si>
    <t>TEMPERED XIAOMI NOTE 8</t>
  </si>
  <si>
    <t>TEMPERED REDMI NOTE 8</t>
  </si>
  <si>
    <t>TEMPERED REDMI NOTE 8 PRO</t>
  </si>
  <si>
    <t>TEMPERED OPPO RENNO 2</t>
  </si>
  <si>
    <t>TEMPERED VIVO S1 PRO</t>
  </si>
  <si>
    <t>TEMPERED VIVO Y19</t>
  </si>
  <si>
    <t>TEMPERED OPPO A31</t>
  </si>
  <si>
    <t>POWERBANK HIPPO OUTLANDER 2 10</t>
  </si>
  <si>
    <t xml:space="preserve">TEMPERED REDMI 8 </t>
  </si>
  <si>
    <t>CHARGER OPPO R17 VOOC FLASH TYPE C</t>
  </si>
  <si>
    <t>TEMPERED OPPO A83</t>
  </si>
  <si>
    <t>TEMPERED SAMSUNG A71</t>
  </si>
  <si>
    <t xml:space="preserve">TEMPERED SAMSUNG M20 </t>
  </si>
  <si>
    <t>TEMPERED SAMSUNG J3 PRO</t>
  </si>
  <si>
    <t>TEMPERED SAMSUNG J5 PRO</t>
  </si>
  <si>
    <t>TEMPERED REDMI 8A</t>
  </si>
  <si>
    <t>TEMPERED XIAOMI REDMI 6 PRO</t>
  </si>
  <si>
    <t>TEMPERED XIAOMI NOTE 6</t>
  </si>
  <si>
    <t>TEMPERED REDMI NOTE 6</t>
  </si>
  <si>
    <t>TEMPERED REDMI 4X</t>
  </si>
  <si>
    <t xml:space="preserve">TAMPERED XIAOMI NOTE 4X </t>
  </si>
  <si>
    <t>TEMPERED REDMI NOTE 5 PRO</t>
  </si>
  <si>
    <t xml:space="preserve">TEMPERED SAMSUNG A20 </t>
  </si>
  <si>
    <t>TEMPERED OPPO F5 / Y71</t>
  </si>
  <si>
    <t>TEMPRED OPPO F5</t>
  </si>
  <si>
    <t xml:space="preserve">EARPHONE LIGHTNING IPHONE </t>
  </si>
  <si>
    <t>TEMPERED OPPO A7 BLUE</t>
  </si>
  <si>
    <t>TEMPERED REALME 5 BLUE</t>
  </si>
  <si>
    <t>TEMPERED REALME C BLUE</t>
  </si>
  <si>
    <t>TEMPERED SAMSUNG A20S BLUE</t>
  </si>
  <si>
    <t>TEMPERED VIVO Y19 BLUE</t>
  </si>
  <si>
    <t>TEMPERED REDMI 4X BLUE</t>
  </si>
  <si>
    <t>TEMPERED REDMI 6A BLUE</t>
  </si>
  <si>
    <t xml:space="preserve">CAR BLUETOOTH MUSIC RECEIVER </t>
  </si>
  <si>
    <t>TEMPERED VIVO V19</t>
  </si>
  <si>
    <t>TEMPERED REALME 5I</t>
  </si>
  <si>
    <t>TEMPERED OPPO RENO 3</t>
  </si>
  <si>
    <t>TEMPERED VIVO V9</t>
  </si>
  <si>
    <t>TEMPERED SAMSUNG A01</t>
  </si>
  <si>
    <t>TEMPERED OPPO RENO 2F</t>
  </si>
  <si>
    <t>TEMPERED REDMI 8A PRO</t>
  </si>
  <si>
    <t>TEMPERED OPPO A57 / A39</t>
  </si>
  <si>
    <t>TEMPERED OPPO A12 / A1K</t>
  </si>
  <si>
    <t>TEMPERED OPPO A91</t>
  </si>
  <si>
    <t xml:space="preserve">TEMPERED REALME 6I </t>
  </si>
  <si>
    <t>TEMPERED REALME X</t>
  </si>
  <si>
    <t>TEMPERED REALME 5S</t>
  </si>
  <si>
    <t>TEMPERED OPPO RENO 2 BLUE</t>
  </si>
  <si>
    <t>CHARGER REALME VOOC 4A REALME X</t>
  </si>
  <si>
    <t>TEMPERED SAMSUNG A11 BENING</t>
  </si>
  <si>
    <t>CHARGER REALME 3A VOOC TYPE C</t>
  </si>
  <si>
    <t>TEMPERED OPPO A52</t>
  </si>
  <si>
    <t>TEMPERED OPPO A92 / A52</t>
  </si>
  <si>
    <t>TEMPERED OPPO A93</t>
  </si>
  <si>
    <t>TEMPERED SAMSUNG A11</t>
  </si>
  <si>
    <t>TEMPERED OPPO A11</t>
  </si>
  <si>
    <t xml:space="preserve">TEMPERED SAMSUNG A21S </t>
  </si>
  <si>
    <t>TEMPERED VIVO Y30</t>
  </si>
  <si>
    <t>TEMPERED VIVO Y50</t>
  </si>
  <si>
    <t>TEMPERED REDMI NOTE 9</t>
  </si>
  <si>
    <t>TEMPERED REDMI NOTE 9 PRO</t>
  </si>
  <si>
    <t>TEMPERED OPPO A52 BENING</t>
  </si>
  <si>
    <t>TEMPERED VIVO V19 BENING</t>
  </si>
  <si>
    <t>CHARGER MICRO XIAOMI FC -118 QC 3.0 18 W</t>
  </si>
  <si>
    <t>TEMPERED VIVO V19 BLUE</t>
  </si>
  <si>
    <t>EARPHONE VIVO J2020</t>
  </si>
  <si>
    <t>BATERAI SAMSUNG G313</t>
  </si>
  <si>
    <t>BATERAI SAMSUNG J1 ACE</t>
  </si>
  <si>
    <t>OTG KABEL TYPE C KY-167</t>
  </si>
  <si>
    <t>TEMPERED REALME C11</t>
  </si>
  <si>
    <t xml:space="preserve">EARPHONE VIVO / HUAWEI / SAMSUNG / OPPO R11 </t>
  </si>
  <si>
    <t xml:space="preserve">CHARGER REALME MICRO VOOC </t>
  </si>
  <si>
    <t>EARPHONE U19 MACARON GEN2</t>
  </si>
  <si>
    <t>TEMPERED REDMI 9</t>
  </si>
  <si>
    <t>TEMPERED OPPO A53</t>
  </si>
  <si>
    <t>CHARGER MICRO ALDOUS EXCELLENT 18 W 3A QC 3.0</t>
  </si>
  <si>
    <t xml:space="preserve">TEMPERED VIVO Y81 </t>
  </si>
  <si>
    <t>TEMPERED VIVO Y20/Y12S</t>
  </si>
  <si>
    <t xml:space="preserve">EARPHONE OPPO / REALME MH 135 </t>
  </si>
  <si>
    <t>TEMPERED XIOAMI REDMI 9C</t>
  </si>
  <si>
    <t xml:space="preserve">TEMPERED REALME 7 </t>
  </si>
  <si>
    <t>TEMPERED REALME 7I</t>
  </si>
  <si>
    <t>TEMPERED REALME C17</t>
  </si>
  <si>
    <t>TEMPERED VIVO Y30I</t>
  </si>
  <si>
    <t>TEMPERED VIVO V20</t>
  </si>
  <si>
    <t>TEMPERED VIVO V20SE</t>
  </si>
  <si>
    <t>TEMPERED OPPO A33</t>
  </si>
  <si>
    <t>TEMPERED OPPO A11K / A5S / F9</t>
  </si>
  <si>
    <t>TEMPERED OPPO RENO 4</t>
  </si>
  <si>
    <t>TEMPERED OPPO A92</t>
  </si>
  <si>
    <t xml:space="preserve">TEMPERED OPPO 4F </t>
  </si>
  <si>
    <t>TEMPERED OPPO A15</t>
  </si>
  <si>
    <t>TEMPERED OPPO F17</t>
  </si>
  <si>
    <t xml:space="preserve">TEMPERED C12 </t>
  </si>
  <si>
    <t>TEMPERED VIVO V20 PRO</t>
  </si>
  <si>
    <t xml:space="preserve">TEMPERED XIAOMI 9A </t>
  </si>
  <si>
    <t>TEMPERED OPPO RENO 3 BLUE</t>
  </si>
  <si>
    <t>TEMPERED IPHONE 12 BIG BENING</t>
  </si>
  <si>
    <t xml:space="preserve">TEMPERED OPPO RENO 5 </t>
  </si>
  <si>
    <t xml:space="preserve">TEMPERED SAMSUNG A02S </t>
  </si>
  <si>
    <t>EARPHONE Z3 STEREO</t>
  </si>
  <si>
    <t xml:space="preserve">CHARGER MICRO SAMSUNG QC 3.0 </t>
  </si>
  <si>
    <t>TEMPERED IPHONE 12 PRO BENING</t>
  </si>
  <si>
    <t>CHARGER MICRO OPPO F11 VOOC 4A AK 779</t>
  </si>
  <si>
    <t xml:space="preserve">EARPHONE HK M29 </t>
  </si>
  <si>
    <t>TEMPERED IPHONE 12 BENING</t>
  </si>
  <si>
    <t>TEMPERED SAMSUNG A02S MATTE</t>
  </si>
  <si>
    <t>TEMPERED OPPO A12 MATTE</t>
  </si>
  <si>
    <t>TEMPERED SAMSUNG A12 MATTE</t>
  </si>
  <si>
    <t>TEMPERED OPPO A52 MATTE</t>
  </si>
  <si>
    <t>TEMPERED SAMSUNG S21 MATTE</t>
  </si>
  <si>
    <t xml:space="preserve">TEMPERED OPPO RENO 4 MATTE </t>
  </si>
  <si>
    <t>TEMPERED OPPO RENO 5 MATTE</t>
  </si>
  <si>
    <t>TEMPERED OPPO A3S MATTE</t>
  </si>
  <si>
    <t>TEMPERED OPPO A5 2020 MATTE</t>
  </si>
  <si>
    <t>TEMPERED OPPO A37 MATTE</t>
  </si>
  <si>
    <t>TEMPERED OPPO A1K MATTE</t>
  </si>
  <si>
    <t>TEMPERED OPPO A15 MATTE</t>
  </si>
  <si>
    <t>TEMPERED OPPO A53 MATTE</t>
  </si>
  <si>
    <t>TEMPERED OPPO A54 MATTE</t>
  </si>
  <si>
    <t>TEMPERED OPPO A55 MATTE</t>
  </si>
  <si>
    <t>TEMPERED OPPO A74 MATTE</t>
  </si>
  <si>
    <t>TEMPERED OPPO A94 MATTE</t>
  </si>
  <si>
    <t>TEMPERED REALME C21 MATTE</t>
  </si>
  <si>
    <t>TEMPERED REALME 8 MATTE</t>
  </si>
  <si>
    <t>TEMPERED REDMI NOTE 9 MATTE</t>
  </si>
  <si>
    <t>TEMPERED REDMI NOTE 9 PRO MATTE</t>
  </si>
  <si>
    <t>TEMPERED VIVO Y91C MATTE</t>
  </si>
  <si>
    <t>TEMPERED SAMSUNG A02</t>
  </si>
  <si>
    <t>TEMPERED SAMSUNG A52</t>
  </si>
  <si>
    <t>TEMPERED OPPO A54</t>
  </si>
  <si>
    <t xml:space="preserve">TEMPERED OPPO A94 </t>
  </si>
  <si>
    <t>TEMPERED REALME C20 / C15</t>
  </si>
  <si>
    <t>TEMPERED REALME C21</t>
  </si>
  <si>
    <t>TEMPERED J2 PRIME MATTE</t>
  </si>
  <si>
    <t>TEMPERED SAMSUNG A03S</t>
  </si>
  <si>
    <t xml:space="preserve">TEMPERED OPPO A16 </t>
  </si>
  <si>
    <t>EARPHONE LOL L-03 STEREO</t>
  </si>
  <si>
    <t>EARPHONE LOL L-05 STEREO</t>
  </si>
  <si>
    <t>CHARGER MS FAST CHARGING SAMSUNG</t>
  </si>
  <si>
    <t>EARPHONE UNDER ARMOUR UJ-02</t>
  </si>
  <si>
    <t>HEADPHONE SONY EXTRA BASS</t>
  </si>
  <si>
    <t xml:space="preserve">CHARGER MOBIL HK 2.4 </t>
  </si>
  <si>
    <t>CHARGER MICRO ARGUS 2 USB 2USB</t>
  </si>
  <si>
    <t>FLASHDISK SANDISK 8 GB USB 2.0</t>
  </si>
  <si>
    <t>FLASHDISK SANDISK 16GB USB 2.0</t>
  </si>
  <si>
    <t>MEMORY SD CARD SANDISK 8GB</t>
  </si>
  <si>
    <t xml:space="preserve">MEMORY SDHC CARD SANDISK 16 GB </t>
  </si>
  <si>
    <t>FLASHDISK SANDISK 32 GB USB 2.0</t>
  </si>
  <si>
    <t>FLASHDISK SANDISK 32GB USB2.0</t>
  </si>
  <si>
    <t xml:space="preserve">FLASHDISK SANDISK 16 GB USB3.0 </t>
  </si>
  <si>
    <t>FLASHDISK SANDISK 32 GB USB 3.0</t>
  </si>
  <si>
    <t>FLASHDISK SANDISK 64 GB USB 3.0</t>
  </si>
  <si>
    <t>FLASHDISK + OTG TYPE C SANDISK 16 GB USB 3.1</t>
  </si>
  <si>
    <t>FLASHDISK + OTG TYPE C SANDISK 32GB USB 3.1</t>
  </si>
  <si>
    <t xml:space="preserve">FLASHDISK + OTG MICRO SANDISK 32 GB USB 3.0 </t>
  </si>
  <si>
    <t xml:space="preserve">FLASHDISK MINI SANDISK 8GB USB 2.0 </t>
  </si>
  <si>
    <t>FLASHDISK MINI SANDISK 16GB USB 2.0</t>
  </si>
  <si>
    <t>FLASHDISK MINI SANDISK 64 GB USB 2.0</t>
  </si>
  <si>
    <t>MEMORY SD CARD SANDISK 32 GB 100 MB/S</t>
  </si>
  <si>
    <t xml:space="preserve">MEMORY SD CARD SANDISK 64 GB </t>
  </si>
  <si>
    <t>BATERAI SAMSUNG CHAMP C3303</t>
  </si>
  <si>
    <t>BATERAI SAMSUNG G530</t>
  </si>
  <si>
    <t>BATERAI SAMSUNG B3410</t>
  </si>
  <si>
    <t>CHARGER NOKIA LAMA HOLE KECIL</t>
  </si>
  <si>
    <t xml:space="preserve">BATERAI NOKIA BL-5C </t>
  </si>
  <si>
    <t>EARPHONE INDOKU STEREO JK : 99</t>
  </si>
  <si>
    <t>HEADPHONE J-18 EXTRA BASS</t>
  </si>
  <si>
    <t>EARPHONE PIONEER PIO-01 BASS+</t>
  </si>
  <si>
    <t>EARPHONE SONY HMC-06</t>
  </si>
  <si>
    <t>EARPHONE JBL J8-63</t>
  </si>
  <si>
    <t>AUX CABLE HK 3.5 HK-AUX2</t>
  </si>
  <si>
    <t>BATERAI SAMSUNG EB-BG530CBE G530</t>
  </si>
  <si>
    <t>HEADPHONE EXTRA BASS MDR-XB450AP</t>
  </si>
  <si>
    <t>CHARGER MICOR REALME 20 W SUPER VOOC DL 118</t>
  </si>
  <si>
    <t>KABEL DATA KINGKONG TYPE C 3A</t>
  </si>
  <si>
    <t>EARPHONE SONY ATT-022 EXTRA BASS</t>
  </si>
  <si>
    <t>CHAGER MICRO HK 2 USB HK TC-D8</t>
  </si>
  <si>
    <t>HEADPHONE BLUETOOTH P47 JBL</t>
  </si>
  <si>
    <t>CHARGER RMAX QC3.0 VOOC R-18</t>
  </si>
  <si>
    <t>KABEL DATA MAGNETIC X-CABLE</t>
  </si>
  <si>
    <t>CHARGER TYPE C OPPO 65 W DL 118</t>
  </si>
  <si>
    <t xml:space="preserve">HEADSET BLUETOOTH ROBOT TALK 10 </t>
  </si>
  <si>
    <t>CHARGER MOBIL ROBOT FAST 12 - 24 V</t>
  </si>
  <si>
    <t>MOUSE ROBOT M110</t>
  </si>
  <si>
    <t>KABEL DATA VIVAN BTK-L LIGHTNING</t>
  </si>
  <si>
    <t>KABEL DATA VIVAN BTK-M MICRO</t>
  </si>
  <si>
    <t>USB HUB ROBOT 4 PORT H140-80 USB 2.0</t>
  </si>
  <si>
    <t>KABEL DATA VIVAN MICRO KALENG</t>
  </si>
  <si>
    <t>KABEL DATA VIVAN LIGHTNING KALENG</t>
  </si>
  <si>
    <t>FLASHDISK ROBOT 8GB USB 2.0</t>
  </si>
  <si>
    <t>CHARGER ROBOT RT-K5</t>
  </si>
  <si>
    <t>KABEL DATA VIVAN BTK-C TYPE C</t>
  </si>
  <si>
    <t>MOUSE WIRELESS BT ROBOT M200</t>
  </si>
  <si>
    <t>POWERBANK VIVAN QC 3.0 VPB-F10S</t>
  </si>
  <si>
    <t>CHARGER MOBIL VIVAN CC02C FAST 12 - 24 V</t>
  </si>
  <si>
    <t>POWERBANK ROBOT RT170</t>
  </si>
  <si>
    <t>EARPHONE ROBOT R101S</t>
  </si>
  <si>
    <t>CHARGER ROBOT RT-K7</t>
  </si>
  <si>
    <t>HEADSET TWS ROBOT AIRBUDS T20</t>
  </si>
  <si>
    <t>HEADSET TWS ROBOT AIRBUDS T10</t>
  </si>
  <si>
    <t>MOUSE WIRELESS BT ROBOT M210</t>
  </si>
  <si>
    <t>EARPHONE ROBOT RE10 PUTIH</t>
  </si>
  <si>
    <t>EARPHONE ROBOT RE10 HITAM</t>
  </si>
  <si>
    <t>POWERBANK ROBOT RT180</t>
  </si>
  <si>
    <t>KABEL DATA ROBOT MICRO BOTOL</t>
  </si>
  <si>
    <t>KABEL DATA ROBOT TYPE-C</t>
  </si>
  <si>
    <t>SPEAKER BLUETOOTH ROBOT RB150</t>
  </si>
  <si>
    <t>CHARGER ROBOT RT-K9 2USB 2,1A</t>
  </si>
  <si>
    <t>CHARGER TYPE C VIVAN QC 3.0 POWER OVAL 3.0</t>
  </si>
  <si>
    <t>CHARGER VIVAN 2A POWER OVAL II</t>
  </si>
  <si>
    <t xml:space="preserve">EARPHONE ROBOT RE20 </t>
  </si>
  <si>
    <t>EARPHONE ROBOT RE20</t>
  </si>
  <si>
    <t>POWER BANK ROBOT RT180 10000mAh</t>
  </si>
  <si>
    <t>KABEL DATA ROBOT 2A FAST</t>
  </si>
  <si>
    <t>EARPHONE REALME RMA 101</t>
  </si>
  <si>
    <t>Tang Ampere</t>
  </si>
  <si>
    <t xml:space="preserve">EARPHONE JBL J-363 </t>
  </si>
  <si>
    <t xml:space="preserve">HEADSET WIRELESS BT ZBOX MINI M11 </t>
  </si>
  <si>
    <t>PENYANGGA HP HD38</t>
  </si>
  <si>
    <t>CHARGER TYPE C TO C SAMSUNG ORI 45 W</t>
  </si>
  <si>
    <t>BATERAI SAMSUNG EB-BJ700CBC</t>
  </si>
  <si>
    <t>CHARGER LIGHTNING USB POWER ADAPTER IPHONE ORI</t>
  </si>
  <si>
    <t xml:space="preserve">FLASHDISK VGEN ATOM 16 GB USB 2.0 </t>
  </si>
  <si>
    <t xml:space="preserve">FLASHDISK VGEN ATOM 32 GB USB 2.0 </t>
  </si>
  <si>
    <t>FLASHDISK VGEN ATOM 64GB USB 2.0</t>
  </si>
  <si>
    <t>TEMPERED REALME 6 BENING</t>
  </si>
  <si>
    <t>TEMPERED OPPO A5 2019</t>
  </si>
  <si>
    <t>TEMPERED OPPO A12</t>
  </si>
  <si>
    <t xml:space="preserve">TEMPERED OPPO A7 </t>
  </si>
  <si>
    <t>TEMPERED OPPO A37 BENING</t>
  </si>
  <si>
    <t>TEMPERED OPPO 5F BENING</t>
  </si>
  <si>
    <t>TEMPERED REALME 7A</t>
  </si>
  <si>
    <t>TEMPERED REDMI 6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</si>
  <si>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</si>
  <si>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</si>
  <si>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</si>
  <si>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</si>
  <si>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</si>
  <si>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</si>
  <si>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</si>
  <si>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MEMORY SD CARD VGEN 16 GB 100 MB/S</t>
  </si>
  <si>
    <t xml:space="preserve">MEMORY SD CARD VGEN 16 GB </t>
  </si>
  <si>
    <t xml:space="preserve">MEMORY SD CARD VGEN 4 GB </t>
  </si>
  <si>
    <t>FLASHDISK VGEN AVATAR 8GB USB 2.0</t>
  </si>
  <si>
    <t xml:space="preserve">EARPHONE BAGAN STEREO </t>
  </si>
  <si>
    <t>EARPHONE JBL PM-19</t>
  </si>
  <si>
    <t>EARPHONE HK M28</t>
  </si>
  <si>
    <t>EARPHONE WIRELLES BT REALME QP-006</t>
  </si>
  <si>
    <t>EARPHONE U19 UNIVERSAL</t>
  </si>
  <si>
    <t>CHARGER MOBIL ZBOX QC 3.0 2 PORT FAST</t>
  </si>
  <si>
    <t>CHARGER SAMSUNG FC-118</t>
  </si>
  <si>
    <t>HEADSET BLUETOOTH ALL BRAND</t>
  </si>
  <si>
    <t>EARPHONE ZBOX STEREO ZX-03</t>
  </si>
  <si>
    <t>KABEL DATA Y-ONE 3.4A</t>
  </si>
  <si>
    <t>SARUNG TANGAN GAME MERK CINA</t>
  </si>
  <si>
    <t>BATERAI PANDA BL-4C</t>
  </si>
  <si>
    <t>HEADPHONE HK</t>
  </si>
  <si>
    <t>HEADSET TWS IN PODS 12 MACARON</t>
  </si>
  <si>
    <t>SPEAKER BLUETOOTH STEREO 162</t>
  </si>
  <si>
    <t xml:space="preserve">SPEAKER BLUETOOTH T5 </t>
  </si>
  <si>
    <t>KABEL DATA VEGER MICRO</t>
  </si>
  <si>
    <t xml:space="preserve">EARPHONE SAMSUNG ORIGINAL </t>
  </si>
  <si>
    <t>KABEL DATA HIPPO MICRO BOTOL</t>
  </si>
  <si>
    <t>PENYANGGA HP HK HD-01</t>
  </si>
  <si>
    <t>SPEAKER BLUETOOTH P-17</t>
  </si>
  <si>
    <t>POWERBANK HK PB-HK-D6 5Ah</t>
  </si>
  <si>
    <t>POWERBANK HK HK-PB-D12 5AH</t>
  </si>
  <si>
    <t xml:space="preserve">EARPHONE VIVO/OPPO TOPLES </t>
  </si>
  <si>
    <t>KABEL DATA MICRO GM WADAH</t>
  </si>
  <si>
    <t>MEMORY SDCARD VGEN 32 GB CLASS 10</t>
  </si>
  <si>
    <t>MEMORY SDCARD VGEN 16 GB CLASS 10</t>
  </si>
  <si>
    <t>MEMORY SDCARD VGEN 8GB</t>
  </si>
  <si>
    <t>MUSIC CAR BLUETOOTH WIRELESS MUSIC RECEIVER</t>
  </si>
  <si>
    <t>KABEL DATA VIVAN LIGHTNING / TYPE C WADAH</t>
  </si>
  <si>
    <t>KABEL DATA EXCELLENT MICRO</t>
  </si>
  <si>
    <t>KABEL DATA MAGNETIC X-CABLE LAMP</t>
  </si>
  <si>
    <t>3</t>
  </si>
  <si>
    <t>2</t>
  </si>
  <si>
    <t>6</t>
  </si>
  <si>
    <t>7</t>
  </si>
  <si>
    <t>Kode</t>
  </si>
  <si>
    <t>10/24/2021  9:33:50 AM</t>
  </si>
  <si>
    <t>SP-XL9</t>
  </si>
  <si>
    <t>XL TERBARU</t>
  </si>
  <si>
    <t>K55</t>
  </si>
  <si>
    <t>KABEL DATA BARU</t>
  </si>
  <si>
    <t>SP-XL10</t>
  </si>
  <si>
    <t>XL GRATIS</t>
  </si>
  <si>
    <t>0X07</t>
  </si>
  <si>
    <t>*j9*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</si>
</sst>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  <numFmt numFmtId="167" formatCode="_-[$Rp-421]* #,##0_-;\-[$Rp-421]* #,##0_-;_-[$Rp-421]* &quot;-&quot;_-;_-@_-"/>
    <numFmt numFmtId="168" formatCode="m/d/yy\ h:mm;@"/>
    <numFmt numFmtId="169" formatCode="\ hh:mm:ss\ m/d/yyyy"/>
  </numFmts>
  <fonts count="43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u/>
      <sz val="11"/>
      <color theme="1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2"/>
      <color theme="2" tint="-0.749992370372631"/>
      <name val="Arial Narrow"/>
      <family val="2"/>
    </font>
    <font>
      <sz val="12"/>
      <color theme="0"/>
      <name val="Arial Narrow"/>
      <family val="2"/>
    </font>
    <font>
      <sz val="16"/>
      <color theme="3" tint="-0.499984740745262"/>
      <name val="Open Sans Semibold"/>
      <family val="2"/>
    </font>
    <font>
      <b/>
      <sz val="16"/>
      <color theme="3" tint="-0.499984740745262"/>
      <name val="Open Sans Semibold"/>
      <family val="2"/>
    </font>
    <font>
      <sz val="28"/>
      <name val="Yummo Bold"/>
      <family val="5"/>
    </font>
    <font>
      <sz val="16"/>
      <color theme="3" tint="-0.499984740745262"/>
      <name val="Yummo Bold"/>
      <family val="5"/>
    </font>
    <font>
      <sz val="12"/>
      <name val="Arial Narrow"/>
      <family val="2"/>
    </font>
    <font>
      <b/>
      <sz val="12"/>
      <name val="Roboto Condensed"/>
    </font>
    <font>
      <b/>
      <sz val="16"/>
      <name val="Roboto Condensed"/>
    </font>
    <font>
      <sz val="16"/>
      <name val="Bahnschrift SemiCondensed"/>
      <family val="2"/>
    </font>
    <font>
      <sz val="12"/>
      <name val="Bahnschrift SemiCondensed"/>
      <family val="2"/>
    </font>
    <font>
      <b/>
      <sz val="36"/>
      <color theme="1"/>
      <name val="GeForce"/>
    </font>
    <font>
      <b/>
      <sz val="28"/>
      <color theme="1"/>
      <name val="GeForce"/>
    </font>
    <font>
      <sz val="14"/>
      <name val="Bahnschrift SemiCondensed"/>
      <family val="2"/>
    </font>
    <font>
      <sz val="48"/>
      <color theme="1"/>
      <name val="Yummo Bold"/>
      <family val="5"/>
    </font>
    <font>
      <sz val="12"/>
      <color theme="1"/>
      <name val="Arial Narrow"/>
      <family val="2"/>
    </font>
    <font>
      <sz val="9"/>
      <name val="Bahnschrift SemiCondensed"/>
      <family val="2"/>
    </font>
    <font>
      <sz val="9"/>
      <color theme="2" tint="-0.749992370372631"/>
      <name val="Arial Narrow"/>
      <family val="2"/>
    </font>
    <font>
      <sz val="9"/>
      <color theme="2" tint="-0.749992370372631"/>
      <name val="Roboto Condensed"/>
    </font>
    <font>
      <sz val="10"/>
      <color theme="1" tint="0.14999847407452621"/>
      <name val="Roboto Condensed"/>
    </font>
    <font>
      <b/>
      <sz val="11"/>
      <name val="Roboto Condensed"/>
    </font>
    <font>
      <sz val="10"/>
      <color theme="0" tint="-0.14999847407452621"/>
      <name val="Roboto Condensed"/>
    </font>
    <font>
      <sz val="20"/>
      <name val="Bahnschrift SemiCondensed"/>
      <family val="2"/>
    </font>
    <font>
      <sz val="20"/>
      <color theme="2" tint="-0.749992370372631"/>
      <name val="Arial Narrow"/>
      <family val="2"/>
    </font>
    <font>
      <sz val="20"/>
      <color theme="2" tint="-0.749992370372631"/>
      <name val="Roboto Condensed"/>
    </font>
    <font>
      <sz val="10"/>
      <name val="Roboto Condensed"/>
    </font>
  </fonts>
  <fills count="11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AAF47"/>
        <bgColor indexed="64"/>
      </patternFill>
    </fill>
  </fills>
  <borders count="39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9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207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Fill="1"/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66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6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6" fontId="7" fillId="0" borderId="22" xfId="0" applyNumberFormat="1" applyFont="1" applyBorder="1" applyAlignment="1">
      <alignment horizontal="center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0" fontId="0" fillId="0" borderId="0" xfId="0" applyAlignment="1"/>
    <xf numFmtId="9" fontId="0" fillId="0" borderId="0" xfId="2" applyFont="1" applyAlignment="1"/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0" fillId="4" borderId="0" xfId="0" applyFill="1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Border="1"/>
    <xf numFmtId="1" fontId="15" fillId="0" borderId="0" xfId="3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25" xfId="0" applyBorder="1"/>
    <xf numFmtId="0" fontId="0" fillId="0" borderId="25" xfId="0" applyBorder="1" applyAlignment="1">
      <alignment horizontal="center"/>
    </xf>
    <xf numFmtId="168" fontId="3" fillId="0" borderId="0" xfId="0" applyNumberFormat="1" applyFont="1" applyFill="1" applyAlignment="1">
      <alignment horizontal="left"/>
    </xf>
    <xf numFmtId="165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/>
    </xf>
    <xf numFmtId="0" fontId="12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14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9" fontId="4" fillId="0" borderId="0" xfId="2" applyFont="1" applyFill="1" applyAlignment="1"/>
    <xf numFmtId="164" fontId="0" fillId="0" borderId="0" xfId="1" applyFont="1" applyBorder="1" applyAlignment="1">
      <alignment horizontal="center" vertical="center"/>
    </xf>
    <xf numFmtId="165" fontId="4" fillId="5" borderId="26" xfId="0" applyNumberFormat="1" applyFont="1" applyFill="1" applyBorder="1" applyAlignment="1">
      <alignment horizontal="center" vertical="center"/>
    </xf>
    <xf numFmtId="165" fontId="4" fillId="5" borderId="27" xfId="0" applyNumberFormat="1" applyFont="1" applyFill="1" applyBorder="1" applyAlignment="1">
      <alignment horizontal="center" vertical="center"/>
    </xf>
    <xf numFmtId="49" fontId="4" fillId="5" borderId="27" xfId="0" applyNumberFormat="1" applyFont="1" applyFill="1" applyBorder="1" applyAlignment="1">
      <alignment horizontal="center" vertical="center"/>
    </xf>
    <xf numFmtId="165" fontId="0" fillId="0" borderId="28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37" fontId="0" fillId="0" borderId="23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30" xfId="0" applyNumberFormat="1" applyBorder="1"/>
    <xf numFmtId="165" fontId="0" fillId="0" borderId="31" xfId="0" applyNumberFormat="1" applyBorder="1"/>
    <xf numFmtId="0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6" borderId="0" xfId="0" applyFont="1" applyFill="1" applyBorder="1" applyAlignment="1">
      <alignment horizontal="center" vertical="center"/>
    </xf>
    <xf numFmtId="0" fontId="0" fillId="0" borderId="33" xfId="0" applyNumberFormat="1" applyBorder="1" applyAlignment="1" applyProtection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0" xfId="0" applyNumberFormat="1" applyFont="1" applyFill="1" applyAlignment="1">
      <alignment horizontal="center" vertical="center"/>
    </xf>
    <xf numFmtId="49" fontId="0" fillId="0" borderId="0" xfId="0" applyNumberFormat="1" applyProtection="1">
      <protection locked="0"/>
    </xf>
    <xf numFmtId="164" fontId="17" fillId="0" borderId="0" xfId="1" applyFont="1" applyFill="1"/>
    <xf numFmtId="49" fontId="17" fillId="0" borderId="0" xfId="0" applyNumberFormat="1" applyFont="1" applyFill="1"/>
    <xf numFmtId="168" fontId="17" fillId="0" borderId="0" xfId="0" applyNumberFormat="1" applyFont="1" applyFill="1" applyAlignment="1">
      <alignment horizontal="left"/>
    </xf>
    <xf numFmtId="0" fontId="17" fillId="0" borderId="0" xfId="0" applyFont="1" applyFill="1" applyAlignment="1">
      <alignment horizontal="center"/>
    </xf>
    <xf numFmtId="165" fontId="17" fillId="0" borderId="0" xfId="0" applyNumberFormat="1" applyFont="1" applyFill="1" applyAlignment="1">
      <alignment horizontal="center" vertical="center"/>
    </xf>
    <xf numFmtId="1" fontId="17" fillId="0" borderId="0" xfId="2" applyNumberFormat="1" applyFont="1" applyFill="1" applyAlignment="1">
      <alignment horizontal="center" vertical="center"/>
    </xf>
    <xf numFmtId="1" fontId="17" fillId="0" borderId="0" xfId="1" applyNumberFormat="1" applyFont="1" applyFill="1" applyAlignment="1">
      <alignment horizontal="center" vertical="center"/>
    </xf>
    <xf numFmtId="0" fontId="18" fillId="0" borderId="0" xfId="0" applyFont="1" applyFill="1"/>
    <xf numFmtId="49" fontId="6" fillId="0" borderId="0" xfId="0" applyNumberFormat="1" applyFont="1" applyFill="1" applyBorder="1" applyAlignment="1">
      <alignment vertical="center"/>
    </xf>
    <xf numFmtId="9" fontId="19" fillId="0" borderId="0" xfId="2" applyFont="1" applyFill="1" applyBorder="1" applyAlignment="1">
      <alignment horizontal="center" vertical="center"/>
    </xf>
    <xf numFmtId="49" fontId="22" fillId="0" borderId="0" xfId="0" applyNumberFormat="1" applyFont="1" applyFill="1" applyBorder="1" applyAlignment="1">
      <alignment horizontal="center"/>
    </xf>
    <xf numFmtId="166" fontId="20" fillId="0" borderId="0" xfId="0" applyNumberFormat="1" applyFont="1" applyFill="1" applyBorder="1" applyAlignment="1">
      <alignment horizontal="center" vertical="center"/>
    </xf>
    <xf numFmtId="164" fontId="22" fillId="0" borderId="0" xfId="1" applyFont="1" applyFill="1" applyBorder="1" applyAlignment="1">
      <alignment horizontal="center"/>
    </xf>
    <xf numFmtId="166" fontId="20" fillId="0" borderId="0" xfId="1" applyNumberFormat="1" applyFont="1" applyFill="1" applyBorder="1" applyAlignment="1">
      <alignment horizontal="center" vertical="center"/>
    </xf>
    <xf numFmtId="0" fontId="2" fillId="8" borderId="0" xfId="0" applyFont="1" applyFill="1"/>
    <xf numFmtId="0" fontId="2" fillId="8" borderId="6" xfId="0" applyFont="1" applyFill="1" applyBorder="1" applyAlignment="1" applyProtection="1">
      <alignment horizontal="left" vertical="center"/>
      <protection locked="0"/>
    </xf>
    <xf numFmtId="0" fontId="2" fillId="8" borderId="6" xfId="0" applyFont="1" applyFill="1" applyBorder="1" applyAlignment="1" applyProtection="1">
      <alignment vertical="center"/>
      <protection locked="0"/>
    </xf>
    <xf numFmtId="0" fontId="2" fillId="8" borderId="7" xfId="0" applyFont="1" applyFill="1" applyBorder="1" applyAlignment="1" applyProtection="1">
      <alignment horizontal="left" vertical="center"/>
      <protection locked="0"/>
    </xf>
    <xf numFmtId="0" fontId="2" fillId="8" borderId="7" xfId="0" applyFont="1" applyFill="1" applyBorder="1" applyAlignment="1" applyProtection="1">
      <alignment vertical="center"/>
      <protection locked="0"/>
    </xf>
    <xf numFmtId="0" fontId="2" fillId="8" borderId="1" xfId="0" applyFont="1" applyFill="1" applyBorder="1"/>
    <xf numFmtId="0" fontId="2" fillId="8" borderId="2" xfId="0" applyFont="1" applyFill="1" applyBorder="1"/>
    <xf numFmtId="14" fontId="2" fillId="8" borderId="1" xfId="0" applyNumberFormat="1" applyFont="1" applyFill="1" applyBorder="1" applyAlignment="1">
      <alignment horizontal="left" vertical="center"/>
    </xf>
    <xf numFmtId="0" fontId="2" fillId="8" borderId="3" xfId="0" applyFont="1" applyFill="1" applyBorder="1"/>
    <xf numFmtId="0" fontId="2" fillId="8" borderId="4" xfId="0" applyFont="1" applyFill="1" applyBorder="1"/>
    <xf numFmtId="164" fontId="22" fillId="0" borderId="0" xfId="1" applyFont="1" applyFill="1" applyBorder="1" applyAlignment="1">
      <alignment horizontal="center"/>
    </xf>
    <xf numFmtId="164" fontId="23" fillId="0" borderId="0" xfId="1" applyFont="1" applyFill="1" applyAlignment="1">
      <alignment horizontal="center" vertical="center"/>
    </xf>
    <xf numFmtId="164" fontId="17" fillId="0" borderId="0" xfId="1" applyFont="1" applyFill="1" applyAlignment="1">
      <alignment horizontal="center" vertical="center"/>
    </xf>
    <xf numFmtId="164" fontId="2" fillId="0" borderId="0" xfId="1" applyFont="1" applyFill="1" applyBorder="1" applyProtection="1">
      <protection locked="0"/>
    </xf>
    <xf numFmtId="49" fontId="21" fillId="0" borderId="0" xfId="3" applyNumberFormat="1" applyFont="1" applyFill="1" applyBorder="1" applyAlignment="1" applyProtection="1">
      <alignment horizontal="center" vertical="center"/>
      <protection locked="0"/>
    </xf>
    <xf numFmtId="0" fontId="10" fillId="3" borderId="0" xfId="0" applyFont="1" applyFill="1" applyAlignment="1">
      <alignment horizontal="center"/>
    </xf>
    <xf numFmtId="0" fontId="0" fillId="9" borderId="0" xfId="0" applyFill="1"/>
    <xf numFmtId="0" fontId="0" fillId="9" borderId="0" xfId="0" applyFill="1" applyBorder="1"/>
    <xf numFmtId="49" fontId="0" fillId="9" borderId="0" xfId="0" applyNumberFormat="1" applyFill="1"/>
    <xf numFmtId="0" fontId="0" fillId="9" borderId="0" xfId="0" applyFill="1" applyAlignment="1">
      <alignment horizontal="center" vertical="center"/>
    </xf>
    <xf numFmtId="165" fontId="0" fillId="9" borderId="0" xfId="0" applyNumberFormat="1" applyFill="1" applyAlignment="1">
      <alignment horizontal="center" vertical="center"/>
    </xf>
    <xf numFmtId="0" fontId="10" fillId="9" borderId="0" xfId="0" applyFont="1" applyFill="1"/>
    <xf numFmtId="49" fontId="10" fillId="9" borderId="0" xfId="0" applyNumberFormat="1" applyFont="1" applyFill="1"/>
    <xf numFmtId="0" fontId="10" fillId="9" borderId="0" xfId="0" applyFont="1" applyFill="1" applyAlignment="1">
      <alignment horizontal="center"/>
    </xf>
    <xf numFmtId="0" fontId="10" fillId="9" borderId="0" xfId="0" applyFont="1" applyFill="1" applyAlignment="1">
      <alignment horizontal="center" vertical="center"/>
    </xf>
    <xf numFmtId="165" fontId="10" fillId="9" borderId="0" xfId="0" applyNumberFormat="1" applyFont="1" applyFill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26" fillId="0" borderId="0" xfId="0" applyFont="1" applyFill="1" applyBorder="1" applyAlignment="1">
      <alignment horizontal="center" vertical="center"/>
    </xf>
    <xf numFmtId="169" fontId="27" fillId="0" borderId="0" xfId="0" applyNumberFormat="1" applyFont="1" applyFill="1" applyAlignment="1">
      <alignment horizontal="center" vertical="center"/>
    </xf>
    <xf numFmtId="165" fontId="26" fillId="0" borderId="0" xfId="0" applyNumberFormat="1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vertical="center"/>
      <protection locked="0"/>
    </xf>
    <xf numFmtId="164" fontId="28" fillId="0" borderId="0" xfId="1" applyFont="1" applyFill="1" applyBorder="1" applyAlignment="1">
      <alignment vertical="center"/>
    </xf>
    <xf numFmtId="169" fontId="30" fillId="0" borderId="0" xfId="0" applyNumberFormat="1" applyFont="1" applyFill="1" applyAlignment="1">
      <alignment horizontal="center" vertical="center"/>
    </xf>
    <xf numFmtId="0" fontId="0" fillId="9" borderId="37" xfId="0" applyFill="1" applyBorder="1"/>
    <xf numFmtId="0" fontId="0" fillId="9" borderId="38" xfId="0" applyFill="1" applyBorder="1"/>
    <xf numFmtId="0" fontId="0" fillId="0" borderId="0" xfId="0" applyNumberFormat="1" applyAlignment="1" applyProtection="1">
      <alignment horizontal="center" vertical="center"/>
      <protection locked="0"/>
    </xf>
    <xf numFmtId="165" fontId="32" fillId="0" borderId="0" xfId="1" applyNumberFormat="1" applyFont="1" applyFill="1" applyAlignment="1">
      <alignment horizontal="center" vertical="center"/>
    </xf>
    <xf numFmtId="165" fontId="13" fillId="0" borderId="0" xfId="0" applyNumberFormat="1" applyFont="1" applyFill="1" applyAlignment="1">
      <alignment horizontal="center" vertical="center"/>
    </xf>
    <xf numFmtId="165" fontId="32" fillId="0" borderId="0" xfId="0" applyNumberFormat="1" applyFont="1" applyFill="1" applyAlignment="1">
      <alignment horizontal="center" vertical="center"/>
    </xf>
    <xf numFmtId="49" fontId="25" fillId="10" borderId="35" xfId="0" applyNumberFormat="1" applyFont="1" applyFill="1" applyBorder="1" applyAlignment="1">
      <alignment horizontal="center" vertical="center"/>
    </xf>
    <xf numFmtId="49" fontId="24" fillId="10" borderId="35" xfId="0" applyNumberFormat="1" applyFont="1" applyFill="1" applyBorder="1" applyAlignment="1">
      <alignment horizontal="center" vertical="center"/>
    </xf>
    <xf numFmtId="49" fontId="24" fillId="10" borderId="36" xfId="0" applyNumberFormat="1" applyFont="1" applyFill="1" applyBorder="1" applyAlignment="1">
      <alignment horizontal="center" vertical="center"/>
    </xf>
    <xf numFmtId="169" fontId="26" fillId="0" borderId="0" xfId="0" applyNumberFormat="1" applyFont="1" applyFill="1" applyAlignment="1">
      <alignment horizontal="center" vertical="center"/>
    </xf>
    <xf numFmtId="165" fontId="17" fillId="0" borderId="0" xfId="1" applyNumberFormat="1" applyFont="1" applyFill="1" applyAlignment="1">
      <alignment horizontal="center" vertical="center"/>
    </xf>
    <xf numFmtId="165" fontId="3" fillId="0" borderId="0" xfId="1" applyNumberFormat="1" applyFont="1" applyFill="1" applyAlignment="1">
      <alignment horizontal="center" vertical="center"/>
    </xf>
    <xf numFmtId="165" fontId="0" fillId="0" borderId="29" xfId="0" applyNumberFormat="1" applyBorder="1" applyProtection="1">
      <protection locked="0"/>
    </xf>
    <xf numFmtId="0" fontId="0" fillId="0" borderId="0" xfId="0" applyNumberFormat="1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" fontId="35" fillId="0" borderId="0" xfId="1" applyNumberFormat="1" applyFont="1" applyFill="1" applyAlignment="1">
      <alignment horizontal="center" vertical="center"/>
    </xf>
    <xf numFmtId="1" fontId="34" fillId="0" borderId="0" xfId="1" applyNumberFormat="1" applyFont="1" applyFill="1" applyAlignment="1">
      <alignment horizontal="center" vertical="center"/>
    </xf>
    <xf numFmtId="165" fontId="33" fillId="0" borderId="0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0" xfId="0" applyFill="1" applyBorder="1" applyAlignment="1">
      <alignment horizontal="center" vertical="center"/>
    </xf>
    <xf numFmtId="165" fontId="0" fillId="9" borderId="0" xfId="0" applyNumberFormat="1" applyFill="1" applyBorder="1"/>
    <xf numFmtId="49" fontId="0" fillId="9" borderId="0" xfId="0" applyNumberFormat="1" applyFill="1" applyBorder="1"/>
    <xf numFmtId="165" fontId="0" fillId="9" borderId="0" xfId="0" applyNumberFormat="1" applyFill="1" applyBorder="1" applyAlignment="1">
      <alignment horizontal="center" vertical="center"/>
    </xf>
    <xf numFmtId="0" fontId="36" fillId="0" borderId="0" xfId="0" applyFont="1" applyFill="1" applyAlignment="1">
      <alignment horizontal="left" vertical="center"/>
    </xf>
    <xf numFmtId="0" fontId="36" fillId="0" borderId="0" xfId="0" applyFont="1" applyFill="1"/>
    <xf numFmtId="49" fontId="37" fillId="10" borderId="3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" vertical="center"/>
    </xf>
    <xf numFmtId="164" fontId="40" fillId="0" borderId="0" xfId="1" applyFont="1" applyFill="1"/>
    <xf numFmtId="164" fontId="41" fillId="0" borderId="0" xfId="1" applyFont="1" applyFill="1"/>
    <xf numFmtId="21" fontId="38" fillId="0" borderId="0" xfId="0" applyNumberFormat="1" applyFont="1" applyFill="1"/>
    <xf numFmtId="21" fontId="42" fillId="0" borderId="0" xfId="0" applyNumberFormat="1" applyFont="1" applyFill="1" applyProtection="1">
      <protection locked="0"/>
    </xf>
    <xf numFmtId="164" fontId="29" fillId="0" borderId="0" xfId="1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/>
    </xf>
    <xf numFmtId="49" fontId="2" fillId="8" borderId="1" xfId="0" applyNumberFormat="1" applyFont="1" applyFill="1" applyBorder="1" applyAlignment="1">
      <alignment horizontal="left" vertical="center"/>
    </xf>
    <xf numFmtId="49" fontId="2" fillId="8" borderId="2" xfId="0" applyNumberFormat="1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horizontal="center" vertical="center"/>
      <protection locked="0"/>
    </xf>
    <xf numFmtId="0" fontId="2" fillId="8" borderId="5" xfId="0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left" vertical="center"/>
    </xf>
    <xf numFmtId="166" fontId="5" fillId="0" borderId="16" xfId="0" applyNumberFormat="1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166" fontId="5" fillId="0" borderId="18" xfId="0" applyNumberFormat="1" applyFont="1" applyBorder="1" applyAlignment="1">
      <alignment horizontal="left" vertical="center"/>
    </xf>
    <xf numFmtId="166" fontId="5" fillId="0" borderId="20" xfId="0" applyNumberFormat="1" applyFont="1" applyBorder="1" applyAlignment="1">
      <alignment horizontal="left" vertical="center"/>
    </xf>
    <xf numFmtId="166" fontId="5" fillId="0" borderId="21" xfId="0" applyNumberFormat="1" applyFont="1" applyBorder="1" applyAlignment="1">
      <alignment horizontal="left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23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p-421]* #,##0_-;\-[$Rp-421]* #,##0_-;_-[$Rp-421]* &quot;-&quot;??_-;_-@_-"/>
    </dxf>
    <dxf>
      <numFmt numFmtId="165" formatCode="_-[$Rp-421]* #,##0_-;\-[$Rp-421]* #,##0_-;_-[$Rp-421]* &quot;-&quot;??_-;_-@_-"/>
      <border diagonalUp="0" diagonalDown="0" outline="0">
        <left style="thin">
          <color indexed="64"/>
        </left>
        <right/>
        <top/>
        <bottom/>
      </border>
    </dxf>
    <dxf>
      <numFmt numFmtId="165" formatCode="_-[$Rp-421]* #,##0_-;\-[$Rp-421]* #,##0_-;_-[$Rp-421]* &quot;-&quot;??_-;_-@_-"/>
      <border outline="0">
        <right style="thin">
          <color indexed="64"/>
        </right>
      </border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19" formatCode="m/d/yyyy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border outline="0">
        <right style="thin">
          <color indexed="64"/>
        </right>
      </border>
    </dxf>
    <dxf>
      <border>
        <bottom style="thin">
          <color theme="0" tint="-0.499984740745262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auto="1"/>
      </font>
      <fill>
        <patternFill>
          <bgColor theme="3" tint="0.79998168889431442"/>
        </patternFill>
      </fill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DAAF47"/>
      <color rgb="FF000000"/>
      <color rgb="FF3D487F"/>
      <color rgb="FFA00404"/>
      <color rgb="FF638DBF"/>
      <color rgb="FF2C3E50"/>
      <color rgb="FF23356E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F-4610-9655-BB9E25E9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6160"/>
        <c:axId val="332605600"/>
        <c:axId val="0"/>
      </c:bar3DChart>
      <c:catAx>
        <c:axId val="3326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5600"/>
        <c:crosses val="autoZero"/>
        <c:auto val="1"/>
        <c:lblAlgn val="ctr"/>
        <c:lblOffset val="100"/>
        <c:noMultiLvlLbl val="0"/>
      </c:catAx>
      <c:valAx>
        <c:axId val="33260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REKAPITULASI!$E$6</c:f>
              <c:strCache>
                <c:ptCount val="1"/>
                <c:pt idx="0">
                  <c:v>Laba Kotor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REKAPITULASI!$E$7:$E$18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1276000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B-4F9F-BEA8-33BEF147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3360"/>
        <c:axId val="332606720"/>
        <c:axId val="0"/>
      </c:bar3DChart>
      <c:catAx>
        <c:axId val="33260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6720"/>
        <c:crosses val="autoZero"/>
        <c:auto val="1"/>
        <c:lblAlgn val="ctr"/>
        <c:lblOffset val="100"/>
        <c:noMultiLvlLbl val="0"/>
      </c:catAx>
      <c:valAx>
        <c:axId val="3326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33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41435662068307"/>
          <c:y val="0.13939098760435459"/>
          <c:w val="0.87161642370980785"/>
          <c:h val="0.7020668555396255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REKAPITULASI!$H$7:$H$13</c:f>
              <c:numCache>
                <c:formatCode>d\-mmm</c:formatCode>
                <c:ptCount val="7"/>
                <c:pt idx="0">
                  <c:v>44487</c:v>
                </c:pt>
                <c:pt idx="1">
                  <c:v>44488</c:v>
                </c:pt>
                <c:pt idx="2">
                  <c:v>44489</c:v>
                </c:pt>
                <c:pt idx="3">
                  <c:v>44490</c:v>
                </c:pt>
                <c:pt idx="4">
                  <c:v>44491</c:v>
                </c:pt>
                <c:pt idx="5">
                  <c:v>44492</c:v>
                </c:pt>
                <c:pt idx="6">
                  <c:v>44493</c:v>
                </c:pt>
              </c:numCache>
            </c:numRef>
          </c:cat>
          <c:val>
            <c:numRef>
              <c:f>REKAPITULASI!$I$7:$I$13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E-4738-AC40-75BBBDAA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08960"/>
        <c:axId val="332609520"/>
      </c:lineChart>
      <c:dateAx>
        <c:axId val="3326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9520"/>
        <c:crosses val="autoZero"/>
        <c:auto val="1"/>
        <c:lblOffset val="100"/>
        <c:baseTimeUnit val="days"/>
      </c:dateAx>
      <c:valAx>
        <c:axId val="3326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svg"/><Relationship Id="rId18" Type="http://schemas.openxmlformats.org/officeDocument/2006/relationships/image" Target="../media/image17.png"/><Relationship Id="rId3" Type="http://schemas.openxmlformats.org/officeDocument/2006/relationships/image" Target="../media/image2.png"/><Relationship Id="rId21" Type="http://schemas.openxmlformats.org/officeDocument/2006/relationships/image" Target="../media/image20.sv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microsoft.com/office/2007/relationships/hdphoto" Target="../media/hdphoto1.wdp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svg"/><Relationship Id="rId23" Type="http://schemas.openxmlformats.org/officeDocument/2006/relationships/image" Target="../media/image22.svg"/><Relationship Id="rId10" Type="http://schemas.openxmlformats.org/officeDocument/2006/relationships/image" Target="../media/image9.svg"/><Relationship Id="rId19" Type="http://schemas.openxmlformats.org/officeDocument/2006/relationships/image" Target="../media/image18.svg"/><Relationship Id="rId4" Type="http://schemas.openxmlformats.org/officeDocument/2006/relationships/image" Target="../media/image3.sv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3" Type="http://schemas.openxmlformats.org/officeDocument/2006/relationships/image" Target="../media/image25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6" Type="http://schemas.openxmlformats.org/officeDocument/2006/relationships/image" Target="../media/image28.svg"/><Relationship Id="rId11" Type="http://schemas.openxmlformats.org/officeDocument/2006/relationships/image" Target="../media/image31.png"/><Relationship Id="rId5" Type="http://schemas.openxmlformats.org/officeDocument/2006/relationships/image" Target="../media/image27.png"/><Relationship Id="rId10" Type="http://schemas.openxmlformats.org/officeDocument/2006/relationships/chart" Target="../charts/chart2.xml"/><Relationship Id="rId4" Type="http://schemas.openxmlformats.org/officeDocument/2006/relationships/image" Target="../media/image26.svg"/><Relationship Id="rId9" Type="http://schemas.openxmlformats.org/officeDocument/2006/relationships/image" Target="../media/image3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27391</xdr:colOff>
      <xdr:row>1</xdr:row>
      <xdr:rowOff>9963</xdr:rowOff>
    </xdr:from>
    <xdr:to>
      <xdr:col>3</xdr:col>
      <xdr:colOff>1490134</xdr:colOff>
      <xdr:row>4</xdr:row>
      <xdr:rowOff>499538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DAC0E4CD-713F-48D4-9B20-C852C4C8028B}"/>
            </a:ext>
          </a:extLst>
        </xdr:cNvPr>
        <xdr:cNvSpPr/>
      </xdr:nvSpPr>
      <xdr:spPr>
        <a:xfrm>
          <a:off x="2093258" y="204696"/>
          <a:ext cx="1462743" cy="1200775"/>
        </a:xfrm>
        <a:prstGeom prst="roundRect">
          <a:avLst>
            <a:gd name="adj" fmla="val 13013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0</xdr:col>
      <xdr:colOff>278009</xdr:colOff>
      <xdr:row>3</xdr:row>
      <xdr:rowOff>61218</xdr:rowOff>
    </xdr:from>
    <xdr:to>
      <xdr:col>1</xdr:col>
      <xdr:colOff>535184</xdr:colOff>
      <xdr:row>7</xdr:row>
      <xdr:rowOff>311032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78009" y="803340"/>
          <a:ext cx="1343853" cy="1408724"/>
        </a:xfrm>
        <a:prstGeom prst="roundRect">
          <a:avLst>
            <a:gd name="adj" fmla="val 16472"/>
          </a:avLst>
        </a:prstGeom>
        <a:ln>
          <a:noFill/>
        </a:ln>
        <a:effectLst>
          <a:glow rad="139700">
            <a:schemeClr val="accent2">
              <a:satMod val="175000"/>
              <a:alpha val="40000"/>
            </a:schemeClr>
          </a:glow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cross"/>
          <a:contourClr>
            <a:srgbClr val="969696"/>
          </a:contourClr>
        </a:sp3d>
      </xdr:spPr>
    </xdr:pic>
    <xdr:clientData/>
  </xdr:twoCellAnchor>
  <xdr:oneCellAnchor>
    <xdr:from>
      <xdr:col>0</xdr:col>
      <xdr:colOff>204281</xdr:colOff>
      <xdr:row>0</xdr:row>
      <xdr:rowOff>44823</xdr:rowOff>
    </xdr:from>
    <xdr:ext cx="1575773" cy="400110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98DE5A9-1DD0-4B2B-8528-28F60407EBA8}"/>
            </a:ext>
          </a:extLst>
        </xdr:cNvPr>
        <xdr:cNvSpPr/>
      </xdr:nvSpPr>
      <xdr:spPr>
        <a:xfrm>
          <a:off x="204281" y="44823"/>
          <a:ext cx="1575773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Yummo Bold" panose="04020604020B02020C02" pitchFamily="82" charset="0"/>
            </a:rPr>
            <a:t>KASIR</a:t>
          </a:r>
          <a:endParaRPr lang="en-US" sz="2000" b="0" cap="none" spc="0" baseline="0">
            <a:ln w="0"/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Yummo Bold" panose="04020604020B02020C02" pitchFamily="82" charset="0"/>
          </a:endParaRPr>
        </a:p>
      </xdr:txBody>
    </xdr:sp>
    <xdr:clientData/>
  </xdr:oneCellAnchor>
  <xdr:oneCellAnchor>
    <xdr:from>
      <xdr:col>0</xdr:col>
      <xdr:colOff>182109</xdr:colOff>
      <xdr:row>1</xdr:row>
      <xdr:rowOff>163519</xdr:rowOff>
    </xdr:from>
    <xdr:ext cx="1518832" cy="338554"/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F0005AB4-75E1-4043-81AF-5D3202EEA736}"/>
            </a:ext>
          </a:extLst>
        </xdr:cNvPr>
        <xdr:cNvSpPr/>
      </xdr:nvSpPr>
      <xdr:spPr>
        <a:xfrm>
          <a:off x="182109" y="271095"/>
          <a:ext cx="1518832" cy="3385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6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V</a:t>
          </a:r>
          <a:r>
            <a:rPr lang="en-US" sz="12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3</a:t>
          </a:r>
          <a:endParaRPr lang="en-US" sz="1600" b="0" cap="none" spc="0" baseline="0">
            <a:ln w="0"/>
            <a:solidFill>
              <a:schemeClr val="bg1"/>
            </a:solidFill>
            <a:effectLst/>
            <a:latin typeface="Yummo Bold" panose="04020604020B02020C02" pitchFamily="82" charset="0"/>
          </a:endParaRPr>
        </a:p>
      </xdr:txBody>
    </xdr:sp>
    <xdr:clientData/>
  </xdr:oneCellAnchor>
  <xdr:twoCellAnchor>
    <xdr:from>
      <xdr:col>4</xdr:col>
      <xdr:colOff>160426</xdr:colOff>
      <xdr:row>3</xdr:row>
      <xdr:rowOff>124259</xdr:rowOff>
    </xdr:from>
    <xdr:to>
      <xdr:col>8</xdr:col>
      <xdr:colOff>169333</xdr:colOff>
      <xdr:row>5</xdr:row>
      <xdr:rowOff>24147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83589822-9527-4A46-B362-CD6FD9CFB5DD}"/>
            </a:ext>
          </a:extLst>
        </xdr:cNvPr>
        <xdr:cNvGrpSpPr/>
      </xdr:nvGrpSpPr>
      <xdr:grpSpPr>
        <a:xfrm>
          <a:off x="3934567" y="769718"/>
          <a:ext cx="8821213" cy="590170"/>
          <a:chOff x="3659037" y="899135"/>
          <a:chExt cx="7874886" cy="582412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14EA2772-28A6-403A-8385-9FC89584CCE5}"/>
              </a:ext>
            </a:extLst>
          </xdr:cNvPr>
          <xdr:cNvGrpSpPr/>
        </xdr:nvGrpSpPr>
        <xdr:grpSpPr>
          <a:xfrm>
            <a:off x="3722549" y="899135"/>
            <a:ext cx="1401355" cy="582412"/>
            <a:chOff x="3528082" y="907486"/>
            <a:chExt cx="1398486" cy="585551"/>
          </a:xfrm>
        </xdr:grpSpPr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557656D-0227-4083-9359-FB878248DD67}"/>
                </a:ext>
              </a:extLst>
            </xdr:cNvPr>
            <xdr:cNvGrpSpPr/>
          </xdr:nvGrpSpPr>
          <xdr:grpSpPr>
            <a:xfrm>
              <a:off x="3528082" y="907486"/>
              <a:ext cx="1398486" cy="585551"/>
              <a:chOff x="3805822" y="4969756"/>
              <a:chExt cx="715169" cy="342901"/>
            </a:xfrm>
          </xdr:grpSpPr>
          <xdr:sp macro="" textlink="">
            <xdr:nvSpPr>
              <xdr:cNvPr id="67" name="Rectangle: Rounded Corners 66">
                <a:extLst>
                  <a:ext uri="{FF2B5EF4-FFF2-40B4-BE49-F238E27FC236}">
                    <a16:creationId xmlns:a16="http://schemas.microsoft.com/office/drawing/2014/main" id="{DE22D0B4-29A8-4933-A70A-ACC4408CD684}"/>
                  </a:ext>
                </a:extLst>
              </xdr:cNvPr>
              <xdr:cNvSpPr/>
            </xdr:nvSpPr>
            <xdr:spPr>
              <a:xfrm>
                <a:off x="3805822" y="4969756"/>
                <a:ext cx="691769" cy="342901"/>
              </a:xfrm>
              <a:prstGeom prst="roundRect">
                <a:avLst>
                  <a:gd name="adj" fmla="val 49156"/>
                </a:avLst>
              </a:prstGeom>
              <a:solidFill>
                <a:srgbClr val="DAAF47"/>
              </a:solidFill>
              <a:ln>
                <a:noFill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68" name="TextBox 67">
                <a:extLst>
                  <a:ext uri="{FF2B5EF4-FFF2-40B4-BE49-F238E27FC236}">
                    <a16:creationId xmlns:a16="http://schemas.microsoft.com/office/drawing/2014/main" id="{EC1DB2DE-ED38-4DDC-99A4-BF423929F1B9}"/>
                  </a:ext>
                </a:extLst>
              </xdr:cNvPr>
              <xdr:cNvSpPr txBox="1"/>
            </xdr:nvSpPr>
            <xdr:spPr>
              <a:xfrm>
                <a:off x="4065957" y="5007197"/>
                <a:ext cx="455034" cy="271508"/>
              </a:xfrm>
              <a:prstGeom prst="rect">
                <a:avLst/>
              </a:prstGeom>
              <a:noFill/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en-US" sz="2400" b="1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Yummo Bold" panose="04020604020B02020C02" pitchFamily="82" charset="0"/>
                  </a:rPr>
                  <a:t>SCAN</a:t>
                </a:r>
                <a:endParaRPr lang="id-ID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endParaRPr>
              </a:p>
            </xdr:txBody>
          </xdr:sp>
        </xdr:grpSp>
        <xdr:pic>
          <xdr:nvPicPr>
            <xdr:cNvPr id="33" name="Graphic 32" descr="Barcode">
              <a:extLst>
                <a:ext uri="{FF2B5EF4-FFF2-40B4-BE49-F238E27FC236}">
                  <a16:creationId xmlns:a16="http://schemas.microsoft.com/office/drawing/2014/main" id="{450645A4-9E5B-4196-B1AC-CFC7DB23D7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3611769" y="954806"/>
              <a:ext cx="400970" cy="487293"/>
            </a:xfrm>
            <a:prstGeom prst="rect">
              <a:avLst/>
            </a:prstGeom>
            <a:effectLst>
              <a:innerShdw blurRad="114300">
                <a:prstClr val="black"/>
              </a:innerShdw>
            </a:effectLst>
          </xdr:spPr>
        </xdr:pic>
      </xdr:grpSp>
      <xdr:sp macro="" textlink="">
        <xdr:nvSpPr>
          <xdr:cNvPr id="76" name="Rectangle: Rounded Corners 75">
            <a:extLst>
              <a:ext uri="{FF2B5EF4-FFF2-40B4-BE49-F238E27FC236}">
                <a16:creationId xmlns:a16="http://schemas.microsoft.com/office/drawing/2014/main" id="{894B7E22-E45B-46A9-BC6E-9E798CC58C4F}"/>
              </a:ext>
            </a:extLst>
          </xdr:cNvPr>
          <xdr:cNvSpPr/>
        </xdr:nvSpPr>
        <xdr:spPr>
          <a:xfrm>
            <a:off x="3659037" y="915916"/>
            <a:ext cx="7874886" cy="525972"/>
          </a:xfrm>
          <a:prstGeom prst="roundRect">
            <a:avLst>
              <a:gd name="adj" fmla="val 50000"/>
            </a:avLst>
          </a:prstGeom>
          <a:noFill/>
          <a:ln w="57150">
            <a:solidFill>
              <a:srgbClr val="DAAF47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  <xdr:twoCellAnchor>
    <xdr:from>
      <xdr:col>6</xdr:col>
      <xdr:colOff>501396</xdr:colOff>
      <xdr:row>1</xdr:row>
      <xdr:rowOff>3537</xdr:rowOff>
    </xdr:from>
    <xdr:to>
      <xdr:col>8</xdr:col>
      <xdr:colOff>127001</xdr:colOff>
      <xdr:row>2</xdr:row>
      <xdr:rowOff>192091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3D0289CD-2692-47FF-ACA3-DD114F5B0F44}"/>
            </a:ext>
          </a:extLst>
        </xdr:cNvPr>
        <xdr:cNvGrpSpPr/>
      </xdr:nvGrpSpPr>
      <xdr:grpSpPr>
        <a:xfrm>
          <a:off x="11079749" y="111113"/>
          <a:ext cx="1633699" cy="493354"/>
          <a:chOff x="11096509" y="195694"/>
          <a:chExt cx="1626683" cy="493354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F30ACFC1-BEED-4DBC-B097-B2BD62BEB199}"/>
              </a:ext>
            </a:extLst>
          </xdr:cNvPr>
          <xdr:cNvGrpSpPr/>
        </xdr:nvGrpSpPr>
        <xdr:grpSpPr>
          <a:xfrm>
            <a:off x="11096509" y="195694"/>
            <a:ext cx="1626683" cy="493354"/>
            <a:chOff x="3810079" y="4970351"/>
            <a:chExt cx="952500" cy="342900"/>
          </a:xfrm>
        </xdr:grpSpPr>
        <xdr:sp macro="" textlink="">
          <xdr:nvSpPr>
            <xdr:cNvPr id="84" name="Rectangle: Rounded Corners 83">
              <a:extLst>
                <a:ext uri="{FF2B5EF4-FFF2-40B4-BE49-F238E27FC236}">
                  <a16:creationId xmlns:a16="http://schemas.microsoft.com/office/drawing/2014/main" id="{89C163CF-8FAD-4041-ACF4-6515BD8B7492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REKAP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6C174A8C-D9FB-4BDB-AFD8-51E9AE7CA316}"/>
                </a:ext>
              </a:extLst>
            </xdr:cNvPr>
            <xdr:cNvSpPr txBox="1"/>
          </xdr:nvSpPr>
          <xdr:spPr>
            <a:xfrm>
              <a:off x="4085466" y="4989599"/>
              <a:ext cx="621171" cy="320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REKAP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>
        <xdr:nvPicPr>
          <xdr:cNvPr id="87" name="Graphic 86" descr="Processor">
            <a:extLst>
              <a:ext uri="{FF2B5EF4-FFF2-40B4-BE49-F238E27FC236}">
                <a16:creationId xmlns:a16="http://schemas.microsoft.com/office/drawing/2014/main" id="{4DB4E33B-424F-4BC6-AA0F-7DF10881E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239308" y="240694"/>
            <a:ext cx="432395" cy="413372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 editAs="oneCell">
    <xdr:from>
      <xdr:col>5</xdr:col>
      <xdr:colOff>3807165</xdr:colOff>
      <xdr:row>0</xdr:row>
      <xdr:rowOff>9525</xdr:rowOff>
    </xdr:from>
    <xdr:to>
      <xdr:col>5</xdr:col>
      <xdr:colOff>4721565</xdr:colOff>
      <xdr:row>4</xdr:row>
      <xdr:rowOff>4483</xdr:rowOff>
    </xdr:to>
    <xdr:pic>
      <xdr:nvPicPr>
        <xdr:cNvPr id="5" name="Graphic 4" descr="Chevron arrows RTL">
          <a:extLst>
            <a:ext uri="{FF2B5EF4-FFF2-40B4-BE49-F238E27FC236}">
              <a16:creationId xmlns:a16="http://schemas.microsoft.com/office/drawing/2014/main" id="{91DA8C37-4A7F-4BFC-B6B8-7B695419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64990" y="9525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62008</xdr:rowOff>
    </xdr:from>
    <xdr:to>
      <xdr:col>2</xdr:col>
      <xdr:colOff>53916</xdr:colOff>
      <xdr:row>11</xdr:row>
      <xdr:rowOff>47483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BC67787-FEF4-49C1-967D-4D64508AFBB4}"/>
            </a:ext>
          </a:extLst>
        </xdr:cNvPr>
        <xdr:cNvGrpSpPr/>
      </xdr:nvGrpSpPr>
      <xdr:grpSpPr>
        <a:xfrm>
          <a:off x="0" y="2634879"/>
          <a:ext cx="1981328" cy="756439"/>
          <a:chOff x="2798" y="3230877"/>
          <a:chExt cx="1972054" cy="752730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B67CC139-BFFB-4A1A-A1C9-DE6B1AAE44E5}"/>
              </a:ext>
            </a:extLst>
          </xdr:cNvPr>
          <xdr:cNvGrpSpPr/>
        </xdr:nvGrpSpPr>
        <xdr:grpSpPr>
          <a:xfrm>
            <a:off x="2798" y="3230877"/>
            <a:ext cx="1972054" cy="752730"/>
            <a:chOff x="76200" y="1829375"/>
            <a:chExt cx="2021921" cy="498587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885951"/>
              <a:ext cx="1962150" cy="226074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BukaBarang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EBF6B0E-3A16-439A-9E89-E0E60CDE9FDD}"/>
                </a:ext>
              </a:extLst>
            </xdr:cNvPr>
            <xdr:cNvSpPr txBox="1"/>
          </xdr:nvSpPr>
          <xdr:spPr>
            <a:xfrm>
              <a:off x="489282" y="1829375"/>
              <a:ext cx="1608839" cy="498587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Data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 macro="[0]!BukaBarang">
        <xdr:nvPicPr>
          <xdr:cNvPr id="7" name="Graphic 6" descr="Box">
            <a:extLst>
              <a:ext uri="{FF2B5EF4-FFF2-40B4-BE49-F238E27FC236}">
                <a16:creationId xmlns:a16="http://schemas.microsoft.com/office/drawing/2014/main" id="{FADF8D60-8400-440F-8E04-957E666A2B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2067" y="3324908"/>
            <a:ext cx="304801" cy="309283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11</xdr:row>
      <xdr:rowOff>381693</xdr:rowOff>
    </xdr:from>
    <xdr:to>
      <xdr:col>2</xdr:col>
      <xdr:colOff>53916</xdr:colOff>
      <xdr:row>13</xdr:row>
      <xdr:rowOff>367168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53F81B1-A84A-4A0C-AE51-DC63AD716AB0}"/>
            </a:ext>
          </a:extLst>
        </xdr:cNvPr>
        <xdr:cNvGrpSpPr/>
      </xdr:nvGrpSpPr>
      <xdr:grpSpPr>
        <a:xfrm>
          <a:off x="0" y="3725528"/>
          <a:ext cx="1981328" cy="756440"/>
          <a:chOff x="0" y="3198466"/>
          <a:chExt cx="1972054" cy="752730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D3A6960-71CD-4CE6-B7F1-6D36BB748122}"/>
              </a:ext>
            </a:extLst>
          </xdr:cNvPr>
          <xdr:cNvGrpSpPr/>
        </xdr:nvGrpSpPr>
        <xdr:grpSpPr>
          <a:xfrm>
            <a:off x="0" y="3198466"/>
            <a:ext cx="1972054" cy="752730"/>
            <a:chOff x="76200" y="1829375"/>
            <a:chExt cx="2021921" cy="498587"/>
          </a:xfrm>
        </xdr:grpSpPr>
        <xdr:sp macro="" textlink="">
          <xdr:nvSpPr>
            <xdr:cNvPr id="44" name="Rectangle 15">
              <a:extLst>
                <a:ext uri="{FF2B5EF4-FFF2-40B4-BE49-F238E27FC236}">
                  <a16:creationId xmlns:a16="http://schemas.microsoft.com/office/drawing/2014/main" id="{B6E2309E-274F-4497-A301-C16C60F0A309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ambahstok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CDF191F0-C7BD-41D5-BFA7-4435DA4901CE}"/>
                </a:ext>
              </a:extLst>
            </xdr:cNvPr>
            <xdr:cNvSpPr txBox="1"/>
          </xdr:nvSpPr>
          <xdr:spPr>
            <a:xfrm>
              <a:off x="489282" y="1829375"/>
              <a:ext cx="1608839" cy="498587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Tambah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1" name="Graphic 10" descr="Box trolley">
            <a:extLst>
              <a:ext uri="{FF2B5EF4-FFF2-40B4-BE49-F238E27FC236}">
                <a16:creationId xmlns:a16="http://schemas.microsoft.com/office/drawing/2014/main" id="{E531957F-7610-4D9B-905A-432907686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00553" y="3255106"/>
            <a:ext cx="339969" cy="342596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2</xdr:col>
      <xdr:colOff>383800</xdr:colOff>
      <xdr:row>6</xdr:row>
      <xdr:rowOff>11446</xdr:rowOff>
    </xdr:from>
    <xdr:to>
      <xdr:col>12</xdr:col>
      <xdr:colOff>34819</xdr:colOff>
      <xdr:row>49</xdr:row>
      <xdr:rowOff>82986</xdr:rowOff>
    </xdr:to>
    <xdr:sp macro="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7CAE14BC-BBE5-4079-B5AD-D71501D5970C}"/>
            </a:ext>
          </a:extLst>
        </xdr:cNvPr>
        <xdr:cNvSpPr/>
      </xdr:nvSpPr>
      <xdr:spPr>
        <a:xfrm>
          <a:off x="2311212" y="1535446"/>
          <a:ext cx="13949725" cy="13509634"/>
        </a:xfrm>
        <a:prstGeom prst="roundRect">
          <a:avLst>
            <a:gd name="adj" fmla="val 898"/>
          </a:avLst>
        </a:prstGeom>
        <a:noFill/>
        <a:ln w="57150">
          <a:solidFill>
            <a:schemeClr val="bg2">
              <a:lumMod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8</xdr:col>
      <xdr:colOff>484096</xdr:colOff>
      <xdr:row>1</xdr:row>
      <xdr:rowOff>0</xdr:rowOff>
    </xdr:from>
    <xdr:to>
      <xdr:col>12</xdr:col>
      <xdr:colOff>37850</xdr:colOff>
      <xdr:row>5</xdr:row>
      <xdr:rowOff>25400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63CD684A-B040-4F47-8557-8767DD0CD47B}"/>
            </a:ext>
          </a:extLst>
        </xdr:cNvPr>
        <xdr:cNvSpPr/>
      </xdr:nvSpPr>
      <xdr:spPr>
        <a:xfrm>
          <a:off x="13133296" y="107576"/>
          <a:ext cx="3130672" cy="1253565"/>
        </a:xfrm>
        <a:prstGeom prst="roundRect">
          <a:avLst>
            <a:gd name="adj" fmla="val 11076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6</xdr:col>
      <xdr:colOff>541865</xdr:colOff>
      <xdr:row>3</xdr:row>
      <xdr:rowOff>97863</xdr:rowOff>
    </xdr:from>
    <xdr:to>
      <xdr:col>8</xdr:col>
      <xdr:colOff>110069</xdr:colOff>
      <xdr:row>4</xdr:row>
      <xdr:rowOff>505751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53119020-DE77-4D29-B165-CC0709FAAC11}"/>
            </a:ext>
          </a:extLst>
        </xdr:cNvPr>
        <xdr:cNvSpPr/>
      </xdr:nvSpPr>
      <xdr:spPr>
        <a:xfrm>
          <a:off x="10879665" y="825996"/>
          <a:ext cx="1574804" cy="585688"/>
        </a:xfrm>
        <a:prstGeom prst="roundRect">
          <a:avLst>
            <a:gd name="adj" fmla="val 49156"/>
          </a:avLst>
        </a:prstGeom>
        <a:solidFill>
          <a:srgbClr val="DAAF47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7</xdr:col>
      <xdr:colOff>28081</xdr:colOff>
      <xdr:row>3</xdr:row>
      <xdr:rowOff>174062</xdr:rowOff>
    </xdr:from>
    <xdr:to>
      <xdr:col>7</xdr:col>
      <xdr:colOff>1031780</xdr:colOff>
      <xdr:row>4</xdr:row>
      <xdr:rowOff>460008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CA6FD61E-7324-4BCC-9315-D54E58BB5E14}"/>
            </a:ext>
          </a:extLst>
        </xdr:cNvPr>
        <xdr:cNvSpPr txBox="1"/>
      </xdr:nvSpPr>
      <xdr:spPr>
        <a:xfrm>
          <a:off x="11077081" y="902195"/>
          <a:ext cx="1003699" cy="463746"/>
        </a:xfrm>
        <a:prstGeom prst="rect">
          <a:avLst/>
        </a:prstGeom>
        <a:noFill/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400" b="1">
              <a:solidFill>
                <a:schemeClr val="tx1">
                  <a:lumMod val="95000"/>
                  <a:lumOff val="5000"/>
                </a:schemeClr>
              </a:solidFill>
              <a:latin typeface="Yummo Bold" panose="04020604020B02020C02" pitchFamily="82" charset="0"/>
            </a:rPr>
            <a:t>SCAN</a:t>
          </a:r>
          <a:endParaRPr lang="id-ID" sz="2400" b="1">
            <a:solidFill>
              <a:schemeClr val="tx1">
                <a:lumMod val="95000"/>
                <a:lumOff val="5000"/>
              </a:schemeClr>
            </a:solidFill>
            <a:latin typeface="Yummo Bold" panose="04020604020B02020C02" pitchFamily="82" charset="0"/>
          </a:endParaRPr>
        </a:p>
      </xdr:txBody>
    </xdr:sp>
    <xdr:clientData/>
  </xdr:twoCellAnchor>
  <xdr:twoCellAnchor>
    <xdr:from>
      <xdr:col>7</xdr:col>
      <xdr:colOff>874747</xdr:colOff>
      <xdr:row>3</xdr:row>
      <xdr:rowOff>157129</xdr:rowOff>
    </xdr:from>
    <xdr:to>
      <xdr:col>7</xdr:col>
      <xdr:colOff>1327042</xdr:colOff>
      <xdr:row>4</xdr:row>
      <xdr:rowOff>466736</xdr:rowOff>
    </xdr:to>
    <xdr:pic>
      <xdr:nvPicPr>
        <xdr:cNvPr id="42" name="Graphic 41" descr="Barcode">
          <a:extLst>
            <a:ext uri="{FF2B5EF4-FFF2-40B4-BE49-F238E27FC236}">
              <a16:creationId xmlns:a16="http://schemas.microsoft.com/office/drawing/2014/main" id="{E4F3B7A5-BE41-4407-AEF7-F65051E9F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23747" y="885262"/>
          <a:ext cx="452295" cy="487407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5</xdr:col>
      <xdr:colOff>1075267</xdr:colOff>
      <xdr:row>1</xdr:row>
      <xdr:rowOff>0</xdr:rowOff>
    </xdr:from>
    <xdr:to>
      <xdr:col>5</xdr:col>
      <xdr:colOff>4343399</xdr:colOff>
      <xdr:row>3</xdr:row>
      <xdr:rowOff>76201</xdr:rowOff>
    </xdr:to>
    <xdr:sp macro="" textlink="C1">
      <xdr:nvSpPr>
        <xdr:cNvPr id="2" name="Rectangle: Rounded Corners 1">
          <a:extLst>
            <a:ext uri="{FF2B5EF4-FFF2-40B4-BE49-F238E27FC236}">
              <a16:creationId xmlns:a16="http://schemas.microsoft.com/office/drawing/2014/main" id="{6C95A77A-3FE3-4C13-B821-FC53DB41FE09}"/>
            </a:ext>
          </a:extLst>
        </xdr:cNvPr>
        <xdr:cNvSpPr/>
      </xdr:nvSpPr>
      <xdr:spPr>
        <a:xfrm>
          <a:off x="6273800" y="42334"/>
          <a:ext cx="3268132" cy="762000"/>
        </a:xfrm>
        <a:prstGeom prst="roundRect">
          <a:avLst>
            <a:gd name="adj" fmla="val 22223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324B0AA3-0C35-4590-B511-65F323026534}" type="TxLink">
            <a:rPr lang="en-US" sz="5400" b="0" i="0" u="none" strike="noStrike">
              <a:ln w="28575">
                <a:solidFill>
                  <a:srgbClr val="000000"/>
                </a:solidFill>
              </a:ln>
              <a:solidFill>
                <a:srgbClr val="FFFFFF"/>
              </a:solidFill>
              <a:latin typeface="Yummo Bold" panose="04020604020B02020C02" pitchFamily="82" charset="0"/>
              <a:ea typeface="Roboto Condensed"/>
            </a:rPr>
            <a:pPr algn="ctr"/>
            <a:t>10:35:50</a:t>
          </a:fld>
          <a:endParaRPr lang="en-US" sz="59500">
            <a:ln w="28575">
              <a:solidFill>
                <a:srgbClr val="000000"/>
              </a:solidFill>
            </a:ln>
            <a:solidFill>
              <a:schemeClr val="bg1"/>
            </a:solidFill>
            <a:latin typeface="Yummo Bold" panose="04020604020B02020C02" pitchFamily="82" charset="0"/>
            <a:ea typeface="Roboto Black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153937</xdr:rowOff>
    </xdr:from>
    <xdr:to>
      <xdr:col>2</xdr:col>
      <xdr:colOff>53916</xdr:colOff>
      <xdr:row>19</xdr:row>
      <xdr:rowOff>191074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E0596435-BE7F-4952-9E1E-BBFB0FF1F6B7}"/>
            </a:ext>
          </a:extLst>
        </xdr:cNvPr>
        <xdr:cNvGrpSpPr/>
      </xdr:nvGrpSpPr>
      <xdr:grpSpPr>
        <a:xfrm>
          <a:off x="0" y="6196149"/>
          <a:ext cx="1981328" cy="422619"/>
          <a:chOff x="0" y="3754934"/>
          <a:chExt cx="1981328" cy="422619"/>
        </a:xfrm>
      </xdr:grpSpPr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B6DEC649-2FB2-4E28-A359-3921785B462C}"/>
              </a:ext>
            </a:extLst>
          </xdr:cNvPr>
          <xdr:cNvGrpSpPr/>
        </xdr:nvGrpSpPr>
        <xdr:grpSpPr>
          <a:xfrm>
            <a:off x="0" y="3754934"/>
            <a:ext cx="1981328" cy="422619"/>
            <a:chOff x="76200" y="1847086"/>
            <a:chExt cx="2021921" cy="498586"/>
          </a:xfrm>
        </xdr:grpSpPr>
        <xdr:sp macro="" textlink="">
          <xdr:nvSpPr>
            <xdr:cNvPr id="52" name="Rectangle 15">
              <a:extLst>
                <a:ext uri="{FF2B5EF4-FFF2-40B4-BE49-F238E27FC236}">
                  <a16:creationId xmlns:a16="http://schemas.microsoft.com/office/drawing/2014/main" id="{E32FDD39-046C-4086-B9A0-49683E2FD4BA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cetakStruk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FAC82AA6-C7B7-405B-BBCC-B7A39D23CDA4}"/>
                </a:ext>
              </a:extLst>
            </xdr:cNvPr>
            <xdr:cNvSpPr txBox="1"/>
          </xdr:nvSpPr>
          <xdr:spPr>
            <a:xfrm>
              <a:off x="489282" y="1847086"/>
              <a:ext cx="1608839" cy="49858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Cetak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Struk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6" name="Graphic 5" descr="Printer">
            <a:extLst>
              <a:ext uri="{FF2B5EF4-FFF2-40B4-BE49-F238E27FC236}">
                <a16:creationId xmlns:a16="http://schemas.microsoft.com/office/drawing/2014/main" id="{BE75AA0F-A013-4BF5-A3A8-BA8E7291E8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77578" y="3837848"/>
            <a:ext cx="242429" cy="24335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677923</xdr:colOff>
      <xdr:row>0</xdr:row>
      <xdr:rowOff>38100</xdr:rowOff>
    </xdr:from>
    <xdr:to>
      <xdr:col>5</xdr:col>
      <xdr:colOff>1592323</xdr:colOff>
      <xdr:row>4</xdr:row>
      <xdr:rowOff>33058</xdr:rowOff>
    </xdr:to>
    <xdr:pic>
      <xdr:nvPicPr>
        <xdr:cNvPr id="46" name="Graphic 45" descr="Chevron arrows RTL">
          <a:extLst>
            <a:ext uri="{FF2B5EF4-FFF2-40B4-BE49-F238E27FC236}">
              <a16:creationId xmlns:a16="http://schemas.microsoft.com/office/drawing/2014/main" id="{28190ABD-7C10-4B55-A31E-DCE8070B9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6135748" y="38100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43544</xdr:rowOff>
    </xdr:from>
    <xdr:to>
      <xdr:col>2</xdr:col>
      <xdr:colOff>62881</xdr:colOff>
      <xdr:row>15</xdr:row>
      <xdr:rowOff>100736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3D0C8A4-65D1-474A-8004-C0580130648C}"/>
            </a:ext>
          </a:extLst>
        </xdr:cNvPr>
        <xdr:cNvGrpSpPr/>
      </xdr:nvGrpSpPr>
      <xdr:grpSpPr>
        <a:xfrm>
          <a:off x="0" y="4543826"/>
          <a:ext cx="1990293" cy="442675"/>
          <a:chOff x="0" y="4174319"/>
          <a:chExt cx="1983089" cy="440368"/>
        </a:xfrm>
      </xdr:grpSpPr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97F52156-3BA7-4533-B59B-642B868BBB58}"/>
              </a:ext>
            </a:extLst>
          </xdr:cNvPr>
          <xdr:cNvGrpSpPr/>
        </xdr:nvGrpSpPr>
        <xdr:grpSpPr>
          <a:xfrm>
            <a:off x="0" y="4174319"/>
            <a:ext cx="1983089" cy="440368"/>
            <a:chOff x="76200" y="1825934"/>
            <a:chExt cx="2031070" cy="522246"/>
          </a:xfrm>
        </xdr:grpSpPr>
        <xdr:sp macro="" textlink="">
          <xdr:nvSpPr>
            <xdr:cNvPr id="63" name="Rectangle 15">
              <a:extLst>
                <a:ext uri="{FF2B5EF4-FFF2-40B4-BE49-F238E27FC236}">
                  <a16:creationId xmlns:a16="http://schemas.microsoft.com/office/drawing/2014/main" id="{977BBD35-92FC-4F98-B7DC-D0BF047FD249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Editstok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8A14329C-5610-44D5-AFA8-DFDA641AE644}"/>
                </a:ext>
              </a:extLst>
            </xdr:cNvPr>
            <xdr:cNvSpPr txBox="1"/>
          </xdr:nvSpPr>
          <xdr:spPr>
            <a:xfrm>
              <a:off x="498431" y="1825934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Edit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4" name="Graphic 13" descr="Tools">
            <a:extLst>
              <a:ext uri="{FF2B5EF4-FFF2-40B4-BE49-F238E27FC236}">
                <a16:creationId xmlns:a16="http://schemas.microsoft.com/office/drawing/2014/main" id="{D23D4E0B-83BF-408A-8AA5-18845560DE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48047" y="4254137"/>
            <a:ext cx="266957" cy="26561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13</xdr:row>
      <xdr:rowOff>35093</xdr:rowOff>
    </xdr:from>
    <xdr:to>
      <xdr:col>2</xdr:col>
      <xdr:colOff>53916</xdr:colOff>
      <xdr:row>14</xdr:row>
      <xdr:rowOff>92284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70BA439D-9A0F-45B3-A7DE-34A4DFBCF2F2}"/>
            </a:ext>
          </a:extLst>
        </xdr:cNvPr>
        <xdr:cNvGrpSpPr/>
      </xdr:nvGrpSpPr>
      <xdr:grpSpPr>
        <a:xfrm>
          <a:off x="0" y="4149893"/>
          <a:ext cx="1981328" cy="442673"/>
          <a:chOff x="0" y="3704218"/>
          <a:chExt cx="1974156" cy="440369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A3D46825-EDD6-47CE-94FA-74F9F6B49A89}"/>
              </a:ext>
            </a:extLst>
          </xdr:cNvPr>
          <xdr:cNvGrpSpPr/>
        </xdr:nvGrpSpPr>
        <xdr:grpSpPr>
          <a:xfrm>
            <a:off x="0" y="3704218"/>
            <a:ext cx="1974156" cy="440369"/>
            <a:chOff x="76200" y="1826430"/>
            <a:chExt cx="2021921" cy="522246"/>
          </a:xfrm>
        </xdr:grpSpPr>
        <xdr:sp macro="" textlink="">
          <xdr:nvSpPr>
            <xdr:cNvPr id="57" name="Rectangle 15">
              <a:extLst>
                <a:ext uri="{FF2B5EF4-FFF2-40B4-BE49-F238E27FC236}">
                  <a16:creationId xmlns:a16="http://schemas.microsoft.com/office/drawing/2014/main" id="{7B83ACB3-66D8-4170-BB2F-4B4BC3A48666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Lihatstok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EA387BD7-8E8B-4FA6-A96A-9C126D719E0E}"/>
                </a:ext>
              </a:extLst>
            </xdr:cNvPr>
            <xdr:cNvSpPr txBox="1"/>
          </xdr:nvSpPr>
          <xdr:spPr>
            <a:xfrm>
              <a:off x="489282" y="1826430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Lihat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7" name="Graphic 16" descr="Photocopier">
            <a:extLst>
              <a:ext uri="{FF2B5EF4-FFF2-40B4-BE49-F238E27FC236}">
                <a16:creationId xmlns:a16="http://schemas.microsoft.com/office/drawing/2014/main" id="{2796A5B0-0E98-491B-9205-5ECB87CBF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19103" y="3756468"/>
            <a:ext cx="307617" cy="30779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4</xdr:col>
      <xdr:colOff>142602</xdr:colOff>
      <xdr:row>1</xdr:row>
      <xdr:rowOff>13253</xdr:rowOff>
    </xdr:from>
    <xdr:to>
      <xdr:col>5</xdr:col>
      <xdr:colOff>254636</xdr:colOff>
      <xdr:row>2</xdr:row>
      <xdr:rowOff>210617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6E5449EA-2060-4349-82EE-6BFED10C0AB9}"/>
            </a:ext>
          </a:extLst>
        </xdr:cNvPr>
        <xdr:cNvGrpSpPr/>
      </xdr:nvGrpSpPr>
      <xdr:grpSpPr>
        <a:xfrm>
          <a:off x="3916743" y="120829"/>
          <a:ext cx="1779469" cy="502164"/>
          <a:chOff x="3972480" y="205410"/>
          <a:chExt cx="1742052" cy="502164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3972480" y="209043"/>
            <a:ext cx="1742052" cy="498531"/>
            <a:chOff x="3810079" y="4970351"/>
            <a:chExt cx="952500" cy="342900"/>
          </a:xfrm>
        </xdr:grpSpPr>
        <xdr:sp macro="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129761" y="4983279"/>
              <a:ext cx="576920" cy="3175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HAPUS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>
        <xdr:nvPicPr>
          <xdr:cNvPr id="23" name="Graphic 22" descr="Eraser">
            <a:extLst>
              <a:ext uri="{FF2B5EF4-FFF2-40B4-BE49-F238E27FC236}">
                <a16:creationId xmlns:a16="http://schemas.microsoft.com/office/drawing/2014/main" id="{5752753B-2183-4E5C-BBC5-C4D9C1CAB6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08175" y="205410"/>
            <a:ext cx="490330" cy="49033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83098</xdr:rowOff>
    </xdr:from>
    <xdr:to>
      <xdr:col>2</xdr:col>
      <xdr:colOff>73373</xdr:colOff>
      <xdr:row>11</xdr:row>
      <xdr:rowOff>141460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CFECFBB-6C2E-4737-A703-AA2F4ED21487}"/>
            </a:ext>
          </a:extLst>
        </xdr:cNvPr>
        <xdr:cNvGrpSpPr/>
      </xdr:nvGrpSpPr>
      <xdr:grpSpPr>
        <a:xfrm>
          <a:off x="0" y="3041451"/>
          <a:ext cx="2000785" cy="443844"/>
          <a:chOff x="0" y="3106853"/>
          <a:chExt cx="1995691" cy="439362"/>
        </a:xfrm>
      </xdr:grpSpPr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6F581FB6-8C05-4D70-A96D-CD1FC9A14E64}"/>
              </a:ext>
            </a:extLst>
          </xdr:cNvPr>
          <xdr:cNvGrpSpPr/>
        </xdr:nvGrpSpPr>
        <xdr:grpSpPr>
          <a:xfrm>
            <a:off x="0" y="3106853"/>
            <a:ext cx="1995691" cy="439362"/>
            <a:chOff x="76200" y="1842287"/>
            <a:chExt cx="2041853" cy="292682"/>
          </a:xfrm>
        </xdr:grpSpPr>
        <xdr:sp macro="[0]!PanggilCariBarang" textlink="">
          <xdr:nvSpPr>
            <xdr:cNvPr id="72" name="Rectangle 15">
              <a:extLst>
                <a:ext uri="{FF2B5EF4-FFF2-40B4-BE49-F238E27FC236}">
                  <a16:creationId xmlns:a16="http://schemas.microsoft.com/office/drawing/2014/main" id="{1A68F2E6-2C01-40B7-8D0F-142D2D399B48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AE33661B-9EA0-42D9-9151-0ED25C87C941}"/>
                </a:ext>
              </a:extLst>
            </xdr:cNvPr>
            <xdr:cNvSpPr txBox="1"/>
          </xdr:nvSpPr>
          <xdr:spPr>
            <a:xfrm>
              <a:off x="509214" y="1842287"/>
              <a:ext cx="1608839" cy="292682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Cari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28" name="Graphic 27" descr="Magnifying glass">
            <a:extLst>
              <a:ext uri="{FF2B5EF4-FFF2-40B4-BE49-F238E27FC236}">
                <a16:creationId xmlns:a16="http://schemas.microsoft.com/office/drawing/2014/main" id="{216C2E58-F7D0-4CE3-A517-46FEBFE92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49157" y="3199841"/>
            <a:ext cx="259667" cy="25679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2567940</xdr:colOff>
      <xdr:row>0</xdr:row>
      <xdr:rowOff>99060</xdr:rowOff>
    </xdr:from>
    <xdr:ext cx="6420347" cy="541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F601E2E-A164-4B03-B53F-DF9217BCC588}"/>
            </a:ext>
          </a:extLst>
        </xdr:cNvPr>
        <xdr:cNvSpPr/>
      </xdr:nvSpPr>
      <xdr:spPr>
        <a:xfrm>
          <a:off x="3657600" y="990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BARANG ACC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1181100</xdr:colOff>
      <xdr:row>0</xdr:row>
      <xdr:rowOff>144780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0F301FE-BE2B-4928-89D3-F951BD0F1BB9}"/>
            </a:ext>
          </a:extLst>
        </xdr:cNvPr>
        <xdr:cNvSpPr/>
      </xdr:nvSpPr>
      <xdr:spPr>
        <a:xfrm>
          <a:off x="3642360" y="14478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KONTER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394335</xdr:colOff>
      <xdr:row>0</xdr:row>
      <xdr:rowOff>158115</xdr:rowOff>
    </xdr:from>
    <xdr:to>
      <xdr:col>9</xdr:col>
      <xdr:colOff>569595</xdr:colOff>
      <xdr:row>2</xdr:row>
      <xdr:rowOff>165735</xdr:rowOff>
    </xdr:to>
    <xdr:sp macro="[0]!cetakbarco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0924E8-40F6-4BDB-87D1-B31235D703B9}"/>
            </a:ext>
          </a:extLst>
        </xdr:cNvPr>
        <xdr:cNvSpPr/>
      </xdr:nvSpPr>
      <xdr:spPr>
        <a:xfrm>
          <a:off x="7328535" y="158115"/>
          <a:ext cx="2527935" cy="4648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endParaRPr lang="id-ID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1719970</xdr:colOff>
      <xdr:row>0</xdr:row>
      <xdr:rowOff>15055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831C9F-3592-447D-876F-D85C5F10769E}"/>
            </a:ext>
          </a:extLst>
        </xdr:cNvPr>
        <xdr:cNvSpPr/>
      </xdr:nvSpPr>
      <xdr:spPr>
        <a:xfrm>
          <a:off x="3640210" y="1505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PENJUALAN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323191</xdr:colOff>
      <xdr:row>20</xdr:row>
      <xdr:rowOff>169335</xdr:rowOff>
    </xdr:from>
    <xdr:to>
      <xdr:col>7</xdr:col>
      <xdr:colOff>461818</xdr:colOff>
      <xdr:row>26</xdr:row>
      <xdr:rowOff>61577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329460-9282-41A5-914D-E7B608CA984C}"/>
            </a:ext>
          </a:extLst>
        </xdr:cNvPr>
        <xdr:cNvSpPr/>
      </xdr:nvSpPr>
      <xdr:spPr>
        <a:xfrm>
          <a:off x="323191" y="4110183"/>
          <a:ext cx="5942142" cy="1000606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0</xdr:col>
      <xdr:colOff>488445</xdr:colOff>
      <xdr:row>21</xdr:row>
      <xdr:rowOff>134979</xdr:rowOff>
    </xdr:from>
    <xdr:to>
      <xdr:col>2</xdr:col>
      <xdr:colOff>731211</xdr:colOff>
      <xdr:row>25</xdr:row>
      <xdr:rowOff>78307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0E0F15-7F5C-4D1F-9C2F-A262A051CDA5}"/>
            </a:ext>
          </a:extLst>
        </xdr:cNvPr>
        <xdr:cNvGrpSpPr/>
      </xdr:nvGrpSpPr>
      <xdr:grpSpPr>
        <a:xfrm>
          <a:off x="488445" y="4260555"/>
          <a:ext cx="1874524" cy="682237"/>
          <a:chOff x="11106149" y="5498250"/>
          <a:chExt cx="1691852" cy="673950"/>
        </a:xfrm>
      </xdr:grpSpPr>
      <xdr:pic>
        <xdr:nvPicPr>
          <xdr:cNvPr id="7" name="Graphic 6" descr="Money">
            <a:extLst>
              <a:ext uri="{FF2B5EF4-FFF2-40B4-BE49-F238E27FC236}">
                <a16:creationId xmlns:a16="http://schemas.microsoft.com/office/drawing/2014/main" id="{3B7D14AC-118C-4EAC-A694-5C90DAFD67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K$13">
        <xdr:nvSpPr>
          <xdr:cNvPr id="8" name="Rectangle 7">
            <a:extLst>
              <a:ext uri="{FF2B5EF4-FFF2-40B4-BE49-F238E27FC236}">
                <a16:creationId xmlns:a16="http://schemas.microsoft.com/office/drawing/2014/main" id="{66D2386C-EF0E-4B87-9BC3-93C41E0BDFDE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618E64-DECC-4025-A10E-54BF7B2600D2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Rp976.000 </a:t>
            </a:fld>
            <a:endParaRPr lang="en-US" sz="20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E0DA4B6-1EC0-4512-A36E-66E3E8E2B971}"/>
              </a:ext>
            </a:extLst>
          </xdr:cNvPr>
          <xdr:cNvSpPr txBox="1"/>
        </xdr:nvSpPr>
        <xdr:spPr>
          <a:xfrm>
            <a:off x="11344275" y="5505450"/>
            <a:ext cx="1453726" cy="259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 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438350</xdr:colOff>
      <xdr:row>21</xdr:row>
      <xdr:rowOff>101777</xdr:rowOff>
    </xdr:from>
    <xdr:to>
      <xdr:col>7</xdr:col>
      <xdr:colOff>429470</xdr:colOff>
      <xdr:row>25</xdr:row>
      <xdr:rowOff>70055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04784A2-1F6B-4E78-BB22-3353449450FD}"/>
            </a:ext>
          </a:extLst>
        </xdr:cNvPr>
        <xdr:cNvGrpSpPr/>
      </xdr:nvGrpSpPr>
      <xdr:grpSpPr>
        <a:xfrm>
          <a:off x="4271441" y="4227353"/>
          <a:ext cx="1961544" cy="707187"/>
          <a:chOff x="12925424" y="5524500"/>
          <a:chExt cx="1416780" cy="673950"/>
        </a:xfrm>
      </xdr:grpSpPr>
      <xdr:pic>
        <xdr:nvPicPr>
          <xdr:cNvPr id="11" name="Graphic 10" descr="Money">
            <a:extLst>
              <a:ext uri="{FF2B5EF4-FFF2-40B4-BE49-F238E27FC236}">
                <a16:creationId xmlns:a16="http://schemas.microsoft.com/office/drawing/2014/main" id="{6D497391-7984-450A-A7B3-483C415D6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$K$15">
        <xdr:nvSpPr>
          <xdr:cNvPr id="12" name="Rectangle 11">
            <a:extLst>
              <a:ext uri="{FF2B5EF4-FFF2-40B4-BE49-F238E27FC236}">
                <a16:creationId xmlns:a16="http://schemas.microsoft.com/office/drawing/2014/main" id="{3E4FB78F-2F6B-4C5C-8B23-F2395BB76882}"/>
              </a:ext>
            </a:extLst>
          </xdr:cNvPr>
          <xdr:cNvSpPr/>
        </xdr:nvSpPr>
        <xdr:spPr>
          <a:xfrm>
            <a:off x="12925424" y="5884125"/>
            <a:ext cx="1367869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530AC-0DB6-4E83-939B-D4D7B4B45F06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Rp1.276.000 </a:t>
            </a:fld>
            <a:endParaRPr lang="en-US" sz="1600" b="1"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D718F117-C77C-43D7-BAC1-A613D7AF8983}"/>
              </a:ext>
            </a:extLst>
          </xdr:cNvPr>
          <xdr:cNvSpPr txBox="1"/>
        </xdr:nvSpPr>
        <xdr:spPr>
          <a:xfrm>
            <a:off x="13163550" y="5531700"/>
            <a:ext cx="1178654" cy="2346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528418</xdr:colOff>
      <xdr:row>15</xdr:row>
      <xdr:rowOff>156508</xdr:rowOff>
    </xdr:from>
    <xdr:to>
      <xdr:col>18</xdr:col>
      <xdr:colOff>138546</xdr:colOff>
      <xdr:row>26</xdr:row>
      <xdr:rowOff>61308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7383468-5789-4BB0-8E1C-72696F44781A}"/>
            </a:ext>
          </a:extLst>
        </xdr:cNvPr>
        <xdr:cNvGrpSpPr/>
      </xdr:nvGrpSpPr>
      <xdr:grpSpPr>
        <a:xfrm>
          <a:off x="10480600" y="3173720"/>
          <a:ext cx="3866552" cy="1936800"/>
          <a:chOff x="9770450" y="121920"/>
          <a:chExt cx="3956060" cy="1852243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CAE14B6-B5C3-4D13-BCB4-3A9EF392C793}"/>
              </a:ext>
            </a:extLst>
          </xdr:cNvPr>
          <xdr:cNvSpPr/>
        </xdr:nvSpPr>
        <xdr:spPr>
          <a:xfrm>
            <a:off x="9770450" y="121920"/>
            <a:ext cx="3908763" cy="1846393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D1E884B5-EB8C-4C1E-9FD1-252AE2BE15AE}"/>
              </a:ext>
            </a:extLst>
          </xdr:cNvPr>
          <xdr:cNvGrpSpPr/>
        </xdr:nvGrpSpPr>
        <xdr:grpSpPr>
          <a:xfrm>
            <a:off x="9806126" y="291723"/>
            <a:ext cx="3920384" cy="1682440"/>
            <a:chOff x="10668000" y="16217"/>
            <a:chExt cx="3853172" cy="1819212"/>
          </a:xfrm>
        </xdr:grpSpPr>
        <xdr:pic>
          <xdr:nvPicPr>
            <xdr:cNvPr id="15" name="Graphic 14" descr="Bar graph with upward trend">
              <a:extLst>
                <a:ext uri="{FF2B5EF4-FFF2-40B4-BE49-F238E27FC236}">
                  <a16:creationId xmlns:a16="http://schemas.microsoft.com/office/drawing/2014/main" id="{8187A6D3-2F13-4CAE-8CB8-FCD771D43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757779" y="22913"/>
              <a:ext cx="273900" cy="270485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AA25F93-01F6-492E-960E-5E9414851C56}"/>
                </a:ext>
              </a:extLst>
            </xdr:cNvPr>
            <xdr:cNvSpPr txBox="1"/>
          </xdr:nvSpPr>
          <xdr:spPr>
            <a:xfrm>
              <a:off x="11101905" y="16217"/>
              <a:ext cx="2991850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JUMLAH BARANG TERJUAL BULANAN</a:t>
              </a:r>
              <a:endParaRPr lang="id-ID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DAEA214-ACEE-4283-B31F-152F92A81037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23662"/>
            <a:ext cx="3853172" cy="15117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7</xdr:col>
      <xdr:colOff>652993</xdr:colOff>
      <xdr:row>15</xdr:row>
      <xdr:rowOff>173076</xdr:rowOff>
    </xdr:from>
    <xdr:to>
      <xdr:col>11</xdr:col>
      <xdr:colOff>424148</xdr:colOff>
      <xdr:row>26</xdr:row>
      <xdr:rowOff>76671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48DC5E00-23CA-4B6A-85AF-F3F3686B5804}"/>
            </a:ext>
          </a:extLst>
        </xdr:cNvPr>
        <xdr:cNvGrpSpPr/>
      </xdr:nvGrpSpPr>
      <xdr:grpSpPr>
        <a:xfrm>
          <a:off x="6456508" y="3190288"/>
          <a:ext cx="3919822" cy="1935595"/>
          <a:chOff x="9072752" y="3299133"/>
          <a:chExt cx="4741858" cy="22679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95EE3-BE82-4A99-AE06-E59221CB7048}"/>
              </a:ext>
            </a:extLst>
          </xdr:cNvPr>
          <xdr:cNvSpPr/>
        </xdr:nvSpPr>
        <xdr:spPr>
          <a:xfrm>
            <a:off x="9072752" y="3299133"/>
            <a:ext cx="4625319" cy="226795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6C95416-2F8D-4054-9DD9-120715B3F18A}"/>
              </a:ext>
            </a:extLst>
          </xdr:cNvPr>
          <xdr:cNvGrpSpPr/>
        </xdr:nvGrpSpPr>
        <xdr:grpSpPr>
          <a:xfrm>
            <a:off x="9121687" y="3518710"/>
            <a:ext cx="4692923" cy="2012514"/>
            <a:chOff x="10648274" y="1899721"/>
            <a:chExt cx="3831984" cy="1693228"/>
          </a:xfrm>
        </xdr:grpSpPr>
        <xdr:pic>
          <xdr:nvPicPr>
            <xdr:cNvPr id="19" name="Graphic 18" descr="Pie chart">
              <a:extLst>
                <a:ext uri="{FF2B5EF4-FFF2-40B4-BE49-F238E27FC236}">
                  <a16:creationId xmlns:a16="http://schemas.microsoft.com/office/drawing/2014/main" id="{A4FBF810-91CD-49F2-809D-CFFCCF70A7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763418" y="1899721"/>
              <a:ext cx="295275" cy="291523"/>
            </a:xfrm>
            <a:prstGeom prst="rect">
              <a:avLst/>
            </a:prstGeom>
          </xdr:spPr>
        </xdr:pic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739064F-E5A9-4156-B532-DF0EE2579F2C}"/>
                </a:ext>
              </a:extLst>
            </xdr:cNvPr>
            <xdr:cNvSpPr txBox="1"/>
          </xdr:nvSpPr>
          <xdr:spPr>
            <a:xfrm>
              <a:off x="11123583" y="1904617"/>
              <a:ext cx="2990162" cy="29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PENDAPATAN</a:t>
              </a:r>
              <a:r>
                <a:rPr lang="en-US" sz="1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 PENJUALAN BULANAN 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5C155F8-6E5E-4EF5-AECF-0F2E2936D86A}"/>
                </a:ext>
              </a:extLst>
            </xdr:cNvPr>
            <xdr:cNvGraphicFramePr>
              <a:graphicFrameLocks/>
            </xdr:cNvGraphicFramePr>
          </xdr:nvGraphicFramePr>
          <xdr:xfrm>
            <a:off x="10648274" y="2169870"/>
            <a:ext cx="3831984" cy="14230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</xdr:grpSp>
    </xdr:grpSp>
    <xdr:clientData/>
  </xdr:twoCellAnchor>
  <xdr:twoCellAnchor>
    <xdr:from>
      <xdr:col>11</xdr:col>
      <xdr:colOff>341581</xdr:colOff>
      <xdr:row>4</xdr:row>
      <xdr:rowOff>43964</xdr:rowOff>
    </xdr:from>
    <xdr:to>
      <xdr:col>18</xdr:col>
      <xdr:colOff>169333</xdr:colOff>
      <xdr:row>14</xdr:row>
      <xdr:rowOff>109678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CCE8C4E9-6A7F-4581-8403-7B7501DD4ABD}"/>
            </a:ext>
          </a:extLst>
        </xdr:cNvPr>
        <xdr:cNvGrpSpPr/>
      </xdr:nvGrpSpPr>
      <xdr:grpSpPr>
        <a:xfrm>
          <a:off x="10293763" y="1029176"/>
          <a:ext cx="4084176" cy="1912987"/>
          <a:chOff x="14014027" y="359179"/>
          <a:chExt cx="4417408" cy="234297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60A05807-9198-4557-9D71-69FAD877E79E}"/>
              </a:ext>
            </a:extLst>
          </xdr:cNvPr>
          <xdr:cNvSpPr/>
        </xdr:nvSpPr>
        <xdr:spPr>
          <a:xfrm>
            <a:off x="14045334" y="359179"/>
            <a:ext cx="4386101" cy="234297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B356483-5A75-4C81-85F6-CACDB46A3603}"/>
              </a:ext>
            </a:extLst>
          </xdr:cNvPr>
          <xdr:cNvGrpSpPr/>
        </xdr:nvGrpSpPr>
        <xdr:grpSpPr>
          <a:xfrm>
            <a:off x="14014027" y="522297"/>
            <a:ext cx="4309833" cy="2029578"/>
            <a:chOff x="10708912" y="3674548"/>
            <a:chExt cx="3720206" cy="1615417"/>
          </a:xfrm>
        </xdr:grpSpPr>
        <xdr:pic>
          <xdr:nvPicPr>
            <xdr:cNvPr id="23" name="Graphic 22" descr="Bar graph with upward trend">
              <a:extLst>
                <a:ext uri="{FF2B5EF4-FFF2-40B4-BE49-F238E27FC236}">
                  <a16:creationId xmlns:a16="http://schemas.microsoft.com/office/drawing/2014/main" id="{C5CDF658-50D2-4995-B00B-91E8D6C29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933809" y="3686399"/>
              <a:ext cx="273900" cy="268950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EEDDEE4-0250-434C-B262-1638CF3D0A68}"/>
                </a:ext>
              </a:extLst>
            </xdr:cNvPr>
            <xdr:cNvSpPr txBox="1"/>
          </xdr:nvSpPr>
          <xdr:spPr>
            <a:xfrm>
              <a:off x="11253101" y="3674548"/>
              <a:ext cx="2156860" cy="291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PENJUALAN MINGGUAN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7FA059C4-15E0-49CC-8AF8-B10A6DBC5DC2}"/>
                </a:ext>
              </a:extLst>
            </xdr:cNvPr>
            <xdr:cNvGraphicFramePr>
              <a:graphicFrameLocks/>
            </xdr:cNvGraphicFramePr>
          </xdr:nvGraphicFramePr>
          <xdr:xfrm>
            <a:off x="10708912" y="3919055"/>
            <a:ext cx="3720206" cy="13709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  <xdr:oneCellAnchor>
    <xdr:from>
      <xdr:col>3</xdr:col>
      <xdr:colOff>678180</xdr:colOff>
      <xdr:row>0</xdr:row>
      <xdr:rowOff>60960</xdr:rowOff>
    </xdr:from>
    <xdr:ext cx="6420347" cy="54120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D3EE1C6-5EDF-415C-B762-410761935099}"/>
            </a:ext>
          </a:extLst>
        </xdr:cNvPr>
        <xdr:cNvSpPr/>
      </xdr:nvSpPr>
      <xdr:spPr>
        <a:xfrm>
          <a:off x="3406140" y="609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GRAFIK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LENGKAP PENJUALAN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2</xdr:col>
      <xdr:colOff>763992</xdr:colOff>
      <xdr:row>21</xdr:row>
      <xdr:rowOff>125743</xdr:rowOff>
    </xdr:from>
    <xdr:to>
      <xdr:col>4</xdr:col>
      <xdr:colOff>438726</xdr:colOff>
      <xdr:row>25</xdr:row>
      <xdr:rowOff>69071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6939DDD-919B-4E6E-B9CE-EC3970F433C0}"/>
            </a:ext>
          </a:extLst>
        </xdr:cNvPr>
        <xdr:cNvGrpSpPr/>
      </xdr:nvGrpSpPr>
      <xdr:grpSpPr>
        <a:xfrm>
          <a:off x="2395750" y="4251319"/>
          <a:ext cx="1876067" cy="682237"/>
          <a:chOff x="11106149" y="5498250"/>
          <a:chExt cx="1692561" cy="673950"/>
        </a:xfrm>
      </xdr:grpSpPr>
      <xdr:pic>
        <xdr:nvPicPr>
          <xdr:cNvPr id="33" name="Graphic 32" descr="Money">
            <a:extLst>
              <a:ext uri="{FF2B5EF4-FFF2-40B4-BE49-F238E27FC236}">
                <a16:creationId xmlns:a16="http://schemas.microsoft.com/office/drawing/2014/main" id="{C286F493-0B4D-467D-9DEC-6E448F395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J$13">
        <xdr:nvSpPr>
          <xdr:cNvPr id="34" name="Rectangle 33">
            <a:extLst>
              <a:ext uri="{FF2B5EF4-FFF2-40B4-BE49-F238E27FC236}">
                <a16:creationId xmlns:a16="http://schemas.microsoft.com/office/drawing/2014/main" id="{A94BF30B-ABF5-4C8C-81FF-496D66F6CB1C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6AF5E3C-7313-4724-9E0D-1C71CEE7C718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Rp37.000 </a:t>
            </a:fld>
            <a:endParaRPr lang="en-US" sz="16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109D0E71-1DBC-4BFD-81DF-ADF1D808AE97}"/>
              </a:ext>
            </a:extLst>
          </xdr:cNvPr>
          <xdr:cNvSpPr txBox="1"/>
        </xdr:nvSpPr>
        <xdr:spPr>
          <a:xfrm>
            <a:off x="11344275" y="5505450"/>
            <a:ext cx="1454435" cy="243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TOTAL LABA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</a:t>
            </a: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1:C70" totalsRowShown="0" headerRowDxfId="18" dataDxfId="17">
  <autoFilter ref="B1:C70" xr:uid="{00000000-0009-0000-0100-000003000000}">
    <filterColumn colId="0" hiddenButton="1"/>
    <filterColumn colId="1" hiddenButton="1"/>
  </autoFilter>
  <tableColumns count="2">
    <tableColumn id="2" xr3:uid="{00000000-0010-0000-0000-000002000000}" name="NAMA BARANG" dataDxfId="16"/>
    <tableColumn id="3" xr3:uid="{C67F62F1-AA92-4F2C-B29D-B8C2B019F462}" name="KB" dataDxfId="15">
      <calculatedColumnFormula>CONCATENATE("*",A2,"*")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1D7D6E-B2EE-48F0-BB1A-B183AEF517AE}" name="TabelTranksaksi" displayName="TabelTranksaksi" ref="A4:M28" totalsRowShown="0" tableBorderDxfId="13">
  <autoFilter ref="A4:M28" xr:uid="{211D7D6E-B2EE-48F0-BB1A-B183AEF517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4C7B421-7CBF-4A0E-A561-771F00FCDDAD}" name="Kode Barang" dataDxfId="12"/>
    <tableColumn id="2" xr3:uid="{DF532470-4D17-4F36-9082-4FB806BE641F}" name="Tanggal" dataDxfId="11"/>
    <tableColumn id="3" xr3:uid="{93F4635B-CEEE-46C5-805F-1241A6795E4B}" name="Nama Barang" dataDxfId="10"/>
    <tableColumn id="4" xr3:uid="{4FCE2A2D-D7C2-4F2B-BDAE-616A6BD77388}" name="Tipe" dataDxfId="9"/>
    <tableColumn id="5" xr3:uid="{FADD64DD-E3CF-4D23-B262-8080194B9C6B}" name="Stok Lama" dataDxfId="8"/>
    <tableColumn id="6" xr3:uid="{37F69426-6E16-4E5C-A2BD-95178BD858FF}" name="Stok" dataDxfId="7"/>
    <tableColumn id="7" xr3:uid="{476890F2-9CA6-430F-A79B-4B734809143C}" name="Qty" dataDxfId="6"/>
    <tableColumn id="10" xr3:uid="{BD166054-31A3-48E8-99FC-37CDE3E0126C}" name="Total Harga" dataDxfId="5"/>
    <tableColumn id="11" xr3:uid="{ECDA43D6-7582-492D-AC33-CC14E4613A5F}" name="Harga Beli" dataDxfId="4">
      <calculatedColumnFormula>IFERROR(VLOOKUP(A5,DATABARANG!$B$4:$G$2000,8),"")</calculatedColumnFormula>
    </tableColumn>
    <tableColumn id="12" xr3:uid="{63CAEA40-2B84-4AC6-97B8-B662FB9CE1A4}" name="Total Laba" dataDxfId="3">
      <calculatedColumnFormula>IFERROR((H5-I5)*G5,"")</calculatedColumnFormula>
    </tableColumn>
    <tableColumn id="13" xr3:uid="{23423E45-69B9-4791-A161-CAC0771A613B}" name="Tanggal2" dataDxfId="2">
      <calculatedColumnFormula>IF(B5="","",TEXT(B5,"DD-MMM"))</calculatedColumnFormula>
    </tableColumn>
    <tableColumn id="14" xr3:uid="{840588A4-76D6-47DF-A3B9-521C10D6EC5E}" name="Bulan" dataDxfId="1">
      <calculatedColumnFormula>IF(B5="","",TEXT(B5,"MMM"))</calculatedColumnFormula>
    </tableColumn>
    <tableColumn id="15" xr3:uid="{0F8D63CF-BDB5-44C6-89E6-FAD17E5EA50A}" name="Tahun" dataDxfId="0">
      <calculatedColumnFormula>IF(B5="","",YEAR(B5))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24"/>
  <sheetViews>
    <sheetView showGridLines="0" tabSelected="1" topLeftCell="A4" zoomScale="85" zoomScaleNormal="85" workbookViewId="0">
      <selection activeCell="F9" sqref="F9"/>
    </sheetView>
  </sheetViews>
  <sheetFormatPr defaultColWidth="9.109375" defaultRowHeight="28.2" x14ac:dyDescent="0.6"/>
  <cols>
    <col min="1" max="1" width="15.88671875" style="8" customWidth="1"/>
    <col min="2" max="2" width="12.109375" style="8" customWidth="1"/>
    <col min="3" max="3" width="5.109375" style="4" customWidth="1"/>
    <col min="4" max="4" width="21.88671875" style="5" customWidth="1"/>
    <col min="5" max="5" width="24.33203125" style="68" customWidth="1"/>
    <col min="6" max="6" width="74.88671875" style="184" customWidth="1"/>
    <col min="7" max="7" width="9.21875" style="7" customWidth="1"/>
    <col min="8" max="8" width="20" style="41" customWidth="1"/>
    <col min="9" max="9" width="8.44140625" style="43" customWidth="1"/>
    <col min="10" max="10" width="11.77734375" style="40" customWidth="1"/>
    <col min="11" max="11" width="17.44140625" style="164" customWidth="1"/>
    <col min="12" max="12" width="14.5546875" style="168" customWidth="1"/>
    <col min="13" max="13" width="15.5546875" style="157" customWidth="1"/>
    <col min="14" max="14" width="19.88671875" style="4" customWidth="1"/>
    <col min="15" max="15" width="9" style="4" customWidth="1"/>
    <col min="16" max="16384" width="9.109375" style="4"/>
  </cols>
  <sheetData>
    <row r="1" spans="1:14" ht="8.4" customHeight="1" x14ac:dyDescent="0.35">
      <c r="C1" s="186">
        <v>0.44155092592592587</v>
      </c>
      <c r="D1" s="185" t="s">
        <v>978</v>
      </c>
      <c r="F1" s="6"/>
    </row>
    <row r="2" spans="1:14" ht="24" x14ac:dyDescent="0.4">
      <c r="A2" s="119"/>
      <c r="B2" s="119"/>
      <c r="D2" s="115" t="s">
        <v>7</v>
      </c>
      <c r="F2" s="117"/>
      <c r="G2" s="191"/>
      <c r="H2" s="191"/>
      <c r="I2" s="114"/>
      <c r="J2" s="188" t="s">
        <v>8</v>
      </c>
      <c r="K2" s="188"/>
      <c r="L2" s="188"/>
      <c r="M2" s="129"/>
      <c r="N2" s="117"/>
    </row>
    <row r="3" spans="1:14" ht="18" customHeight="1" x14ac:dyDescent="0.35">
      <c r="A3" s="119"/>
      <c r="B3" s="119"/>
      <c r="D3" s="194">
        <f>SUM($J$8:$J$90)</f>
        <v>1</v>
      </c>
      <c r="E3" s="116"/>
      <c r="F3" s="118"/>
      <c r="G3" s="192"/>
      <c r="H3" s="192"/>
      <c r="I3" s="151">
        <f>SUM(L10:L17)</f>
        <v>0</v>
      </c>
      <c r="J3" s="187">
        <f>SUM(K8:K900)</f>
        <v>63000</v>
      </c>
      <c r="K3" s="187"/>
      <c r="L3" s="187"/>
      <c r="M3" s="150"/>
      <c r="N3" s="118"/>
    </row>
    <row r="4" spans="1:14" ht="13.8" customHeight="1" x14ac:dyDescent="0.35">
      <c r="A4" s="119"/>
      <c r="B4" s="119"/>
      <c r="D4" s="194"/>
      <c r="E4" s="38"/>
      <c r="F4" s="36"/>
      <c r="G4" s="39"/>
      <c r="H4" s="9"/>
      <c r="I4" s="151"/>
      <c r="J4" s="187"/>
      <c r="K4" s="187"/>
      <c r="L4" s="187"/>
      <c r="M4" s="4"/>
    </row>
    <row r="5" spans="1:14" ht="40.200000000000003" customHeight="1" x14ac:dyDescent="0.35">
      <c r="A5" s="119"/>
      <c r="B5" s="119"/>
      <c r="D5" s="194"/>
      <c r="E5" s="113"/>
      <c r="F5" s="133" t="s">
        <v>985</v>
      </c>
      <c r="G5" s="9"/>
      <c r="H5" s="9"/>
      <c r="I5" s="151"/>
      <c r="J5" s="187"/>
      <c r="K5" s="187"/>
      <c r="L5" s="187"/>
      <c r="M5" s="38"/>
      <c r="N5" s="38"/>
    </row>
    <row r="6" spans="1:14" ht="15" x14ac:dyDescent="0.35">
      <c r="A6" s="119"/>
      <c r="B6" s="119"/>
      <c r="D6" s="37"/>
      <c r="E6" s="38"/>
      <c r="F6" s="132">
        <v>1</v>
      </c>
      <c r="G6" s="39"/>
      <c r="H6" s="9"/>
      <c r="I6" s="10"/>
      <c r="J6" s="36"/>
      <c r="K6" s="36"/>
      <c r="L6" s="36"/>
      <c r="M6" s="38"/>
      <c r="N6" s="38"/>
    </row>
    <row r="7" spans="1:14" ht="22.2" x14ac:dyDescent="0.35">
      <c r="A7" s="119"/>
      <c r="B7" s="119"/>
      <c r="D7" s="181" t="s">
        <v>977</v>
      </c>
      <c r="E7" s="160" t="s">
        <v>17</v>
      </c>
      <c r="F7" s="159" t="s">
        <v>1</v>
      </c>
      <c r="G7" s="160" t="s">
        <v>60</v>
      </c>
      <c r="H7" s="160" t="s">
        <v>63</v>
      </c>
      <c r="I7" s="160" t="s">
        <v>61</v>
      </c>
      <c r="J7" s="160" t="s">
        <v>2</v>
      </c>
      <c r="K7" s="160" t="s">
        <v>72</v>
      </c>
      <c r="L7" s="161" t="s">
        <v>71</v>
      </c>
      <c r="M7" s="4"/>
    </row>
    <row r="8" spans="1:14" ht="30" customHeight="1" x14ac:dyDescent="0.35">
      <c r="A8" s="119"/>
      <c r="B8" s="119"/>
      <c r="C8" s="179">
        <v>1</v>
      </c>
      <c r="D8" s="147" t="s">
        <v>111</v>
      </c>
      <c r="E8" s="162">
        <v>44493.435266203705</v>
      </c>
      <c r="F8" s="182" t="s">
        <v>179</v>
      </c>
      <c r="G8" s="147" t="s">
        <v>66</v>
      </c>
      <c r="H8" s="147">
        <v>1</v>
      </c>
      <c r="I8" s="147">
        <v>19</v>
      </c>
      <c r="J8" s="147">
        <v>1</v>
      </c>
      <c r="K8" s="149">
        <v>63000</v>
      </c>
      <c r="L8" s="170">
        <v>62000</v>
      </c>
      <c r="M8" s="4"/>
    </row>
    <row r="9" spans="1:14" ht="30" customHeight="1" x14ac:dyDescent="0.35">
      <c r="A9" s="119"/>
      <c r="B9" s="119"/>
      <c r="C9" s="180">
        <v>2</v>
      </c>
      <c r="D9" s="147"/>
      <c r="E9" s="152"/>
      <c r="F9" s="182"/>
      <c r="G9" s="147"/>
      <c r="H9" s="147"/>
      <c r="I9" s="147"/>
      <c r="J9" s="147"/>
      <c r="K9" s="149"/>
      <c r="L9" s="170"/>
      <c r="M9" s="4"/>
    </row>
    <row r="10" spans="1:14" ht="30" customHeight="1" x14ac:dyDescent="0.35">
      <c r="A10" s="119"/>
      <c r="B10" s="119"/>
      <c r="C10" s="179">
        <v>3</v>
      </c>
      <c r="D10" s="147"/>
      <c r="E10" s="152"/>
      <c r="F10" s="182"/>
      <c r="G10" s="147"/>
      <c r="H10" s="147"/>
      <c r="I10" s="147"/>
      <c r="J10" s="147"/>
      <c r="K10" s="149"/>
      <c r="L10" s="170"/>
      <c r="M10" s="4"/>
    </row>
    <row r="11" spans="1:14" ht="30" customHeight="1" x14ac:dyDescent="0.35">
      <c r="A11" s="119"/>
      <c r="B11" s="119"/>
      <c r="C11" s="180">
        <v>4</v>
      </c>
      <c r="D11" s="147"/>
      <c r="E11" s="152"/>
      <c r="F11" s="182"/>
      <c r="G11" s="147"/>
      <c r="H11" s="147"/>
      <c r="I11" s="147"/>
      <c r="J11" s="147"/>
      <c r="K11" s="149"/>
      <c r="L11" s="170"/>
      <c r="M11" s="4"/>
    </row>
    <row r="12" spans="1:14" ht="30" customHeight="1" x14ac:dyDescent="0.35">
      <c r="A12" s="119"/>
      <c r="B12" s="119"/>
      <c r="C12" s="179">
        <v>5</v>
      </c>
      <c r="D12" s="147"/>
      <c r="E12" s="152"/>
      <c r="F12" s="182"/>
      <c r="G12" s="147"/>
      <c r="H12" s="147"/>
      <c r="I12" s="147"/>
      <c r="J12" s="147"/>
      <c r="K12" s="149"/>
      <c r="L12" s="170"/>
      <c r="M12" s="4"/>
    </row>
    <row r="13" spans="1:14" ht="30" customHeight="1" x14ac:dyDescent="0.35">
      <c r="A13" s="119"/>
      <c r="B13" s="119"/>
      <c r="C13" s="180">
        <v>6</v>
      </c>
      <c r="D13" s="147"/>
      <c r="E13" s="152"/>
      <c r="F13" s="182"/>
      <c r="G13" s="147"/>
      <c r="H13" s="147"/>
      <c r="I13" s="147"/>
      <c r="J13" s="147"/>
      <c r="K13" s="149"/>
      <c r="L13" s="170"/>
    </row>
    <row r="14" spans="1:14" ht="30" customHeight="1" x14ac:dyDescent="0.35">
      <c r="A14" s="119"/>
      <c r="B14" s="119"/>
      <c r="C14" s="179">
        <v>7</v>
      </c>
      <c r="D14" s="147"/>
      <c r="E14" s="152"/>
      <c r="F14" s="182"/>
      <c r="G14" s="147"/>
      <c r="H14" s="147"/>
      <c r="I14" s="147"/>
      <c r="J14" s="147"/>
      <c r="K14" s="149"/>
      <c r="L14" s="170"/>
    </row>
    <row r="15" spans="1:14" ht="30" customHeight="1" x14ac:dyDescent="0.35">
      <c r="A15" s="119"/>
      <c r="B15" s="119"/>
      <c r="C15" s="180">
        <v>8</v>
      </c>
      <c r="D15" s="147"/>
      <c r="E15" s="152"/>
      <c r="F15" s="182"/>
      <c r="G15" s="147"/>
      <c r="H15" s="147"/>
      <c r="I15" s="147"/>
      <c r="J15" s="147"/>
      <c r="K15" s="149"/>
      <c r="L15" s="170"/>
    </row>
    <row r="16" spans="1:14" ht="30" customHeight="1" x14ac:dyDescent="0.35">
      <c r="A16" s="119"/>
      <c r="B16" s="119"/>
      <c r="C16" s="179">
        <v>9</v>
      </c>
      <c r="D16" s="147"/>
      <c r="E16" s="152"/>
      <c r="F16" s="182"/>
      <c r="G16" s="147"/>
      <c r="H16" s="147"/>
      <c r="I16" s="147"/>
      <c r="J16" s="147"/>
      <c r="K16" s="149"/>
      <c r="L16" s="170"/>
    </row>
    <row r="17" spans="1:12" ht="30" customHeight="1" x14ac:dyDescent="0.35">
      <c r="A17" s="119"/>
      <c r="B17" s="119"/>
      <c r="C17" s="180">
        <v>10</v>
      </c>
      <c r="D17" s="147"/>
      <c r="E17" s="152"/>
      <c r="F17" s="182"/>
      <c r="G17" s="147"/>
      <c r="H17" s="147"/>
      <c r="I17" s="147"/>
      <c r="J17" s="147"/>
      <c r="K17" s="149"/>
      <c r="L17" s="170"/>
    </row>
    <row r="18" spans="1:12" ht="30" customHeight="1" x14ac:dyDescent="0.35">
      <c r="A18" s="119"/>
      <c r="B18" s="119"/>
      <c r="C18" s="179">
        <v>11</v>
      </c>
      <c r="D18" s="147"/>
      <c r="E18" s="148"/>
      <c r="F18" s="182"/>
      <c r="G18" s="147"/>
      <c r="H18" s="147"/>
      <c r="I18" s="147"/>
      <c r="J18" s="147"/>
      <c r="K18" s="149"/>
      <c r="L18" s="170"/>
    </row>
    <row r="19" spans="1:12" ht="30" customHeight="1" x14ac:dyDescent="0.35">
      <c r="A19" s="119"/>
      <c r="B19" s="119"/>
      <c r="C19" s="180">
        <v>12</v>
      </c>
      <c r="D19" s="147"/>
      <c r="E19" s="148"/>
      <c r="F19" s="182"/>
      <c r="G19" s="147"/>
      <c r="H19" s="147"/>
      <c r="I19" s="147"/>
      <c r="J19" s="147"/>
      <c r="K19" s="149"/>
      <c r="L19" s="170"/>
    </row>
    <row r="20" spans="1:12" ht="30" customHeight="1" x14ac:dyDescent="0.35">
      <c r="A20" s="119"/>
      <c r="B20" s="119"/>
      <c r="C20" s="179">
        <v>13</v>
      </c>
      <c r="D20" s="147"/>
      <c r="E20" s="148"/>
      <c r="F20" s="182"/>
      <c r="G20" s="147"/>
      <c r="H20" s="147"/>
      <c r="I20" s="147"/>
      <c r="J20" s="147"/>
      <c r="K20" s="149"/>
      <c r="L20" s="170"/>
    </row>
    <row r="21" spans="1:12" ht="30" customHeight="1" x14ac:dyDescent="0.35">
      <c r="A21" s="119"/>
      <c r="B21" s="119"/>
      <c r="C21" s="180">
        <v>14</v>
      </c>
      <c r="D21" s="147"/>
      <c r="E21" s="148"/>
      <c r="F21" s="182"/>
      <c r="G21" s="147"/>
      <c r="H21" s="147"/>
      <c r="I21" s="147"/>
      <c r="J21" s="147"/>
      <c r="K21" s="149"/>
      <c r="L21" s="170"/>
    </row>
    <row r="22" spans="1:12" ht="30" customHeight="1" x14ac:dyDescent="0.35">
      <c r="A22" s="119"/>
      <c r="B22" s="119"/>
      <c r="C22" s="179">
        <v>15</v>
      </c>
      <c r="D22" s="147"/>
      <c r="E22" s="148"/>
      <c r="F22" s="182"/>
      <c r="G22" s="147"/>
      <c r="H22" s="147"/>
      <c r="I22" s="147"/>
      <c r="J22" s="147"/>
      <c r="K22" s="149"/>
      <c r="L22" s="170"/>
    </row>
    <row r="23" spans="1:12" ht="30" customHeight="1" x14ac:dyDescent="0.35">
      <c r="A23" s="119"/>
      <c r="B23" s="119"/>
      <c r="C23" s="180">
        <v>16</v>
      </c>
      <c r="D23" s="147"/>
      <c r="E23" s="148"/>
      <c r="F23" s="182"/>
      <c r="G23" s="147"/>
      <c r="H23" s="147"/>
      <c r="I23" s="147"/>
      <c r="J23" s="147"/>
      <c r="K23" s="149"/>
      <c r="L23" s="170"/>
    </row>
    <row r="24" spans="1:12" ht="30" customHeight="1" x14ac:dyDescent="0.35">
      <c r="A24" s="119"/>
      <c r="B24" s="119"/>
      <c r="C24" s="179">
        <v>17</v>
      </c>
      <c r="D24" s="147"/>
      <c r="E24" s="148"/>
      <c r="F24" s="182"/>
      <c r="G24" s="147"/>
      <c r="H24" s="147"/>
      <c r="I24" s="147"/>
      <c r="J24" s="147"/>
      <c r="K24" s="149"/>
      <c r="L24" s="170"/>
    </row>
    <row r="25" spans="1:12" ht="30" customHeight="1" thickBot="1" x14ac:dyDescent="0.4">
      <c r="A25" s="193" t="s">
        <v>12</v>
      </c>
      <c r="B25" s="193"/>
      <c r="C25" s="180">
        <v>18</v>
      </c>
      <c r="D25" s="147"/>
      <c r="E25" s="148"/>
      <c r="F25" s="182"/>
      <c r="G25" s="147"/>
      <c r="H25" s="147"/>
      <c r="I25" s="147"/>
      <c r="J25" s="147"/>
      <c r="K25" s="149"/>
      <c r="L25" s="170"/>
    </row>
    <row r="26" spans="1:12" ht="18" customHeight="1" x14ac:dyDescent="0.35">
      <c r="A26" s="120">
        <v>4</v>
      </c>
      <c r="B26" s="121"/>
      <c r="C26" s="179">
        <v>19</v>
      </c>
      <c r="D26" s="147"/>
      <c r="E26" s="148"/>
      <c r="F26" s="182"/>
      <c r="G26" s="147"/>
      <c r="H26" s="147"/>
      <c r="I26" s="147"/>
      <c r="J26" s="147"/>
      <c r="K26" s="149"/>
      <c r="L26" s="170"/>
    </row>
    <row r="27" spans="1:12" ht="24.6" x14ac:dyDescent="0.35">
      <c r="A27" s="122">
        <f>IFERROR(INDEX($D$8:$D$405,$A$26),"")</f>
        <v>0</v>
      </c>
      <c r="B27" s="123"/>
      <c r="C27" s="180">
        <v>20</v>
      </c>
      <c r="D27" s="147"/>
      <c r="E27" s="148"/>
      <c r="F27" s="182"/>
      <c r="G27" s="147"/>
      <c r="H27" s="147"/>
      <c r="I27" s="147"/>
      <c r="J27" s="147"/>
      <c r="K27" s="149"/>
      <c r="L27" s="170"/>
    </row>
    <row r="28" spans="1:12" ht="24.6" x14ac:dyDescent="0.35">
      <c r="A28" s="122" t="str">
        <f>IFERROR(VLOOKUP($A$27,$D$21:$N$805,7,0),"")</f>
        <v/>
      </c>
      <c r="B28" s="123"/>
      <c r="C28" s="179">
        <v>21</v>
      </c>
      <c r="D28" s="147"/>
      <c r="E28" s="148"/>
      <c r="F28" s="182"/>
      <c r="G28" s="147"/>
      <c r="H28" s="147"/>
      <c r="I28" s="147"/>
      <c r="J28" s="147"/>
      <c r="K28" s="149"/>
      <c r="L28" s="170"/>
    </row>
    <row r="29" spans="1:12" ht="24.6" x14ac:dyDescent="0.35">
      <c r="A29" s="189"/>
      <c r="B29" s="190"/>
      <c r="C29" s="180">
        <v>22</v>
      </c>
      <c r="D29" s="147"/>
      <c r="E29" s="148"/>
      <c r="F29" s="182"/>
      <c r="G29" s="147"/>
      <c r="H29" s="147"/>
      <c r="I29" s="147"/>
      <c r="J29" s="147"/>
      <c r="K29" s="149"/>
      <c r="L29" s="170"/>
    </row>
    <row r="30" spans="1:12" ht="24.6" x14ac:dyDescent="0.35">
      <c r="A30" s="124"/>
      <c r="B30" s="125"/>
      <c r="C30" s="179">
        <v>23</v>
      </c>
      <c r="D30" s="147"/>
      <c r="E30" s="148"/>
      <c r="F30" s="182"/>
      <c r="G30" s="147"/>
      <c r="H30" s="147"/>
      <c r="I30" s="147"/>
      <c r="J30" s="147"/>
      <c r="K30" s="149"/>
      <c r="L30" s="170"/>
    </row>
    <row r="31" spans="1:12" ht="24.6" x14ac:dyDescent="0.35">
      <c r="A31" s="126"/>
      <c r="B31" s="125"/>
      <c r="C31" s="180">
        <v>24</v>
      </c>
      <c r="D31" s="147"/>
      <c r="E31" s="148"/>
      <c r="F31" s="182"/>
      <c r="G31" s="147"/>
      <c r="H31" s="147"/>
      <c r="I31" s="147"/>
      <c r="J31" s="147"/>
      <c r="K31" s="149"/>
      <c r="L31" s="170"/>
    </row>
    <row r="32" spans="1:12" ht="24.6" x14ac:dyDescent="0.35">
      <c r="A32" s="124"/>
      <c r="B32" s="125"/>
      <c r="C32" s="179">
        <v>25</v>
      </c>
      <c r="D32" s="147"/>
      <c r="E32" s="148"/>
      <c r="F32" s="182"/>
      <c r="G32" s="147"/>
      <c r="H32" s="147"/>
      <c r="I32" s="147"/>
      <c r="J32" s="147"/>
      <c r="K32" s="149"/>
      <c r="L32" s="170"/>
    </row>
    <row r="33" spans="1:14" ht="25.2" thickBot="1" x14ac:dyDescent="0.4">
      <c r="A33" s="127"/>
      <c r="B33" s="128"/>
      <c r="C33" s="180">
        <v>26</v>
      </c>
      <c r="D33" s="147"/>
      <c r="E33" s="148"/>
      <c r="F33" s="182"/>
      <c r="G33" s="147"/>
      <c r="H33" s="147"/>
      <c r="I33" s="147"/>
      <c r="J33" s="147"/>
      <c r="K33" s="149"/>
      <c r="L33" s="170"/>
    </row>
    <row r="34" spans="1:14" ht="24.6" x14ac:dyDescent="0.35">
      <c r="A34" s="119"/>
      <c r="B34" s="119"/>
      <c r="C34" s="179">
        <v>27</v>
      </c>
      <c r="D34" s="147"/>
      <c r="E34" s="148"/>
      <c r="F34" s="182"/>
      <c r="G34" s="147"/>
      <c r="H34" s="147"/>
      <c r="I34" s="147"/>
      <c r="J34" s="147"/>
      <c r="K34" s="149"/>
      <c r="L34" s="170"/>
      <c r="M34" s="156"/>
      <c r="N34" s="130"/>
    </row>
    <row r="35" spans="1:14" ht="24.6" x14ac:dyDescent="0.35">
      <c r="A35" s="119"/>
      <c r="B35" s="119"/>
      <c r="C35" s="180">
        <v>28</v>
      </c>
      <c r="D35" s="147"/>
      <c r="E35" s="148"/>
      <c r="F35" s="182"/>
      <c r="G35" s="147"/>
      <c r="H35" s="147"/>
      <c r="I35" s="147"/>
      <c r="J35" s="147"/>
      <c r="K35" s="149"/>
      <c r="L35" s="170"/>
      <c r="M35" s="156"/>
      <c r="N35" s="130"/>
    </row>
    <row r="36" spans="1:14" ht="24.6" x14ac:dyDescent="0.35">
      <c r="A36" s="119"/>
      <c r="B36" s="119"/>
      <c r="C36" s="179">
        <v>29</v>
      </c>
      <c r="D36" s="147"/>
      <c r="E36" s="148"/>
      <c r="F36" s="182"/>
      <c r="G36" s="147"/>
      <c r="H36" s="147"/>
      <c r="I36" s="147"/>
      <c r="J36" s="147"/>
      <c r="K36" s="149"/>
      <c r="L36" s="170"/>
      <c r="M36" s="156"/>
      <c r="N36" s="130"/>
    </row>
    <row r="37" spans="1:14" ht="24.6" x14ac:dyDescent="0.35">
      <c r="A37" s="119"/>
      <c r="B37" s="119"/>
      <c r="C37" s="180">
        <v>30</v>
      </c>
      <c r="D37" s="147"/>
      <c r="E37" s="148"/>
      <c r="F37" s="182"/>
      <c r="G37" s="147"/>
      <c r="H37" s="147"/>
      <c r="I37" s="147"/>
      <c r="J37" s="147"/>
      <c r="K37" s="149"/>
      <c r="L37" s="170"/>
      <c r="M37" s="156"/>
      <c r="N37" s="130"/>
    </row>
    <row r="38" spans="1:14" ht="24.6" x14ac:dyDescent="0.35">
      <c r="A38" s="119"/>
      <c r="B38" s="119"/>
      <c r="C38" s="179">
        <v>31</v>
      </c>
      <c r="D38" s="147"/>
      <c r="E38" s="148"/>
      <c r="F38" s="182"/>
      <c r="G38" s="147"/>
      <c r="H38" s="147"/>
      <c r="I38" s="147"/>
      <c r="J38" s="147"/>
      <c r="K38" s="149"/>
      <c r="L38" s="170"/>
      <c r="M38" s="156"/>
      <c r="N38" s="130"/>
    </row>
    <row r="39" spans="1:14" ht="24.6" x14ac:dyDescent="0.35">
      <c r="A39" s="119"/>
      <c r="B39" s="119"/>
      <c r="C39" s="180">
        <v>32</v>
      </c>
      <c r="D39" s="147"/>
      <c r="E39" s="148"/>
      <c r="F39" s="182"/>
      <c r="G39" s="147"/>
      <c r="H39" s="147"/>
      <c r="I39" s="147"/>
      <c r="J39" s="147"/>
      <c r="K39" s="149"/>
      <c r="L39" s="170"/>
      <c r="M39" s="156"/>
      <c r="N39" s="130"/>
    </row>
    <row r="40" spans="1:14" ht="24.6" x14ac:dyDescent="0.35">
      <c r="A40" s="119"/>
      <c r="B40" s="119"/>
      <c r="C40" s="179">
        <v>33</v>
      </c>
      <c r="D40" s="147"/>
      <c r="E40" s="148"/>
      <c r="F40" s="182"/>
      <c r="G40" s="147"/>
      <c r="H40" s="147"/>
      <c r="I40" s="147"/>
      <c r="J40" s="147"/>
      <c r="K40" s="149"/>
      <c r="L40" s="170"/>
      <c r="M40" s="156"/>
      <c r="N40" s="130"/>
    </row>
    <row r="41" spans="1:14" ht="24.6" x14ac:dyDescent="0.35">
      <c r="A41" s="119"/>
      <c r="B41" s="119"/>
      <c r="C41" s="180">
        <v>34</v>
      </c>
      <c r="D41" s="147"/>
      <c r="E41" s="148"/>
      <c r="F41" s="182"/>
      <c r="G41" s="147"/>
      <c r="H41" s="147"/>
      <c r="I41" s="147"/>
      <c r="J41" s="147"/>
      <c r="K41" s="149"/>
      <c r="L41" s="170"/>
      <c r="M41" s="156"/>
      <c r="N41" s="130"/>
    </row>
    <row r="42" spans="1:14" ht="24.6" x14ac:dyDescent="0.35">
      <c r="A42" s="119"/>
      <c r="B42" s="119"/>
      <c r="C42" s="179">
        <v>35</v>
      </c>
      <c r="D42" s="147"/>
      <c r="E42" s="148"/>
      <c r="F42" s="182"/>
      <c r="G42" s="147"/>
      <c r="H42" s="147"/>
      <c r="I42" s="147"/>
      <c r="J42" s="147"/>
      <c r="K42" s="149"/>
      <c r="L42" s="170"/>
      <c r="M42" s="156"/>
      <c r="N42" s="130"/>
    </row>
    <row r="43" spans="1:14" ht="24.6" x14ac:dyDescent="0.35">
      <c r="A43" s="119"/>
      <c r="B43" s="119"/>
      <c r="C43" s="180">
        <v>36</v>
      </c>
      <c r="D43" s="147"/>
      <c r="E43" s="148"/>
      <c r="F43" s="182"/>
      <c r="G43" s="147"/>
      <c r="H43" s="147"/>
      <c r="I43" s="147"/>
      <c r="J43" s="147"/>
      <c r="K43" s="149"/>
      <c r="L43" s="170"/>
      <c r="M43" s="156"/>
      <c r="N43" s="130"/>
    </row>
    <row r="44" spans="1:14" ht="24.6" x14ac:dyDescent="0.35">
      <c r="A44" s="119"/>
      <c r="B44" s="119"/>
      <c r="C44" s="179">
        <v>37</v>
      </c>
      <c r="D44" s="147"/>
      <c r="E44" s="148"/>
      <c r="F44" s="182"/>
      <c r="G44" s="147"/>
      <c r="H44" s="147"/>
      <c r="I44" s="147"/>
      <c r="J44" s="147"/>
      <c r="K44" s="149"/>
      <c r="L44" s="170"/>
      <c r="M44" s="156"/>
      <c r="N44" s="130"/>
    </row>
    <row r="45" spans="1:14" ht="24.6" x14ac:dyDescent="0.35">
      <c r="A45" s="119"/>
      <c r="B45" s="119"/>
      <c r="C45" s="180">
        <v>38</v>
      </c>
      <c r="D45" s="147"/>
      <c r="E45" s="148"/>
      <c r="F45" s="182"/>
      <c r="G45" s="147"/>
      <c r="H45" s="147"/>
      <c r="I45" s="147"/>
      <c r="J45" s="147"/>
      <c r="K45" s="149"/>
      <c r="L45" s="170"/>
      <c r="M45" s="156"/>
      <c r="N45" s="130"/>
    </row>
    <row r="46" spans="1:14" ht="24.6" x14ac:dyDescent="0.35">
      <c r="A46" s="119"/>
      <c r="B46" s="119"/>
      <c r="C46" s="179">
        <v>39</v>
      </c>
      <c r="D46" s="147"/>
      <c r="E46" s="148"/>
      <c r="F46" s="182"/>
      <c r="G46" s="147"/>
      <c r="H46" s="147"/>
      <c r="I46" s="147"/>
      <c r="J46" s="147"/>
      <c r="K46" s="149"/>
      <c r="L46" s="170"/>
      <c r="M46" s="156"/>
      <c r="N46" s="130"/>
    </row>
    <row r="47" spans="1:14" ht="24.6" x14ac:dyDescent="0.35">
      <c r="A47" s="119"/>
      <c r="B47" s="119"/>
      <c r="C47" s="180">
        <v>40</v>
      </c>
      <c r="D47" s="147"/>
      <c r="E47" s="148"/>
      <c r="F47" s="182"/>
      <c r="G47" s="147"/>
      <c r="H47" s="147"/>
      <c r="I47" s="147"/>
      <c r="J47" s="147"/>
      <c r="K47" s="149"/>
      <c r="L47" s="170"/>
      <c r="M47" s="156"/>
      <c r="N47" s="130"/>
    </row>
    <row r="48" spans="1:14" ht="24.6" x14ac:dyDescent="0.35">
      <c r="A48" s="119"/>
      <c r="B48" s="119"/>
      <c r="C48" s="179">
        <v>41</v>
      </c>
      <c r="D48" s="147"/>
      <c r="E48" s="148"/>
      <c r="F48" s="182"/>
      <c r="G48" s="147"/>
      <c r="H48" s="147"/>
      <c r="I48" s="147"/>
      <c r="J48" s="147"/>
      <c r="K48" s="149"/>
      <c r="L48" s="170"/>
      <c r="M48" s="156"/>
      <c r="N48" s="130"/>
    </row>
    <row r="49" spans="1:14" ht="24.6" x14ac:dyDescent="0.35">
      <c r="A49" s="119"/>
      <c r="B49" s="119"/>
      <c r="C49" s="180">
        <v>42</v>
      </c>
      <c r="D49" s="147"/>
      <c r="E49" s="148"/>
      <c r="F49" s="182"/>
      <c r="G49" s="147"/>
      <c r="H49" s="147"/>
      <c r="I49" s="147"/>
      <c r="J49" s="147"/>
      <c r="K49" s="149"/>
      <c r="L49" s="170"/>
      <c r="M49" s="156"/>
      <c r="N49" s="130"/>
    </row>
    <row r="50" spans="1:14" ht="24.6" x14ac:dyDescent="0.35">
      <c r="A50" s="119"/>
      <c r="B50" s="119"/>
      <c r="C50" s="179">
        <v>43</v>
      </c>
      <c r="D50" s="147"/>
      <c r="E50" s="148"/>
      <c r="F50" s="182"/>
      <c r="G50" s="147"/>
      <c r="H50" s="147"/>
      <c r="I50" s="147"/>
      <c r="J50" s="147"/>
      <c r="K50" s="149"/>
      <c r="L50" s="170"/>
      <c r="M50" s="156"/>
      <c r="N50" s="130"/>
    </row>
    <row r="51" spans="1:14" ht="24.6" x14ac:dyDescent="0.35">
      <c r="A51" s="119"/>
      <c r="B51" s="119"/>
      <c r="C51" s="180">
        <v>44</v>
      </c>
      <c r="D51" s="147"/>
      <c r="E51" s="148"/>
      <c r="F51" s="182"/>
      <c r="G51" s="147"/>
      <c r="H51" s="147"/>
      <c r="I51" s="147"/>
      <c r="J51" s="147"/>
      <c r="K51" s="149"/>
      <c r="L51" s="170"/>
      <c r="M51" s="156"/>
      <c r="N51" s="130"/>
    </row>
    <row r="52" spans="1:14" ht="24.6" x14ac:dyDescent="0.35">
      <c r="A52" s="119"/>
      <c r="B52" s="119"/>
      <c r="C52" s="179">
        <v>45</v>
      </c>
      <c r="D52" s="147"/>
      <c r="E52" s="148"/>
      <c r="F52" s="182"/>
      <c r="G52" s="147"/>
      <c r="H52" s="147"/>
      <c r="I52" s="147"/>
      <c r="J52" s="147"/>
      <c r="K52" s="149"/>
      <c r="L52" s="170"/>
      <c r="M52" s="156"/>
      <c r="N52" s="130"/>
    </row>
    <row r="53" spans="1:14" ht="24.6" x14ac:dyDescent="0.35">
      <c r="A53" s="119"/>
      <c r="B53" s="119"/>
      <c r="C53" s="180">
        <v>46</v>
      </c>
      <c r="D53" s="147"/>
      <c r="E53" s="148"/>
      <c r="F53" s="182"/>
      <c r="G53" s="147"/>
      <c r="H53" s="147"/>
      <c r="I53" s="147"/>
      <c r="J53" s="147"/>
      <c r="K53" s="149"/>
      <c r="L53" s="170"/>
      <c r="M53" s="156"/>
      <c r="N53" s="130"/>
    </row>
    <row r="54" spans="1:14" ht="24.6" x14ac:dyDescent="0.35">
      <c r="A54" s="119"/>
      <c r="B54" s="119"/>
      <c r="C54" s="179">
        <v>47</v>
      </c>
      <c r="D54" s="147"/>
      <c r="E54" s="148"/>
      <c r="F54" s="182"/>
      <c r="G54" s="147"/>
      <c r="H54" s="147"/>
      <c r="I54" s="147"/>
      <c r="J54" s="147"/>
      <c r="K54" s="149"/>
      <c r="L54" s="170"/>
      <c r="M54" s="156"/>
      <c r="N54" s="130"/>
    </row>
    <row r="55" spans="1:14" ht="24.6" x14ac:dyDescent="0.35">
      <c r="A55" s="119"/>
      <c r="B55" s="119"/>
      <c r="C55" s="180">
        <v>48</v>
      </c>
      <c r="D55" s="147"/>
      <c r="E55" s="148"/>
      <c r="F55" s="182"/>
      <c r="G55" s="147"/>
      <c r="H55" s="147"/>
      <c r="I55" s="147"/>
      <c r="J55" s="147"/>
      <c r="K55" s="149"/>
      <c r="L55" s="170"/>
      <c r="M55" s="156"/>
      <c r="N55" s="130"/>
    </row>
    <row r="56" spans="1:14" ht="24.6" x14ac:dyDescent="0.35">
      <c r="A56" s="119"/>
      <c r="B56" s="119"/>
      <c r="C56" s="179">
        <v>49</v>
      </c>
      <c r="D56" s="147"/>
      <c r="E56" s="148"/>
      <c r="F56" s="182"/>
      <c r="G56" s="147"/>
      <c r="H56" s="147"/>
      <c r="I56" s="147"/>
      <c r="J56" s="147"/>
      <c r="K56" s="149"/>
      <c r="L56" s="170"/>
      <c r="M56" s="156"/>
      <c r="N56" s="130"/>
    </row>
    <row r="57" spans="1:14" ht="24.6" x14ac:dyDescent="0.35">
      <c r="A57" s="119"/>
      <c r="B57" s="119"/>
      <c r="C57" s="180">
        <v>50</v>
      </c>
      <c r="D57" s="147"/>
      <c r="E57" s="148"/>
      <c r="F57" s="182"/>
      <c r="G57" s="147"/>
      <c r="H57" s="147"/>
      <c r="I57" s="147"/>
      <c r="J57" s="147"/>
      <c r="K57" s="149"/>
      <c r="L57" s="170"/>
      <c r="M57" s="156"/>
      <c r="N57" s="130"/>
    </row>
    <row r="58" spans="1:14" ht="24.6" x14ac:dyDescent="0.35">
      <c r="A58" s="119"/>
      <c r="B58" s="119"/>
      <c r="C58" s="179">
        <v>51</v>
      </c>
      <c r="D58" s="147"/>
      <c r="E58" s="148"/>
      <c r="F58" s="182"/>
      <c r="G58" s="147"/>
      <c r="H58" s="147"/>
      <c r="I58" s="147"/>
      <c r="J58" s="147"/>
      <c r="K58" s="149"/>
      <c r="L58" s="170"/>
      <c r="M58" s="156"/>
      <c r="N58" s="130"/>
    </row>
    <row r="59" spans="1:14" ht="24.6" x14ac:dyDescent="0.35">
      <c r="A59" s="119"/>
      <c r="B59" s="119"/>
      <c r="C59" s="180">
        <v>52</v>
      </c>
      <c r="D59" s="147"/>
      <c r="E59" s="148"/>
      <c r="F59" s="182"/>
      <c r="G59" s="147"/>
      <c r="H59" s="147"/>
      <c r="I59" s="147"/>
      <c r="J59" s="147"/>
      <c r="K59" s="149"/>
      <c r="L59" s="170"/>
      <c r="M59" s="156"/>
      <c r="N59" s="130"/>
    </row>
    <row r="60" spans="1:14" ht="24.6" x14ac:dyDescent="0.35">
      <c r="A60" s="119"/>
      <c r="B60" s="119"/>
      <c r="C60" s="179">
        <v>53</v>
      </c>
      <c r="D60" s="147"/>
      <c r="E60" s="148"/>
      <c r="F60" s="182"/>
      <c r="G60" s="147"/>
      <c r="H60" s="147"/>
      <c r="I60" s="147"/>
      <c r="J60" s="147"/>
      <c r="K60" s="149"/>
      <c r="L60" s="170"/>
      <c r="M60" s="156"/>
      <c r="N60" s="130"/>
    </row>
    <row r="61" spans="1:14" ht="24.6" x14ac:dyDescent="0.35">
      <c r="A61" s="119"/>
      <c r="B61" s="119"/>
      <c r="C61" s="180">
        <v>54</v>
      </c>
      <c r="D61" s="147"/>
      <c r="E61" s="148"/>
      <c r="F61" s="182"/>
      <c r="G61" s="147"/>
      <c r="H61" s="147"/>
      <c r="I61" s="147"/>
      <c r="J61" s="147"/>
      <c r="K61" s="149"/>
      <c r="L61" s="170"/>
      <c r="M61" s="156"/>
      <c r="N61" s="130"/>
    </row>
    <row r="62" spans="1:14" ht="24.6" x14ac:dyDescent="0.35">
      <c r="A62" s="119"/>
      <c r="B62" s="119"/>
      <c r="C62" s="179">
        <v>55</v>
      </c>
      <c r="D62" s="147"/>
      <c r="E62" s="148"/>
      <c r="F62" s="182"/>
      <c r="G62" s="147"/>
      <c r="H62" s="147"/>
      <c r="I62" s="147"/>
      <c r="J62" s="147"/>
      <c r="K62" s="149"/>
      <c r="L62" s="170"/>
      <c r="M62" s="156"/>
      <c r="N62" s="130"/>
    </row>
    <row r="63" spans="1:14" ht="24.6" x14ac:dyDescent="0.35">
      <c r="A63" s="119"/>
      <c r="B63" s="119"/>
      <c r="C63" s="180">
        <v>56</v>
      </c>
      <c r="D63" s="147"/>
      <c r="E63" s="148"/>
      <c r="F63" s="182"/>
      <c r="G63" s="147"/>
      <c r="H63" s="147"/>
      <c r="I63" s="147"/>
      <c r="J63" s="147"/>
      <c r="K63" s="149"/>
      <c r="L63" s="170"/>
      <c r="M63" s="156"/>
      <c r="N63" s="130"/>
    </row>
    <row r="64" spans="1:14" ht="24.6" x14ac:dyDescent="0.35">
      <c r="A64" s="119"/>
      <c r="B64" s="119"/>
      <c r="C64" s="179">
        <v>57</v>
      </c>
      <c r="D64" s="147"/>
      <c r="E64" s="148"/>
      <c r="F64" s="182"/>
      <c r="G64" s="147"/>
      <c r="H64" s="147"/>
      <c r="I64" s="147"/>
      <c r="J64" s="147"/>
      <c r="K64" s="149"/>
      <c r="L64" s="170"/>
      <c r="M64" s="156"/>
      <c r="N64" s="130"/>
    </row>
    <row r="65" spans="1:14" ht="24.6" x14ac:dyDescent="0.35">
      <c r="A65" s="119"/>
      <c r="B65" s="119"/>
      <c r="C65" s="180">
        <v>58</v>
      </c>
      <c r="D65" s="147"/>
      <c r="E65" s="148"/>
      <c r="F65" s="182"/>
      <c r="G65" s="147"/>
      <c r="H65" s="147"/>
      <c r="I65" s="147"/>
      <c r="J65" s="147"/>
      <c r="K65" s="149"/>
      <c r="L65" s="170"/>
      <c r="M65" s="156"/>
      <c r="N65" s="130"/>
    </row>
    <row r="66" spans="1:14" ht="24.6" x14ac:dyDescent="0.35">
      <c r="A66" s="119"/>
      <c r="B66" s="119"/>
      <c r="C66" s="179">
        <v>59</v>
      </c>
      <c r="D66" s="147"/>
      <c r="E66" s="148"/>
      <c r="F66" s="182"/>
      <c r="G66" s="147"/>
      <c r="H66" s="147"/>
      <c r="I66" s="147"/>
      <c r="J66" s="147"/>
      <c r="K66" s="149"/>
      <c r="L66" s="170"/>
      <c r="M66" s="156"/>
      <c r="N66" s="130"/>
    </row>
    <row r="67" spans="1:14" ht="24.6" x14ac:dyDescent="0.35">
      <c r="A67" s="119"/>
      <c r="B67" s="119"/>
      <c r="C67" s="180">
        <v>60</v>
      </c>
      <c r="D67" s="147"/>
      <c r="E67" s="148"/>
      <c r="F67" s="182"/>
      <c r="G67" s="147"/>
      <c r="H67" s="147"/>
      <c r="I67" s="147"/>
      <c r="J67" s="147"/>
      <c r="K67" s="149"/>
      <c r="L67" s="170"/>
      <c r="M67" s="156"/>
      <c r="N67" s="130"/>
    </row>
    <row r="68" spans="1:14" ht="24.6" x14ac:dyDescent="0.35">
      <c r="A68" s="119"/>
      <c r="B68" s="119"/>
      <c r="C68" s="179">
        <v>61</v>
      </c>
      <c r="D68" s="147"/>
      <c r="E68" s="148"/>
      <c r="F68" s="182"/>
      <c r="G68" s="147"/>
      <c r="H68" s="147"/>
      <c r="I68" s="147"/>
      <c r="J68" s="147"/>
      <c r="K68" s="149"/>
      <c r="L68" s="170"/>
      <c r="M68" s="156"/>
      <c r="N68" s="130"/>
    </row>
    <row r="69" spans="1:14" ht="24.6" x14ac:dyDescent="0.35">
      <c r="A69" s="119"/>
      <c r="B69" s="119"/>
      <c r="C69" s="180">
        <v>62</v>
      </c>
      <c r="D69" s="147"/>
      <c r="E69" s="148"/>
      <c r="F69" s="182"/>
      <c r="G69" s="147"/>
      <c r="H69" s="147"/>
      <c r="I69" s="147"/>
      <c r="J69" s="147"/>
      <c r="K69" s="149"/>
      <c r="L69" s="170"/>
      <c r="M69" s="156"/>
      <c r="N69" s="130"/>
    </row>
    <row r="70" spans="1:14" ht="24.6" x14ac:dyDescent="0.35">
      <c r="A70" s="119"/>
      <c r="B70" s="119"/>
      <c r="C70" s="179">
        <v>63</v>
      </c>
      <c r="D70" s="147"/>
      <c r="E70" s="148"/>
      <c r="F70" s="182"/>
      <c r="G70" s="147"/>
      <c r="H70" s="147"/>
      <c r="I70" s="147"/>
      <c r="J70" s="147"/>
      <c r="K70" s="149"/>
      <c r="L70" s="170"/>
      <c r="M70" s="156"/>
      <c r="N70" s="130"/>
    </row>
    <row r="71" spans="1:14" ht="24.6" x14ac:dyDescent="0.35">
      <c r="A71" s="119"/>
      <c r="B71" s="119"/>
      <c r="C71" s="180">
        <v>64</v>
      </c>
      <c r="D71" s="147"/>
      <c r="E71" s="148"/>
      <c r="F71" s="182"/>
      <c r="G71" s="147"/>
      <c r="H71" s="147"/>
      <c r="I71" s="147"/>
      <c r="J71" s="147"/>
      <c r="K71" s="149"/>
      <c r="L71" s="170"/>
      <c r="M71" s="156"/>
      <c r="N71" s="130"/>
    </row>
    <row r="72" spans="1:14" ht="24.6" x14ac:dyDescent="0.35">
      <c r="A72" s="119"/>
      <c r="B72" s="119"/>
      <c r="C72" s="179">
        <v>65</v>
      </c>
      <c r="D72" s="147"/>
      <c r="E72" s="148"/>
      <c r="F72" s="182"/>
      <c r="G72" s="147"/>
      <c r="H72" s="147"/>
      <c r="I72" s="147"/>
      <c r="J72" s="147"/>
      <c r="K72" s="149"/>
      <c r="L72" s="170"/>
      <c r="M72" s="156"/>
      <c r="N72" s="130"/>
    </row>
    <row r="73" spans="1:14" ht="24.6" x14ac:dyDescent="0.35">
      <c r="A73" s="119"/>
      <c r="B73" s="119"/>
      <c r="C73" s="180">
        <v>66</v>
      </c>
      <c r="D73" s="147"/>
      <c r="E73" s="148"/>
      <c r="F73" s="182"/>
      <c r="G73" s="147"/>
      <c r="H73" s="147"/>
      <c r="I73" s="147"/>
      <c r="J73" s="147"/>
      <c r="K73" s="149"/>
      <c r="L73" s="170"/>
      <c r="M73" s="156"/>
      <c r="N73" s="130"/>
    </row>
    <row r="74" spans="1:14" ht="24.6" x14ac:dyDescent="0.35">
      <c r="A74" s="119"/>
      <c r="B74" s="119"/>
      <c r="C74" s="179">
        <v>67</v>
      </c>
      <c r="D74" s="147"/>
      <c r="E74" s="148"/>
      <c r="F74" s="182"/>
      <c r="G74" s="147"/>
      <c r="H74" s="147"/>
      <c r="I74" s="147"/>
      <c r="J74" s="147"/>
      <c r="K74" s="149"/>
      <c r="L74" s="170"/>
      <c r="M74" s="156"/>
      <c r="N74" s="130"/>
    </row>
    <row r="75" spans="1:14" ht="24.6" x14ac:dyDescent="0.35">
      <c r="A75" s="119"/>
      <c r="B75" s="119"/>
      <c r="C75" s="180">
        <v>68</v>
      </c>
      <c r="D75" s="147"/>
      <c r="E75" s="148"/>
      <c r="F75" s="182"/>
      <c r="G75" s="147"/>
      <c r="H75" s="147"/>
      <c r="I75" s="147"/>
      <c r="J75" s="147"/>
      <c r="K75" s="149"/>
      <c r="L75" s="170"/>
      <c r="M75" s="156"/>
      <c r="N75" s="130"/>
    </row>
    <row r="76" spans="1:14" ht="24.6" x14ac:dyDescent="0.35">
      <c r="A76" s="119"/>
      <c r="B76" s="119"/>
      <c r="C76" s="179">
        <v>69</v>
      </c>
      <c r="D76" s="147"/>
      <c r="E76" s="148"/>
      <c r="F76" s="182"/>
      <c r="G76" s="147"/>
      <c r="H76" s="147"/>
      <c r="I76" s="147"/>
      <c r="J76" s="147"/>
      <c r="K76" s="149"/>
      <c r="L76" s="170"/>
      <c r="M76" s="156"/>
      <c r="N76" s="130"/>
    </row>
    <row r="77" spans="1:14" ht="24.6" x14ac:dyDescent="0.35">
      <c r="A77" s="119"/>
      <c r="B77" s="119"/>
      <c r="C77" s="180">
        <v>70</v>
      </c>
      <c r="D77" s="147"/>
      <c r="E77" s="148"/>
      <c r="F77" s="182"/>
      <c r="G77" s="147"/>
      <c r="H77" s="147"/>
      <c r="I77" s="147"/>
      <c r="J77" s="147"/>
      <c r="K77" s="149"/>
      <c r="L77" s="170"/>
      <c r="M77" s="156"/>
      <c r="N77" s="130"/>
    </row>
    <row r="78" spans="1:14" ht="24.6" x14ac:dyDescent="0.35">
      <c r="A78" s="119"/>
      <c r="B78" s="119"/>
      <c r="C78" s="179">
        <v>71</v>
      </c>
      <c r="D78" s="147"/>
      <c r="E78" s="148"/>
      <c r="F78" s="182"/>
      <c r="G78" s="147"/>
      <c r="H78" s="147"/>
      <c r="I78" s="147"/>
      <c r="J78" s="147"/>
      <c r="K78" s="149"/>
      <c r="L78" s="170"/>
      <c r="M78" s="156"/>
      <c r="N78" s="130"/>
    </row>
    <row r="79" spans="1:14" ht="24.6" x14ac:dyDescent="0.35">
      <c r="A79" s="119"/>
      <c r="B79" s="119"/>
      <c r="C79" s="180">
        <v>72</v>
      </c>
      <c r="D79" s="147"/>
      <c r="E79" s="148"/>
      <c r="F79" s="182"/>
      <c r="G79" s="147"/>
      <c r="H79" s="147"/>
      <c r="I79" s="147"/>
      <c r="J79" s="147"/>
      <c r="K79" s="149"/>
      <c r="L79" s="170"/>
      <c r="M79" s="156"/>
      <c r="N79" s="130"/>
    </row>
    <row r="80" spans="1:14" ht="24.6" x14ac:dyDescent="0.35">
      <c r="A80" s="119"/>
      <c r="B80" s="119"/>
      <c r="C80" s="179">
        <v>73</v>
      </c>
      <c r="D80" s="147"/>
      <c r="E80" s="148"/>
      <c r="F80" s="182"/>
      <c r="G80" s="147"/>
      <c r="H80" s="147"/>
      <c r="I80" s="147"/>
      <c r="J80" s="147"/>
      <c r="K80" s="149"/>
      <c r="L80" s="170"/>
      <c r="M80" s="156"/>
      <c r="N80" s="130"/>
    </row>
    <row r="81" spans="1:14" ht="24.6" x14ac:dyDescent="0.35">
      <c r="A81" s="119"/>
      <c r="B81" s="119"/>
      <c r="C81" s="180">
        <v>74</v>
      </c>
      <c r="D81" s="147"/>
      <c r="E81" s="148"/>
      <c r="F81" s="182"/>
      <c r="G81" s="147"/>
      <c r="H81" s="147"/>
      <c r="I81" s="147"/>
      <c r="J81" s="147"/>
      <c r="K81" s="149"/>
      <c r="L81" s="170"/>
      <c r="M81" s="156"/>
      <c r="N81" s="130"/>
    </row>
    <row r="82" spans="1:14" ht="24.6" x14ac:dyDescent="0.35">
      <c r="A82" s="119"/>
      <c r="B82" s="119"/>
      <c r="C82" s="179">
        <v>75</v>
      </c>
      <c r="D82" s="147"/>
      <c r="E82" s="148"/>
      <c r="F82" s="182"/>
      <c r="G82" s="147"/>
      <c r="H82" s="147"/>
      <c r="I82" s="147"/>
      <c r="J82" s="147"/>
      <c r="K82" s="149"/>
      <c r="L82" s="170"/>
      <c r="M82" s="156"/>
      <c r="N82" s="130"/>
    </row>
    <row r="83" spans="1:14" ht="24.6" x14ac:dyDescent="0.35">
      <c r="A83" s="119"/>
      <c r="B83" s="119"/>
      <c r="C83" s="180">
        <v>76</v>
      </c>
      <c r="D83" s="147"/>
      <c r="E83" s="148"/>
      <c r="F83" s="182"/>
      <c r="G83" s="147"/>
      <c r="H83" s="147"/>
      <c r="I83" s="147"/>
      <c r="J83" s="147"/>
      <c r="K83" s="149"/>
      <c r="L83" s="170"/>
      <c r="M83" s="156"/>
      <c r="N83" s="130"/>
    </row>
    <row r="84" spans="1:14" ht="24.6" x14ac:dyDescent="0.35">
      <c r="A84" s="119"/>
      <c r="B84" s="119"/>
      <c r="C84" s="179">
        <v>77</v>
      </c>
      <c r="D84" s="147"/>
      <c r="E84" s="148"/>
      <c r="F84" s="182"/>
      <c r="G84" s="147"/>
      <c r="H84" s="147"/>
      <c r="I84" s="147"/>
      <c r="J84" s="147"/>
      <c r="K84" s="149"/>
      <c r="L84" s="170"/>
      <c r="M84" s="156"/>
      <c r="N84" s="130"/>
    </row>
    <row r="85" spans="1:14" ht="24.6" x14ac:dyDescent="0.35">
      <c r="A85" s="119"/>
      <c r="B85" s="119"/>
      <c r="C85" s="180">
        <v>78</v>
      </c>
      <c r="D85" s="147"/>
      <c r="E85" s="148"/>
      <c r="F85" s="182"/>
      <c r="G85" s="147"/>
      <c r="H85" s="147"/>
      <c r="I85" s="147"/>
      <c r="J85" s="147"/>
      <c r="K85" s="149"/>
      <c r="L85" s="170"/>
      <c r="M85" s="156"/>
      <c r="N85" s="130"/>
    </row>
    <row r="86" spans="1:14" ht="24.6" x14ac:dyDescent="0.35">
      <c r="A86" s="119"/>
      <c r="B86" s="119"/>
      <c r="C86" s="179">
        <v>79</v>
      </c>
      <c r="D86" s="147"/>
      <c r="E86" s="148"/>
      <c r="F86" s="182"/>
      <c r="G86" s="147"/>
      <c r="H86" s="147"/>
      <c r="I86" s="147"/>
      <c r="J86" s="147"/>
      <c r="K86" s="149"/>
      <c r="L86" s="170"/>
      <c r="M86" s="156"/>
      <c r="N86" s="130"/>
    </row>
    <row r="87" spans="1:14" ht="24.6" x14ac:dyDescent="0.35">
      <c r="A87" s="119"/>
      <c r="B87" s="119"/>
      <c r="C87" s="180">
        <v>80</v>
      </c>
      <c r="D87" s="147"/>
      <c r="E87" s="148"/>
      <c r="F87" s="182"/>
      <c r="G87" s="147"/>
      <c r="H87" s="147"/>
      <c r="I87" s="147"/>
      <c r="J87" s="147"/>
      <c r="K87" s="149"/>
      <c r="L87" s="170"/>
      <c r="M87" s="156"/>
      <c r="N87" s="130"/>
    </row>
    <row r="88" spans="1:14" ht="24.6" x14ac:dyDescent="0.35">
      <c r="A88" s="119"/>
      <c r="B88" s="119"/>
      <c r="C88" s="179">
        <v>81</v>
      </c>
      <c r="D88" s="147"/>
      <c r="E88" s="148"/>
      <c r="F88" s="182"/>
      <c r="G88" s="147"/>
      <c r="H88" s="147"/>
      <c r="I88" s="147"/>
      <c r="J88" s="147"/>
      <c r="K88" s="149"/>
      <c r="L88" s="170"/>
      <c r="M88" s="156"/>
      <c r="N88" s="130"/>
    </row>
    <row r="89" spans="1:14" ht="24.6" x14ac:dyDescent="0.35">
      <c r="A89" s="119"/>
      <c r="B89" s="119"/>
      <c r="C89" s="180">
        <v>82</v>
      </c>
      <c r="D89" s="147"/>
      <c r="E89" s="148"/>
      <c r="F89" s="182"/>
      <c r="G89" s="147"/>
      <c r="H89" s="147"/>
      <c r="I89" s="147"/>
      <c r="J89" s="147"/>
      <c r="K89" s="149"/>
      <c r="L89" s="170"/>
      <c r="M89" s="156"/>
      <c r="N89" s="130"/>
    </row>
    <row r="90" spans="1:14" ht="24.6" x14ac:dyDescent="0.35">
      <c r="A90" s="119"/>
      <c r="B90" s="119"/>
      <c r="C90" s="179">
        <v>83</v>
      </c>
      <c r="D90" s="147"/>
      <c r="E90" s="148"/>
      <c r="F90" s="182"/>
      <c r="G90" s="147"/>
      <c r="H90" s="147"/>
      <c r="I90" s="147"/>
      <c r="J90" s="147"/>
      <c r="K90" s="149"/>
      <c r="L90" s="170"/>
      <c r="M90" s="156"/>
      <c r="N90" s="130"/>
    </row>
    <row r="91" spans="1:14" ht="24.6" x14ac:dyDescent="0.35">
      <c r="A91" s="119"/>
      <c r="B91" s="119"/>
      <c r="C91" s="180">
        <v>84</v>
      </c>
      <c r="D91" s="147"/>
      <c r="E91" s="148"/>
      <c r="F91" s="182"/>
      <c r="G91" s="147"/>
      <c r="H91" s="147"/>
      <c r="I91" s="147"/>
      <c r="J91" s="147"/>
      <c r="K91" s="149"/>
      <c r="L91" s="170"/>
      <c r="M91" s="156"/>
      <c r="N91" s="130"/>
    </row>
    <row r="92" spans="1:14" ht="24.6" x14ac:dyDescent="0.35">
      <c r="A92" s="119"/>
      <c r="B92" s="119"/>
      <c r="C92" s="179">
        <v>85</v>
      </c>
      <c r="D92" s="147"/>
      <c r="E92" s="148"/>
      <c r="F92" s="182"/>
      <c r="G92" s="147"/>
      <c r="H92" s="147"/>
      <c r="I92" s="147"/>
      <c r="J92" s="147"/>
      <c r="K92" s="149"/>
      <c r="L92" s="170"/>
      <c r="M92" s="156"/>
      <c r="N92" s="130"/>
    </row>
    <row r="93" spans="1:14" ht="24.6" x14ac:dyDescent="0.35">
      <c r="A93" s="119"/>
      <c r="B93" s="119"/>
      <c r="C93" s="180">
        <v>86</v>
      </c>
      <c r="D93" s="147"/>
      <c r="E93" s="148"/>
      <c r="F93" s="182"/>
      <c r="G93" s="147"/>
      <c r="H93" s="147"/>
      <c r="I93" s="147"/>
      <c r="J93" s="147"/>
      <c r="K93" s="149"/>
      <c r="L93" s="170"/>
      <c r="M93" s="156"/>
      <c r="N93" s="130"/>
    </row>
    <row r="94" spans="1:14" ht="24.6" x14ac:dyDescent="0.35">
      <c r="A94" s="119"/>
      <c r="B94" s="119"/>
      <c r="C94" s="179">
        <v>87</v>
      </c>
      <c r="D94" s="147"/>
      <c r="E94" s="148"/>
      <c r="F94" s="182"/>
      <c r="G94" s="147"/>
      <c r="H94" s="147"/>
      <c r="I94" s="147"/>
      <c r="J94" s="147"/>
      <c r="K94" s="149"/>
      <c r="L94" s="170"/>
      <c r="M94" s="156"/>
      <c r="N94" s="130"/>
    </row>
    <row r="95" spans="1:14" ht="24.6" x14ac:dyDescent="0.35">
      <c r="A95" s="119"/>
      <c r="B95" s="119"/>
      <c r="C95" s="180">
        <v>88</v>
      </c>
      <c r="D95" s="147"/>
      <c r="E95" s="148"/>
      <c r="F95" s="182"/>
      <c r="G95" s="147"/>
      <c r="H95" s="147"/>
      <c r="I95" s="147"/>
      <c r="J95" s="147"/>
      <c r="K95" s="149"/>
      <c r="L95" s="170"/>
      <c r="M95" s="156"/>
      <c r="N95" s="130"/>
    </row>
    <row r="96" spans="1:14" ht="24.6" x14ac:dyDescent="0.35">
      <c r="A96" s="119"/>
      <c r="B96" s="119"/>
      <c r="C96" s="179">
        <v>89</v>
      </c>
      <c r="D96" s="147"/>
      <c r="E96" s="148"/>
      <c r="F96" s="182"/>
      <c r="G96" s="147"/>
      <c r="H96" s="147"/>
      <c r="I96" s="147"/>
      <c r="J96" s="147"/>
      <c r="K96" s="149"/>
      <c r="L96" s="170"/>
      <c r="M96" s="156"/>
      <c r="N96" s="130"/>
    </row>
    <row r="97" spans="1:14" ht="24.6" x14ac:dyDescent="0.35">
      <c r="A97" s="119"/>
      <c r="B97" s="119"/>
      <c r="C97" s="180">
        <v>90</v>
      </c>
      <c r="D97" s="147"/>
      <c r="E97" s="148"/>
      <c r="F97" s="182"/>
      <c r="G97" s="147"/>
      <c r="H97" s="147"/>
      <c r="I97" s="147"/>
      <c r="J97" s="147"/>
      <c r="K97" s="149"/>
      <c r="L97" s="170"/>
      <c r="M97" s="156"/>
      <c r="N97" s="130"/>
    </row>
    <row r="98" spans="1:14" ht="24.6" x14ac:dyDescent="0.35">
      <c r="A98" s="119"/>
      <c r="B98" s="119"/>
      <c r="C98" s="179">
        <v>91</v>
      </c>
      <c r="D98" s="147"/>
      <c r="E98" s="148"/>
      <c r="F98" s="182"/>
      <c r="G98" s="147"/>
      <c r="H98" s="147"/>
      <c r="I98" s="147"/>
      <c r="J98" s="147"/>
      <c r="K98" s="149"/>
      <c r="L98" s="170"/>
      <c r="M98" s="156"/>
      <c r="N98" s="130"/>
    </row>
    <row r="99" spans="1:14" ht="24.6" x14ac:dyDescent="0.35">
      <c r="A99" s="119"/>
      <c r="B99" s="119"/>
      <c r="C99" s="180">
        <v>92</v>
      </c>
      <c r="D99" s="147"/>
      <c r="E99" s="148"/>
      <c r="F99" s="182"/>
      <c r="G99" s="147"/>
      <c r="H99" s="147"/>
      <c r="I99" s="147"/>
      <c r="J99" s="147"/>
      <c r="K99" s="149"/>
      <c r="L99" s="170"/>
      <c r="M99" s="156"/>
      <c r="N99" s="130"/>
    </row>
    <row r="100" spans="1:14" ht="24.6" x14ac:dyDescent="0.35">
      <c r="A100" s="119"/>
      <c r="B100" s="119"/>
      <c r="C100" s="179">
        <v>93</v>
      </c>
      <c r="D100" s="147"/>
      <c r="E100" s="148"/>
      <c r="F100" s="182"/>
      <c r="G100" s="147"/>
      <c r="H100" s="147"/>
      <c r="I100" s="147"/>
      <c r="J100" s="147"/>
      <c r="K100" s="149"/>
      <c r="L100" s="170"/>
      <c r="M100" s="156"/>
      <c r="N100" s="130"/>
    </row>
    <row r="101" spans="1:14" ht="24.6" x14ac:dyDescent="0.35">
      <c r="A101" s="119"/>
      <c r="B101" s="119"/>
      <c r="C101" s="180">
        <v>94</v>
      </c>
      <c r="D101" s="147"/>
      <c r="E101" s="148"/>
      <c r="F101" s="182"/>
      <c r="G101" s="147"/>
      <c r="H101" s="147"/>
      <c r="I101" s="147"/>
      <c r="J101" s="147"/>
      <c r="K101" s="149"/>
      <c r="L101" s="170"/>
      <c r="M101" s="156"/>
      <c r="N101" s="130"/>
    </row>
    <row r="102" spans="1:14" ht="24.6" x14ac:dyDescent="0.35">
      <c r="A102" s="119"/>
      <c r="B102" s="119"/>
      <c r="C102" s="179">
        <v>95</v>
      </c>
      <c r="D102" s="147"/>
      <c r="E102" s="148"/>
      <c r="F102" s="182"/>
      <c r="G102" s="147"/>
      <c r="H102" s="147"/>
      <c r="I102" s="147"/>
      <c r="J102" s="147"/>
      <c r="K102" s="149"/>
      <c r="L102" s="170"/>
      <c r="M102" s="156"/>
      <c r="N102" s="130"/>
    </row>
    <row r="103" spans="1:14" ht="24.6" x14ac:dyDescent="0.35">
      <c r="A103" s="119"/>
      <c r="B103" s="119"/>
      <c r="C103" s="180">
        <v>96</v>
      </c>
      <c r="D103" s="147"/>
      <c r="E103" s="148"/>
      <c r="F103" s="182"/>
      <c r="G103" s="147"/>
      <c r="H103" s="147"/>
      <c r="I103" s="147"/>
      <c r="J103" s="147"/>
      <c r="K103" s="149"/>
      <c r="L103" s="170"/>
      <c r="M103" s="156"/>
      <c r="N103" s="130"/>
    </row>
    <row r="104" spans="1:14" ht="24.6" x14ac:dyDescent="0.35">
      <c r="A104" s="119"/>
      <c r="B104" s="119"/>
      <c r="C104" s="179">
        <v>97</v>
      </c>
      <c r="D104" s="147"/>
      <c r="E104" s="148"/>
      <c r="F104" s="182"/>
      <c r="G104" s="147"/>
      <c r="H104" s="147"/>
      <c r="I104" s="147"/>
      <c r="J104" s="147"/>
      <c r="K104" s="149"/>
      <c r="L104" s="170"/>
      <c r="M104" s="156"/>
      <c r="N104" s="130"/>
    </row>
    <row r="105" spans="1:14" ht="24.6" x14ac:dyDescent="0.35">
      <c r="A105" s="119"/>
      <c r="B105" s="119"/>
      <c r="C105" s="180">
        <v>98</v>
      </c>
      <c r="D105" s="147"/>
      <c r="E105" s="148"/>
      <c r="F105" s="182"/>
      <c r="G105" s="147"/>
      <c r="H105" s="147"/>
      <c r="I105" s="147"/>
      <c r="J105" s="147"/>
      <c r="K105" s="149"/>
      <c r="L105" s="170"/>
      <c r="M105" s="156"/>
      <c r="N105" s="130"/>
    </row>
    <row r="106" spans="1:14" ht="24.6" x14ac:dyDescent="0.35">
      <c r="A106" s="119"/>
      <c r="B106" s="119"/>
      <c r="C106" s="179">
        <v>99</v>
      </c>
      <c r="D106" s="147"/>
      <c r="E106" s="148"/>
      <c r="F106" s="182"/>
      <c r="G106" s="147"/>
      <c r="H106" s="147"/>
      <c r="I106" s="147"/>
      <c r="J106" s="147"/>
      <c r="K106" s="149"/>
      <c r="L106" s="170"/>
      <c r="M106" s="156"/>
      <c r="N106" s="130"/>
    </row>
    <row r="107" spans="1:14" ht="24.6" x14ac:dyDescent="0.35">
      <c r="A107" s="119"/>
      <c r="B107" s="119"/>
      <c r="C107" s="180">
        <v>100</v>
      </c>
      <c r="D107" s="147"/>
      <c r="E107" s="148"/>
      <c r="F107" s="182"/>
      <c r="G107" s="147"/>
      <c r="H107" s="147"/>
      <c r="I107" s="147"/>
      <c r="J107" s="147"/>
      <c r="K107" s="149"/>
      <c r="L107" s="170"/>
      <c r="M107" s="156"/>
      <c r="N107" s="130"/>
    </row>
    <row r="108" spans="1:14" ht="24.6" x14ac:dyDescent="0.35">
      <c r="A108" s="119"/>
      <c r="B108" s="119"/>
      <c r="C108" s="179">
        <v>101</v>
      </c>
      <c r="D108" s="147"/>
      <c r="E108" s="148"/>
      <c r="F108" s="182"/>
      <c r="G108" s="147"/>
      <c r="H108" s="147"/>
      <c r="I108" s="147"/>
      <c r="J108" s="147"/>
      <c r="K108" s="149"/>
      <c r="L108" s="170"/>
      <c r="M108" s="156"/>
      <c r="N108" s="130"/>
    </row>
    <row r="109" spans="1:14" ht="24.6" x14ac:dyDescent="0.35">
      <c r="A109" s="119"/>
      <c r="B109" s="119"/>
      <c r="C109" s="180">
        <v>102</v>
      </c>
      <c r="D109" s="147"/>
      <c r="E109" s="148"/>
      <c r="F109" s="182"/>
      <c r="G109" s="147"/>
      <c r="H109" s="147"/>
      <c r="I109" s="147"/>
      <c r="J109" s="147"/>
      <c r="K109" s="149"/>
      <c r="L109" s="170"/>
      <c r="M109" s="156"/>
      <c r="N109" s="130"/>
    </row>
    <row r="110" spans="1:14" ht="24.6" x14ac:dyDescent="0.35">
      <c r="A110" s="119"/>
      <c r="B110" s="119"/>
      <c r="C110" s="179">
        <v>103</v>
      </c>
      <c r="D110" s="147"/>
      <c r="E110" s="148"/>
      <c r="F110" s="182"/>
      <c r="G110" s="147"/>
      <c r="H110" s="147"/>
      <c r="I110" s="147"/>
      <c r="J110" s="147"/>
      <c r="K110" s="149"/>
      <c r="L110" s="170"/>
      <c r="M110" s="156"/>
      <c r="N110" s="130"/>
    </row>
    <row r="111" spans="1:14" ht="24.6" x14ac:dyDescent="0.35">
      <c r="A111" s="119"/>
      <c r="B111" s="119"/>
      <c r="C111" s="180">
        <v>104</v>
      </c>
      <c r="D111" s="147"/>
      <c r="E111" s="148"/>
      <c r="F111" s="182"/>
      <c r="G111" s="147"/>
      <c r="H111" s="147"/>
      <c r="I111" s="147"/>
      <c r="J111" s="147"/>
      <c r="K111" s="149"/>
      <c r="L111" s="170"/>
      <c r="M111" s="156"/>
      <c r="N111" s="130"/>
    </row>
    <row r="112" spans="1:14" ht="24.6" x14ac:dyDescent="0.35">
      <c r="A112" s="119"/>
      <c r="B112" s="119"/>
      <c r="C112" s="179">
        <v>105</v>
      </c>
      <c r="D112" s="147"/>
      <c r="E112" s="148"/>
      <c r="F112" s="182"/>
      <c r="G112" s="147"/>
      <c r="H112" s="147"/>
      <c r="I112" s="147"/>
      <c r="J112" s="147"/>
      <c r="K112" s="149"/>
      <c r="L112" s="170"/>
      <c r="M112" s="156"/>
      <c r="N112" s="130"/>
    </row>
    <row r="113" spans="1:14" ht="24.6" x14ac:dyDescent="0.35">
      <c r="A113" s="119"/>
      <c r="B113" s="119"/>
      <c r="C113" s="180">
        <v>106</v>
      </c>
      <c r="D113" s="147"/>
      <c r="E113" s="148"/>
      <c r="F113" s="182"/>
      <c r="G113" s="147"/>
      <c r="H113" s="147"/>
      <c r="I113" s="147"/>
      <c r="J113" s="147"/>
      <c r="K113" s="149"/>
      <c r="L113" s="170"/>
      <c r="M113" s="156"/>
      <c r="N113" s="130"/>
    </row>
    <row r="114" spans="1:14" ht="24.6" x14ac:dyDescent="0.35">
      <c r="A114" s="119"/>
      <c r="B114" s="119"/>
      <c r="C114" s="179">
        <v>107</v>
      </c>
      <c r="D114" s="147"/>
      <c r="E114" s="148"/>
      <c r="F114" s="182"/>
      <c r="G114" s="147"/>
      <c r="H114" s="147"/>
      <c r="I114" s="147"/>
      <c r="J114" s="147"/>
      <c r="K114" s="149"/>
      <c r="L114" s="170"/>
      <c r="M114" s="156"/>
      <c r="N114" s="130"/>
    </row>
    <row r="115" spans="1:14" ht="24.6" x14ac:dyDescent="0.35">
      <c r="A115" s="119"/>
      <c r="B115" s="119"/>
      <c r="C115" s="180">
        <v>108</v>
      </c>
      <c r="D115" s="147"/>
      <c r="E115" s="148"/>
      <c r="F115" s="182"/>
      <c r="G115" s="147"/>
      <c r="H115" s="147"/>
      <c r="I115" s="147"/>
      <c r="J115" s="147"/>
      <c r="K115" s="149"/>
      <c r="L115" s="170"/>
      <c r="M115" s="156"/>
      <c r="N115" s="131"/>
    </row>
    <row r="116" spans="1:14" ht="24.6" x14ac:dyDescent="0.35">
      <c r="A116" s="119"/>
      <c r="B116" s="119"/>
      <c r="C116" s="179">
        <v>109</v>
      </c>
      <c r="D116" s="147"/>
      <c r="E116" s="148"/>
      <c r="F116" s="182"/>
      <c r="G116" s="147"/>
      <c r="H116" s="147"/>
      <c r="I116" s="147"/>
      <c r="J116" s="147"/>
      <c r="K116" s="149"/>
      <c r="L116" s="170"/>
      <c r="M116" s="156"/>
      <c r="N116" s="131"/>
    </row>
    <row r="117" spans="1:14" ht="24.6" x14ac:dyDescent="0.35">
      <c r="A117" s="119"/>
      <c r="B117" s="119"/>
      <c r="C117" s="180">
        <v>110</v>
      </c>
      <c r="D117" s="147"/>
      <c r="E117" s="148"/>
      <c r="F117" s="182"/>
      <c r="G117" s="147"/>
      <c r="H117" s="147"/>
      <c r="I117" s="147"/>
      <c r="J117" s="147"/>
      <c r="K117" s="149"/>
      <c r="L117" s="170"/>
      <c r="M117" s="156"/>
      <c r="N117" s="105"/>
    </row>
    <row r="118" spans="1:14" ht="24.6" x14ac:dyDescent="0.35">
      <c r="A118" s="119"/>
      <c r="B118" s="119"/>
      <c r="C118" s="179">
        <v>111</v>
      </c>
      <c r="D118" s="147"/>
      <c r="E118" s="148"/>
      <c r="F118" s="182"/>
      <c r="G118" s="147"/>
      <c r="H118" s="147"/>
      <c r="I118" s="147"/>
      <c r="J118" s="147"/>
      <c r="K118" s="149"/>
      <c r="L118" s="170"/>
      <c r="M118" s="156"/>
      <c r="N118" s="105"/>
    </row>
    <row r="119" spans="1:14" ht="24.6" x14ac:dyDescent="0.35">
      <c r="A119" s="119"/>
      <c r="B119" s="119"/>
      <c r="C119" s="180">
        <v>112</v>
      </c>
      <c r="D119" s="147"/>
      <c r="E119" s="148"/>
      <c r="F119" s="182"/>
      <c r="G119" s="147"/>
      <c r="H119" s="147"/>
      <c r="I119" s="147"/>
      <c r="J119" s="147"/>
      <c r="K119" s="149"/>
      <c r="L119" s="170"/>
      <c r="M119" s="156"/>
      <c r="N119" s="105"/>
    </row>
    <row r="120" spans="1:14" ht="24.6" x14ac:dyDescent="0.35">
      <c r="A120" s="119"/>
      <c r="B120" s="119"/>
      <c r="C120" s="179">
        <v>113</v>
      </c>
      <c r="D120" s="147"/>
      <c r="E120" s="148"/>
      <c r="F120" s="182"/>
      <c r="G120" s="147"/>
      <c r="H120" s="147"/>
      <c r="I120" s="147"/>
      <c r="J120" s="147"/>
      <c r="K120" s="149"/>
      <c r="L120" s="170"/>
      <c r="M120" s="156"/>
      <c r="N120" s="105"/>
    </row>
    <row r="121" spans="1:14" ht="24.6" x14ac:dyDescent="0.35">
      <c r="A121" s="119"/>
      <c r="B121" s="119"/>
      <c r="C121" s="180">
        <v>114</v>
      </c>
      <c r="D121" s="147"/>
      <c r="E121" s="148"/>
      <c r="F121" s="182"/>
      <c r="G121" s="147"/>
      <c r="H121" s="147"/>
      <c r="I121" s="147"/>
      <c r="J121" s="147"/>
      <c r="K121" s="149"/>
      <c r="L121" s="170"/>
      <c r="M121" s="156"/>
      <c r="N121" s="105"/>
    </row>
    <row r="122" spans="1:14" ht="24.6" x14ac:dyDescent="0.35">
      <c r="A122" s="119"/>
      <c r="B122" s="119"/>
      <c r="C122" s="179">
        <v>115</v>
      </c>
      <c r="D122" s="147"/>
      <c r="E122" s="148"/>
      <c r="F122" s="182"/>
      <c r="G122" s="147"/>
      <c r="H122" s="147"/>
      <c r="I122" s="147"/>
      <c r="J122" s="147"/>
      <c r="K122" s="149"/>
      <c r="L122" s="170"/>
      <c r="M122" s="156"/>
      <c r="N122" s="105"/>
    </row>
    <row r="123" spans="1:14" ht="24.6" x14ac:dyDescent="0.35">
      <c r="A123" s="119"/>
      <c r="B123" s="119"/>
      <c r="C123" s="180">
        <v>116</v>
      </c>
      <c r="D123" s="147"/>
      <c r="E123" s="148"/>
      <c r="F123" s="182"/>
      <c r="G123" s="147"/>
      <c r="H123" s="147"/>
      <c r="I123" s="147"/>
      <c r="J123" s="147"/>
      <c r="K123" s="149"/>
      <c r="L123" s="170"/>
      <c r="M123" s="156"/>
      <c r="N123" s="105"/>
    </row>
    <row r="124" spans="1:14" ht="24.6" x14ac:dyDescent="0.35">
      <c r="A124" s="119"/>
      <c r="B124" s="119"/>
      <c r="C124" s="179">
        <v>117</v>
      </c>
      <c r="D124" s="147"/>
      <c r="E124" s="148"/>
      <c r="F124" s="182"/>
      <c r="G124" s="147"/>
      <c r="H124" s="147"/>
      <c r="I124" s="147"/>
      <c r="J124" s="147"/>
      <c r="K124" s="149"/>
      <c r="L124" s="170"/>
      <c r="M124" s="156"/>
      <c r="N124" s="105"/>
    </row>
    <row r="125" spans="1:14" ht="24.6" x14ac:dyDescent="0.35">
      <c r="A125" s="119"/>
      <c r="B125" s="119"/>
      <c r="C125" s="180">
        <v>118</v>
      </c>
      <c r="D125" s="147"/>
      <c r="E125" s="148"/>
      <c r="F125" s="182"/>
      <c r="G125" s="147"/>
      <c r="H125" s="147"/>
      <c r="I125" s="147"/>
      <c r="J125" s="147"/>
      <c r="K125" s="149"/>
      <c r="L125" s="170"/>
      <c r="M125" s="156"/>
      <c r="N125" s="105"/>
    </row>
    <row r="126" spans="1:14" ht="24.6" x14ac:dyDescent="0.35">
      <c r="A126" s="119"/>
      <c r="B126" s="119"/>
      <c r="C126" s="179">
        <v>119</v>
      </c>
      <c r="D126" s="147"/>
      <c r="E126" s="148"/>
      <c r="F126" s="182"/>
      <c r="G126" s="147"/>
      <c r="H126" s="147"/>
      <c r="I126" s="147"/>
      <c r="J126" s="147"/>
      <c r="K126" s="149"/>
      <c r="L126" s="170"/>
      <c r="M126" s="156"/>
      <c r="N126" s="105"/>
    </row>
    <row r="127" spans="1:14" ht="24.6" x14ac:dyDescent="0.35">
      <c r="A127" s="119"/>
      <c r="B127" s="119"/>
      <c r="C127" s="180">
        <v>120</v>
      </c>
      <c r="D127" s="147"/>
      <c r="E127" s="148"/>
      <c r="F127" s="182"/>
      <c r="G127" s="147"/>
      <c r="H127" s="147"/>
      <c r="I127" s="147"/>
      <c r="J127" s="147"/>
      <c r="K127" s="149"/>
      <c r="L127" s="170"/>
      <c r="M127" s="156"/>
      <c r="N127" s="105"/>
    </row>
    <row r="128" spans="1:14" ht="24.6" x14ac:dyDescent="0.35">
      <c r="A128" s="119"/>
      <c r="B128" s="119"/>
      <c r="C128" s="179">
        <v>121</v>
      </c>
      <c r="D128" s="147"/>
      <c r="E128" s="148"/>
      <c r="F128" s="182"/>
      <c r="G128" s="147"/>
      <c r="H128" s="147"/>
      <c r="I128" s="147"/>
      <c r="J128" s="147"/>
      <c r="K128" s="149"/>
      <c r="L128" s="170"/>
      <c r="M128" s="156"/>
      <c r="N128" s="105"/>
    </row>
    <row r="129" spans="1:14" ht="24.6" x14ac:dyDescent="0.35">
      <c r="A129" s="119"/>
      <c r="B129" s="119"/>
      <c r="C129" s="180">
        <v>122</v>
      </c>
      <c r="D129" s="147"/>
      <c r="E129" s="148"/>
      <c r="F129" s="182"/>
      <c r="G129" s="147"/>
      <c r="H129" s="147"/>
      <c r="I129" s="147"/>
      <c r="J129" s="147"/>
      <c r="K129" s="149"/>
      <c r="L129" s="170"/>
      <c r="M129" s="156"/>
      <c r="N129" s="105"/>
    </row>
    <row r="130" spans="1:14" ht="24.6" x14ac:dyDescent="0.35">
      <c r="A130" s="119"/>
      <c r="B130" s="119"/>
      <c r="C130" s="179">
        <v>123</v>
      </c>
      <c r="D130" s="147"/>
      <c r="E130" s="148"/>
      <c r="F130" s="182"/>
      <c r="G130" s="147"/>
      <c r="H130" s="147"/>
      <c r="I130" s="147"/>
      <c r="J130" s="147"/>
      <c r="K130" s="149"/>
      <c r="L130" s="170"/>
      <c r="M130" s="156"/>
      <c r="N130" s="105"/>
    </row>
    <row r="131" spans="1:14" ht="24.6" x14ac:dyDescent="0.35">
      <c r="A131" s="119"/>
      <c r="B131" s="119"/>
      <c r="C131" s="180">
        <v>124</v>
      </c>
      <c r="D131" s="147"/>
      <c r="E131" s="148"/>
      <c r="F131" s="182"/>
      <c r="G131" s="147"/>
      <c r="H131" s="147"/>
      <c r="I131" s="147"/>
      <c r="J131" s="147"/>
      <c r="K131" s="149"/>
      <c r="L131" s="170"/>
      <c r="M131" s="156"/>
      <c r="N131" s="105"/>
    </row>
    <row r="132" spans="1:14" ht="24.6" x14ac:dyDescent="0.35">
      <c r="A132" s="119"/>
      <c r="B132" s="119"/>
      <c r="C132" s="179">
        <v>125</v>
      </c>
      <c r="D132" s="147"/>
      <c r="E132" s="148"/>
      <c r="F132" s="182"/>
      <c r="G132" s="147"/>
      <c r="H132" s="147"/>
      <c r="I132" s="147"/>
      <c r="J132" s="147"/>
      <c r="K132" s="149"/>
      <c r="L132" s="170"/>
      <c r="M132" s="156"/>
      <c r="N132" s="105"/>
    </row>
    <row r="133" spans="1:14" ht="24.6" x14ac:dyDescent="0.35">
      <c r="A133" s="119"/>
      <c r="B133" s="119"/>
      <c r="C133" s="180">
        <v>126</v>
      </c>
      <c r="D133" s="147"/>
      <c r="E133" s="148"/>
      <c r="F133" s="182"/>
      <c r="G133" s="147"/>
      <c r="H133" s="147"/>
      <c r="I133" s="147"/>
      <c r="J133" s="147"/>
      <c r="K133" s="149"/>
      <c r="L133" s="170"/>
      <c r="M133" s="156"/>
      <c r="N133" s="105"/>
    </row>
    <row r="134" spans="1:14" ht="24.6" x14ac:dyDescent="0.35">
      <c r="A134" s="119"/>
      <c r="B134" s="119"/>
      <c r="C134" s="179">
        <v>127</v>
      </c>
      <c r="D134" s="147"/>
      <c r="E134" s="148"/>
      <c r="F134" s="182"/>
      <c r="G134" s="147"/>
      <c r="H134" s="147"/>
      <c r="I134" s="147"/>
      <c r="J134" s="147"/>
      <c r="K134" s="149"/>
      <c r="L134" s="170"/>
      <c r="M134" s="156"/>
      <c r="N134" s="105"/>
    </row>
    <row r="135" spans="1:14" ht="24.6" x14ac:dyDescent="0.35">
      <c r="A135" s="119"/>
      <c r="B135" s="119"/>
      <c r="C135" s="180">
        <v>128</v>
      </c>
      <c r="D135" s="147"/>
      <c r="E135" s="148"/>
      <c r="F135" s="182"/>
      <c r="G135" s="147"/>
      <c r="H135" s="147"/>
      <c r="I135" s="147"/>
      <c r="J135" s="147"/>
      <c r="K135" s="149"/>
      <c r="L135" s="170"/>
      <c r="M135" s="156"/>
      <c r="N135" s="105"/>
    </row>
    <row r="136" spans="1:14" ht="24.6" x14ac:dyDescent="0.35">
      <c r="A136" s="119"/>
      <c r="B136" s="119"/>
      <c r="C136" s="179">
        <v>129</v>
      </c>
      <c r="D136" s="147"/>
      <c r="E136" s="148"/>
      <c r="F136" s="182"/>
      <c r="G136" s="147"/>
      <c r="H136" s="147"/>
      <c r="I136" s="147"/>
      <c r="J136" s="147"/>
      <c r="K136" s="149"/>
      <c r="L136" s="170"/>
      <c r="M136" s="156"/>
      <c r="N136" s="105"/>
    </row>
    <row r="137" spans="1:14" ht="24.6" x14ac:dyDescent="0.35">
      <c r="A137" s="119"/>
      <c r="B137" s="119"/>
      <c r="C137" s="180">
        <v>130</v>
      </c>
      <c r="D137" s="147"/>
      <c r="E137" s="148"/>
      <c r="F137" s="182"/>
      <c r="G137" s="147"/>
      <c r="H137" s="147"/>
      <c r="I137" s="147"/>
      <c r="J137" s="147"/>
      <c r="K137" s="149"/>
      <c r="L137" s="170"/>
      <c r="M137" s="156"/>
      <c r="N137" s="105"/>
    </row>
    <row r="138" spans="1:14" ht="24.6" x14ac:dyDescent="0.35">
      <c r="A138" s="119"/>
      <c r="B138" s="119"/>
      <c r="C138" s="179">
        <v>131</v>
      </c>
      <c r="D138" s="147"/>
      <c r="E138" s="148"/>
      <c r="F138" s="182"/>
      <c r="G138" s="147"/>
      <c r="H138" s="147"/>
      <c r="I138" s="147"/>
      <c r="J138" s="147"/>
      <c r="K138" s="149"/>
      <c r="L138" s="170"/>
      <c r="M138" s="156"/>
      <c r="N138" s="105"/>
    </row>
    <row r="139" spans="1:14" ht="24.6" x14ac:dyDescent="0.35">
      <c r="A139" s="119"/>
      <c r="B139" s="119"/>
      <c r="C139" s="180">
        <v>132</v>
      </c>
      <c r="D139" s="147"/>
      <c r="E139" s="148"/>
      <c r="F139" s="182"/>
      <c r="G139" s="147"/>
      <c r="H139" s="147"/>
      <c r="I139" s="147"/>
      <c r="J139" s="147"/>
      <c r="K139" s="149"/>
      <c r="L139" s="170"/>
      <c r="M139" s="156"/>
      <c r="N139" s="105"/>
    </row>
    <row r="140" spans="1:14" ht="24.6" x14ac:dyDescent="0.35">
      <c r="A140" s="119"/>
      <c r="B140" s="119"/>
      <c r="C140" s="179">
        <v>133</v>
      </c>
      <c r="D140" s="147"/>
      <c r="E140" s="148"/>
      <c r="F140" s="182"/>
      <c r="G140" s="147"/>
      <c r="H140" s="147"/>
      <c r="I140" s="147"/>
      <c r="J140" s="147"/>
      <c r="K140" s="149"/>
      <c r="L140" s="170"/>
      <c r="M140" s="156"/>
      <c r="N140" s="105"/>
    </row>
    <row r="141" spans="1:14" ht="24.6" x14ac:dyDescent="0.35">
      <c r="A141" s="119"/>
      <c r="B141" s="119"/>
      <c r="C141" s="180">
        <v>134</v>
      </c>
      <c r="D141" s="147"/>
      <c r="E141" s="148"/>
      <c r="F141" s="182"/>
      <c r="G141" s="147"/>
      <c r="H141" s="147"/>
      <c r="I141" s="147"/>
      <c r="J141" s="147"/>
      <c r="K141" s="149"/>
      <c r="L141" s="170"/>
      <c r="M141" s="156"/>
      <c r="N141" s="105"/>
    </row>
    <row r="142" spans="1:14" ht="24.6" x14ac:dyDescent="0.35">
      <c r="A142" s="119"/>
      <c r="B142" s="119"/>
      <c r="C142" s="179">
        <v>135</v>
      </c>
      <c r="D142" s="147"/>
      <c r="E142" s="148"/>
      <c r="F142" s="182"/>
      <c r="G142" s="147"/>
      <c r="H142" s="147"/>
      <c r="I142" s="147"/>
      <c r="J142" s="147"/>
      <c r="K142" s="149"/>
      <c r="L142" s="170"/>
      <c r="M142" s="156"/>
      <c r="N142" s="105"/>
    </row>
    <row r="143" spans="1:14" ht="24.6" x14ac:dyDescent="0.35">
      <c r="A143" s="119"/>
      <c r="B143" s="119"/>
      <c r="C143" s="180">
        <v>136</v>
      </c>
      <c r="D143" s="147"/>
      <c r="E143" s="148"/>
      <c r="F143" s="182"/>
      <c r="G143" s="147"/>
      <c r="H143" s="147"/>
      <c r="I143" s="147"/>
      <c r="J143" s="147"/>
      <c r="K143" s="149"/>
      <c r="L143" s="170"/>
      <c r="M143" s="156"/>
      <c r="N143" s="105"/>
    </row>
    <row r="144" spans="1:14" ht="24.6" x14ac:dyDescent="0.35">
      <c r="A144" s="119"/>
      <c r="B144" s="119"/>
      <c r="C144" s="179">
        <v>137</v>
      </c>
      <c r="D144" s="147"/>
      <c r="E144" s="148"/>
      <c r="F144" s="182"/>
      <c r="G144" s="147"/>
      <c r="H144" s="147"/>
      <c r="I144" s="147"/>
      <c r="J144" s="147"/>
      <c r="K144" s="149"/>
      <c r="L144" s="170"/>
      <c r="M144" s="156"/>
      <c r="N144" s="105"/>
    </row>
    <row r="145" spans="1:14" ht="24.6" x14ac:dyDescent="0.35">
      <c r="A145" s="119"/>
      <c r="B145" s="119"/>
      <c r="C145" s="180">
        <v>138</v>
      </c>
      <c r="D145" s="147"/>
      <c r="E145" s="148"/>
      <c r="F145" s="182"/>
      <c r="G145" s="147"/>
      <c r="H145" s="147"/>
      <c r="I145" s="147"/>
      <c r="J145" s="147"/>
      <c r="K145" s="149"/>
      <c r="L145" s="170"/>
      <c r="M145" s="156"/>
      <c r="N145" s="105"/>
    </row>
    <row r="146" spans="1:14" ht="24.6" x14ac:dyDescent="0.35">
      <c r="A146" s="119"/>
      <c r="B146" s="119"/>
      <c r="C146" s="179">
        <v>139</v>
      </c>
      <c r="D146" s="147"/>
      <c r="E146" s="148"/>
      <c r="F146" s="182"/>
      <c r="G146" s="147"/>
      <c r="H146" s="147"/>
      <c r="I146" s="147"/>
      <c r="J146" s="147"/>
      <c r="K146" s="149"/>
      <c r="L146" s="170"/>
      <c r="M146" s="156"/>
      <c r="N146" s="105"/>
    </row>
    <row r="147" spans="1:14" ht="24.6" x14ac:dyDescent="0.35">
      <c r="A147" s="119"/>
      <c r="B147" s="119"/>
      <c r="C147" s="180">
        <v>140</v>
      </c>
      <c r="D147" s="147"/>
      <c r="E147" s="148"/>
      <c r="F147" s="182"/>
      <c r="G147" s="147"/>
      <c r="H147" s="147"/>
      <c r="I147" s="147"/>
      <c r="J147" s="147"/>
      <c r="K147" s="149"/>
      <c r="L147" s="170"/>
      <c r="M147" s="156"/>
      <c r="N147" s="105"/>
    </row>
    <row r="148" spans="1:14" ht="24.6" x14ac:dyDescent="0.35">
      <c r="A148" s="119"/>
      <c r="B148" s="119"/>
      <c r="C148" s="179">
        <v>141</v>
      </c>
      <c r="D148" s="147"/>
      <c r="E148" s="148"/>
      <c r="F148" s="182"/>
      <c r="G148" s="147"/>
      <c r="H148" s="147"/>
      <c r="I148" s="147"/>
      <c r="J148" s="147"/>
      <c r="K148" s="149"/>
      <c r="L148" s="170"/>
      <c r="M148" s="156"/>
      <c r="N148" s="105"/>
    </row>
    <row r="149" spans="1:14" ht="24.6" x14ac:dyDescent="0.35">
      <c r="A149" s="119"/>
      <c r="B149" s="119"/>
      <c r="C149" s="180">
        <v>142</v>
      </c>
      <c r="D149" s="147"/>
      <c r="E149" s="148"/>
      <c r="F149" s="182"/>
      <c r="G149" s="147"/>
      <c r="H149" s="147"/>
      <c r="I149" s="147"/>
      <c r="J149" s="147"/>
      <c r="K149" s="149"/>
      <c r="L149" s="170"/>
      <c r="M149" s="156"/>
      <c r="N149" s="105"/>
    </row>
    <row r="150" spans="1:14" ht="24.6" x14ac:dyDescent="0.35">
      <c r="A150" s="119"/>
      <c r="B150" s="119"/>
      <c r="C150" s="179">
        <v>143</v>
      </c>
      <c r="D150" s="147"/>
      <c r="E150" s="148"/>
      <c r="F150" s="182"/>
      <c r="G150" s="147"/>
      <c r="H150" s="147"/>
      <c r="I150" s="147"/>
      <c r="J150" s="147"/>
      <c r="K150" s="149"/>
      <c r="L150" s="170"/>
      <c r="M150" s="156"/>
      <c r="N150" s="105"/>
    </row>
    <row r="151" spans="1:14" ht="24.6" x14ac:dyDescent="0.35">
      <c r="A151" s="119"/>
      <c r="B151" s="119"/>
      <c r="C151" s="180">
        <v>144</v>
      </c>
      <c r="D151" s="147"/>
      <c r="E151" s="148"/>
      <c r="F151" s="182"/>
      <c r="G151" s="147"/>
      <c r="H151" s="147"/>
      <c r="I151" s="147"/>
      <c r="J151" s="147"/>
      <c r="K151" s="149"/>
      <c r="L151" s="170"/>
      <c r="M151" s="156"/>
      <c r="N151" s="105"/>
    </row>
    <row r="152" spans="1:14" ht="24.6" x14ac:dyDescent="0.35">
      <c r="A152" s="119"/>
      <c r="B152" s="119"/>
      <c r="C152" s="179">
        <v>145</v>
      </c>
      <c r="D152" s="147"/>
      <c r="E152" s="148"/>
      <c r="F152" s="182"/>
      <c r="G152" s="147"/>
      <c r="H152" s="147"/>
      <c r="I152" s="147"/>
      <c r="J152" s="147"/>
      <c r="K152" s="149"/>
      <c r="L152" s="170"/>
      <c r="M152" s="156"/>
      <c r="N152" s="105"/>
    </row>
    <row r="153" spans="1:14" ht="24.6" x14ac:dyDescent="0.35">
      <c r="A153" s="119"/>
      <c r="B153" s="119"/>
      <c r="C153" s="180">
        <v>146</v>
      </c>
      <c r="D153" s="147"/>
      <c r="E153" s="148"/>
      <c r="F153" s="182"/>
      <c r="G153" s="147"/>
      <c r="H153" s="147"/>
      <c r="I153" s="147"/>
      <c r="J153" s="147"/>
      <c r="K153" s="149"/>
      <c r="L153" s="170"/>
      <c r="M153" s="156"/>
      <c r="N153" s="105"/>
    </row>
    <row r="154" spans="1:14" ht="24.6" x14ac:dyDescent="0.35">
      <c r="A154" s="119"/>
      <c r="B154" s="119"/>
      <c r="C154" s="179">
        <v>147</v>
      </c>
      <c r="D154" s="147"/>
      <c r="E154" s="148"/>
      <c r="F154" s="182"/>
      <c r="G154" s="147"/>
      <c r="H154" s="147"/>
      <c r="I154" s="147"/>
      <c r="J154" s="147"/>
      <c r="K154" s="149"/>
      <c r="L154" s="170"/>
      <c r="M154" s="156"/>
      <c r="N154" s="105"/>
    </row>
    <row r="155" spans="1:14" ht="24.6" x14ac:dyDescent="0.35">
      <c r="A155" s="119"/>
      <c r="B155" s="119"/>
      <c r="C155" s="180">
        <v>148</v>
      </c>
      <c r="D155" s="147"/>
      <c r="E155" s="148"/>
      <c r="F155" s="182"/>
      <c r="G155" s="147"/>
      <c r="H155" s="147"/>
      <c r="I155" s="147"/>
      <c r="J155" s="147"/>
      <c r="K155" s="149"/>
      <c r="L155" s="170"/>
      <c r="M155" s="156"/>
      <c r="N155" s="105"/>
    </row>
    <row r="156" spans="1:14" ht="24.6" x14ac:dyDescent="0.35">
      <c r="A156" s="119"/>
      <c r="B156" s="119"/>
      <c r="C156" s="179">
        <v>149</v>
      </c>
      <c r="D156" s="147"/>
      <c r="E156" s="148"/>
      <c r="F156" s="182"/>
      <c r="G156" s="147"/>
      <c r="H156" s="147"/>
      <c r="I156" s="147"/>
      <c r="J156" s="147"/>
      <c r="K156" s="149"/>
      <c r="L156" s="170"/>
      <c r="M156" s="156"/>
      <c r="N156" s="105"/>
    </row>
    <row r="157" spans="1:14" ht="24.6" x14ac:dyDescent="0.35">
      <c r="A157" s="119"/>
      <c r="B157" s="119"/>
      <c r="C157" s="180">
        <v>150</v>
      </c>
      <c r="D157" s="147"/>
      <c r="E157" s="148"/>
      <c r="F157" s="182"/>
      <c r="G157" s="147"/>
      <c r="H157" s="147"/>
      <c r="I157" s="147"/>
      <c r="J157" s="147"/>
      <c r="K157" s="149"/>
      <c r="L157" s="170"/>
      <c r="M157" s="156"/>
      <c r="N157" s="105"/>
    </row>
    <row r="158" spans="1:14" ht="24.6" x14ac:dyDescent="0.35">
      <c r="A158" s="119"/>
      <c r="B158" s="119"/>
      <c r="C158" s="179">
        <v>151</v>
      </c>
      <c r="D158" s="147"/>
      <c r="E158" s="148"/>
      <c r="F158" s="182"/>
      <c r="G158" s="147"/>
      <c r="H158" s="147"/>
      <c r="I158" s="147"/>
      <c r="J158" s="147"/>
      <c r="K158" s="149"/>
      <c r="L158" s="170"/>
      <c r="M158" s="156"/>
      <c r="N158" s="105"/>
    </row>
    <row r="159" spans="1:14" ht="24.6" x14ac:dyDescent="0.35">
      <c r="A159" s="119"/>
      <c r="B159" s="119"/>
      <c r="C159" s="180">
        <v>152</v>
      </c>
      <c r="D159" s="147"/>
      <c r="E159" s="148"/>
      <c r="F159" s="182"/>
      <c r="G159" s="147"/>
      <c r="H159" s="147"/>
      <c r="I159" s="147"/>
      <c r="J159" s="147"/>
      <c r="K159" s="149"/>
      <c r="L159" s="170"/>
      <c r="M159" s="156"/>
      <c r="N159" s="105"/>
    </row>
    <row r="160" spans="1:14" ht="24.6" x14ac:dyDescent="0.35">
      <c r="A160" s="119"/>
      <c r="B160" s="119"/>
      <c r="C160" s="179">
        <v>153</v>
      </c>
      <c r="D160" s="147"/>
      <c r="E160" s="148"/>
      <c r="F160" s="182"/>
      <c r="G160" s="147"/>
      <c r="H160" s="147"/>
      <c r="I160" s="147"/>
      <c r="J160" s="147"/>
      <c r="K160" s="149"/>
      <c r="L160" s="170"/>
      <c r="M160" s="156"/>
      <c r="N160" s="105"/>
    </row>
    <row r="161" spans="1:14" ht="24.6" x14ac:dyDescent="0.35">
      <c r="A161" s="119"/>
      <c r="B161" s="119"/>
      <c r="C161" s="180">
        <v>154</v>
      </c>
      <c r="D161" s="147"/>
      <c r="E161" s="148"/>
      <c r="F161" s="182"/>
      <c r="G161" s="147"/>
      <c r="H161" s="147"/>
      <c r="I161" s="147"/>
      <c r="J161" s="147"/>
      <c r="K161" s="149"/>
      <c r="L161" s="170"/>
      <c r="M161" s="156"/>
      <c r="N161" s="105"/>
    </row>
    <row r="162" spans="1:14" ht="24.6" x14ac:dyDescent="0.35">
      <c r="A162" s="119"/>
      <c r="B162" s="119"/>
      <c r="C162" s="179">
        <v>155</v>
      </c>
      <c r="D162" s="147"/>
      <c r="E162" s="148"/>
      <c r="F162" s="182"/>
      <c r="G162" s="147"/>
      <c r="H162" s="147"/>
      <c r="I162" s="147"/>
      <c r="J162" s="147"/>
      <c r="K162" s="149"/>
      <c r="L162" s="170"/>
      <c r="M162" s="156"/>
      <c r="N162" s="105"/>
    </row>
    <row r="163" spans="1:14" ht="24.6" x14ac:dyDescent="0.35">
      <c r="A163" s="119"/>
      <c r="B163" s="119"/>
      <c r="C163" s="180">
        <v>156</v>
      </c>
      <c r="D163" s="147"/>
      <c r="E163" s="148"/>
      <c r="F163" s="182"/>
      <c r="G163" s="147"/>
      <c r="H163" s="147"/>
      <c r="I163" s="147"/>
      <c r="J163" s="147"/>
      <c r="K163" s="149"/>
      <c r="L163" s="170"/>
      <c r="M163" s="156"/>
      <c r="N163" s="105"/>
    </row>
    <row r="164" spans="1:14" ht="24.6" x14ac:dyDescent="0.35">
      <c r="A164" s="119"/>
      <c r="B164" s="119"/>
      <c r="C164" s="179">
        <v>157</v>
      </c>
      <c r="D164" s="147"/>
      <c r="E164" s="148"/>
      <c r="F164" s="182"/>
      <c r="G164" s="147"/>
      <c r="H164" s="147"/>
      <c r="I164" s="147"/>
      <c r="J164" s="147"/>
      <c r="K164" s="149"/>
      <c r="L164" s="170"/>
      <c r="M164" s="156"/>
      <c r="N164" s="105"/>
    </row>
    <row r="165" spans="1:14" ht="24.6" x14ac:dyDescent="0.35">
      <c r="A165" s="119"/>
      <c r="B165" s="119"/>
      <c r="C165" s="180">
        <v>158</v>
      </c>
      <c r="D165" s="147"/>
      <c r="E165" s="148"/>
      <c r="F165" s="182"/>
      <c r="G165" s="147"/>
      <c r="H165" s="147"/>
      <c r="I165" s="147"/>
      <c r="J165" s="147"/>
      <c r="K165" s="149"/>
      <c r="L165" s="170"/>
      <c r="M165" s="156"/>
      <c r="N165" s="105"/>
    </row>
    <row r="166" spans="1:14" ht="24.6" x14ac:dyDescent="0.35">
      <c r="A166" s="119"/>
      <c r="B166" s="119"/>
      <c r="C166" s="179">
        <v>159</v>
      </c>
      <c r="D166" s="147"/>
      <c r="E166" s="148"/>
      <c r="F166" s="182"/>
      <c r="G166" s="147"/>
      <c r="H166" s="147"/>
      <c r="I166" s="147"/>
      <c r="J166" s="147"/>
      <c r="K166" s="149"/>
      <c r="L166" s="170"/>
      <c r="M166" s="156"/>
      <c r="N166" s="105"/>
    </row>
    <row r="167" spans="1:14" ht="24.6" x14ac:dyDescent="0.35">
      <c r="A167" s="119"/>
      <c r="B167" s="119"/>
      <c r="C167" s="180">
        <v>160</v>
      </c>
      <c r="D167" s="147"/>
      <c r="E167" s="148"/>
      <c r="F167" s="182"/>
      <c r="G167" s="147"/>
      <c r="H167" s="147"/>
      <c r="I167" s="147"/>
      <c r="J167" s="147"/>
      <c r="K167" s="149"/>
      <c r="L167" s="170"/>
      <c r="M167" s="156"/>
      <c r="N167" s="105"/>
    </row>
    <row r="168" spans="1:14" ht="24.6" x14ac:dyDescent="0.35">
      <c r="A168" s="119"/>
      <c r="B168" s="119"/>
      <c r="C168" s="179">
        <v>161</v>
      </c>
      <c r="D168" s="147"/>
      <c r="E168" s="148"/>
      <c r="F168" s="182"/>
      <c r="G168" s="147"/>
      <c r="H168" s="147"/>
      <c r="I168" s="147"/>
      <c r="J168" s="147"/>
      <c r="K168" s="149"/>
      <c r="L168" s="170"/>
      <c r="M168" s="156"/>
      <c r="N168" s="105"/>
    </row>
    <row r="169" spans="1:14" ht="24.6" x14ac:dyDescent="0.35">
      <c r="A169" s="119"/>
      <c r="B169" s="119"/>
      <c r="C169" s="180">
        <v>162</v>
      </c>
      <c r="D169" s="147"/>
      <c r="E169" s="148"/>
      <c r="F169" s="182"/>
      <c r="G169" s="147"/>
      <c r="H169" s="147"/>
      <c r="I169" s="147"/>
      <c r="J169" s="147"/>
      <c r="K169" s="149"/>
      <c r="L169" s="170"/>
      <c r="M169" s="156"/>
      <c r="N169" s="105"/>
    </row>
    <row r="170" spans="1:14" ht="24.6" x14ac:dyDescent="0.35">
      <c r="A170" s="119"/>
      <c r="B170" s="119"/>
      <c r="C170" s="179">
        <v>163</v>
      </c>
      <c r="D170" s="147"/>
      <c r="E170" s="148"/>
      <c r="F170" s="182"/>
      <c r="G170" s="147"/>
      <c r="H170" s="147"/>
      <c r="I170" s="147"/>
      <c r="J170" s="147"/>
      <c r="K170" s="149"/>
      <c r="L170" s="170"/>
      <c r="M170" s="156"/>
      <c r="N170" s="105"/>
    </row>
    <row r="171" spans="1:14" ht="24.6" x14ac:dyDescent="0.35">
      <c r="A171" s="119"/>
      <c r="B171" s="119"/>
      <c r="C171" s="180">
        <v>164</v>
      </c>
      <c r="D171" s="147"/>
      <c r="E171" s="148"/>
      <c r="F171" s="182"/>
      <c r="G171" s="147"/>
      <c r="H171" s="147"/>
      <c r="I171" s="147"/>
      <c r="J171" s="147"/>
      <c r="K171" s="149"/>
      <c r="L171" s="170"/>
      <c r="M171" s="156"/>
      <c r="N171" s="105"/>
    </row>
    <row r="172" spans="1:14" ht="24.6" x14ac:dyDescent="0.35">
      <c r="A172" s="119"/>
      <c r="B172" s="119"/>
      <c r="C172" s="179">
        <v>165</v>
      </c>
      <c r="D172" s="147"/>
      <c r="E172" s="148"/>
      <c r="F172" s="182"/>
      <c r="G172" s="147"/>
      <c r="H172" s="147"/>
      <c r="I172" s="147"/>
      <c r="J172" s="147"/>
      <c r="K172" s="149"/>
      <c r="L172" s="170"/>
      <c r="M172" s="156"/>
      <c r="N172" s="105"/>
    </row>
    <row r="173" spans="1:14" ht="24.6" x14ac:dyDescent="0.35">
      <c r="A173" s="119"/>
      <c r="B173" s="119"/>
      <c r="C173" s="180">
        <v>166</v>
      </c>
      <c r="D173" s="147"/>
      <c r="E173" s="148"/>
      <c r="F173" s="182"/>
      <c r="G173" s="147"/>
      <c r="H173" s="147"/>
      <c r="I173" s="147"/>
      <c r="J173" s="147"/>
      <c r="K173" s="149"/>
      <c r="L173" s="170"/>
      <c r="M173" s="156"/>
      <c r="N173" s="105"/>
    </row>
    <row r="174" spans="1:14" ht="24.6" x14ac:dyDescent="0.35">
      <c r="A174" s="119"/>
      <c r="B174" s="119"/>
      <c r="C174" s="179">
        <v>167</v>
      </c>
      <c r="D174" s="147"/>
      <c r="E174" s="148"/>
      <c r="F174" s="182"/>
      <c r="G174" s="147"/>
      <c r="H174" s="147"/>
      <c r="I174" s="147"/>
      <c r="J174" s="147"/>
      <c r="K174" s="149"/>
      <c r="L174" s="170"/>
      <c r="M174" s="156"/>
      <c r="N174" s="105"/>
    </row>
    <row r="175" spans="1:14" ht="24.6" x14ac:dyDescent="0.35">
      <c r="A175" s="119"/>
      <c r="B175" s="119"/>
      <c r="C175" s="180">
        <v>168</v>
      </c>
      <c r="D175" s="147"/>
      <c r="E175" s="148"/>
      <c r="F175" s="182"/>
      <c r="G175" s="147"/>
      <c r="H175" s="147"/>
      <c r="I175" s="147"/>
      <c r="J175" s="147"/>
      <c r="K175" s="149"/>
      <c r="L175" s="170"/>
      <c r="M175" s="156"/>
      <c r="N175" s="105"/>
    </row>
    <row r="176" spans="1:14" ht="24.6" x14ac:dyDescent="0.35">
      <c r="A176" s="119"/>
      <c r="B176" s="119"/>
      <c r="C176" s="179">
        <v>169</v>
      </c>
      <c r="D176" s="147"/>
      <c r="E176" s="148"/>
      <c r="F176" s="182"/>
      <c r="G176" s="147"/>
      <c r="H176" s="147"/>
      <c r="I176" s="147"/>
      <c r="J176" s="147"/>
      <c r="K176" s="149"/>
      <c r="L176" s="170"/>
      <c r="M176" s="156"/>
      <c r="N176" s="105"/>
    </row>
    <row r="177" spans="1:14" ht="24.6" x14ac:dyDescent="0.35">
      <c r="A177" s="119"/>
      <c r="B177" s="119"/>
      <c r="C177" s="180">
        <v>170</v>
      </c>
      <c r="D177" s="147"/>
      <c r="E177" s="148"/>
      <c r="F177" s="182"/>
      <c r="G177" s="147"/>
      <c r="H177" s="147"/>
      <c r="I177" s="147"/>
      <c r="J177" s="147"/>
      <c r="K177" s="149"/>
      <c r="L177" s="170"/>
      <c r="M177" s="156"/>
      <c r="N177" s="105"/>
    </row>
    <row r="178" spans="1:14" ht="24.6" x14ac:dyDescent="0.35">
      <c r="A178" s="119"/>
      <c r="B178" s="119"/>
      <c r="C178" s="179">
        <v>171</v>
      </c>
      <c r="D178" s="147"/>
      <c r="E178" s="148"/>
      <c r="F178" s="182"/>
      <c r="G178" s="147"/>
      <c r="H178" s="147"/>
      <c r="I178" s="147"/>
      <c r="J178" s="147"/>
      <c r="K178" s="149"/>
      <c r="L178" s="170"/>
      <c r="M178" s="156"/>
      <c r="N178" s="105"/>
    </row>
    <row r="179" spans="1:14" ht="24.6" x14ac:dyDescent="0.35">
      <c r="A179" s="119"/>
      <c r="B179" s="119"/>
      <c r="C179" s="180">
        <v>172</v>
      </c>
      <c r="D179" s="147"/>
      <c r="E179" s="148"/>
      <c r="F179" s="182"/>
      <c r="G179" s="147"/>
      <c r="H179" s="147"/>
      <c r="I179" s="147"/>
      <c r="J179" s="147"/>
      <c r="K179" s="149"/>
      <c r="L179" s="170"/>
      <c r="M179" s="156"/>
      <c r="N179" s="105"/>
    </row>
    <row r="180" spans="1:14" ht="24.6" x14ac:dyDescent="0.35">
      <c r="A180" s="119"/>
      <c r="B180" s="119"/>
      <c r="C180" s="179">
        <v>173</v>
      </c>
      <c r="D180" s="147"/>
      <c r="E180" s="148"/>
      <c r="F180" s="182"/>
      <c r="G180" s="147"/>
      <c r="H180" s="147"/>
      <c r="I180" s="147"/>
      <c r="J180" s="147"/>
      <c r="K180" s="149"/>
      <c r="L180" s="170"/>
      <c r="M180" s="156"/>
      <c r="N180" s="105"/>
    </row>
    <row r="181" spans="1:14" ht="24.6" x14ac:dyDescent="0.35">
      <c r="A181" s="119"/>
      <c r="B181" s="119"/>
      <c r="C181" s="180">
        <v>174</v>
      </c>
      <c r="D181" s="147"/>
      <c r="E181" s="148"/>
      <c r="F181" s="182"/>
      <c r="G181" s="147"/>
      <c r="H181" s="147"/>
      <c r="I181" s="147"/>
      <c r="J181" s="147"/>
      <c r="K181" s="149"/>
      <c r="L181" s="170"/>
      <c r="M181" s="156"/>
      <c r="N181" s="105"/>
    </row>
    <row r="182" spans="1:14" ht="24.6" x14ac:dyDescent="0.35">
      <c r="A182" s="119"/>
      <c r="B182" s="119"/>
      <c r="C182" s="179">
        <v>175</v>
      </c>
      <c r="D182" s="147"/>
      <c r="E182" s="148"/>
      <c r="F182" s="182"/>
      <c r="G182" s="147"/>
      <c r="H182" s="147"/>
      <c r="I182" s="147"/>
      <c r="J182" s="147"/>
      <c r="K182" s="149"/>
      <c r="L182" s="170"/>
      <c r="M182" s="156"/>
      <c r="N182" s="105"/>
    </row>
    <row r="183" spans="1:14" ht="24.6" x14ac:dyDescent="0.35">
      <c r="A183" s="119"/>
      <c r="B183" s="119"/>
      <c r="C183" s="180">
        <v>176</v>
      </c>
      <c r="D183" s="147"/>
      <c r="E183" s="148"/>
      <c r="F183" s="182"/>
      <c r="G183" s="147"/>
      <c r="H183" s="147"/>
      <c r="I183" s="147"/>
      <c r="J183" s="147"/>
      <c r="K183" s="149"/>
      <c r="L183" s="170"/>
      <c r="M183" s="156"/>
      <c r="N183" s="105"/>
    </row>
    <row r="184" spans="1:14" ht="24.6" x14ac:dyDescent="0.35">
      <c r="A184" s="119"/>
      <c r="B184" s="119"/>
      <c r="C184" s="179">
        <v>177</v>
      </c>
      <c r="D184" s="147"/>
      <c r="E184" s="148"/>
      <c r="F184" s="182"/>
      <c r="G184" s="147"/>
      <c r="H184" s="147"/>
      <c r="I184" s="147"/>
      <c r="J184" s="147"/>
      <c r="K184" s="149"/>
      <c r="L184" s="170"/>
      <c r="M184" s="156"/>
      <c r="N184" s="105"/>
    </row>
    <row r="185" spans="1:14" ht="24.6" x14ac:dyDescent="0.35">
      <c r="A185" s="119"/>
      <c r="B185" s="119"/>
      <c r="C185" s="180">
        <v>178</v>
      </c>
      <c r="D185" s="147"/>
      <c r="E185" s="148"/>
      <c r="F185" s="182"/>
      <c r="G185" s="147"/>
      <c r="H185" s="147"/>
      <c r="I185" s="147"/>
      <c r="J185" s="147"/>
      <c r="K185" s="149"/>
      <c r="L185" s="170"/>
      <c r="M185" s="156"/>
      <c r="N185" s="105"/>
    </row>
    <row r="186" spans="1:14" ht="24.6" x14ac:dyDescent="0.35">
      <c r="A186" s="119"/>
      <c r="B186" s="119"/>
      <c r="C186" s="179">
        <v>179</v>
      </c>
      <c r="D186" s="147"/>
      <c r="E186" s="148"/>
      <c r="F186" s="182"/>
      <c r="G186" s="147"/>
      <c r="H186" s="147"/>
      <c r="I186" s="147"/>
      <c r="J186" s="147"/>
      <c r="K186" s="149"/>
      <c r="L186" s="170"/>
      <c r="M186" s="156"/>
      <c r="N186" s="105"/>
    </row>
    <row r="187" spans="1:14" ht="24.6" x14ac:dyDescent="0.35">
      <c r="A187" s="119"/>
      <c r="B187" s="119"/>
      <c r="C187" s="180">
        <v>180</v>
      </c>
      <c r="D187" s="147"/>
      <c r="E187" s="148"/>
      <c r="F187" s="182"/>
      <c r="G187" s="147"/>
      <c r="H187" s="147"/>
      <c r="I187" s="147"/>
      <c r="J187" s="147"/>
      <c r="K187" s="149"/>
      <c r="L187" s="170"/>
      <c r="M187" s="156"/>
      <c r="N187" s="105"/>
    </row>
    <row r="188" spans="1:14" ht="24.6" x14ac:dyDescent="0.35">
      <c r="A188" s="119"/>
      <c r="B188" s="119"/>
      <c r="C188" s="179">
        <v>181</v>
      </c>
      <c r="D188" s="147"/>
      <c r="E188" s="148"/>
      <c r="F188" s="182"/>
      <c r="G188" s="147"/>
      <c r="H188" s="147"/>
      <c r="I188" s="147"/>
      <c r="J188" s="147"/>
      <c r="K188" s="149"/>
      <c r="L188" s="170"/>
      <c r="M188" s="156"/>
      <c r="N188" s="105"/>
    </row>
    <row r="189" spans="1:14" ht="24.6" x14ac:dyDescent="0.35">
      <c r="A189" s="119"/>
      <c r="B189" s="119"/>
      <c r="C189" s="180">
        <v>182</v>
      </c>
      <c r="D189" s="147"/>
      <c r="E189" s="148"/>
      <c r="F189" s="182"/>
      <c r="G189" s="147"/>
      <c r="H189" s="147"/>
      <c r="I189" s="147"/>
      <c r="J189" s="147"/>
      <c r="K189" s="149"/>
      <c r="L189" s="170"/>
      <c r="M189" s="156"/>
      <c r="N189" s="105"/>
    </row>
    <row r="190" spans="1:14" ht="24.6" x14ac:dyDescent="0.35">
      <c r="A190" s="119"/>
      <c r="B190" s="119"/>
      <c r="C190" s="179">
        <v>183</v>
      </c>
      <c r="D190" s="147"/>
      <c r="E190" s="148"/>
      <c r="F190" s="182"/>
      <c r="G190" s="147"/>
      <c r="H190" s="147"/>
      <c r="I190" s="147"/>
      <c r="J190" s="147"/>
      <c r="K190" s="149"/>
      <c r="L190" s="170"/>
      <c r="M190" s="156"/>
      <c r="N190" s="105"/>
    </row>
    <row r="191" spans="1:14" ht="24.6" x14ac:dyDescent="0.35">
      <c r="A191" s="119"/>
      <c r="B191" s="119"/>
      <c r="C191" s="180">
        <v>184</v>
      </c>
      <c r="D191" s="147"/>
      <c r="E191" s="148"/>
      <c r="F191" s="182"/>
      <c r="G191" s="147"/>
      <c r="H191" s="147"/>
      <c r="I191" s="147"/>
      <c r="J191" s="147"/>
      <c r="K191" s="149"/>
      <c r="L191" s="170"/>
      <c r="M191" s="156"/>
      <c r="N191" s="105"/>
    </row>
    <row r="192" spans="1:14" ht="24.6" x14ac:dyDescent="0.35">
      <c r="A192" s="119"/>
      <c r="B192" s="119"/>
      <c r="C192" s="179">
        <v>185</v>
      </c>
      <c r="D192" s="147"/>
      <c r="E192" s="148"/>
      <c r="F192" s="182"/>
      <c r="G192" s="147"/>
      <c r="H192" s="147"/>
      <c r="I192" s="147"/>
      <c r="J192" s="147"/>
      <c r="K192" s="149"/>
      <c r="L192" s="170"/>
      <c r="M192" s="156"/>
      <c r="N192" s="105"/>
    </row>
    <row r="193" spans="1:14" ht="24.6" x14ac:dyDescent="0.35">
      <c r="A193" s="119"/>
      <c r="B193" s="119"/>
      <c r="C193" s="180">
        <v>186</v>
      </c>
      <c r="D193" s="147"/>
      <c r="E193" s="148"/>
      <c r="F193" s="182"/>
      <c r="G193" s="147"/>
      <c r="H193" s="147"/>
      <c r="I193" s="147"/>
      <c r="J193" s="147"/>
      <c r="K193" s="149"/>
      <c r="L193" s="170"/>
      <c r="M193" s="156"/>
      <c r="N193" s="105"/>
    </row>
    <row r="194" spans="1:14" ht="24.6" x14ac:dyDescent="0.35">
      <c r="A194" s="119"/>
      <c r="B194" s="119"/>
      <c r="C194" s="179">
        <v>187</v>
      </c>
      <c r="D194" s="147"/>
      <c r="E194" s="148"/>
      <c r="F194" s="182"/>
      <c r="G194" s="147"/>
      <c r="H194" s="147"/>
      <c r="I194" s="147"/>
      <c r="J194" s="147"/>
      <c r="K194" s="149"/>
      <c r="L194" s="170"/>
      <c r="M194" s="156"/>
      <c r="N194" s="105"/>
    </row>
    <row r="195" spans="1:14" ht="24.6" x14ac:dyDescent="0.35">
      <c r="A195" s="119"/>
      <c r="B195" s="119"/>
      <c r="C195" s="180">
        <v>188</v>
      </c>
      <c r="D195" s="147"/>
      <c r="E195" s="148"/>
      <c r="F195" s="182"/>
      <c r="G195" s="147"/>
      <c r="H195" s="147"/>
      <c r="I195" s="147"/>
      <c r="J195" s="147"/>
      <c r="K195" s="149"/>
      <c r="L195" s="170"/>
      <c r="M195" s="156"/>
      <c r="N195" s="105"/>
    </row>
    <row r="196" spans="1:14" ht="24.6" x14ac:dyDescent="0.35">
      <c r="A196" s="119"/>
      <c r="B196" s="119"/>
      <c r="C196" s="179">
        <v>189</v>
      </c>
      <c r="D196" s="147"/>
      <c r="E196" s="148"/>
      <c r="F196" s="182"/>
      <c r="G196" s="147"/>
      <c r="H196" s="147"/>
      <c r="I196" s="147"/>
      <c r="J196" s="147"/>
      <c r="K196" s="149"/>
      <c r="L196" s="170"/>
      <c r="M196" s="156"/>
      <c r="N196" s="105"/>
    </row>
    <row r="197" spans="1:14" ht="24.6" x14ac:dyDescent="0.35">
      <c r="A197" s="119"/>
      <c r="B197" s="119"/>
      <c r="C197" s="180">
        <v>190</v>
      </c>
      <c r="D197" s="147"/>
      <c r="E197" s="148"/>
      <c r="F197" s="182"/>
      <c r="G197" s="147"/>
      <c r="H197" s="147"/>
      <c r="I197" s="147"/>
      <c r="J197" s="147"/>
      <c r="K197" s="149"/>
      <c r="L197" s="170"/>
      <c r="M197" s="156"/>
      <c r="N197" s="105"/>
    </row>
    <row r="198" spans="1:14" ht="24.6" x14ac:dyDescent="0.35">
      <c r="A198" s="119"/>
      <c r="B198" s="119"/>
      <c r="C198" s="179">
        <v>191</v>
      </c>
      <c r="D198" s="147"/>
      <c r="E198" s="148"/>
      <c r="F198" s="182"/>
      <c r="G198" s="147"/>
      <c r="H198" s="147"/>
      <c r="I198" s="147"/>
      <c r="J198" s="147"/>
      <c r="K198" s="149"/>
      <c r="L198" s="170"/>
      <c r="M198" s="156"/>
      <c r="N198" s="105"/>
    </row>
    <row r="199" spans="1:14" ht="24.6" x14ac:dyDescent="0.35">
      <c r="A199" s="119"/>
      <c r="B199" s="119"/>
      <c r="C199" s="180">
        <v>192</v>
      </c>
      <c r="D199" s="147"/>
      <c r="E199" s="148"/>
      <c r="F199" s="182"/>
      <c r="G199" s="147"/>
      <c r="H199" s="147"/>
      <c r="I199" s="147"/>
      <c r="J199" s="147"/>
      <c r="K199" s="149"/>
      <c r="L199" s="170"/>
      <c r="M199" s="156"/>
      <c r="N199" s="105"/>
    </row>
    <row r="200" spans="1:14" ht="24.6" x14ac:dyDescent="0.35">
      <c r="A200" s="119">
        <v>1</v>
      </c>
      <c r="B200" s="119"/>
      <c r="C200" s="179">
        <v>193</v>
      </c>
      <c r="D200" s="147"/>
      <c r="E200" s="148"/>
      <c r="F200" s="182"/>
      <c r="G200" s="147"/>
      <c r="H200" s="147"/>
      <c r="I200" s="147"/>
      <c r="J200" s="147"/>
      <c r="K200" s="149"/>
      <c r="L200" s="170"/>
      <c r="M200" s="156"/>
      <c r="N200" s="105"/>
    </row>
    <row r="201" spans="1:14" ht="24.6" x14ac:dyDescent="0.35">
      <c r="A201" s="119"/>
      <c r="B201" s="119"/>
      <c r="C201" s="180">
        <v>194</v>
      </c>
      <c r="D201" s="147"/>
      <c r="E201" s="148"/>
      <c r="F201" s="182"/>
      <c r="G201" s="147"/>
      <c r="H201" s="147"/>
      <c r="I201" s="147"/>
      <c r="J201" s="147"/>
      <c r="K201" s="149"/>
      <c r="L201" s="170"/>
      <c r="M201" s="156"/>
      <c r="N201" s="105"/>
    </row>
    <row r="202" spans="1:14" ht="24.6" x14ac:dyDescent="0.35">
      <c r="A202" s="119"/>
      <c r="B202" s="119"/>
      <c r="C202" s="179">
        <v>195</v>
      </c>
      <c r="D202" s="147"/>
      <c r="E202" s="148"/>
      <c r="F202" s="182"/>
      <c r="G202" s="147"/>
      <c r="H202" s="147"/>
      <c r="I202" s="147"/>
      <c r="J202" s="147"/>
      <c r="K202" s="149"/>
      <c r="L202" s="170"/>
      <c r="M202" s="156"/>
      <c r="N202" s="105"/>
    </row>
    <row r="203" spans="1:14" ht="24.6" x14ac:dyDescent="0.35">
      <c r="A203" s="119"/>
      <c r="B203" s="119"/>
      <c r="C203" s="180">
        <v>196</v>
      </c>
      <c r="D203" s="147"/>
      <c r="E203" s="148"/>
      <c r="F203" s="182"/>
      <c r="G203" s="147"/>
      <c r="H203" s="147"/>
      <c r="I203" s="147"/>
      <c r="J203" s="147"/>
      <c r="K203" s="149"/>
      <c r="L203" s="170"/>
      <c r="M203" s="156"/>
      <c r="N203" s="105"/>
    </row>
    <row r="204" spans="1:14" ht="24.6" x14ac:dyDescent="0.35">
      <c r="A204" s="119"/>
      <c r="B204" s="119"/>
      <c r="C204" s="179">
        <v>197</v>
      </c>
      <c r="D204" s="147"/>
      <c r="E204" s="148"/>
      <c r="F204" s="182"/>
      <c r="G204" s="147"/>
      <c r="H204" s="147"/>
      <c r="I204" s="147"/>
      <c r="J204" s="147"/>
      <c r="K204" s="149"/>
      <c r="L204" s="170"/>
      <c r="M204" s="156"/>
      <c r="N204" s="105"/>
    </row>
    <row r="205" spans="1:14" ht="24.6" x14ac:dyDescent="0.35">
      <c r="A205" s="119"/>
      <c r="B205" s="119"/>
      <c r="C205" s="180">
        <v>198</v>
      </c>
      <c r="D205" s="147"/>
      <c r="E205" s="148"/>
      <c r="F205" s="182"/>
      <c r="G205" s="147"/>
      <c r="H205" s="147"/>
      <c r="I205" s="147"/>
      <c r="J205" s="147"/>
      <c r="K205" s="149"/>
      <c r="L205" s="170"/>
      <c r="M205" s="156"/>
      <c r="N205" s="105"/>
    </row>
    <row r="206" spans="1:14" ht="24.6" x14ac:dyDescent="0.35">
      <c r="A206" s="119"/>
      <c r="B206" s="119"/>
      <c r="C206" s="179">
        <v>199</v>
      </c>
      <c r="D206" s="147"/>
      <c r="E206" s="148"/>
      <c r="F206" s="182"/>
      <c r="G206" s="147"/>
      <c r="H206" s="147"/>
      <c r="I206" s="147"/>
      <c r="J206" s="147"/>
      <c r="K206" s="149"/>
      <c r="L206" s="170"/>
      <c r="M206" s="156"/>
      <c r="N206" s="105"/>
    </row>
    <row r="207" spans="1:14" ht="24.6" x14ac:dyDescent="0.35">
      <c r="A207" s="119"/>
      <c r="B207" s="119"/>
      <c r="C207" s="180">
        <v>200</v>
      </c>
      <c r="D207" s="147"/>
      <c r="E207" s="148"/>
      <c r="F207" s="182"/>
      <c r="G207" s="147"/>
      <c r="H207" s="147"/>
      <c r="I207" s="147"/>
      <c r="J207" s="147"/>
      <c r="K207" s="149"/>
      <c r="L207" s="170"/>
      <c r="M207" s="156"/>
      <c r="N207" s="105"/>
    </row>
    <row r="208" spans="1:14" ht="24.6" x14ac:dyDescent="0.35">
      <c r="C208" s="179">
        <v>201</v>
      </c>
      <c r="D208" s="147"/>
      <c r="E208" s="148"/>
      <c r="F208" s="182"/>
      <c r="G208" s="147"/>
      <c r="H208" s="147"/>
      <c r="I208" s="147"/>
      <c r="J208" s="147"/>
      <c r="K208" s="149"/>
      <c r="L208" s="170"/>
      <c r="M208" s="156"/>
      <c r="N208" s="105"/>
    </row>
    <row r="209" spans="3:14" ht="24.6" x14ac:dyDescent="0.35">
      <c r="C209" s="180">
        <v>202</v>
      </c>
      <c r="D209" s="147"/>
      <c r="E209" s="148"/>
      <c r="F209" s="182"/>
      <c r="G209" s="147"/>
      <c r="H209" s="147"/>
      <c r="I209" s="147"/>
      <c r="J209" s="147"/>
      <c r="K209" s="149"/>
      <c r="L209" s="170"/>
      <c r="M209" s="156"/>
      <c r="N209" s="105"/>
    </row>
    <row r="210" spans="3:14" ht="24.6" x14ac:dyDescent="0.35">
      <c r="C210" s="179">
        <v>203</v>
      </c>
      <c r="D210" s="147"/>
      <c r="E210" s="148"/>
      <c r="F210" s="182"/>
      <c r="G210" s="147"/>
      <c r="H210" s="147"/>
      <c r="I210" s="147"/>
      <c r="J210" s="147"/>
      <c r="K210" s="149"/>
      <c r="L210" s="170"/>
      <c r="M210" s="156"/>
      <c r="N210" s="105"/>
    </row>
    <row r="211" spans="3:14" ht="24.6" x14ac:dyDescent="0.35">
      <c r="C211" s="180">
        <v>204</v>
      </c>
      <c r="D211" s="147"/>
      <c r="E211" s="148"/>
      <c r="F211" s="182"/>
      <c r="G211" s="147"/>
      <c r="H211" s="147"/>
      <c r="I211" s="147"/>
      <c r="J211" s="147"/>
      <c r="K211" s="149"/>
      <c r="L211" s="170"/>
      <c r="M211" s="156"/>
      <c r="N211" s="105"/>
    </row>
    <row r="212" spans="3:14" ht="24.6" x14ac:dyDescent="0.35">
      <c r="C212" s="179">
        <v>205</v>
      </c>
      <c r="D212" s="147"/>
      <c r="E212" s="148"/>
      <c r="F212" s="182"/>
      <c r="G212" s="147"/>
      <c r="H212" s="147"/>
      <c r="I212" s="147"/>
      <c r="J212" s="147"/>
      <c r="K212" s="149"/>
      <c r="L212" s="170"/>
      <c r="M212" s="156"/>
      <c r="N212" s="105"/>
    </row>
    <row r="213" spans="3:14" ht="24.6" x14ac:dyDescent="0.35">
      <c r="C213" s="180">
        <v>206</v>
      </c>
      <c r="D213" s="147"/>
      <c r="E213" s="148"/>
      <c r="F213" s="182"/>
      <c r="G213" s="147"/>
      <c r="H213" s="147"/>
      <c r="I213" s="147"/>
      <c r="J213" s="147"/>
      <c r="K213" s="149"/>
      <c r="L213" s="170"/>
      <c r="M213" s="156"/>
      <c r="N213" s="105"/>
    </row>
    <row r="214" spans="3:14" ht="24.6" x14ac:dyDescent="0.35">
      <c r="C214" s="179">
        <v>207</v>
      </c>
      <c r="D214" s="147"/>
      <c r="E214" s="148"/>
      <c r="F214" s="182"/>
      <c r="G214" s="147"/>
      <c r="H214" s="147"/>
      <c r="I214" s="147"/>
      <c r="J214" s="147"/>
      <c r="K214" s="149"/>
      <c r="L214" s="170"/>
      <c r="M214" s="156"/>
      <c r="N214" s="105"/>
    </row>
    <row r="215" spans="3:14" ht="24.6" x14ac:dyDescent="0.35">
      <c r="C215" s="180">
        <v>208</v>
      </c>
      <c r="D215" s="147"/>
      <c r="E215" s="148"/>
      <c r="F215" s="182"/>
      <c r="G215" s="147"/>
      <c r="H215" s="147"/>
      <c r="I215" s="147"/>
      <c r="J215" s="147"/>
      <c r="K215" s="149"/>
      <c r="L215" s="170"/>
      <c r="M215" s="156"/>
      <c r="N215" s="105"/>
    </row>
    <row r="216" spans="3:14" ht="24.6" x14ac:dyDescent="0.35">
      <c r="C216" s="179">
        <v>209</v>
      </c>
      <c r="D216" s="147"/>
      <c r="E216" s="148"/>
      <c r="F216" s="182"/>
      <c r="G216" s="147"/>
      <c r="H216" s="147"/>
      <c r="I216" s="147"/>
      <c r="J216" s="147"/>
      <c r="K216" s="149"/>
      <c r="L216" s="170"/>
      <c r="M216" s="156"/>
      <c r="N216" s="105"/>
    </row>
    <row r="217" spans="3:14" ht="24.6" x14ac:dyDescent="0.35">
      <c r="C217" s="180">
        <v>210</v>
      </c>
      <c r="D217" s="147"/>
      <c r="E217" s="148"/>
      <c r="F217" s="182"/>
      <c r="G217" s="147"/>
      <c r="H217" s="147"/>
      <c r="I217" s="147"/>
      <c r="J217" s="147"/>
      <c r="K217" s="149"/>
      <c r="L217" s="170"/>
      <c r="M217" s="156"/>
      <c r="N217" s="105"/>
    </row>
    <row r="218" spans="3:14" ht="24.6" x14ac:dyDescent="0.35">
      <c r="C218" s="179">
        <v>211</v>
      </c>
      <c r="D218" s="147"/>
      <c r="E218" s="148"/>
      <c r="F218" s="182"/>
      <c r="G218" s="147"/>
      <c r="H218" s="147"/>
      <c r="I218" s="147"/>
      <c r="J218" s="147"/>
      <c r="K218" s="149"/>
      <c r="L218" s="170"/>
      <c r="M218" s="156"/>
      <c r="N218" s="105"/>
    </row>
    <row r="219" spans="3:14" ht="24.6" x14ac:dyDescent="0.35">
      <c r="C219" s="180">
        <v>212</v>
      </c>
      <c r="D219" s="147"/>
      <c r="E219" s="148"/>
      <c r="F219" s="182"/>
      <c r="G219" s="147"/>
      <c r="H219" s="147"/>
      <c r="I219" s="147"/>
      <c r="J219" s="147"/>
      <c r="K219" s="149"/>
      <c r="L219" s="170"/>
      <c r="M219" s="156"/>
      <c r="N219" s="105"/>
    </row>
    <row r="220" spans="3:14" ht="24.6" x14ac:dyDescent="0.35">
      <c r="C220" s="179">
        <v>213</v>
      </c>
      <c r="D220" s="147"/>
      <c r="E220" s="148"/>
      <c r="F220" s="182"/>
      <c r="G220" s="147"/>
      <c r="H220" s="147"/>
      <c r="I220" s="147"/>
      <c r="J220" s="147"/>
      <c r="K220" s="149"/>
      <c r="L220" s="170"/>
      <c r="M220" s="156"/>
      <c r="N220" s="105"/>
    </row>
    <row r="221" spans="3:14" ht="24.6" x14ac:dyDescent="0.35">
      <c r="C221" s="180">
        <v>214</v>
      </c>
      <c r="D221" s="147"/>
      <c r="E221" s="148"/>
      <c r="F221" s="182"/>
      <c r="G221" s="147"/>
      <c r="H221" s="147"/>
      <c r="I221" s="147"/>
      <c r="J221" s="147"/>
      <c r="K221" s="149"/>
      <c r="L221" s="170"/>
      <c r="M221" s="156"/>
      <c r="N221" s="105"/>
    </row>
    <row r="222" spans="3:14" ht="24.6" x14ac:dyDescent="0.35">
      <c r="C222" s="179">
        <v>215</v>
      </c>
      <c r="D222" s="147"/>
      <c r="E222" s="148"/>
      <c r="F222" s="182"/>
      <c r="G222" s="147"/>
      <c r="H222" s="147"/>
      <c r="I222" s="147"/>
      <c r="J222" s="147"/>
      <c r="K222" s="149"/>
      <c r="L222" s="170"/>
      <c r="M222" s="156"/>
      <c r="N222" s="105"/>
    </row>
    <row r="223" spans="3:14" ht="24.6" x14ac:dyDescent="0.35">
      <c r="C223" s="180">
        <v>216</v>
      </c>
      <c r="D223" s="147"/>
      <c r="E223" s="148"/>
      <c r="F223" s="182"/>
      <c r="G223" s="147"/>
      <c r="H223" s="147"/>
      <c r="I223" s="147"/>
      <c r="J223" s="147"/>
      <c r="K223" s="149"/>
      <c r="L223" s="170"/>
      <c r="M223" s="156"/>
      <c r="N223" s="105"/>
    </row>
    <row r="224" spans="3:14" ht="24.6" x14ac:dyDescent="0.35">
      <c r="C224" s="179">
        <v>217</v>
      </c>
      <c r="D224" s="147"/>
      <c r="E224" s="148"/>
      <c r="F224" s="182"/>
      <c r="G224" s="147"/>
      <c r="H224" s="147"/>
      <c r="I224" s="147"/>
      <c r="J224" s="147"/>
      <c r="K224" s="149"/>
      <c r="L224" s="170"/>
      <c r="M224" s="156"/>
      <c r="N224" s="105"/>
    </row>
    <row r="225" spans="3:14" ht="24.6" x14ac:dyDescent="0.35">
      <c r="C225" s="180">
        <v>218</v>
      </c>
      <c r="D225" s="147"/>
      <c r="E225" s="148"/>
      <c r="F225" s="182"/>
      <c r="G225" s="147"/>
      <c r="H225" s="147"/>
      <c r="I225" s="147"/>
      <c r="J225" s="147"/>
      <c r="K225" s="149"/>
      <c r="L225" s="170"/>
      <c r="M225" s="156"/>
      <c r="N225" s="105"/>
    </row>
    <row r="226" spans="3:14" ht="24.6" x14ac:dyDescent="0.35">
      <c r="C226" s="179">
        <v>219</v>
      </c>
      <c r="D226" s="147"/>
      <c r="E226" s="148"/>
      <c r="F226" s="182"/>
      <c r="G226" s="147"/>
      <c r="H226" s="147"/>
      <c r="I226" s="147"/>
      <c r="J226" s="147"/>
      <c r="K226" s="149"/>
      <c r="L226" s="170"/>
      <c r="M226" s="156"/>
      <c r="N226" s="105"/>
    </row>
    <row r="227" spans="3:14" ht="24.6" x14ac:dyDescent="0.35">
      <c r="C227" s="180">
        <v>220</v>
      </c>
      <c r="D227" s="147"/>
      <c r="E227" s="148"/>
      <c r="F227" s="182"/>
      <c r="G227" s="147"/>
      <c r="H227" s="147"/>
      <c r="I227" s="147"/>
      <c r="J227" s="147"/>
      <c r="K227" s="149"/>
      <c r="L227" s="170"/>
      <c r="M227" s="156"/>
      <c r="N227" s="105"/>
    </row>
    <row r="228" spans="3:14" ht="24.6" x14ac:dyDescent="0.35">
      <c r="C228" s="179">
        <v>221</v>
      </c>
      <c r="D228" s="147"/>
      <c r="E228" s="148"/>
      <c r="F228" s="182"/>
      <c r="G228" s="147"/>
      <c r="H228" s="147"/>
      <c r="I228" s="147"/>
      <c r="J228" s="147"/>
      <c r="K228" s="149"/>
      <c r="L228" s="170"/>
      <c r="M228" s="156"/>
      <c r="N228" s="105"/>
    </row>
    <row r="229" spans="3:14" ht="24.6" x14ac:dyDescent="0.35">
      <c r="C229" s="180">
        <v>222</v>
      </c>
      <c r="D229" s="147"/>
      <c r="E229" s="148"/>
      <c r="F229" s="182"/>
      <c r="G229" s="147"/>
      <c r="H229" s="147"/>
      <c r="I229" s="147"/>
      <c r="J229" s="147"/>
      <c r="K229" s="149"/>
      <c r="L229" s="170"/>
      <c r="M229" s="156"/>
      <c r="N229" s="105"/>
    </row>
    <row r="230" spans="3:14" ht="24.6" x14ac:dyDescent="0.35">
      <c r="C230" s="179">
        <v>223</v>
      </c>
      <c r="D230" s="147"/>
      <c r="E230" s="148"/>
      <c r="F230" s="182"/>
      <c r="G230" s="147"/>
      <c r="H230" s="147"/>
      <c r="I230" s="147"/>
      <c r="J230" s="147"/>
      <c r="K230" s="149"/>
      <c r="L230" s="170"/>
      <c r="M230" s="156"/>
      <c r="N230" s="105"/>
    </row>
    <row r="231" spans="3:14" ht="24.6" x14ac:dyDescent="0.35">
      <c r="C231" s="180">
        <v>224</v>
      </c>
      <c r="D231" s="147"/>
      <c r="E231" s="148"/>
      <c r="F231" s="182"/>
      <c r="G231" s="147"/>
      <c r="H231" s="147"/>
      <c r="I231" s="147"/>
      <c r="J231" s="147"/>
      <c r="K231" s="149"/>
      <c r="L231" s="170"/>
      <c r="M231" s="156"/>
      <c r="N231" s="105"/>
    </row>
    <row r="232" spans="3:14" ht="24.6" x14ac:dyDescent="0.35">
      <c r="C232" s="179">
        <v>225</v>
      </c>
      <c r="D232" s="147"/>
      <c r="E232" s="148"/>
      <c r="F232" s="182"/>
      <c r="G232" s="147"/>
      <c r="H232" s="147"/>
      <c r="I232" s="147"/>
      <c r="J232" s="147"/>
      <c r="K232" s="149"/>
      <c r="L232" s="170"/>
      <c r="M232" s="156"/>
      <c r="N232" s="105"/>
    </row>
    <row r="233" spans="3:14" ht="24.6" x14ac:dyDescent="0.35">
      <c r="C233" s="180">
        <v>226</v>
      </c>
      <c r="D233" s="147"/>
      <c r="E233" s="148"/>
      <c r="F233" s="182"/>
      <c r="G233" s="147"/>
      <c r="H233" s="147"/>
      <c r="I233" s="147"/>
      <c r="J233" s="147"/>
      <c r="K233" s="149"/>
      <c r="L233" s="170"/>
      <c r="M233" s="156"/>
      <c r="N233" s="105"/>
    </row>
    <row r="234" spans="3:14" ht="24.6" x14ac:dyDescent="0.35">
      <c r="C234" s="179">
        <v>227</v>
      </c>
      <c r="D234" s="147"/>
      <c r="E234" s="148"/>
      <c r="F234" s="182"/>
      <c r="G234" s="147"/>
      <c r="H234" s="147"/>
      <c r="I234" s="147"/>
      <c r="J234" s="147"/>
      <c r="K234" s="149"/>
      <c r="L234" s="170"/>
      <c r="M234" s="156"/>
      <c r="N234" s="105"/>
    </row>
    <row r="235" spans="3:14" ht="24.6" x14ac:dyDescent="0.35">
      <c r="C235" s="180">
        <v>228</v>
      </c>
      <c r="D235" s="147"/>
      <c r="E235" s="148"/>
      <c r="F235" s="182"/>
      <c r="G235" s="147"/>
      <c r="H235" s="147"/>
      <c r="I235" s="147"/>
      <c r="J235" s="147"/>
      <c r="K235" s="149"/>
      <c r="L235" s="170"/>
      <c r="M235" s="156"/>
      <c r="N235" s="105"/>
    </row>
    <row r="236" spans="3:14" ht="24.6" x14ac:dyDescent="0.35">
      <c r="C236" s="179">
        <v>229</v>
      </c>
      <c r="D236" s="147"/>
      <c r="E236" s="148"/>
      <c r="F236" s="182"/>
      <c r="G236" s="147"/>
      <c r="H236" s="147"/>
      <c r="I236" s="147"/>
      <c r="J236" s="147"/>
      <c r="K236" s="149"/>
      <c r="L236" s="170"/>
      <c r="M236" s="156"/>
      <c r="N236" s="105"/>
    </row>
    <row r="237" spans="3:14" ht="24.6" x14ac:dyDescent="0.35">
      <c r="C237" s="180">
        <v>230</v>
      </c>
      <c r="D237" s="147"/>
      <c r="E237" s="148"/>
      <c r="F237" s="182"/>
      <c r="G237" s="147"/>
      <c r="H237" s="147"/>
      <c r="I237" s="147"/>
      <c r="J237" s="147"/>
      <c r="K237" s="149"/>
      <c r="L237" s="170"/>
      <c r="M237" s="156"/>
      <c r="N237" s="105"/>
    </row>
    <row r="238" spans="3:14" ht="24.6" x14ac:dyDescent="0.35">
      <c r="C238" s="179">
        <v>231</v>
      </c>
      <c r="D238" s="147"/>
      <c r="E238" s="148"/>
      <c r="F238" s="182"/>
      <c r="G238" s="147"/>
      <c r="H238" s="147"/>
      <c r="I238" s="147"/>
      <c r="J238" s="147"/>
      <c r="K238" s="149"/>
      <c r="L238" s="170"/>
      <c r="M238" s="156"/>
      <c r="N238" s="105"/>
    </row>
    <row r="239" spans="3:14" ht="24.6" x14ac:dyDescent="0.35">
      <c r="C239" s="180">
        <v>232</v>
      </c>
      <c r="D239" s="147"/>
      <c r="E239" s="148"/>
      <c r="F239" s="182"/>
      <c r="G239" s="147"/>
      <c r="H239" s="147"/>
      <c r="I239" s="147"/>
      <c r="J239" s="147"/>
      <c r="K239" s="149"/>
      <c r="L239" s="170"/>
      <c r="M239" s="156"/>
      <c r="N239" s="105"/>
    </row>
    <row r="240" spans="3:14" ht="24.6" x14ac:dyDescent="0.35">
      <c r="C240" s="179">
        <v>233</v>
      </c>
      <c r="D240" s="147"/>
      <c r="E240" s="148"/>
      <c r="F240" s="182"/>
      <c r="G240" s="147"/>
      <c r="H240" s="147"/>
      <c r="I240" s="147"/>
      <c r="J240" s="147"/>
      <c r="K240" s="149"/>
      <c r="L240" s="170"/>
      <c r="M240" s="156"/>
      <c r="N240" s="105"/>
    </row>
    <row r="241" spans="3:14" ht="24.6" x14ac:dyDescent="0.35">
      <c r="C241" s="180">
        <v>234</v>
      </c>
      <c r="D241" s="147"/>
      <c r="E241" s="148"/>
      <c r="F241" s="182"/>
      <c r="G241" s="147"/>
      <c r="H241" s="147"/>
      <c r="I241" s="147"/>
      <c r="J241" s="147"/>
      <c r="K241" s="149"/>
      <c r="L241" s="170"/>
      <c r="M241" s="156"/>
      <c r="N241" s="105"/>
    </row>
    <row r="242" spans="3:14" ht="24.6" x14ac:dyDescent="0.35">
      <c r="C242" s="179">
        <v>235</v>
      </c>
      <c r="D242" s="147"/>
      <c r="E242" s="148"/>
      <c r="F242" s="182"/>
      <c r="G242" s="147"/>
      <c r="H242" s="147"/>
      <c r="I242" s="147"/>
      <c r="J242" s="147"/>
      <c r="K242" s="149"/>
      <c r="L242" s="170"/>
      <c r="M242" s="156"/>
      <c r="N242" s="105"/>
    </row>
    <row r="243" spans="3:14" ht="24.6" x14ac:dyDescent="0.35">
      <c r="C243" s="180">
        <v>236</v>
      </c>
      <c r="D243" s="147"/>
      <c r="E243" s="148"/>
      <c r="F243" s="182"/>
      <c r="G243" s="147"/>
      <c r="H243" s="147"/>
      <c r="I243" s="147"/>
      <c r="J243" s="147"/>
      <c r="K243" s="149"/>
      <c r="L243" s="170"/>
      <c r="M243" s="156"/>
      <c r="N243" s="105"/>
    </row>
    <row r="244" spans="3:14" ht="24.6" x14ac:dyDescent="0.35">
      <c r="C244" s="179">
        <v>237</v>
      </c>
      <c r="D244" s="147"/>
      <c r="E244" s="148"/>
      <c r="F244" s="182"/>
      <c r="G244" s="147"/>
      <c r="H244" s="147"/>
      <c r="I244" s="147"/>
      <c r="J244" s="147"/>
      <c r="K244" s="149"/>
      <c r="L244" s="170"/>
      <c r="M244" s="156"/>
      <c r="N244" s="105"/>
    </row>
    <row r="245" spans="3:14" ht="24.6" x14ac:dyDescent="0.35">
      <c r="C245" s="180">
        <v>238</v>
      </c>
      <c r="D245" s="147"/>
      <c r="E245" s="148"/>
      <c r="F245" s="182"/>
      <c r="G245" s="147"/>
      <c r="H245" s="147"/>
      <c r="I245" s="147"/>
      <c r="J245" s="147"/>
      <c r="K245" s="149"/>
      <c r="L245" s="170"/>
      <c r="M245" s="156"/>
      <c r="N245" s="105"/>
    </row>
    <row r="246" spans="3:14" ht="24.6" x14ac:dyDescent="0.35">
      <c r="C246" s="179">
        <v>239</v>
      </c>
      <c r="D246" s="147"/>
      <c r="E246" s="148"/>
      <c r="F246" s="182"/>
      <c r="G246" s="147"/>
      <c r="H246" s="147"/>
      <c r="I246" s="147"/>
      <c r="J246" s="147"/>
      <c r="K246" s="149"/>
      <c r="L246" s="170"/>
      <c r="M246" s="156"/>
      <c r="N246" s="105"/>
    </row>
    <row r="247" spans="3:14" ht="24.6" x14ac:dyDescent="0.35">
      <c r="C247" s="180">
        <v>240</v>
      </c>
      <c r="D247" s="147"/>
      <c r="E247" s="148"/>
      <c r="F247" s="182"/>
      <c r="G247" s="147"/>
      <c r="H247" s="147"/>
      <c r="I247" s="147"/>
      <c r="J247" s="147"/>
      <c r="K247" s="149"/>
      <c r="L247" s="170"/>
      <c r="M247" s="156"/>
      <c r="N247" s="105"/>
    </row>
    <row r="248" spans="3:14" ht="24.6" x14ac:dyDescent="0.35">
      <c r="C248" s="179">
        <v>241</v>
      </c>
      <c r="D248" s="147"/>
      <c r="E248" s="148"/>
      <c r="F248" s="182"/>
      <c r="G248" s="147"/>
      <c r="H248" s="147"/>
      <c r="I248" s="147"/>
      <c r="J248" s="147"/>
      <c r="K248" s="149"/>
      <c r="L248" s="170"/>
      <c r="M248" s="156"/>
      <c r="N248" s="105"/>
    </row>
    <row r="249" spans="3:14" ht="24.6" x14ac:dyDescent="0.35">
      <c r="C249" s="180">
        <v>242</v>
      </c>
      <c r="D249" s="147"/>
      <c r="E249" s="148"/>
      <c r="F249" s="182"/>
      <c r="G249" s="147"/>
      <c r="H249" s="147"/>
      <c r="I249" s="147"/>
      <c r="J249" s="147"/>
      <c r="K249" s="149"/>
      <c r="L249" s="170"/>
      <c r="M249" s="156"/>
      <c r="N249" s="105"/>
    </row>
    <row r="250" spans="3:14" ht="24.6" x14ac:dyDescent="0.35">
      <c r="C250" s="179">
        <v>243</v>
      </c>
      <c r="D250" s="147"/>
      <c r="E250" s="148"/>
      <c r="F250" s="182"/>
      <c r="G250" s="147"/>
      <c r="H250" s="147"/>
      <c r="I250" s="147"/>
      <c r="J250" s="147"/>
      <c r="K250" s="149"/>
      <c r="L250" s="170"/>
      <c r="M250" s="156"/>
      <c r="N250" s="105"/>
    </row>
    <row r="251" spans="3:14" ht="24.6" x14ac:dyDescent="0.35">
      <c r="C251" s="180">
        <v>244</v>
      </c>
      <c r="D251" s="147"/>
      <c r="E251" s="148"/>
      <c r="F251" s="182"/>
      <c r="G251" s="147"/>
      <c r="H251" s="147"/>
      <c r="I251" s="147"/>
      <c r="J251" s="147"/>
      <c r="K251" s="149"/>
      <c r="L251" s="170"/>
      <c r="M251" s="156"/>
      <c r="N251" s="105"/>
    </row>
    <row r="252" spans="3:14" ht="24.6" x14ac:dyDescent="0.35">
      <c r="C252" s="179">
        <v>245</v>
      </c>
      <c r="D252" s="147"/>
      <c r="E252" s="148"/>
      <c r="F252" s="182"/>
      <c r="G252" s="147"/>
      <c r="H252" s="147"/>
      <c r="I252" s="147"/>
      <c r="J252" s="147"/>
      <c r="K252" s="149"/>
      <c r="L252" s="170"/>
      <c r="M252" s="156"/>
      <c r="N252" s="105"/>
    </row>
    <row r="253" spans="3:14" ht="24.6" x14ac:dyDescent="0.35">
      <c r="C253" s="180">
        <v>246</v>
      </c>
      <c r="D253" s="147"/>
      <c r="E253" s="148"/>
      <c r="F253" s="182"/>
      <c r="G253" s="147"/>
      <c r="H253" s="147"/>
      <c r="I253" s="147"/>
      <c r="J253" s="147"/>
      <c r="K253" s="149"/>
      <c r="L253" s="170"/>
      <c r="M253" s="156"/>
      <c r="N253" s="105"/>
    </row>
    <row r="254" spans="3:14" ht="24.6" x14ac:dyDescent="0.35">
      <c r="C254" s="179">
        <v>247</v>
      </c>
      <c r="D254" s="147"/>
      <c r="E254" s="148"/>
      <c r="F254" s="182"/>
      <c r="G254" s="147"/>
      <c r="H254" s="147"/>
      <c r="I254" s="147"/>
      <c r="J254" s="147"/>
      <c r="K254" s="149"/>
      <c r="L254" s="170"/>
      <c r="M254" s="156"/>
      <c r="N254" s="105"/>
    </row>
    <row r="255" spans="3:14" ht="24.6" x14ac:dyDescent="0.35">
      <c r="C255" s="180">
        <v>248</v>
      </c>
      <c r="D255" s="147"/>
      <c r="E255" s="148"/>
      <c r="F255" s="182"/>
      <c r="G255" s="147"/>
      <c r="H255" s="147"/>
      <c r="I255" s="147"/>
      <c r="J255" s="147"/>
      <c r="K255" s="149"/>
      <c r="L255" s="170"/>
      <c r="M255" s="156"/>
      <c r="N255" s="105"/>
    </row>
    <row r="256" spans="3:14" ht="24.6" x14ac:dyDescent="0.35">
      <c r="C256" s="179">
        <v>249</v>
      </c>
      <c r="D256" s="147"/>
      <c r="E256" s="148"/>
      <c r="F256" s="182"/>
      <c r="G256" s="147"/>
      <c r="H256" s="147"/>
      <c r="I256" s="147"/>
      <c r="J256" s="147"/>
      <c r="K256" s="149"/>
      <c r="L256" s="170"/>
      <c r="M256" s="156"/>
      <c r="N256" s="105"/>
    </row>
    <row r="257" spans="3:14" ht="24.6" x14ac:dyDescent="0.35">
      <c r="C257" s="180">
        <v>250</v>
      </c>
      <c r="D257" s="147"/>
      <c r="E257" s="148"/>
      <c r="F257" s="182"/>
      <c r="G257" s="147"/>
      <c r="H257" s="147"/>
      <c r="I257" s="147"/>
      <c r="J257" s="147"/>
      <c r="K257" s="149"/>
      <c r="L257" s="170"/>
      <c r="M257" s="156"/>
      <c r="N257" s="105"/>
    </row>
    <row r="258" spans="3:14" ht="24.6" x14ac:dyDescent="0.35">
      <c r="C258" s="179">
        <v>251</v>
      </c>
      <c r="D258" s="147"/>
      <c r="E258" s="148"/>
      <c r="F258" s="182"/>
      <c r="G258" s="147"/>
      <c r="H258" s="147"/>
      <c r="I258" s="147"/>
      <c r="J258" s="147"/>
      <c r="K258" s="149"/>
      <c r="L258" s="170"/>
      <c r="M258" s="156"/>
      <c r="N258" s="105"/>
    </row>
    <row r="259" spans="3:14" ht="24.6" x14ac:dyDescent="0.35">
      <c r="C259" s="180">
        <v>252</v>
      </c>
      <c r="D259" s="147"/>
      <c r="E259" s="148"/>
      <c r="F259" s="182"/>
      <c r="G259" s="147"/>
      <c r="H259" s="147"/>
      <c r="I259" s="147"/>
      <c r="J259" s="147"/>
      <c r="K259" s="149"/>
      <c r="L259" s="170"/>
      <c r="M259" s="156"/>
      <c r="N259" s="105"/>
    </row>
    <row r="260" spans="3:14" ht="24.6" x14ac:dyDescent="0.35">
      <c r="C260" s="179">
        <v>253</v>
      </c>
      <c r="D260" s="147"/>
      <c r="E260" s="148"/>
      <c r="F260" s="182"/>
      <c r="G260" s="147"/>
      <c r="H260" s="147"/>
      <c r="I260" s="147"/>
      <c r="J260" s="147"/>
      <c r="K260" s="149"/>
      <c r="L260" s="170"/>
      <c r="M260" s="156"/>
      <c r="N260" s="105"/>
    </row>
    <row r="261" spans="3:14" ht="24.6" x14ac:dyDescent="0.35">
      <c r="C261" s="180">
        <v>254</v>
      </c>
      <c r="D261" s="147"/>
      <c r="E261" s="148"/>
      <c r="F261" s="182"/>
      <c r="G261" s="147"/>
      <c r="H261" s="147"/>
      <c r="I261" s="147"/>
      <c r="J261" s="147"/>
      <c r="K261" s="149"/>
      <c r="L261" s="170"/>
      <c r="M261" s="156"/>
      <c r="N261" s="105"/>
    </row>
    <row r="262" spans="3:14" ht="24.6" x14ac:dyDescent="0.35">
      <c r="C262" s="179">
        <v>255</v>
      </c>
      <c r="D262" s="147"/>
      <c r="E262" s="148"/>
      <c r="F262" s="182"/>
      <c r="G262" s="147"/>
      <c r="H262" s="147"/>
      <c r="I262" s="147"/>
      <c r="J262" s="147"/>
      <c r="K262" s="149"/>
      <c r="L262" s="170"/>
      <c r="M262" s="156"/>
      <c r="N262" s="105"/>
    </row>
    <row r="263" spans="3:14" ht="24.6" x14ac:dyDescent="0.35">
      <c r="C263" s="180">
        <v>256</v>
      </c>
      <c r="D263" s="147"/>
      <c r="E263" s="148"/>
      <c r="F263" s="182"/>
      <c r="G263" s="147"/>
      <c r="H263" s="147"/>
      <c r="I263" s="147"/>
      <c r="J263" s="147"/>
      <c r="K263" s="149"/>
      <c r="L263" s="170"/>
      <c r="M263" s="156"/>
      <c r="N263" s="105"/>
    </row>
    <row r="264" spans="3:14" ht="24.6" x14ac:dyDescent="0.35">
      <c r="C264" s="179">
        <v>257</v>
      </c>
      <c r="D264" s="147"/>
      <c r="E264" s="148"/>
      <c r="F264" s="182"/>
      <c r="G264" s="147"/>
      <c r="H264" s="147"/>
      <c r="I264" s="147"/>
      <c r="J264" s="147"/>
      <c r="K264" s="149"/>
      <c r="L264" s="170"/>
      <c r="M264" s="156"/>
      <c r="N264" s="105"/>
    </row>
    <row r="265" spans="3:14" ht="24.6" x14ac:dyDescent="0.35">
      <c r="C265" s="180">
        <v>258</v>
      </c>
      <c r="D265" s="147"/>
      <c r="E265" s="148"/>
      <c r="F265" s="182"/>
      <c r="G265" s="147"/>
      <c r="H265" s="147"/>
      <c r="I265" s="147"/>
      <c r="J265" s="147"/>
      <c r="K265" s="149"/>
      <c r="L265" s="170"/>
      <c r="M265" s="156"/>
      <c r="N265" s="105"/>
    </row>
    <row r="266" spans="3:14" ht="24.6" x14ac:dyDescent="0.35">
      <c r="C266" s="179">
        <v>259</v>
      </c>
      <c r="D266" s="147"/>
      <c r="E266" s="148"/>
      <c r="F266" s="182"/>
      <c r="G266" s="147"/>
      <c r="H266" s="147"/>
      <c r="I266" s="147"/>
      <c r="J266" s="147"/>
      <c r="K266" s="149"/>
      <c r="L266" s="170"/>
      <c r="M266" s="156"/>
      <c r="N266" s="105"/>
    </row>
    <row r="267" spans="3:14" ht="24.6" x14ac:dyDescent="0.35">
      <c r="C267" s="180">
        <v>260</v>
      </c>
      <c r="D267" s="147"/>
      <c r="E267" s="148"/>
      <c r="F267" s="182"/>
      <c r="G267" s="147"/>
      <c r="H267" s="147"/>
      <c r="I267" s="147"/>
      <c r="J267" s="147"/>
      <c r="K267" s="149"/>
      <c r="L267" s="170"/>
      <c r="M267" s="156"/>
      <c r="N267" s="105"/>
    </row>
    <row r="268" spans="3:14" ht="24.6" x14ac:dyDescent="0.35">
      <c r="C268" s="179">
        <v>261</v>
      </c>
      <c r="D268" s="147"/>
      <c r="E268" s="148"/>
      <c r="F268" s="182"/>
      <c r="G268" s="147"/>
      <c r="H268" s="147"/>
      <c r="I268" s="147"/>
      <c r="J268" s="147"/>
      <c r="K268" s="149"/>
      <c r="L268" s="170"/>
      <c r="M268" s="156"/>
      <c r="N268" s="105"/>
    </row>
    <row r="269" spans="3:14" ht="24.6" x14ac:dyDescent="0.35">
      <c r="C269" s="180">
        <v>262</v>
      </c>
      <c r="D269" s="147"/>
      <c r="E269" s="148"/>
      <c r="F269" s="182"/>
      <c r="G269" s="147"/>
      <c r="H269" s="147"/>
      <c r="I269" s="147"/>
      <c r="J269" s="147"/>
      <c r="K269" s="149"/>
      <c r="L269" s="170"/>
      <c r="M269" s="156"/>
      <c r="N269" s="105"/>
    </row>
    <row r="270" spans="3:14" ht="24.6" x14ac:dyDescent="0.35">
      <c r="C270" s="179">
        <v>263</v>
      </c>
      <c r="D270" s="147"/>
      <c r="E270" s="148"/>
      <c r="F270" s="182"/>
      <c r="G270" s="147"/>
      <c r="H270" s="147"/>
      <c r="I270" s="147"/>
      <c r="J270" s="147"/>
      <c r="K270" s="149"/>
      <c r="L270" s="170"/>
      <c r="M270" s="156"/>
      <c r="N270" s="105"/>
    </row>
    <row r="271" spans="3:14" ht="24.6" x14ac:dyDescent="0.35">
      <c r="C271" s="180">
        <v>264</v>
      </c>
      <c r="D271" s="147"/>
      <c r="E271" s="148"/>
      <c r="F271" s="182"/>
      <c r="G271" s="147"/>
      <c r="H271" s="147"/>
      <c r="I271" s="147"/>
      <c r="J271" s="147"/>
      <c r="K271" s="149"/>
      <c r="L271" s="170"/>
      <c r="M271" s="156"/>
      <c r="N271" s="105"/>
    </row>
    <row r="272" spans="3:14" ht="24.6" x14ac:dyDescent="0.35">
      <c r="C272" s="179">
        <v>265</v>
      </c>
      <c r="D272" s="147"/>
      <c r="E272" s="148"/>
      <c r="F272" s="182"/>
      <c r="G272" s="147"/>
      <c r="H272" s="147"/>
      <c r="I272" s="147"/>
      <c r="J272" s="147"/>
      <c r="K272" s="149"/>
      <c r="L272" s="170"/>
      <c r="M272" s="156"/>
      <c r="N272" s="105"/>
    </row>
    <row r="273" spans="3:14" ht="24.6" x14ac:dyDescent="0.35">
      <c r="C273" s="180">
        <v>266</v>
      </c>
      <c r="D273" s="147"/>
      <c r="E273" s="148"/>
      <c r="F273" s="182"/>
      <c r="G273" s="147"/>
      <c r="H273" s="147"/>
      <c r="I273" s="147"/>
      <c r="J273" s="147"/>
      <c r="K273" s="149"/>
      <c r="L273" s="170"/>
      <c r="M273" s="156"/>
      <c r="N273" s="105"/>
    </row>
    <row r="274" spans="3:14" ht="24.6" x14ac:dyDescent="0.35">
      <c r="C274" s="179">
        <v>267</v>
      </c>
      <c r="D274" s="147"/>
      <c r="E274" s="148"/>
      <c r="F274" s="182"/>
      <c r="G274" s="147"/>
      <c r="H274" s="147"/>
      <c r="I274" s="147"/>
      <c r="J274" s="147"/>
      <c r="K274" s="149"/>
      <c r="L274" s="170"/>
      <c r="M274" s="156"/>
      <c r="N274" s="105"/>
    </row>
    <row r="275" spans="3:14" ht="24.6" x14ac:dyDescent="0.35">
      <c r="C275" s="180">
        <v>268</v>
      </c>
      <c r="D275" s="147"/>
      <c r="E275" s="148"/>
      <c r="F275" s="182"/>
      <c r="G275" s="147"/>
      <c r="H275" s="147"/>
      <c r="I275" s="147"/>
      <c r="J275" s="147"/>
      <c r="K275" s="149"/>
      <c r="L275" s="170"/>
      <c r="M275" s="156"/>
      <c r="N275" s="105"/>
    </row>
    <row r="276" spans="3:14" ht="24.6" x14ac:dyDescent="0.35">
      <c r="C276" s="179">
        <v>269</v>
      </c>
      <c r="D276" s="147"/>
      <c r="E276" s="148"/>
      <c r="F276" s="182"/>
      <c r="G276" s="147"/>
      <c r="H276" s="147"/>
      <c r="I276" s="147"/>
      <c r="J276" s="147"/>
      <c r="K276" s="149"/>
      <c r="L276" s="170"/>
      <c r="M276" s="156"/>
      <c r="N276" s="105"/>
    </row>
    <row r="277" spans="3:14" ht="24.6" x14ac:dyDescent="0.35">
      <c r="C277" s="180">
        <v>270</v>
      </c>
      <c r="D277" s="147"/>
      <c r="E277" s="148"/>
      <c r="F277" s="182"/>
      <c r="G277" s="147"/>
      <c r="H277" s="147"/>
      <c r="I277" s="147"/>
      <c r="J277" s="147"/>
      <c r="K277" s="149"/>
      <c r="L277" s="170"/>
      <c r="M277" s="156"/>
      <c r="N277" s="105"/>
    </row>
    <row r="278" spans="3:14" ht="24.6" x14ac:dyDescent="0.35">
      <c r="C278" s="179">
        <v>271</v>
      </c>
      <c r="D278" s="147"/>
      <c r="E278" s="148"/>
      <c r="F278" s="182"/>
      <c r="G278" s="147"/>
      <c r="H278" s="147"/>
      <c r="I278" s="147"/>
      <c r="J278" s="147"/>
      <c r="K278" s="149"/>
      <c r="L278" s="170"/>
      <c r="M278" s="156"/>
      <c r="N278" s="105"/>
    </row>
    <row r="279" spans="3:14" ht="24.6" x14ac:dyDescent="0.35">
      <c r="C279" s="180">
        <v>272</v>
      </c>
      <c r="D279" s="147"/>
      <c r="E279" s="148"/>
      <c r="F279" s="182"/>
      <c r="G279" s="147"/>
      <c r="H279" s="147"/>
      <c r="I279" s="147"/>
      <c r="J279" s="147"/>
      <c r="K279" s="149"/>
      <c r="L279" s="170"/>
      <c r="M279" s="156"/>
      <c r="N279" s="105"/>
    </row>
    <row r="280" spans="3:14" ht="24.6" x14ac:dyDescent="0.35">
      <c r="C280" s="179">
        <v>273</v>
      </c>
      <c r="D280" s="147"/>
      <c r="E280" s="148"/>
      <c r="F280" s="182"/>
      <c r="G280" s="147"/>
      <c r="H280" s="147"/>
      <c r="I280" s="147"/>
      <c r="J280" s="147"/>
      <c r="K280" s="149"/>
      <c r="L280" s="170"/>
      <c r="M280" s="156"/>
      <c r="N280" s="105"/>
    </row>
    <row r="281" spans="3:14" ht="24.6" x14ac:dyDescent="0.35">
      <c r="C281" s="180">
        <v>274</v>
      </c>
      <c r="D281" s="147"/>
      <c r="E281" s="148"/>
      <c r="F281" s="182"/>
      <c r="G281" s="147"/>
      <c r="H281" s="147"/>
      <c r="I281" s="147"/>
      <c r="J281" s="147"/>
      <c r="K281" s="149"/>
      <c r="L281" s="170"/>
      <c r="M281" s="156"/>
      <c r="N281" s="105"/>
    </row>
    <row r="282" spans="3:14" ht="24.6" x14ac:dyDescent="0.35">
      <c r="C282" s="179">
        <v>275</v>
      </c>
      <c r="D282" s="147"/>
      <c r="E282" s="148"/>
      <c r="F282" s="182"/>
      <c r="G282" s="147"/>
      <c r="H282" s="147"/>
      <c r="I282" s="147"/>
      <c r="J282" s="147"/>
      <c r="K282" s="149"/>
      <c r="L282" s="170"/>
      <c r="M282" s="156"/>
      <c r="N282" s="105"/>
    </row>
    <row r="283" spans="3:14" ht="24.6" x14ac:dyDescent="0.35">
      <c r="C283" s="180">
        <v>276</v>
      </c>
      <c r="D283" s="147"/>
      <c r="E283" s="148"/>
      <c r="F283" s="182"/>
      <c r="G283" s="147"/>
      <c r="H283" s="147"/>
      <c r="I283" s="147"/>
      <c r="J283" s="147"/>
      <c r="K283" s="149"/>
      <c r="L283" s="170"/>
      <c r="M283" s="156"/>
      <c r="N283" s="105"/>
    </row>
    <row r="284" spans="3:14" ht="24.6" x14ac:dyDescent="0.35">
      <c r="C284" s="179">
        <v>277</v>
      </c>
      <c r="D284" s="147"/>
      <c r="E284" s="148"/>
      <c r="F284" s="182"/>
      <c r="G284" s="147"/>
      <c r="H284" s="147"/>
      <c r="I284" s="147"/>
      <c r="J284" s="147"/>
      <c r="K284" s="149"/>
      <c r="L284" s="170"/>
      <c r="M284" s="156"/>
      <c r="N284" s="105"/>
    </row>
    <row r="285" spans="3:14" ht="24.6" x14ac:dyDescent="0.35">
      <c r="C285" s="180">
        <v>278</v>
      </c>
      <c r="D285" s="147"/>
      <c r="E285" s="148"/>
      <c r="F285" s="182"/>
      <c r="G285" s="147"/>
      <c r="H285" s="147"/>
      <c r="I285" s="147"/>
      <c r="J285" s="147"/>
      <c r="K285" s="149"/>
      <c r="L285" s="170"/>
      <c r="M285" s="156"/>
      <c r="N285" s="105"/>
    </row>
    <row r="286" spans="3:14" ht="24.6" x14ac:dyDescent="0.35">
      <c r="C286" s="179">
        <v>279</v>
      </c>
      <c r="D286" s="147"/>
      <c r="E286" s="148"/>
      <c r="F286" s="182"/>
      <c r="G286" s="147"/>
      <c r="H286" s="147"/>
      <c r="I286" s="147"/>
      <c r="J286" s="147"/>
      <c r="K286" s="149"/>
      <c r="L286" s="170"/>
      <c r="M286" s="156"/>
      <c r="N286" s="105"/>
    </row>
    <row r="287" spans="3:14" ht="24.6" x14ac:dyDescent="0.35">
      <c r="C287" s="180">
        <v>280</v>
      </c>
      <c r="D287" s="147"/>
      <c r="E287" s="148"/>
      <c r="F287" s="182"/>
      <c r="G287" s="147"/>
      <c r="H287" s="147"/>
      <c r="I287" s="147"/>
      <c r="J287" s="147"/>
      <c r="K287" s="149"/>
      <c r="L287" s="170"/>
      <c r="M287" s="156"/>
      <c r="N287" s="105"/>
    </row>
    <row r="288" spans="3:14" ht="24.6" x14ac:dyDescent="0.35">
      <c r="C288" s="179">
        <v>281</v>
      </c>
      <c r="D288" s="147"/>
      <c r="E288" s="148"/>
      <c r="F288" s="182"/>
      <c r="G288" s="147"/>
      <c r="H288" s="147"/>
      <c r="I288" s="147"/>
      <c r="J288" s="147"/>
      <c r="K288" s="149"/>
      <c r="L288" s="170"/>
      <c r="M288" s="156"/>
      <c r="N288" s="105"/>
    </row>
    <row r="289" spans="3:14" ht="24.6" x14ac:dyDescent="0.35">
      <c r="C289" s="180">
        <v>282</v>
      </c>
      <c r="D289" s="147"/>
      <c r="E289" s="148"/>
      <c r="F289" s="182"/>
      <c r="G289" s="147"/>
      <c r="H289" s="147"/>
      <c r="I289" s="147"/>
      <c r="J289" s="147"/>
      <c r="K289" s="149"/>
      <c r="L289" s="170"/>
      <c r="M289" s="156"/>
      <c r="N289" s="105"/>
    </row>
    <row r="290" spans="3:14" ht="24.6" x14ac:dyDescent="0.35">
      <c r="C290" s="179">
        <v>283</v>
      </c>
      <c r="D290" s="147"/>
      <c r="E290" s="148"/>
      <c r="F290" s="182"/>
      <c r="G290" s="147"/>
      <c r="H290" s="147"/>
      <c r="I290" s="147"/>
      <c r="J290" s="147"/>
      <c r="K290" s="149"/>
      <c r="L290" s="170"/>
      <c r="M290" s="156"/>
      <c r="N290" s="105"/>
    </row>
    <row r="291" spans="3:14" ht="24.6" x14ac:dyDescent="0.35">
      <c r="C291" s="180">
        <v>284</v>
      </c>
      <c r="D291" s="147"/>
      <c r="E291" s="148"/>
      <c r="F291" s="182"/>
      <c r="G291" s="147"/>
      <c r="H291" s="147"/>
      <c r="I291" s="147"/>
      <c r="J291" s="147"/>
      <c r="K291" s="149"/>
      <c r="L291" s="170"/>
      <c r="M291" s="156"/>
      <c r="N291" s="105"/>
    </row>
    <row r="292" spans="3:14" ht="24.6" x14ac:dyDescent="0.35">
      <c r="C292" s="179">
        <v>285</v>
      </c>
      <c r="D292" s="147"/>
      <c r="E292" s="148"/>
      <c r="F292" s="182"/>
      <c r="G292" s="147"/>
      <c r="H292" s="147"/>
      <c r="I292" s="147"/>
      <c r="J292" s="147"/>
      <c r="K292" s="149"/>
      <c r="L292" s="170"/>
      <c r="M292" s="156"/>
      <c r="N292" s="105"/>
    </row>
    <row r="293" spans="3:14" ht="24.6" x14ac:dyDescent="0.35">
      <c r="C293" s="180">
        <v>286</v>
      </c>
      <c r="D293" s="147"/>
      <c r="E293" s="148"/>
      <c r="F293" s="182"/>
      <c r="G293" s="147"/>
      <c r="H293" s="147"/>
      <c r="I293" s="147"/>
      <c r="J293" s="147"/>
      <c r="K293" s="149"/>
      <c r="L293" s="170"/>
      <c r="M293" s="156"/>
      <c r="N293" s="105"/>
    </row>
    <row r="294" spans="3:14" ht="24.6" x14ac:dyDescent="0.35">
      <c r="C294" s="179">
        <v>287</v>
      </c>
      <c r="D294" s="147"/>
      <c r="E294" s="148"/>
      <c r="F294" s="182"/>
      <c r="G294" s="147"/>
      <c r="H294" s="147"/>
      <c r="I294" s="147"/>
      <c r="J294" s="147"/>
      <c r="K294" s="149"/>
      <c r="L294" s="170"/>
      <c r="M294" s="156"/>
      <c r="N294" s="105"/>
    </row>
    <row r="295" spans="3:14" ht="24.6" x14ac:dyDescent="0.35">
      <c r="C295" s="180">
        <v>288</v>
      </c>
      <c r="D295" s="147"/>
      <c r="E295" s="148"/>
      <c r="F295" s="182"/>
      <c r="G295" s="147"/>
      <c r="H295" s="147"/>
      <c r="I295" s="147"/>
      <c r="J295" s="147"/>
      <c r="K295" s="149"/>
      <c r="L295" s="170"/>
      <c r="M295" s="156"/>
      <c r="N295" s="105"/>
    </row>
    <row r="296" spans="3:14" ht="24.6" x14ac:dyDescent="0.35">
      <c r="C296" s="179">
        <v>289</v>
      </c>
      <c r="D296" s="147"/>
      <c r="E296" s="148"/>
      <c r="F296" s="182"/>
      <c r="G296" s="147"/>
      <c r="H296" s="147"/>
      <c r="I296" s="147"/>
      <c r="J296" s="147"/>
      <c r="K296" s="149"/>
      <c r="L296" s="170"/>
      <c r="M296" s="156"/>
      <c r="N296" s="105"/>
    </row>
    <row r="297" spans="3:14" ht="24.6" x14ac:dyDescent="0.35">
      <c r="C297" s="180">
        <v>290</v>
      </c>
      <c r="D297" s="147"/>
      <c r="E297" s="148"/>
      <c r="F297" s="182"/>
      <c r="G297" s="147"/>
      <c r="H297" s="147"/>
      <c r="I297" s="147"/>
      <c r="J297" s="147"/>
      <c r="K297" s="149"/>
      <c r="L297" s="170"/>
      <c r="M297" s="156"/>
      <c r="N297" s="105"/>
    </row>
    <row r="298" spans="3:14" ht="24.6" x14ac:dyDescent="0.35">
      <c r="C298" s="179">
        <v>291</v>
      </c>
      <c r="D298" s="147"/>
      <c r="E298" s="148"/>
      <c r="F298" s="182"/>
      <c r="G298" s="147"/>
      <c r="H298" s="147"/>
      <c r="I298" s="147"/>
      <c r="J298" s="147"/>
      <c r="K298" s="149"/>
      <c r="L298" s="170"/>
      <c r="M298" s="156"/>
      <c r="N298" s="105"/>
    </row>
    <row r="299" spans="3:14" ht="24.6" x14ac:dyDescent="0.35">
      <c r="C299" s="180">
        <v>292</v>
      </c>
      <c r="D299" s="147"/>
      <c r="E299" s="148"/>
      <c r="F299" s="182"/>
      <c r="G299" s="147"/>
      <c r="H299" s="147"/>
      <c r="I299" s="147"/>
      <c r="J299" s="147"/>
      <c r="K299" s="149"/>
      <c r="L299" s="170"/>
      <c r="M299" s="156"/>
      <c r="N299" s="105"/>
    </row>
    <row r="300" spans="3:14" ht="24.6" x14ac:dyDescent="0.35">
      <c r="C300" s="179">
        <v>293</v>
      </c>
      <c r="D300" s="147"/>
      <c r="E300" s="148"/>
      <c r="F300" s="182"/>
      <c r="G300" s="147"/>
      <c r="H300" s="147"/>
      <c r="I300" s="147"/>
      <c r="J300" s="147"/>
      <c r="K300" s="149"/>
      <c r="L300" s="170"/>
      <c r="M300" s="156"/>
      <c r="N300" s="105"/>
    </row>
    <row r="301" spans="3:14" ht="24.6" x14ac:dyDescent="0.35">
      <c r="C301" s="180">
        <v>294</v>
      </c>
      <c r="D301" s="147"/>
      <c r="E301" s="148"/>
      <c r="F301" s="182"/>
      <c r="G301" s="147"/>
      <c r="H301" s="147"/>
      <c r="I301" s="147"/>
      <c r="J301" s="147"/>
      <c r="K301" s="149"/>
      <c r="L301" s="170"/>
      <c r="M301" s="156"/>
      <c r="N301" s="105"/>
    </row>
    <row r="302" spans="3:14" ht="24.6" x14ac:dyDescent="0.35">
      <c r="C302" s="179">
        <v>295</v>
      </c>
      <c r="D302" s="147"/>
      <c r="E302" s="148"/>
      <c r="F302" s="182"/>
      <c r="G302" s="147"/>
      <c r="H302" s="147"/>
      <c r="I302" s="147"/>
      <c r="J302" s="147"/>
      <c r="K302" s="149"/>
      <c r="L302" s="170"/>
      <c r="M302" s="156"/>
      <c r="N302" s="105"/>
    </row>
    <row r="303" spans="3:14" ht="24.6" x14ac:dyDescent="0.35">
      <c r="C303" s="180">
        <v>296</v>
      </c>
      <c r="D303" s="147"/>
      <c r="E303" s="148"/>
      <c r="F303" s="182"/>
      <c r="G303" s="147"/>
      <c r="H303" s="147"/>
      <c r="I303" s="147"/>
      <c r="J303" s="147"/>
      <c r="K303" s="149"/>
      <c r="L303" s="170"/>
      <c r="M303" s="156"/>
      <c r="N303" s="105"/>
    </row>
    <row r="304" spans="3:14" ht="24.6" x14ac:dyDescent="0.35">
      <c r="C304" s="179">
        <v>297</v>
      </c>
      <c r="D304" s="147"/>
      <c r="E304" s="148"/>
      <c r="F304" s="182"/>
      <c r="G304" s="147"/>
      <c r="H304" s="147"/>
      <c r="I304" s="147"/>
      <c r="J304" s="147"/>
      <c r="K304" s="149"/>
      <c r="L304" s="170"/>
      <c r="M304" s="156"/>
      <c r="N304" s="105"/>
    </row>
    <row r="305" spans="3:14" ht="24.6" x14ac:dyDescent="0.35">
      <c r="C305" s="180">
        <v>298</v>
      </c>
      <c r="D305" s="147"/>
      <c r="E305" s="148"/>
      <c r="F305" s="182"/>
      <c r="G305" s="147"/>
      <c r="H305" s="147"/>
      <c r="I305" s="147"/>
      <c r="J305" s="147"/>
      <c r="K305" s="149"/>
      <c r="L305" s="170"/>
      <c r="M305" s="156"/>
      <c r="N305" s="105"/>
    </row>
    <row r="306" spans="3:14" ht="24.6" x14ac:dyDescent="0.35">
      <c r="C306" s="179">
        <v>299</v>
      </c>
      <c r="D306" s="147"/>
      <c r="E306" s="148"/>
      <c r="F306" s="182"/>
      <c r="G306" s="147"/>
      <c r="H306" s="147"/>
      <c r="I306" s="147"/>
      <c r="J306" s="147"/>
      <c r="K306" s="149"/>
      <c r="L306" s="170"/>
      <c r="M306" s="156"/>
      <c r="N306" s="105"/>
    </row>
    <row r="307" spans="3:14" ht="24.6" x14ac:dyDescent="0.35">
      <c r="C307" s="180">
        <v>300</v>
      </c>
      <c r="D307" s="147"/>
      <c r="E307" s="148"/>
      <c r="F307" s="182"/>
      <c r="G307" s="147"/>
      <c r="H307" s="147"/>
      <c r="I307" s="147"/>
      <c r="J307" s="147"/>
      <c r="K307" s="149"/>
      <c r="L307" s="170"/>
      <c r="M307" s="156"/>
      <c r="N307" s="105"/>
    </row>
    <row r="308" spans="3:14" ht="24.6" x14ac:dyDescent="0.35">
      <c r="C308" s="179">
        <v>301</v>
      </c>
      <c r="D308" s="147"/>
      <c r="E308" s="148"/>
      <c r="F308" s="182"/>
      <c r="G308" s="147"/>
      <c r="H308" s="147"/>
      <c r="I308" s="147"/>
      <c r="J308" s="147"/>
      <c r="K308" s="149"/>
      <c r="L308" s="170"/>
      <c r="M308" s="156"/>
      <c r="N308" s="105"/>
    </row>
    <row r="309" spans="3:14" ht="24.6" x14ac:dyDescent="0.35">
      <c r="C309" s="180">
        <v>302</v>
      </c>
      <c r="D309" s="147"/>
      <c r="E309" s="148"/>
      <c r="F309" s="182"/>
      <c r="G309" s="147"/>
      <c r="H309" s="147"/>
      <c r="I309" s="147"/>
      <c r="J309" s="147"/>
      <c r="K309" s="149"/>
      <c r="L309" s="170"/>
      <c r="M309" s="156"/>
      <c r="N309" s="105"/>
    </row>
    <row r="310" spans="3:14" ht="24.6" x14ac:dyDescent="0.35">
      <c r="C310" s="179">
        <v>303</v>
      </c>
      <c r="D310" s="147"/>
      <c r="E310" s="148"/>
      <c r="F310" s="182"/>
      <c r="G310" s="147"/>
      <c r="H310" s="147"/>
      <c r="I310" s="147"/>
      <c r="J310" s="147"/>
      <c r="K310" s="149"/>
      <c r="L310" s="170"/>
      <c r="M310" s="156"/>
      <c r="N310" s="105"/>
    </row>
    <row r="311" spans="3:14" ht="24.6" x14ac:dyDescent="0.35">
      <c r="C311" s="180">
        <v>304</v>
      </c>
      <c r="D311" s="147"/>
      <c r="E311" s="148"/>
      <c r="F311" s="182"/>
      <c r="G311" s="147"/>
      <c r="H311" s="147"/>
      <c r="I311" s="147"/>
      <c r="J311" s="147"/>
      <c r="K311" s="149"/>
      <c r="L311" s="170"/>
      <c r="M311" s="156"/>
      <c r="N311" s="105"/>
    </row>
    <row r="312" spans="3:14" ht="24.6" x14ac:dyDescent="0.35">
      <c r="C312" s="179">
        <v>305</v>
      </c>
      <c r="D312" s="147"/>
      <c r="E312" s="148"/>
      <c r="F312" s="182"/>
      <c r="G312" s="147"/>
      <c r="H312" s="147"/>
      <c r="I312" s="147"/>
      <c r="J312" s="147"/>
      <c r="K312" s="149"/>
      <c r="L312" s="170"/>
      <c r="M312" s="156"/>
      <c r="N312" s="105"/>
    </row>
    <row r="313" spans="3:14" ht="24.6" x14ac:dyDescent="0.35">
      <c r="C313" s="180">
        <v>306</v>
      </c>
      <c r="D313" s="147"/>
      <c r="E313" s="148"/>
      <c r="F313" s="182"/>
      <c r="G313" s="147"/>
      <c r="H313" s="147"/>
      <c r="I313" s="147"/>
      <c r="J313" s="147"/>
      <c r="K313" s="149"/>
      <c r="L313" s="170"/>
      <c r="M313" s="156"/>
      <c r="N313" s="105"/>
    </row>
    <row r="314" spans="3:14" ht="24.6" x14ac:dyDescent="0.35">
      <c r="C314" s="179">
        <v>307</v>
      </c>
      <c r="D314" s="147"/>
      <c r="E314" s="148"/>
      <c r="F314" s="182"/>
      <c r="G314" s="147"/>
      <c r="H314" s="147"/>
      <c r="I314" s="147"/>
      <c r="J314" s="147"/>
      <c r="K314" s="149"/>
      <c r="L314" s="170"/>
      <c r="M314" s="156"/>
      <c r="N314" s="105"/>
    </row>
    <row r="315" spans="3:14" ht="24.6" x14ac:dyDescent="0.35">
      <c r="C315" s="180">
        <v>308</v>
      </c>
      <c r="D315" s="147"/>
      <c r="E315" s="148"/>
      <c r="F315" s="182"/>
      <c r="G315" s="147"/>
      <c r="H315" s="147"/>
      <c r="I315" s="147"/>
      <c r="J315" s="147"/>
      <c r="K315" s="149"/>
      <c r="L315" s="170"/>
      <c r="M315" s="156"/>
      <c r="N315" s="105"/>
    </row>
    <row r="316" spans="3:14" ht="24.6" x14ac:dyDescent="0.35">
      <c r="C316" s="179">
        <v>309</v>
      </c>
      <c r="D316" s="147"/>
      <c r="E316" s="148"/>
      <c r="F316" s="182"/>
      <c r="G316" s="147"/>
      <c r="H316" s="147"/>
      <c r="I316" s="147"/>
      <c r="J316" s="147"/>
      <c r="K316" s="149"/>
      <c r="L316" s="170"/>
      <c r="M316" s="156"/>
      <c r="N316" s="105"/>
    </row>
    <row r="317" spans="3:14" ht="24.6" x14ac:dyDescent="0.35">
      <c r="C317" s="180">
        <v>310</v>
      </c>
      <c r="D317" s="147"/>
      <c r="E317" s="148"/>
      <c r="F317" s="182"/>
      <c r="G317" s="147"/>
      <c r="H317" s="147"/>
      <c r="I317" s="147"/>
      <c r="J317" s="147"/>
      <c r="K317" s="149"/>
      <c r="L317" s="170"/>
      <c r="M317" s="156"/>
      <c r="N317" s="105"/>
    </row>
    <row r="318" spans="3:14" ht="24.6" x14ac:dyDescent="0.35">
      <c r="C318" s="179">
        <v>311</v>
      </c>
      <c r="D318" s="147"/>
      <c r="E318" s="148"/>
      <c r="F318" s="182"/>
      <c r="G318" s="147"/>
      <c r="H318" s="147"/>
      <c r="I318" s="147"/>
      <c r="J318" s="147"/>
      <c r="K318" s="149"/>
      <c r="L318" s="170"/>
      <c r="M318" s="156"/>
      <c r="N318" s="105"/>
    </row>
    <row r="319" spans="3:14" ht="24.6" x14ac:dyDescent="0.35">
      <c r="C319" s="180">
        <v>312</v>
      </c>
      <c r="D319" s="147"/>
      <c r="E319" s="148"/>
      <c r="F319" s="182"/>
      <c r="G319" s="147"/>
      <c r="H319" s="147"/>
      <c r="I319" s="147"/>
      <c r="J319" s="147"/>
      <c r="K319" s="149"/>
      <c r="L319" s="170"/>
      <c r="M319" s="156"/>
      <c r="N319" s="105"/>
    </row>
    <row r="320" spans="3:14" ht="24.6" x14ac:dyDescent="0.35">
      <c r="C320" s="179">
        <v>313</v>
      </c>
      <c r="D320" s="147"/>
      <c r="E320" s="148"/>
      <c r="F320" s="182"/>
      <c r="G320" s="147"/>
      <c r="H320" s="147"/>
      <c r="I320" s="147"/>
      <c r="J320" s="147"/>
      <c r="K320" s="149"/>
      <c r="L320" s="170"/>
      <c r="M320" s="156"/>
      <c r="N320" s="105"/>
    </row>
    <row r="321" spans="3:14" ht="24.6" x14ac:dyDescent="0.35">
      <c r="C321" s="180">
        <v>314</v>
      </c>
      <c r="D321" s="147"/>
      <c r="E321" s="148"/>
      <c r="F321" s="182"/>
      <c r="G321" s="147"/>
      <c r="H321" s="147"/>
      <c r="I321" s="147"/>
      <c r="J321" s="147"/>
      <c r="K321" s="149"/>
      <c r="L321" s="170"/>
      <c r="M321" s="156"/>
      <c r="N321" s="105"/>
    </row>
    <row r="322" spans="3:14" ht="24.6" x14ac:dyDescent="0.35">
      <c r="C322" s="179">
        <v>315</v>
      </c>
      <c r="D322" s="147"/>
      <c r="E322" s="148"/>
      <c r="F322" s="182"/>
      <c r="G322" s="147"/>
      <c r="H322" s="147"/>
      <c r="I322" s="147"/>
      <c r="J322" s="147"/>
      <c r="K322" s="149"/>
      <c r="L322" s="170"/>
      <c r="M322" s="156"/>
      <c r="N322" s="105"/>
    </row>
    <row r="323" spans="3:14" ht="24.6" x14ac:dyDescent="0.35">
      <c r="C323" s="180">
        <v>316</v>
      </c>
      <c r="D323" s="147"/>
      <c r="E323" s="148"/>
      <c r="F323" s="182"/>
      <c r="G323" s="147"/>
      <c r="H323" s="147"/>
      <c r="I323" s="147"/>
      <c r="J323" s="147"/>
      <c r="K323" s="149"/>
      <c r="L323" s="170"/>
      <c r="M323" s="156"/>
      <c r="N323" s="105"/>
    </row>
    <row r="324" spans="3:14" ht="24.6" x14ac:dyDescent="0.35">
      <c r="C324" s="179">
        <v>317</v>
      </c>
      <c r="D324" s="147"/>
      <c r="E324" s="148"/>
      <c r="F324" s="182"/>
      <c r="G324" s="147"/>
      <c r="H324" s="147"/>
      <c r="I324" s="147"/>
      <c r="J324" s="147"/>
      <c r="K324" s="149"/>
      <c r="L324" s="170"/>
      <c r="M324" s="156"/>
      <c r="N324" s="105"/>
    </row>
    <row r="325" spans="3:14" ht="24.6" x14ac:dyDescent="0.35">
      <c r="C325" s="180">
        <v>318</v>
      </c>
      <c r="D325" s="147"/>
      <c r="E325" s="148"/>
      <c r="F325" s="182"/>
      <c r="G325" s="147"/>
      <c r="H325" s="147"/>
      <c r="I325" s="147"/>
      <c r="J325" s="147"/>
      <c r="K325" s="149"/>
      <c r="L325" s="170"/>
      <c r="M325" s="156"/>
      <c r="N325" s="105"/>
    </row>
    <row r="326" spans="3:14" ht="24.6" x14ac:dyDescent="0.35">
      <c r="C326" s="179">
        <v>319</v>
      </c>
      <c r="D326" s="147"/>
      <c r="E326" s="148"/>
      <c r="F326" s="182"/>
      <c r="G326" s="147"/>
      <c r="H326" s="147"/>
      <c r="I326" s="147"/>
      <c r="J326" s="147"/>
      <c r="K326" s="149"/>
      <c r="L326" s="170"/>
      <c r="M326" s="156"/>
      <c r="N326" s="105"/>
    </row>
    <row r="327" spans="3:14" ht="24.6" x14ac:dyDescent="0.35">
      <c r="C327" s="180">
        <v>320</v>
      </c>
      <c r="D327" s="147"/>
      <c r="E327" s="148"/>
      <c r="F327" s="182"/>
      <c r="G327" s="147"/>
      <c r="H327" s="147"/>
      <c r="I327" s="147"/>
      <c r="J327" s="147"/>
      <c r="K327" s="149"/>
      <c r="L327" s="170"/>
      <c r="M327" s="156"/>
      <c r="N327" s="105"/>
    </row>
    <row r="328" spans="3:14" ht="24.6" x14ac:dyDescent="0.35">
      <c r="C328" s="179">
        <v>321</v>
      </c>
      <c r="D328" s="147"/>
      <c r="E328" s="148"/>
      <c r="F328" s="182"/>
      <c r="G328" s="147"/>
      <c r="H328" s="147"/>
      <c r="I328" s="147"/>
      <c r="J328" s="147"/>
      <c r="K328" s="149"/>
      <c r="L328" s="170"/>
      <c r="M328" s="156"/>
      <c r="N328" s="105"/>
    </row>
    <row r="329" spans="3:14" ht="24.6" x14ac:dyDescent="0.35">
      <c r="C329" s="180">
        <v>322</v>
      </c>
      <c r="D329" s="147"/>
      <c r="E329" s="148"/>
      <c r="F329" s="182"/>
      <c r="G329" s="147"/>
      <c r="H329" s="147"/>
      <c r="I329" s="147"/>
      <c r="J329" s="147"/>
      <c r="K329" s="149"/>
      <c r="L329" s="170"/>
      <c r="M329" s="156"/>
      <c r="N329" s="105"/>
    </row>
    <row r="330" spans="3:14" ht="24.6" x14ac:dyDescent="0.35">
      <c r="C330" s="179">
        <v>323</v>
      </c>
      <c r="D330" s="147"/>
      <c r="E330" s="148"/>
      <c r="F330" s="182"/>
      <c r="G330" s="147"/>
      <c r="H330" s="147"/>
      <c r="I330" s="147"/>
      <c r="J330" s="147"/>
      <c r="K330" s="149"/>
      <c r="L330" s="170"/>
      <c r="M330" s="156"/>
      <c r="N330" s="105"/>
    </row>
    <row r="331" spans="3:14" ht="24.6" x14ac:dyDescent="0.35">
      <c r="C331" s="180">
        <v>324</v>
      </c>
      <c r="D331" s="147"/>
      <c r="E331" s="148"/>
      <c r="F331" s="182"/>
      <c r="G331" s="147"/>
      <c r="H331" s="147"/>
      <c r="I331" s="147"/>
      <c r="J331" s="147"/>
      <c r="K331" s="149"/>
      <c r="L331" s="170"/>
      <c r="M331" s="156"/>
      <c r="N331" s="105"/>
    </row>
    <row r="332" spans="3:14" ht="24.6" x14ac:dyDescent="0.35">
      <c r="C332" s="179">
        <v>325</v>
      </c>
      <c r="D332" s="147"/>
      <c r="E332" s="148"/>
      <c r="F332" s="182"/>
      <c r="G332" s="147"/>
      <c r="H332" s="147"/>
      <c r="I332" s="147"/>
      <c r="J332" s="147"/>
      <c r="K332" s="149"/>
      <c r="L332" s="170"/>
      <c r="M332" s="156"/>
      <c r="N332" s="105"/>
    </row>
    <row r="333" spans="3:14" ht="24.6" x14ac:dyDescent="0.35">
      <c r="C333" s="180">
        <v>326</v>
      </c>
      <c r="D333" s="147"/>
      <c r="E333" s="148"/>
      <c r="F333" s="182"/>
      <c r="G333" s="147"/>
      <c r="H333" s="147"/>
      <c r="I333" s="147"/>
      <c r="J333" s="147"/>
      <c r="K333" s="149"/>
      <c r="L333" s="170"/>
      <c r="M333" s="156"/>
      <c r="N333" s="105"/>
    </row>
    <row r="334" spans="3:14" ht="24.6" x14ac:dyDescent="0.35">
      <c r="C334" s="179">
        <v>327</v>
      </c>
      <c r="D334" s="147"/>
      <c r="E334" s="148"/>
      <c r="F334" s="182"/>
      <c r="G334" s="147"/>
      <c r="H334" s="147"/>
      <c r="I334" s="147"/>
      <c r="J334" s="147"/>
      <c r="K334" s="149"/>
      <c r="L334" s="170"/>
      <c r="M334" s="156"/>
      <c r="N334" s="105"/>
    </row>
    <row r="335" spans="3:14" ht="24.6" x14ac:dyDescent="0.35">
      <c r="C335" s="180">
        <v>328</v>
      </c>
      <c r="D335" s="147"/>
      <c r="E335" s="148"/>
      <c r="F335" s="182"/>
      <c r="G335" s="147"/>
      <c r="H335" s="147"/>
      <c r="I335" s="147"/>
      <c r="J335" s="147"/>
      <c r="K335" s="149"/>
      <c r="L335" s="170"/>
      <c r="M335" s="156"/>
      <c r="N335" s="105"/>
    </row>
    <row r="336" spans="3:14" ht="24.6" x14ac:dyDescent="0.35">
      <c r="C336" s="179">
        <v>329</v>
      </c>
      <c r="D336" s="147"/>
      <c r="E336" s="148"/>
      <c r="F336" s="182"/>
      <c r="G336" s="147"/>
      <c r="H336" s="147"/>
      <c r="I336" s="147"/>
      <c r="J336" s="147"/>
      <c r="K336" s="149"/>
      <c r="L336" s="170"/>
      <c r="M336" s="156"/>
      <c r="N336" s="105"/>
    </row>
    <row r="337" spans="3:14" ht="24.6" x14ac:dyDescent="0.35">
      <c r="C337" s="180">
        <v>330</v>
      </c>
      <c r="D337" s="147"/>
      <c r="E337" s="148"/>
      <c r="F337" s="182"/>
      <c r="G337" s="147"/>
      <c r="H337" s="147"/>
      <c r="I337" s="147"/>
      <c r="J337" s="147"/>
      <c r="K337" s="149"/>
      <c r="L337" s="170"/>
      <c r="M337" s="156"/>
      <c r="N337" s="105"/>
    </row>
    <row r="338" spans="3:14" ht="24.6" x14ac:dyDescent="0.35">
      <c r="C338" s="179">
        <v>331</v>
      </c>
      <c r="D338" s="147"/>
      <c r="E338" s="148"/>
      <c r="F338" s="182"/>
      <c r="G338" s="147"/>
      <c r="H338" s="147"/>
      <c r="I338" s="147"/>
      <c r="J338" s="147"/>
      <c r="K338" s="149"/>
      <c r="L338" s="170"/>
      <c r="M338" s="156"/>
      <c r="N338" s="105"/>
    </row>
    <row r="339" spans="3:14" ht="24.6" x14ac:dyDescent="0.35">
      <c r="C339" s="180">
        <v>332</v>
      </c>
      <c r="D339" s="147"/>
      <c r="E339" s="148"/>
      <c r="F339" s="182"/>
      <c r="G339" s="147"/>
      <c r="H339" s="147"/>
      <c r="I339" s="147"/>
      <c r="J339" s="147"/>
      <c r="K339" s="149"/>
      <c r="L339" s="170"/>
      <c r="M339" s="156"/>
      <c r="N339" s="105"/>
    </row>
    <row r="340" spans="3:14" ht="24.6" x14ac:dyDescent="0.35">
      <c r="C340" s="179">
        <v>333</v>
      </c>
      <c r="D340" s="147"/>
      <c r="E340" s="148"/>
      <c r="F340" s="182"/>
      <c r="G340" s="147"/>
      <c r="H340" s="147"/>
      <c r="I340" s="147"/>
      <c r="J340" s="147"/>
      <c r="K340" s="149"/>
      <c r="L340" s="170"/>
      <c r="M340" s="156"/>
      <c r="N340" s="105"/>
    </row>
    <row r="341" spans="3:14" ht="24.6" x14ac:dyDescent="0.35">
      <c r="C341" s="180">
        <v>334</v>
      </c>
      <c r="D341" s="147"/>
      <c r="E341" s="148"/>
      <c r="F341" s="182"/>
      <c r="G341" s="147"/>
      <c r="H341" s="147"/>
      <c r="I341" s="147"/>
      <c r="J341" s="147"/>
      <c r="K341" s="149"/>
      <c r="L341" s="170"/>
      <c r="M341" s="156"/>
      <c r="N341" s="105"/>
    </row>
    <row r="342" spans="3:14" ht="24.6" x14ac:dyDescent="0.35">
      <c r="C342" s="179">
        <v>335</v>
      </c>
      <c r="D342" s="147"/>
      <c r="E342" s="148"/>
      <c r="F342" s="182"/>
      <c r="G342" s="147"/>
      <c r="H342" s="147"/>
      <c r="I342" s="147"/>
      <c r="J342" s="147"/>
      <c r="K342" s="149"/>
      <c r="L342" s="170"/>
      <c r="M342" s="156"/>
      <c r="N342" s="105"/>
    </row>
    <row r="343" spans="3:14" ht="24.6" x14ac:dyDescent="0.35">
      <c r="C343" s="180">
        <v>336</v>
      </c>
      <c r="D343" s="147"/>
      <c r="E343" s="148"/>
      <c r="F343" s="182"/>
      <c r="G343" s="147"/>
      <c r="H343" s="147"/>
      <c r="I343" s="147"/>
      <c r="J343" s="147"/>
      <c r="K343" s="149"/>
      <c r="L343" s="170"/>
      <c r="M343" s="156"/>
      <c r="N343" s="105"/>
    </row>
    <row r="344" spans="3:14" ht="24.6" x14ac:dyDescent="0.35">
      <c r="C344" s="179">
        <v>337</v>
      </c>
      <c r="D344" s="147"/>
      <c r="E344" s="148"/>
      <c r="F344" s="182"/>
      <c r="G344" s="147"/>
      <c r="H344" s="147"/>
      <c r="I344" s="147"/>
      <c r="J344" s="147"/>
      <c r="K344" s="149"/>
      <c r="L344" s="170"/>
      <c r="M344" s="156"/>
      <c r="N344" s="105"/>
    </row>
    <row r="345" spans="3:14" ht="24.6" x14ac:dyDescent="0.35">
      <c r="C345" s="180">
        <v>338</v>
      </c>
      <c r="D345" s="147"/>
      <c r="E345" s="148"/>
      <c r="F345" s="182"/>
      <c r="G345" s="147"/>
      <c r="H345" s="147"/>
      <c r="I345" s="147"/>
      <c r="J345" s="147"/>
      <c r="K345" s="149"/>
      <c r="L345" s="170"/>
      <c r="M345" s="156"/>
      <c r="N345" s="105"/>
    </row>
    <row r="346" spans="3:14" ht="24.6" x14ac:dyDescent="0.35">
      <c r="C346" s="179">
        <v>339</v>
      </c>
      <c r="D346" s="147"/>
      <c r="E346" s="148"/>
      <c r="F346" s="182"/>
      <c r="G346" s="147"/>
      <c r="H346" s="147"/>
      <c r="I346" s="147"/>
      <c r="J346" s="147"/>
      <c r="K346" s="149"/>
      <c r="L346" s="170"/>
      <c r="M346" s="156"/>
      <c r="N346" s="105"/>
    </row>
    <row r="347" spans="3:14" ht="24.6" x14ac:dyDescent="0.35">
      <c r="C347" s="180">
        <v>340</v>
      </c>
      <c r="D347" s="147"/>
      <c r="E347" s="148"/>
      <c r="F347" s="182"/>
      <c r="G347" s="147"/>
      <c r="H347" s="147"/>
      <c r="I347" s="147"/>
      <c r="J347" s="147"/>
      <c r="K347" s="149"/>
      <c r="L347" s="170"/>
      <c r="M347" s="156"/>
      <c r="N347" s="105"/>
    </row>
    <row r="348" spans="3:14" ht="24.6" x14ac:dyDescent="0.35">
      <c r="C348" s="179">
        <v>341</v>
      </c>
      <c r="D348" s="147"/>
      <c r="E348" s="148"/>
      <c r="F348" s="182"/>
      <c r="G348" s="147"/>
      <c r="H348" s="147"/>
      <c r="I348" s="147"/>
      <c r="J348" s="147"/>
      <c r="K348" s="149"/>
      <c r="L348" s="170"/>
      <c r="M348" s="156"/>
      <c r="N348" s="105"/>
    </row>
    <row r="349" spans="3:14" ht="24.6" x14ac:dyDescent="0.35">
      <c r="C349" s="180">
        <v>342</v>
      </c>
      <c r="D349" s="147"/>
      <c r="E349" s="148"/>
      <c r="F349" s="182"/>
      <c r="G349" s="147"/>
      <c r="H349" s="147"/>
      <c r="I349" s="147"/>
      <c r="J349" s="147"/>
      <c r="K349" s="149"/>
      <c r="L349" s="170"/>
      <c r="M349" s="156"/>
      <c r="N349" s="105"/>
    </row>
    <row r="350" spans="3:14" ht="24.6" x14ac:dyDescent="0.35">
      <c r="C350" s="179">
        <v>343</v>
      </c>
      <c r="D350" s="147"/>
      <c r="E350" s="148"/>
      <c r="F350" s="182"/>
      <c r="G350" s="147"/>
      <c r="H350" s="147"/>
      <c r="I350" s="147"/>
      <c r="J350" s="147"/>
      <c r="K350" s="149"/>
      <c r="L350" s="170"/>
      <c r="M350" s="156"/>
      <c r="N350" s="105"/>
    </row>
    <row r="351" spans="3:14" ht="24.6" x14ac:dyDescent="0.35">
      <c r="C351" s="180">
        <v>344</v>
      </c>
      <c r="D351" s="147"/>
      <c r="E351" s="148"/>
      <c r="F351" s="182"/>
      <c r="G351" s="147"/>
      <c r="H351" s="147"/>
      <c r="I351" s="147"/>
      <c r="J351" s="147"/>
      <c r="K351" s="149"/>
      <c r="L351" s="170"/>
      <c r="M351" s="156"/>
      <c r="N351" s="105"/>
    </row>
    <row r="352" spans="3:14" ht="24.6" x14ac:dyDescent="0.35">
      <c r="C352" s="179">
        <v>345</v>
      </c>
      <c r="D352" s="147"/>
      <c r="E352" s="148"/>
      <c r="F352" s="182"/>
      <c r="G352" s="147"/>
      <c r="H352" s="147"/>
      <c r="I352" s="147"/>
      <c r="J352" s="147"/>
      <c r="K352" s="149"/>
      <c r="L352" s="170"/>
      <c r="M352" s="156"/>
      <c r="N352" s="105"/>
    </row>
    <row r="353" spans="3:14" ht="24.6" x14ac:dyDescent="0.35">
      <c r="C353" s="180">
        <v>346</v>
      </c>
      <c r="D353" s="147"/>
      <c r="E353" s="148"/>
      <c r="F353" s="182"/>
      <c r="G353" s="147"/>
      <c r="H353" s="147"/>
      <c r="I353" s="147"/>
      <c r="J353" s="147"/>
      <c r="K353" s="149"/>
      <c r="L353" s="170"/>
      <c r="M353" s="156"/>
      <c r="N353" s="105"/>
    </row>
    <row r="354" spans="3:14" ht="24.6" x14ac:dyDescent="0.35">
      <c r="C354" s="179">
        <v>347</v>
      </c>
      <c r="D354" s="147"/>
      <c r="E354" s="148"/>
      <c r="F354" s="182"/>
      <c r="G354" s="147"/>
      <c r="H354" s="147"/>
      <c r="I354" s="147"/>
      <c r="J354" s="147"/>
      <c r="K354" s="149"/>
      <c r="L354" s="170"/>
      <c r="M354" s="156"/>
      <c r="N354" s="105"/>
    </row>
    <row r="355" spans="3:14" ht="24.6" x14ac:dyDescent="0.35">
      <c r="C355" s="180">
        <v>348</v>
      </c>
      <c r="D355" s="147"/>
      <c r="E355" s="148"/>
      <c r="F355" s="182"/>
      <c r="G355" s="147"/>
      <c r="H355" s="147"/>
      <c r="I355" s="147"/>
      <c r="J355" s="147"/>
      <c r="K355" s="149"/>
      <c r="L355" s="170"/>
      <c r="M355" s="156"/>
      <c r="N355" s="105"/>
    </row>
    <row r="356" spans="3:14" ht="24.6" x14ac:dyDescent="0.35">
      <c r="C356" s="179">
        <v>349</v>
      </c>
      <c r="D356" s="147"/>
      <c r="E356" s="148"/>
      <c r="F356" s="182"/>
      <c r="G356" s="147"/>
      <c r="H356" s="147"/>
      <c r="I356" s="147"/>
      <c r="J356" s="147"/>
      <c r="K356" s="149"/>
      <c r="L356" s="170"/>
      <c r="M356" s="156"/>
      <c r="N356" s="105"/>
    </row>
    <row r="357" spans="3:14" ht="24.6" x14ac:dyDescent="0.35">
      <c r="C357" s="180">
        <v>350</v>
      </c>
      <c r="D357" s="147"/>
      <c r="E357" s="148"/>
      <c r="F357" s="182"/>
      <c r="G357" s="147"/>
      <c r="H357" s="147"/>
      <c r="I357" s="147"/>
      <c r="J357" s="147"/>
      <c r="K357" s="149"/>
      <c r="L357" s="170"/>
      <c r="M357" s="156"/>
      <c r="N357" s="105"/>
    </row>
    <row r="358" spans="3:14" ht="24.6" x14ac:dyDescent="0.35">
      <c r="C358" s="179">
        <v>351</v>
      </c>
      <c r="D358" s="147"/>
      <c r="E358" s="148"/>
      <c r="F358" s="182"/>
      <c r="G358" s="147"/>
      <c r="H358" s="147"/>
      <c r="I358" s="147"/>
      <c r="J358" s="147"/>
      <c r="K358" s="149"/>
      <c r="L358" s="170"/>
      <c r="M358" s="156"/>
      <c r="N358" s="105"/>
    </row>
    <row r="359" spans="3:14" ht="24.6" x14ac:dyDescent="0.35">
      <c r="C359" s="180">
        <v>352</v>
      </c>
      <c r="D359" s="147"/>
      <c r="E359" s="148"/>
      <c r="F359" s="182"/>
      <c r="G359" s="147"/>
      <c r="H359" s="147"/>
      <c r="I359" s="147"/>
      <c r="J359" s="147"/>
      <c r="K359" s="149"/>
      <c r="L359" s="170"/>
      <c r="M359" s="156"/>
      <c r="N359" s="105"/>
    </row>
    <row r="360" spans="3:14" ht="24.6" x14ac:dyDescent="0.35">
      <c r="C360" s="179">
        <v>353</v>
      </c>
      <c r="D360" s="147"/>
      <c r="E360" s="148"/>
      <c r="F360" s="182"/>
      <c r="G360" s="147"/>
      <c r="H360" s="147"/>
      <c r="I360" s="147"/>
      <c r="J360" s="147"/>
      <c r="K360" s="149"/>
      <c r="L360" s="170"/>
      <c r="M360" s="156"/>
      <c r="N360" s="105"/>
    </row>
    <row r="361" spans="3:14" ht="24.6" x14ac:dyDescent="0.35">
      <c r="C361" s="180">
        <v>354</v>
      </c>
      <c r="D361" s="147"/>
      <c r="E361" s="148"/>
      <c r="F361" s="182"/>
      <c r="G361" s="147"/>
      <c r="H361" s="147"/>
      <c r="I361" s="147"/>
      <c r="J361" s="147"/>
      <c r="K361" s="149"/>
      <c r="L361" s="170"/>
      <c r="M361" s="156"/>
      <c r="N361" s="105"/>
    </row>
    <row r="362" spans="3:14" ht="24.6" x14ac:dyDescent="0.35">
      <c r="C362" s="179">
        <v>355</v>
      </c>
      <c r="D362" s="147"/>
      <c r="E362" s="148"/>
      <c r="F362" s="182"/>
      <c r="G362" s="147"/>
      <c r="H362" s="147"/>
      <c r="I362" s="147"/>
      <c r="J362" s="147"/>
      <c r="K362" s="149"/>
      <c r="L362" s="170"/>
      <c r="M362" s="156"/>
      <c r="N362" s="105"/>
    </row>
    <row r="363" spans="3:14" ht="24.6" x14ac:dyDescent="0.35">
      <c r="C363" s="180">
        <v>356</v>
      </c>
      <c r="D363" s="147"/>
      <c r="E363" s="148"/>
      <c r="F363" s="182"/>
      <c r="G363" s="147"/>
      <c r="H363" s="147"/>
      <c r="I363" s="147"/>
      <c r="J363" s="147"/>
      <c r="K363" s="149"/>
      <c r="L363" s="170"/>
      <c r="M363" s="156"/>
      <c r="N363" s="105"/>
    </row>
    <row r="364" spans="3:14" ht="24.6" x14ac:dyDescent="0.35">
      <c r="C364" s="179">
        <v>357</v>
      </c>
      <c r="D364" s="147"/>
      <c r="E364" s="148"/>
      <c r="F364" s="182"/>
      <c r="G364" s="147"/>
      <c r="H364" s="147"/>
      <c r="I364" s="147"/>
      <c r="J364" s="147"/>
      <c r="K364" s="149"/>
      <c r="L364" s="170"/>
      <c r="M364" s="156"/>
      <c r="N364" s="105"/>
    </row>
    <row r="365" spans="3:14" ht="24.6" x14ac:dyDescent="0.35">
      <c r="C365" s="180">
        <v>358</v>
      </c>
      <c r="D365" s="147"/>
      <c r="E365" s="148"/>
      <c r="F365" s="182"/>
      <c r="G365" s="147"/>
      <c r="H365" s="147"/>
      <c r="I365" s="147"/>
      <c r="J365" s="147"/>
      <c r="K365" s="149"/>
      <c r="L365" s="170"/>
      <c r="M365" s="156"/>
      <c r="N365" s="105"/>
    </row>
    <row r="366" spans="3:14" ht="24.6" x14ac:dyDescent="0.35">
      <c r="C366" s="179">
        <v>359</v>
      </c>
      <c r="D366" s="147"/>
      <c r="E366" s="148"/>
      <c r="F366" s="182"/>
      <c r="G366" s="147"/>
      <c r="H366" s="147"/>
      <c r="I366" s="147"/>
      <c r="J366" s="147"/>
      <c r="K366" s="149"/>
      <c r="L366" s="170"/>
      <c r="M366" s="156"/>
      <c r="N366" s="105"/>
    </row>
    <row r="367" spans="3:14" ht="24.6" x14ac:dyDescent="0.35">
      <c r="C367" s="180">
        <v>360</v>
      </c>
      <c r="D367" s="147"/>
      <c r="E367" s="148"/>
      <c r="F367" s="182"/>
      <c r="G367" s="147"/>
      <c r="H367" s="147"/>
      <c r="I367" s="147"/>
      <c r="J367" s="147"/>
      <c r="K367" s="149"/>
      <c r="L367" s="170"/>
      <c r="M367" s="156"/>
      <c r="N367" s="105"/>
    </row>
    <row r="368" spans="3:14" ht="24.6" x14ac:dyDescent="0.35">
      <c r="C368" s="179">
        <v>361</v>
      </c>
      <c r="D368" s="147"/>
      <c r="E368" s="148"/>
      <c r="F368" s="182"/>
      <c r="G368" s="147"/>
      <c r="H368" s="147"/>
      <c r="I368" s="147"/>
      <c r="J368" s="147"/>
      <c r="K368" s="149"/>
      <c r="L368" s="170"/>
      <c r="M368" s="156"/>
      <c r="N368" s="105"/>
    </row>
    <row r="369" spans="3:14" ht="24.6" x14ac:dyDescent="0.35">
      <c r="C369" s="180">
        <v>362</v>
      </c>
      <c r="D369" s="147"/>
      <c r="E369" s="148"/>
      <c r="F369" s="182"/>
      <c r="G369" s="147"/>
      <c r="H369" s="147"/>
      <c r="I369" s="147"/>
      <c r="J369" s="147"/>
      <c r="K369" s="149"/>
      <c r="L369" s="170"/>
      <c r="M369" s="156"/>
      <c r="N369" s="105"/>
    </row>
    <row r="370" spans="3:14" ht="24.6" x14ac:dyDescent="0.35">
      <c r="C370" s="179">
        <v>363</v>
      </c>
      <c r="D370" s="147"/>
      <c r="E370" s="148"/>
      <c r="F370" s="182"/>
      <c r="G370" s="147"/>
      <c r="H370" s="147"/>
      <c r="I370" s="147"/>
      <c r="J370" s="147"/>
      <c r="K370" s="149"/>
      <c r="L370" s="170"/>
      <c r="M370" s="156"/>
      <c r="N370" s="105"/>
    </row>
    <row r="371" spans="3:14" ht="24.6" x14ac:dyDescent="0.35">
      <c r="C371" s="180">
        <v>364</v>
      </c>
      <c r="D371" s="147"/>
      <c r="E371" s="148"/>
      <c r="F371" s="182"/>
      <c r="G371" s="147"/>
      <c r="H371" s="147"/>
      <c r="I371" s="147"/>
      <c r="J371" s="147"/>
      <c r="K371" s="149"/>
      <c r="L371" s="170"/>
      <c r="M371" s="156"/>
      <c r="N371" s="105"/>
    </row>
    <row r="372" spans="3:14" ht="24.6" x14ac:dyDescent="0.35">
      <c r="C372" s="179">
        <v>365</v>
      </c>
      <c r="D372" s="147"/>
      <c r="E372" s="148"/>
      <c r="F372" s="182"/>
      <c r="G372" s="147"/>
      <c r="H372" s="147"/>
      <c r="I372" s="147"/>
      <c r="J372" s="147"/>
      <c r="K372" s="149"/>
      <c r="L372" s="170"/>
      <c r="M372" s="156"/>
      <c r="N372" s="105"/>
    </row>
    <row r="373" spans="3:14" ht="24.6" x14ac:dyDescent="0.35">
      <c r="C373" s="180">
        <v>366</v>
      </c>
      <c r="D373" s="147"/>
      <c r="E373" s="148"/>
      <c r="F373" s="182"/>
      <c r="G373" s="147"/>
      <c r="H373" s="147"/>
      <c r="I373" s="147"/>
      <c r="J373" s="147"/>
      <c r="K373" s="149"/>
      <c r="L373" s="170"/>
      <c r="M373" s="156"/>
      <c r="N373" s="105"/>
    </row>
    <row r="374" spans="3:14" ht="24.6" x14ac:dyDescent="0.35">
      <c r="C374" s="179">
        <v>367</v>
      </c>
      <c r="D374" s="147"/>
      <c r="E374" s="148"/>
      <c r="F374" s="182"/>
      <c r="G374" s="147"/>
      <c r="H374" s="147"/>
      <c r="I374" s="147"/>
      <c r="J374" s="147"/>
      <c r="K374" s="149"/>
      <c r="L374" s="170"/>
      <c r="M374" s="156"/>
      <c r="N374" s="105"/>
    </row>
    <row r="375" spans="3:14" ht="24.6" x14ac:dyDescent="0.35">
      <c r="C375" s="180">
        <v>368</v>
      </c>
      <c r="D375" s="147"/>
      <c r="E375" s="148"/>
      <c r="F375" s="182"/>
      <c r="G375" s="147"/>
      <c r="H375" s="147"/>
      <c r="I375" s="147"/>
      <c r="J375" s="147"/>
      <c r="K375" s="149"/>
      <c r="L375" s="170"/>
      <c r="M375" s="156"/>
      <c r="N375" s="105"/>
    </row>
    <row r="376" spans="3:14" ht="24.6" x14ac:dyDescent="0.35">
      <c r="C376" s="179">
        <v>369</v>
      </c>
      <c r="D376" s="147"/>
      <c r="E376" s="148"/>
      <c r="F376" s="182"/>
      <c r="G376" s="147"/>
      <c r="H376" s="147"/>
      <c r="I376" s="147"/>
      <c r="J376" s="147"/>
      <c r="K376" s="149"/>
      <c r="L376" s="170"/>
      <c r="M376" s="156"/>
      <c r="N376" s="105"/>
    </row>
    <row r="377" spans="3:14" ht="24.6" x14ac:dyDescent="0.35">
      <c r="C377" s="180">
        <v>370</v>
      </c>
      <c r="D377" s="147"/>
      <c r="E377" s="148"/>
      <c r="F377" s="182"/>
      <c r="G377" s="147"/>
      <c r="H377" s="147"/>
      <c r="I377" s="147"/>
      <c r="J377" s="147"/>
      <c r="K377" s="149"/>
      <c r="L377" s="170"/>
      <c r="M377" s="156"/>
      <c r="N377" s="105"/>
    </row>
    <row r="378" spans="3:14" ht="24.6" x14ac:dyDescent="0.35">
      <c r="C378" s="179">
        <v>371</v>
      </c>
      <c r="D378" s="147"/>
      <c r="E378" s="148"/>
      <c r="F378" s="182"/>
      <c r="G378" s="147"/>
      <c r="H378" s="147"/>
      <c r="I378" s="147"/>
      <c r="J378" s="147"/>
      <c r="K378" s="149"/>
      <c r="L378" s="170"/>
      <c r="M378" s="156"/>
      <c r="N378" s="105"/>
    </row>
    <row r="379" spans="3:14" ht="24.6" x14ac:dyDescent="0.35">
      <c r="C379" s="180">
        <v>372</v>
      </c>
      <c r="D379" s="147"/>
      <c r="E379" s="148"/>
      <c r="F379" s="182"/>
      <c r="G379" s="147"/>
      <c r="H379" s="147"/>
      <c r="I379" s="147"/>
      <c r="J379" s="147"/>
      <c r="K379" s="149"/>
      <c r="L379" s="170"/>
      <c r="M379" s="156"/>
      <c r="N379" s="105"/>
    </row>
    <row r="380" spans="3:14" ht="24.6" x14ac:dyDescent="0.35">
      <c r="C380" s="179">
        <v>373</v>
      </c>
      <c r="D380" s="147"/>
      <c r="E380" s="148"/>
      <c r="F380" s="182"/>
      <c r="G380" s="147"/>
      <c r="H380" s="147"/>
      <c r="I380" s="147"/>
      <c r="J380" s="147"/>
      <c r="K380" s="149"/>
      <c r="L380" s="170"/>
      <c r="M380" s="156"/>
      <c r="N380" s="105"/>
    </row>
    <row r="381" spans="3:14" ht="24.6" x14ac:dyDescent="0.35">
      <c r="C381" s="180">
        <v>374</v>
      </c>
      <c r="D381" s="147"/>
      <c r="E381" s="148"/>
      <c r="F381" s="182"/>
      <c r="G381" s="147"/>
      <c r="H381" s="147"/>
      <c r="I381" s="147"/>
      <c r="J381" s="147"/>
      <c r="K381" s="149"/>
      <c r="L381" s="170"/>
      <c r="M381" s="156"/>
      <c r="N381" s="105"/>
    </row>
    <row r="382" spans="3:14" ht="24.6" x14ac:dyDescent="0.35">
      <c r="C382" s="179">
        <v>375</v>
      </c>
      <c r="D382" s="147"/>
      <c r="E382" s="148"/>
      <c r="F382" s="182"/>
      <c r="G382" s="147"/>
      <c r="H382" s="147"/>
      <c r="I382" s="147"/>
      <c r="J382" s="147"/>
      <c r="K382" s="149"/>
      <c r="L382" s="170"/>
      <c r="M382" s="156"/>
      <c r="N382" s="105"/>
    </row>
    <row r="383" spans="3:14" ht="24.6" x14ac:dyDescent="0.35">
      <c r="C383" s="180">
        <v>376</v>
      </c>
      <c r="D383" s="147"/>
      <c r="E383" s="148"/>
      <c r="F383" s="182"/>
      <c r="G383" s="147"/>
      <c r="H383" s="147"/>
      <c r="I383" s="147"/>
      <c r="J383" s="147"/>
      <c r="K383" s="149"/>
      <c r="L383" s="170"/>
      <c r="M383" s="156"/>
      <c r="N383" s="105"/>
    </row>
    <row r="384" spans="3:14" ht="24.6" x14ac:dyDescent="0.35">
      <c r="C384" s="179">
        <v>377</v>
      </c>
      <c r="D384" s="147"/>
      <c r="E384" s="148"/>
      <c r="F384" s="182"/>
      <c r="G384" s="147"/>
      <c r="H384" s="147"/>
      <c r="I384" s="147"/>
      <c r="J384" s="147"/>
      <c r="K384" s="149"/>
      <c r="L384" s="170"/>
      <c r="M384" s="156"/>
      <c r="N384" s="105"/>
    </row>
    <row r="385" spans="3:14" ht="24.6" x14ac:dyDescent="0.35">
      <c r="C385" s="180">
        <v>378</v>
      </c>
      <c r="D385" s="147"/>
      <c r="E385" s="148"/>
      <c r="F385" s="182"/>
      <c r="G385" s="147"/>
      <c r="H385" s="147"/>
      <c r="I385" s="147"/>
      <c r="J385" s="147"/>
      <c r="K385" s="149"/>
      <c r="L385" s="170"/>
      <c r="M385" s="156"/>
      <c r="N385" s="105"/>
    </row>
    <row r="386" spans="3:14" ht="24.6" x14ac:dyDescent="0.35">
      <c r="C386" s="179">
        <v>379</v>
      </c>
      <c r="D386" s="147"/>
      <c r="E386" s="148"/>
      <c r="F386" s="182"/>
      <c r="G386" s="147"/>
      <c r="H386" s="147"/>
      <c r="I386" s="147"/>
      <c r="J386" s="147"/>
      <c r="K386" s="149"/>
      <c r="L386" s="170"/>
      <c r="M386" s="156"/>
      <c r="N386" s="105"/>
    </row>
    <row r="387" spans="3:14" ht="24.6" x14ac:dyDescent="0.35">
      <c r="C387" s="180">
        <v>380</v>
      </c>
      <c r="D387" s="147"/>
      <c r="E387" s="148"/>
      <c r="F387" s="182"/>
      <c r="G387" s="147"/>
      <c r="H387" s="147"/>
      <c r="I387" s="147"/>
      <c r="J387" s="147"/>
      <c r="K387" s="149"/>
      <c r="L387" s="170"/>
      <c r="M387" s="156"/>
      <c r="N387" s="105"/>
    </row>
    <row r="388" spans="3:14" ht="24.6" x14ac:dyDescent="0.35">
      <c r="C388" s="179">
        <v>381</v>
      </c>
      <c r="D388" s="147"/>
      <c r="E388" s="148"/>
      <c r="F388" s="182"/>
      <c r="G388" s="147"/>
      <c r="H388" s="147"/>
      <c r="I388" s="147"/>
      <c r="J388" s="147"/>
      <c r="K388" s="149"/>
      <c r="L388" s="170"/>
      <c r="M388" s="156"/>
      <c r="N388" s="105"/>
    </row>
    <row r="389" spans="3:14" ht="24.6" x14ac:dyDescent="0.35">
      <c r="C389" s="180">
        <v>382</v>
      </c>
      <c r="D389" s="147"/>
      <c r="E389" s="148"/>
      <c r="F389" s="182"/>
      <c r="G389" s="147"/>
      <c r="H389" s="147"/>
      <c r="I389" s="147"/>
      <c r="J389" s="147"/>
      <c r="K389" s="149"/>
      <c r="L389" s="170"/>
      <c r="M389" s="156"/>
      <c r="N389" s="105"/>
    </row>
    <row r="390" spans="3:14" ht="24.6" x14ac:dyDescent="0.35">
      <c r="C390" s="179">
        <v>383</v>
      </c>
      <c r="D390" s="147"/>
      <c r="E390" s="148"/>
      <c r="F390" s="182"/>
      <c r="G390" s="147"/>
      <c r="H390" s="147"/>
      <c r="I390" s="147"/>
      <c r="J390" s="147"/>
      <c r="K390" s="149"/>
      <c r="L390" s="170"/>
      <c r="M390" s="156"/>
      <c r="N390" s="105"/>
    </row>
    <row r="391" spans="3:14" ht="24.6" x14ac:dyDescent="0.35">
      <c r="C391" s="180">
        <v>384</v>
      </c>
      <c r="D391" s="147"/>
      <c r="E391" s="148"/>
      <c r="F391" s="182"/>
      <c r="G391" s="147"/>
      <c r="H391" s="147"/>
      <c r="I391" s="147"/>
      <c r="J391" s="147"/>
      <c r="K391" s="149"/>
      <c r="L391" s="170"/>
      <c r="M391" s="156"/>
      <c r="N391" s="105"/>
    </row>
    <row r="392" spans="3:14" ht="24.6" x14ac:dyDescent="0.35">
      <c r="C392" s="179">
        <v>385</v>
      </c>
      <c r="D392" s="147"/>
      <c r="E392" s="148"/>
      <c r="F392" s="182"/>
      <c r="G392" s="147"/>
      <c r="H392" s="147"/>
      <c r="I392" s="147"/>
      <c r="J392" s="147"/>
      <c r="K392" s="149"/>
      <c r="L392" s="170"/>
      <c r="M392" s="156"/>
      <c r="N392" s="105"/>
    </row>
    <row r="393" spans="3:14" ht="24.6" x14ac:dyDescent="0.35">
      <c r="C393" s="180">
        <v>386</v>
      </c>
      <c r="D393" s="147"/>
      <c r="E393" s="148"/>
      <c r="F393" s="182"/>
      <c r="G393" s="147"/>
      <c r="H393" s="147"/>
      <c r="I393" s="147"/>
      <c r="J393" s="147"/>
      <c r="K393" s="149"/>
      <c r="L393" s="170"/>
      <c r="M393" s="156"/>
      <c r="N393" s="105"/>
    </row>
    <row r="394" spans="3:14" ht="24.6" x14ac:dyDescent="0.35">
      <c r="C394" s="179">
        <v>387</v>
      </c>
      <c r="D394" s="147"/>
      <c r="E394" s="148"/>
      <c r="F394" s="182"/>
      <c r="G394" s="147"/>
      <c r="H394" s="147"/>
      <c r="I394" s="147"/>
      <c r="J394" s="147"/>
      <c r="K394" s="149"/>
      <c r="L394" s="170"/>
      <c r="M394" s="156"/>
      <c r="N394" s="105"/>
    </row>
    <row r="395" spans="3:14" ht="24.6" x14ac:dyDescent="0.35">
      <c r="C395" s="180">
        <v>388</v>
      </c>
      <c r="D395" s="147"/>
      <c r="E395" s="148"/>
      <c r="F395" s="182"/>
      <c r="G395" s="147"/>
      <c r="H395" s="147"/>
      <c r="I395" s="147"/>
      <c r="J395" s="147"/>
      <c r="K395" s="149"/>
      <c r="L395" s="170"/>
      <c r="M395" s="156"/>
      <c r="N395" s="105"/>
    </row>
    <row r="396" spans="3:14" ht="24.6" x14ac:dyDescent="0.35">
      <c r="C396" s="179">
        <v>389</v>
      </c>
      <c r="D396" s="147"/>
      <c r="E396" s="148"/>
      <c r="F396" s="182"/>
      <c r="G396" s="147"/>
      <c r="H396" s="147"/>
      <c r="I396" s="147"/>
      <c r="J396" s="147"/>
      <c r="K396" s="149"/>
      <c r="L396" s="170"/>
      <c r="M396" s="156"/>
      <c r="N396" s="105"/>
    </row>
    <row r="397" spans="3:14" ht="24.6" x14ac:dyDescent="0.35">
      <c r="C397" s="180">
        <v>390</v>
      </c>
      <c r="D397" s="147"/>
      <c r="E397" s="148"/>
      <c r="F397" s="182"/>
      <c r="G397" s="147"/>
      <c r="H397" s="147"/>
      <c r="I397" s="147"/>
      <c r="J397" s="147"/>
      <c r="K397" s="149"/>
      <c r="L397" s="170"/>
      <c r="M397" s="156"/>
      <c r="N397" s="105"/>
    </row>
    <row r="398" spans="3:14" ht="24.6" x14ac:dyDescent="0.35">
      <c r="C398" s="179">
        <v>391</v>
      </c>
      <c r="D398" s="147"/>
      <c r="E398" s="148"/>
      <c r="F398" s="182"/>
      <c r="G398" s="147"/>
      <c r="H398" s="147"/>
      <c r="I398" s="147"/>
      <c r="J398" s="147"/>
      <c r="K398" s="149"/>
      <c r="L398" s="170"/>
      <c r="M398" s="156"/>
      <c r="N398" s="105"/>
    </row>
    <row r="399" spans="3:14" ht="24.6" x14ac:dyDescent="0.35">
      <c r="C399" s="180">
        <v>392</v>
      </c>
      <c r="D399" s="147"/>
      <c r="E399" s="148"/>
      <c r="F399" s="182"/>
      <c r="G399" s="147"/>
      <c r="H399" s="147"/>
      <c r="I399" s="147"/>
      <c r="J399" s="147"/>
      <c r="K399" s="149"/>
      <c r="L399" s="170"/>
      <c r="M399" s="156"/>
      <c r="N399" s="105"/>
    </row>
    <row r="400" spans="3:14" ht="24.6" x14ac:dyDescent="0.35">
      <c r="C400" s="179">
        <v>393</v>
      </c>
      <c r="D400" s="147"/>
      <c r="E400" s="148"/>
      <c r="F400" s="182"/>
      <c r="G400" s="147"/>
      <c r="H400" s="147"/>
      <c r="I400" s="147"/>
      <c r="J400" s="147"/>
      <c r="K400" s="149"/>
      <c r="L400" s="170"/>
      <c r="M400" s="156"/>
      <c r="N400" s="105"/>
    </row>
    <row r="401" spans="3:14" ht="24.6" x14ac:dyDescent="0.35">
      <c r="C401" s="180">
        <v>394</v>
      </c>
      <c r="D401" s="147"/>
      <c r="E401" s="148"/>
      <c r="F401" s="182"/>
      <c r="G401" s="147"/>
      <c r="H401" s="147"/>
      <c r="I401" s="147"/>
      <c r="J401" s="147"/>
      <c r="K401" s="149"/>
      <c r="L401" s="170"/>
      <c r="M401" s="156"/>
      <c r="N401" s="105"/>
    </row>
    <row r="402" spans="3:14" ht="24.6" x14ac:dyDescent="0.35">
      <c r="C402" s="179">
        <v>395</v>
      </c>
      <c r="D402" s="147"/>
      <c r="E402" s="148"/>
      <c r="F402" s="182"/>
      <c r="G402" s="147"/>
      <c r="H402" s="147"/>
      <c r="I402" s="147"/>
      <c r="J402" s="147"/>
      <c r="K402" s="149"/>
      <c r="L402" s="170"/>
      <c r="M402" s="156"/>
      <c r="N402" s="105"/>
    </row>
    <row r="403" spans="3:14" ht="24.6" x14ac:dyDescent="0.35">
      <c r="C403" s="180">
        <v>396</v>
      </c>
      <c r="D403" s="147"/>
      <c r="E403" s="148"/>
      <c r="F403" s="182"/>
      <c r="G403" s="147"/>
      <c r="H403" s="147"/>
      <c r="I403" s="147"/>
      <c r="J403" s="147"/>
      <c r="K403" s="149"/>
      <c r="L403" s="170"/>
      <c r="M403" s="156"/>
      <c r="N403" s="105"/>
    </row>
    <row r="404" spans="3:14" ht="24.6" x14ac:dyDescent="0.35">
      <c r="C404" s="179">
        <v>397</v>
      </c>
      <c r="D404" s="147"/>
      <c r="E404" s="148"/>
      <c r="F404" s="182"/>
      <c r="G404" s="147"/>
      <c r="H404" s="147"/>
      <c r="I404" s="147"/>
      <c r="J404" s="147"/>
      <c r="K404" s="149"/>
      <c r="L404" s="170"/>
      <c r="M404" s="156"/>
      <c r="N404" s="105"/>
    </row>
    <row r="405" spans="3:14" ht="24.6" x14ac:dyDescent="0.35">
      <c r="C405" s="180">
        <v>398</v>
      </c>
      <c r="D405" s="147"/>
      <c r="E405" s="148"/>
      <c r="F405" s="182"/>
      <c r="G405" s="147"/>
      <c r="H405" s="147"/>
      <c r="I405" s="147"/>
      <c r="J405" s="147"/>
      <c r="K405" s="149"/>
      <c r="L405" s="170"/>
      <c r="M405" s="156"/>
      <c r="N405" s="105"/>
    </row>
    <row r="406" spans="3:14" ht="24.6" x14ac:dyDescent="0.35">
      <c r="C406" s="179">
        <v>399</v>
      </c>
      <c r="D406" s="147"/>
      <c r="E406" s="148"/>
      <c r="F406" s="182"/>
      <c r="G406" s="147"/>
      <c r="H406" s="147"/>
      <c r="I406" s="147"/>
      <c r="J406" s="147"/>
      <c r="K406" s="149"/>
      <c r="L406" s="170"/>
      <c r="M406" s="156"/>
      <c r="N406" s="105"/>
    </row>
    <row r="407" spans="3:14" ht="24.6" x14ac:dyDescent="0.35">
      <c r="C407" s="180">
        <v>400</v>
      </c>
      <c r="D407" s="147"/>
      <c r="E407" s="148"/>
      <c r="F407" s="182"/>
      <c r="G407" s="147"/>
      <c r="H407" s="147"/>
      <c r="I407" s="147"/>
      <c r="J407" s="147"/>
      <c r="K407" s="149"/>
      <c r="L407" s="170"/>
      <c r="M407" s="156"/>
      <c r="N407" s="105"/>
    </row>
    <row r="408" spans="3:14" ht="24.6" x14ac:dyDescent="0.35">
      <c r="C408" s="179">
        <v>401</v>
      </c>
      <c r="D408" s="147"/>
      <c r="E408" s="148"/>
      <c r="F408" s="182"/>
      <c r="G408" s="147"/>
      <c r="H408" s="147"/>
      <c r="I408" s="147"/>
      <c r="J408" s="147"/>
      <c r="K408" s="149"/>
      <c r="L408" s="170"/>
      <c r="M408" s="156"/>
      <c r="N408" s="105"/>
    </row>
    <row r="409" spans="3:14" ht="24.6" x14ac:dyDescent="0.35">
      <c r="C409" s="180">
        <v>402</v>
      </c>
      <c r="D409" s="147"/>
      <c r="E409" s="148"/>
      <c r="F409" s="182"/>
      <c r="G409" s="147"/>
      <c r="H409" s="147"/>
      <c r="I409" s="147"/>
      <c r="J409" s="147"/>
      <c r="K409" s="149"/>
      <c r="L409" s="170"/>
      <c r="M409" s="156"/>
      <c r="N409" s="105"/>
    </row>
    <row r="410" spans="3:14" ht="24.6" x14ac:dyDescent="0.35">
      <c r="C410" s="179">
        <v>403</v>
      </c>
      <c r="D410" s="147"/>
      <c r="E410" s="148"/>
      <c r="F410" s="182"/>
      <c r="G410" s="147"/>
      <c r="H410" s="147"/>
      <c r="I410" s="147"/>
      <c r="J410" s="147"/>
      <c r="K410" s="149"/>
      <c r="L410" s="170"/>
      <c r="M410" s="156"/>
      <c r="N410" s="105"/>
    </row>
    <row r="411" spans="3:14" ht="24.6" x14ac:dyDescent="0.35">
      <c r="C411" s="180">
        <v>404</v>
      </c>
      <c r="D411" s="147"/>
      <c r="E411" s="148"/>
      <c r="F411" s="182"/>
      <c r="G411" s="147"/>
      <c r="H411" s="147"/>
      <c r="I411" s="147"/>
      <c r="J411" s="147"/>
      <c r="K411" s="149"/>
      <c r="L411" s="170"/>
      <c r="M411" s="156"/>
      <c r="N411" s="105"/>
    </row>
    <row r="412" spans="3:14" ht="24.6" x14ac:dyDescent="0.35">
      <c r="C412" s="179">
        <v>405</v>
      </c>
      <c r="D412" s="147"/>
      <c r="E412" s="148"/>
      <c r="F412" s="182"/>
      <c r="G412" s="147"/>
      <c r="H412" s="147"/>
      <c r="I412" s="147"/>
      <c r="J412" s="147"/>
      <c r="K412" s="149"/>
      <c r="L412" s="170"/>
      <c r="M412" s="156"/>
      <c r="N412" s="105"/>
    </row>
    <row r="413" spans="3:14" ht="24.6" x14ac:dyDescent="0.35">
      <c r="C413" s="180">
        <v>406</v>
      </c>
      <c r="D413" s="147"/>
      <c r="E413" s="148"/>
      <c r="F413" s="182"/>
      <c r="G413" s="147"/>
      <c r="H413" s="147"/>
      <c r="I413" s="147"/>
      <c r="J413" s="147"/>
      <c r="K413" s="149"/>
      <c r="L413" s="170"/>
      <c r="M413" s="156"/>
      <c r="N413" s="105"/>
    </row>
    <row r="414" spans="3:14" ht="24.6" x14ac:dyDescent="0.35">
      <c r="C414" s="179">
        <v>407</v>
      </c>
      <c r="D414" s="147"/>
      <c r="E414" s="148"/>
      <c r="F414" s="182"/>
      <c r="G414" s="147"/>
      <c r="H414" s="147"/>
      <c r="I414" s="147"/>
      <c r="J414" s="147"/>
      <c r="K414" s="149"/>
      <c r="L414" s="170"/>
      <c r="M414" s="156"/>
      <c r="N414" s="105"/>
    </row>
    <row r="415" spans="3:14" ht="24.6" x14ac:dyDescent="0.35">
      <c r="C415" s="180">
        <v>408</v>
      </c>
      <c r="D415" s="147"/>
      <c r="E415" s="148"/>
      <c r="F415" s="182"/>
      <c r="G415" s="147"/>
      <c r="H415" s="147"/>
      <c r="I415" s="147"/>
      <c r="J415" s="147"/>
      <c r="K415" s="149"/>
      <c r="L415" s="170"/>
      <c r="M415" s="156"/>
      <c r="N415" s="105"/>
    </row>
    <row r="416" spans="3:14" ht="24.6" x14ac:dyDescent="0.35">
      <c r="C416" s="179">
        <v>409</v>
      </c>
      <c r="D416" s="147"/>
      <c r="E416" s="148"/>
      <c r="F416" s="182"/>
      <c r="G416" s="147"/>
      <c r="H416" s="147"/>
      <c r="I416" s="147"/>
      <c r="J416" s="147"/>
      <c r="K416" s="149"/>
      <c r="L416" s="170"/>
      <c r="M416" s="156"/>
      <c r="N416" s="105"/>
    </row>
    <row r="417" spans="3:14" ht="25.2" x14ac:dyDescent="0.45">
      <c r="C417" s="180">
        <v>410</v>
      </c>
      <c r="D417" s="106"/>
      <c r="E417" s="107"/>
      <c r="F417" s="183"/>
      <c r="G417" s="108"/>
      <c r="H417" s="109"/>
      <c r="I417" s="110"/>
      <c r="J417" s="111"/>
      <c r="K417" s="163"/>
      <c r="L417" s="169"/>
      <c r="M417" s="156"/>
      <c r="N417" s="105"/>
    </row>
    <row r="418" spans="3:14" ht="25.2" x14ac:dyDescent="0.45">
      <c r="C418" s="179">
        <v>411</v>
      </c>
      <c r="D418" s="106"/>
      <c r="E418" s="107"/>
      <c r="F418" s="183"/>
      <c r="G418" s="108"/>
      <c r="H418" s="109"/>
      <c r="I418" s="110"/>
      <c r="J418" s="111"/>
      <c r="K418" s="163"/>
      <c r="L418" s="169"/>
      <c r="M418" s="156"/>
      <c r="N418" s="105"/>
    </row>
    <row r="419" spans="3:14" ht="25.2" x14ac:dyDescent="0.45">
      <c r="C419" s="180">
        <v>412</v>
      </c>
      <c r="D419" s="106"/>
      <c r="E419" s="107"/>
      <c r="F419" s="183"/>
      <c r="G419" s="108"/>
      <c r="H419" s="109"/>
      <c r="I419" s="110"/>
      <c r="J419" s="111"/>
      <c r="K419" s="163"/>
      <c r="L419" s="169"/>
      <c r="M419" s="156"/>
      <c r="N419" s="105"/>
    </row>
    <row r="420" spans="3:14" ht="25.2" x14ac:dyDescent="0.45">
      <c r="C420" s="179">
        <v>413</v>
      </c>
      <c r="D420" s="106"/>
      <c r="E420" s="107"/>
      <c r="F420" s="183"/>
      <c r="G420" s="108"/>
      <c r="H420" s="109"/>
      <c r="I420" s="110"/>
      <c r="J420" s="111"/>
      <c r="K420" s="163"/>
      <c r="L420" s="169"/>
      <c r="M420" s="156"/>
      <c r="N420" s="105"/>
    </row>
    <row r="421" spans="3:14" ht="25.2" x14ac:dyDescent="0.45">
      <c r="C421" s="180">
        <v>414</v>
      </c>
      <c r="D421" s="106"/>
      <c r="E421" s="107"/>
      <c r="F421" s="183"/>
      <c r="G421" s="108"/>
      <c r="H421" s="109"/>
      <c r="I421" s="110"/>
      <c r="J421" s="111"/>
      <c r="K421" s="163"/>
      <c r="L421" s="169"/>
      <c r="M421" s="156"/>
      <c r="N421" s="105"/>
    </row>
    <row r="422" spans="3:14" ht="25.2" x14ac:dyDescent="0.45">
      <c r="C422" s="179">
        <v>415</v>
      </c>
      <c r="D422" s="106"/>
      <c r="E422" s="107"/>
      <c r="F422" s="183"/>
      <c r="G422" s="108"/>
      <c r="H422" s="109"/>
      <c r="I422" s="110"/>
      <c r="J422" s="111"/>
      <c r="K422" s="163"/>
      <c r="L422" s="169"/>
      <c r="M422" s="156"/>
      <c r="N422" s="105"/>
    </row>
    <row r="423" spans="3:14" ht="25.2" x14ac:dyDescent="0.45">
      <c r="C423" s="180">
        <v>416</v>
      </c>
      <c r="D423" s="106"/>
      <c r="E423" s="107"/>
      <c r="F423" s="183"/>
      <c r="G423" s="108"/>
      <c r="H423" s="109"/>
      <c r="I423" s="110"/>
      <c r="J423" s="111"/>
      <c r="K423" s="163"/>
      <c r="L423" s="169"/>
      <c r="M423" s="156"/>
      <c r="N423" s="105"/>
    </row>
    <row r="424" spans="3:14" ht="25.2" x14ac:dyDescent="0.45">
      <c r="C424" s="179">
        <v>417</v>
      </c>
      <c r="D424" s="106"/>
      <c r="E424" s="107"/>
      <c r="F424" s="183"/>
      <c r="G424" s="108"/>
      <c r="H424" s="109"/>
      <c r="I424" s="110"/>
      <c r="J424" s="111"/>
      <c r="K424" s="163"/>
      <c r="L424" s="169"/>
      <c r="M424" s="156"/>
      <c r="N424" s="105"/>
    </row>
    <row r="425" spans="3:14" ht="25.2" x14ac:dyDescent="0.45">
      <c r="C425" s="180">
        <v>418</v>
      </c>
      <c r="D425" s="106"/>
      <c r="E425" s="107"/>
      <c r="F425" s="183"/>
      <c r="G425" s="108"/>
      <c r="H425" s="109"/>
      <c r="I425" s="110"/>
      <c r="J425" s="111"/>
      <c r="K425" s="163"/>
      <c r="L425" s="169"/>
      <c r="M425" s="156"/>
      <c r="N425" s="105"/>
    </row>
    <row r="426" spans="3:14" ht="25.2" x14ac:dyDescent="0.45">
      <c r="C426" s="179">
        <v>419</v>
      </c>
      <c r="D426" s="106"/>
      <c r="E426" s="107"/>
      <c r="F426" s="183"/>
      <c r="G426" s="108"/>
      <c r="H426" s="109"/>
      <c r="I426" s="110"/>
      <c r="J426" s="111"/>
      <c r="K426" s="163"/>
      <c r="L426" s="169"/>
      <c r="M426" s="156"/>
      <c r="N426" s="105"/>
    </row>
    <row r="427" spans="3:14" ht="25.2" x14ac:dyDescent="0.45">
      <c r="C427" s="180">
        <v>420</v>
      </c>
      <c r="D427" s="106"/>
      <c r="E427" s="107"/>
      <c r="F427" s="183"/>
      <c r="G427" s="108"/>
      <c r="H427" s="109"/>
      <c r="I427" s="110"/>
      <c r="J427" s="111"/>
      <c r="K427" s="163"/>
      <c r="L427" s="169"/>
      <c r="M427" s="156"/>
      <c r="N427" s="105"/>
    </row>
    <row r="428" spans="3:14" ht="25.2" x14ac:dyDescent="0.45">
      <c r="C428" s="179">
        <v>421</v>
      </c>
      <c r="D428" s="106"/>
      <c r="E428" s="107"/>
      <c r="F428" s="183"/>
      <c r="G428" s="108"/>
      <c r="H428" s="109"/>
      <c r="I428" s="110"/>
      <c r="J428" s="111"/>
      <c r="K428" s="163"/>
      <c r="L428" s="169"/>
      <c r="M428" s="156"/>
      <c r="N428" s="105"/>
    </row>
    <row r="429" spans="3:14" ht="25.2" x14ac:dyDescent="0.45">
      <c r="C429" s="180">
        <v>422</v>
      </c>
      <c r="D429" s="106"/>
      <c r="E429" s="107"/>
      <c r="F429" s="183"/>
      <c r="G429" s="108"/>
      <c r="H429" s="109"/>
      <c r="I429" s="110"/>
      <c r="J429" s="111"/>
      <c r="K429" s="163"/>
      <c r="L429" s="169"/>
      <c r="M429" s="156"/>
      <c r="N429" s="105"/>
    </row>
    <row r="430" spans="3:14" ht="25.2" x14ac:dyDescent="0.45">
      <c r="C430" s="179">
        <v>423</v>
      </c>
      <c r="D430" s="106"/>
      <c r="E430" s="107"/>
      <c r="F430" s="183"/>
      <c r="G430" s="108"/>
      <c r="H430" s="109"/>
      <c r="I430" s="110"/>
      <c r="J430" s="111"/>
      <c r="K430" s="163"/>
      <c r="L430" s="169"/>
      <c r="M430" s="156"/>
      <c r="N430" s="105"/>
    </row>
    <row r="431" spans="3:14" ht="25.2" x14ac:dyDescent="0.45">
      <c r="C431" s="180">
        <v>424</v>
      </c>
      <c r="D431" s="106"/>
      <c r="E431" s="107"/>
      <c r="F431" s="183"/>
      <c r="G431" s="108"/>
      <c r="H431" s="109"/>
      <c r="I431" s="110"/>
      <c r="J431" s="111"/>
      <c r="K431" s="163"/>
      <c r="L431" s="169"/>
      <c r="M431" s="156"/>
      <c r="N431" s="105"/>
    </row>
    <row r="432" spans="3:14" ht="25.2" x14ac:dyDescent="0.45">
      <c r="C432" s="179">
        <v>425</v>
      </c>
      <c r="D432" s="106"/>
      <c r="E432" s="107"/>
      <c r="F432" s="183"/>
      <c r="G432" s="108"/>
      <c r="H432" s="109"/>
      <c r="I432" s="110"/>
      <c r="J432" s="111"/>
      <c r="K432" s="163"/>
      <c r="L432" s="169"/>
      <c r="M432" s="156"/>
      <c r="N432" s="105"/>
    </row>
    <row r="433" spans="3:14" ht="25.2" x14ac:dyDescent="0.45">
      <c r="C433" s="180">
        <v>426</v>
      </c>
      <c r="D433" s="106"/>
      <c r="E433" s="107"/>
      <c r="F433" s="183"/>
      <c r="G433" s="108"/>
      <c r="H433" s="109"/>
      <c r="I433" s="110"/>
      <c r="J433" s="111"/>
      <c r="K433" s="163"/>
      <c r="L433" s="169"/>
      <c r="M433" s="156"/>
      <c r="N433" s="105"/>
    </row>
    <row r="434" spans="3:14" ht="25.2" x14ac:dyDescent="0.45">
      <c r="C434" s="179">
        <v>427</v>
      </c>
      <c r="D434" s="106"/>
      <c r="E434" s="107"/>
      <c r="F434" s="183"/>
      <c r="G434" s="108"/>
      <c r="H434" s="109"/>
      <c r="I434" s="110"/>
      <c r="J434" s="111"/>
      <c r="K434" s="163"/>
      <c r="L434" s="169"/>
      <c r="M434" s="156"/>
      <c r="N434" s="105"/>
    </row>
    <row r="435" spans="3:14" ht="25.2" x14ac:dyDescent="0.45">
      <c r="C435" s="180">
        <v>428</v>
      </c>
      <c r="D435" s="106"/>
      <c r="E435" s="107"/>
      <c r="F435" s="183"/>
      <c r="G435" s="108"/>
      <c r="H435" s="109"/>
      <c r="I435" s="110"/>
      <c r="J435" s="111"/>
      <c r="K435" s="163"/>
      <c r="L435" s="169"/>
      <c r="M435" s="156"/>
      <c r="N435" s="105"/>
    </row>
    <row r="436" spans="3:14" ht="25.2" x14ac:dyDescent="0.45">
      <c r="C436" s="179">
        <v>429</v>
      </c>
      <c r="D436" s="106"/>
      <c r="E436" s="107"/>
      <c r="F436" s="183"/>
      <c r="G436" s="108"/>
      <c r="H436" s="109"/>
      <c r="I436" s="110"/>
      <c r="J436" s="111"/>
      <c r="K436" s="163"/>
      <c r="L436" s="169"/>
      <c r="M436" s="156"/>
      <c r="N436" s="105"/>
    </row>
    <row r="437" spans="3:14" ht="25.2" x14ac:dyDescent="0.45">
      <c r="C437" s="180">
        <v>430</v>
      </c>
      <c r="D437" s="106"/>
      <c r="E437" s="107"/>
      <c r="F437" s="183"/>
      <c r="G437" s="108"/>
      <c r="H437" s="109"/>
      <c r="I437" s="110"/>
      <c r="J437" s="111"/>
      <c r="K437" s="163"/>
      <c r="L437" s="169"/>
      <c r="M437" s="156"/>
      <c r="N437" s="105"/>
    </row>
    <row r="438" spans="3:14" ht="25.2" x14ac:dyDescent="0.45">
      <c r="C438" s="179">
        <v>431</v>
      </c>
      <c r="D438" s="106"/>
      <c r="E438" s="107"/>
      <c r="F438" s="183"/>
      <c r="G438" s="108"/>
      <c r="H438" s="109"/>
      <c r="I438" s="110"/>
      <c r="J438" s="111"/>
      <c r="K438" s="163"/>
      <c r="L438" s="169"/>
      <c r="M438" s="156"/>
      <c r="N438" s="105"/>
    </row>
    <row r="439" spans="3:14" ht="25.2" x14ac:dyDescent="0.45">
      <c r="C439" s="180">
        <v>432</v>
      </c>
      <c r="D439" s="106"/>
      <c r="E439" s="107"/>
      <c r="F439" s="183"/>
      <c r="G439" s="108"/>
      <c r="H439" s="109"/>
      <c r="I439" s="110"/>
      <c r="J439" s="111"/>
      <c r="K439" s="163"/>
      <c r="L439" s="169"/>
      <c r="M439" s="156"/>
      <c r="N439" s="105"/>
    </row>
    <row r="440" spans="3:14" ht="25.2" x14ac:dyDescent="0.45">
      <c r="C440" s="179">
        <v>433</v>
      </c>
      <c r="D440" s="106"/>
      <c r="E440" s="107"/>
      <c r="F440" s="183"/>
      <c r="G440" s="108"/>
      <c r="H440" s="109"/>
      <c r="I440" s="110"/>
      <c r="J440" s="111"/>
      <c r="K440" s="163"/>
      <c r="L440" s="169"/>
      <c r="M440" s="156"/>
      <c r="N440" s="105"/>
    </row>
    <row r="441" spans="3:14" ht="25.2" x14ac:dyDescent="0.45">
      <c r="C441" s="180">
        <v>434</v>
      </c>
      <c r="D441" s="106"/>
      <c r="E441" s="107"/>
      <c r="F441" s="183"/>
      <c r="G441" s="108"/>
      <c r="H441" s="109"/>
      <c r="I441" s="110"/>
      <c r="J441" s="111"/>
      <c r="K441" s="163"/>
      <c r="L441" s="169"/>
      <c r="M441" s="156"/>
      <c r="N441" s="105"/>
    </row>
    <row r="442" spans="3:14" ht="25.2" x14ac:dyDescent="0.45">
      <c r="C442" s="179">
        <v>435</v>
      </c>
      <c r="D442" s="106"/>
      <c r="E442" s="107"/>
      <c r="F442" s="183"/>
      <c r="G442" s="108"/>
      <c r="H442" s="109"/>
      <c r="I442" s="110"/>
      <c r="J442" s="111"/>
      <c r="K442" s="163"/>
      <c r="L442" s="169"/>
      <c r="M442" s="156"/>
      <c r="N442" s="105"/>
    </row>
    <row r="443" spans="3:14" ht="25.2" x14ac:dyDescent="0.45">
      <c r="C443" s="180">
        <v>436</v>
      </c>
      <c r="D443" s="106"/>
      <c r="E443" s="107"/>
      <c r="F443" s="183"/>
      <c r="G443" s="108"/>
      <c r="H443" s="109"/>
      <c r="I443" s="110"/>
      <c r="J443" s="111"/>
      <c r="K443" s="163"/>
      <c r="L443" s="169"/>
      <c r="M443" s="156"/>
      <c r="N443" s="105"/>
    </row>
    <row r="444" spans="3:14" ht="25.2" x14ac:dyDescent="0.45">
      <c r="C444" s="179">
        <v>437</v>
      </c>
      <c r="D444" s="106"/>
      <c r="E444" s="107"/>
      <c r="F444" s="183"/>
      <c r="G444" s="108"/>
      <c r="H444" s="109"/>
      <c r="I444" s="110"/>
      <c r="J444" s="111"/>
      <c r="K444" s="163"/>
      <c r="L444" s="169"/>
      <c r="M444" s="156"/>
      <c r="N444" s="105"/>
    </row>
    <row r="445" spans="3:14" ht="25.2" x14ac:dyDescent="0.45">
      <c r="C445" s="180">
        <v>438</v>
      </c>
      <c r="D445" s="106"/>
      <c r="E445" s="107"/>
      <c r="F445" s="183"/>
      <c r="G445" s="108"/>
      <c r="H445" s="109"/>
      <c r="I445" s="110"/>
      <c r="J445" s="111"/>
      <c r="K445" s="163"/>
      <c r="L445" s="169"/>
      <c r="M445" s="156"/>
      <c r="N445" s="105"/>
    </row>
    <row r="446" spans="3:14" ht="25.2" x14ac:dyDescent="0.45">
      <c r="C446" s="179">
        <v>439</v>
      </c>
      <c r="D446" s="106"/>
      <c r="E446" s="107"/>
      <c r="F446" s="183"/>
      <c r="G446" s="108"/>
      <c r="H446" s="109"/>
      <c r="I446" s="110"/>
      <c r="J446" s="111"/>
      <c r="K446" s="163"/>
      <c r="L446" s="169"/>
      <c r="M446" s="156"/>
      <c r="N446" s="105"/>
    </row>
    <row r="447" spans="3:14" ht="25.2" x14ac:dyDescent="0.45">
      <c r="C447" s="180">
        <v>440</v>
      </c>
      <c r="D447" s="106"/>
      <c r="E447" s="107"/>
      <c r="F447" s="183"/>
      <c r="G447" s="108"/>
      <c r="H447" s="109"/>
      <c r="I447" s="110"/>
      <c r="J447" s="111"/>
      <c r="K447" s="163"/>
      <c r="L447" s="169"/>
      <c r="M447" s="156"/>
      <c r="N447" s="105"/>
    </row>
    <row r="448" spans="3:14" ht="25.2" x14ac:dyDescent="0.45">
      <c r="C448" s="179">
        <v>441</v>
      </c>
      <c r="D448" s="106"/>
      <c r="E448" s="107"/>
      <c r="F448" s="183"/>
      <c r="G448" s="108"/>
      <c r="H448" s="109"/>
      <c r="I448" s="110"/>
      <c r="J448" s="111"/>
      <c r="K448" s="163"/>
      <c r="L448" s="169"/>
      <c r="M448" s="156"/>
      <c r="N448" s="105"/>
    </row>
    <row r="449" spans="3:14" ht="25.2" x14ac:dyDescent="0.45">
      <c r="C449" s="180">
        <v>442</v>
      </c>
      <c r="D449" s="106"/>
      <c r="E449" s="107"/>
      <c r="F449" s="183"/>
      <c r="G449" s="108"/>
      <c r="H449" s="109"/>
      <c r="I449" s="110"/>
      <c r="J449" s="111"/>
      <c r="K449" s="163"/>
      <c r="L449" s="169"/>
      <c r="M449" s="156"/>
      <c r="N449" s="105"/>
    </row>
    <row r="450" spans="3:14" ht="25.2" x14ac:dyDescent="0.45">
      <c r="C450" s="179">
        <v>443</v>
      </c>
      <c r="D450" s="106"/>
      <c r="E450" s="107"/>
      <c r="F450" s="183"/>
      <c r="G450" s="108"/>
      <c r="H450" s="109"/>
      <c r="I450" s="110"/>
      <c r="J450" s="111"/>
      <c r="K450" s="163"/>
      <c r="L450" s="169"/>
      <c r="M450" s="156"/>
      <c r="N450" s="105"/>
    </row>
    <row r="451" spans="3:14" ht="25.2" x14ac:dyDescent="0.45">
      <c r="C451" s="180">
        <v>444</v>
      </c>
      <c r="D451" s="106"/>
      <c r="E451" s="107"/>
      <c r="F451" s="183"/>
      <c r="G451" s="108"/>
      <c r="H451" s="109"/>
      <c r="I451" s="110"/>
      <c r="J451" s="111"/>
      <c r="K451" s="163"/>
      <c r="L451" s="169"/>
      <c r="M451" s="156"/>
      <c r="N451" s="105"/>
    </row>
    <row r="452" spans="3:14" ht="25.2" x14ac:dyDescent="0.45">
      <c r="C452" s="179">
        <v>445</v>
      </c>
      <c r="D452" s="106"/>
      <c r="E452" s="107"/>
      <c r="F452" s="183"/>
      <c r="G452" s="108"/>
      <c r="H452" s="109"/>
      <c r="I452" s="110"/>
      <c r="J452" s="111"/>
      <c r="K452" s="163"/>
      <c r="L452" s="169"/>
      <c r="M452" s="156"/>
      <c r="N452" s="105"/>
    </row>
    <row r="453" spans="3:14" ht="25.2" x14ac:dyDescent="0.45">
      <c r="C453" s="180">
        <v>446</v>
      </c>
      <c r="D453" s="106"/>
      <c r="E453" s="107"/>
      <c r="F453" s="183"/>
      <c r="G453" s="108"/>
      <c r="H453" s="109"/>
      <c r="I453" s="110"/>
      <c r="J453" s="111"/>
      <c r="K453" s="163"/>
      <c r="L453" s="169"/>
      <c r="M453" s="156"/>
      <c r="N453" s="105"/>
    </row>
    <row r="454" spans="3:14" ht="25.2" x14ac:dyDescent="0.45">
      <c r="C454" s="179">
        <v>447</v>
      </c>
      <c r="D454" s="106"/>
      <c r="E454" s="107"/>
      <c r="F454" s="183"/>
      <c r="G454" s="108"/>
      <c r="H454" s="109"/>
      <c r="I454" s="110"/>
      <c r="J454" s="111"/>
      <c r="K454" s="163"/>
      <c r="L454" s="169"/>
      <c r="M454" s="156"/>
      <c r="N454" s="105"/>
    </row>
    <row r="455" spans="3:14" ht="25.2" x14ac:dyDescent="0.45">
      <c r="C455" s="180">
        <v>448</v>
      </c>
      <c r="D455" s="106"/>
      <c r="E455" s="107"/>
      <c r="F455" s="183"/>
      <c r="G455" s="108"/>
      <c r="H455" s="109"/>
      <c r="I455" s="110"/>
      <c r="J455" s="111"/>
      <c r="K455" s="163"/>
      <c r="L455" s="169"/>
      <c r="M455" s="156"/>
      <c r="N455" s="105"/>
    </row>
    <row r="456" spans="3:14" ht="25.2" x14ac:dyDescent="0.45">
      <c r="C456" s="179">
        <v>449</v>
      </c>
      <c r="D456" s="106"/>
      <c r="E456" s="107"/>
      <c r="F456" s="183"/>
      <c r="G456" s="108"/>
      <c r="H456" s="109"/>
      <c r="I456" s="110"/>
      <c r="J456" s="111"/>
      <c r="K456" s="163"/>
      <c r="L456" s="169"/>
      <c r="M456" s="156"/>
      <c r="N456" s="105"/>
    </row>
    <row r="457" spans="3:14" ht="25.2" x14ac:dyDescent="0.45">
      <c r="C457" s="180">
        <v>450</v>
      </c>
      <c r="D457" s="106"/>
      <c r="E457" s="107"/>
      <c r="F457" s="183"/>
      <c r="G457" s="108"/>
      <c r="H457" s="109"/>
      <c r="I457" s="110"/>
      <c r="J457" s="111"/>
      <c r="K457" s="163"/>
      <c r="L457" s="169"/>
      <c r="M457" s="156"/>
      <c r="N457" s="105"/>
    </row>
    <row r="458" spans="3:14" ht="25.2" x14ac:dyDescent="0.45">
      <c r="C458" s="179">
        <v>451</v>
      </c>
      <c r="D458" s="106"/>
      <c r="E458" s="107"/>
      <c r="F458" s="183"/>
      <c r="G458" s="108"/>
      <c r="H458" s="109"/>
      <c r="I458" s="110"/>
      <c r="J458" s="111"/>
      <c r="K458" s="163"/>
      <c r="L458" s="169"/>
      <c r="M458" s="156"/>
      <c r="N458" s="105"/>
    </row>
    <row r="459" spans="3:14" ht="25.2" x14ac:dyDescent="0.45">
      <c r="C459" s="180">
        <v>452</v>
      </c>
      <c r="D459" s="106"/>
      <c r="E459" s="107"/>
      <c r="F459" s="183"/>
      <c r="G459" s="108"/>
      <c r="H459" s="109"/>
      <c r="I459" s="110"/>
      <c r="J459" s="111"/>
      <c r="K459" s="163"/>
      <c r="L459" s="169"/>
      <c r="M459" s="156"/>
      <c r="N459" s="105"/>
    </row>
    <row r="460" spans="3:14" ht="25.2" x14ac:dyDescent="0.45">
      <c r="C460" s="179">
        <v>453</v>
      </c>
      <c r="D460" s="106"/>
      <c r="E460" s="107"/>
      <c r="F460" s="183"/>
      <c r="G460" s="108"/>
      <c r="H460" s="109"/>
      <c r="I460" s="110"/>
      <c r="J460" s="111"/>
      <c r="K460" s="163"/>
      <c r="L460" s="169"/>
      <c r="M460" s="156"/>
      <c r="N460" s="105"/>
    </row>
    <row r="461" spans="3:14" ht="25.2" x14ac:dyDescent="0.45">
      <c r="C461" s="180">
        <v>454</v>
      </c>
      <c r="D461" s="106"/>
      <c r="E461" s="107"/>
      <c r="F461" s="183"/>
      <c r="G461" s="108"/>
      <c r="H461" s="109"/>
      <c r="I461" s="110"/>
      <c r="J461" s="111"/>
      <c r="K461" s="163"/>
      <c r="L461" s="169"/>
      <c r="M461" s="156"/>
      <c r="N461" s="105"/>
    </row>
    <row r="462" spans="3:14" ht="25.2" x14ac:dyDescent="0.45">
      <c r="C462" s="179">
        <v>455</v>
      </c>
      <c r="D462" s="106"/>
      <c r="E462" s="107"/>
      <c r="F462" s="183"/>
      <c r="G462" s="108"/>
      <c r="H462" s="109"/>
      <c r="I462" s="110"/>
      <c r="J462" s="111"/>
      <c r="K462" s="163"/>
      <c r="L462" s="169"/>
      <c r="M462" s="156"/>
      <c r="N462" s="105"/>
    </row>
    <row r="463" spans="3:14" ht="25.2" x14ac:dyDescent="0.45">
      <c r="C463" s="180">
        <v>456</v>
      </c>
      <c r="D463" s="106"/>
      <c r="E463" s="107"/>
      <c r="F463" s="183"/>
      <c r="G463" s="108"/>
      <c r="H463" s="109"/>
      <c r="I463" s="110"/>
      <c r="J463" s="111"/>
      <c r="K463" s="163"/>
      <c r="L463" s="169"/>
      <c r="M463" s="156"/>
      <c r="N463" s="105"/>
    </row>
    <row r="464" spans="3:14" ht="25.2" x14ac:dyDescent="0.45">
      <c r="C464" s="179">
        <v>457</v>
      </c>
      <c r="D464" s="106"/>
      <c r="E464" s="107"/>
      <c r="F464" s="183"/>
      <c r="G464" s="108"/>
      <c r="H464" s="109"/>
      <c r="I464" s="110"/>
      <c r="J464" s="111"/>
      <c r="K464" s="163"/>
      <c r="L464" s="169"/>
      <c r="M464" s="156"/>
      <c r="N464" s="105"/>
    </row>
    <row r="465" spans="3:14" ht="25.2" x14ac:dyDescent="0.45">
      <c r="C465" s="180">
        <v>458</v>
      </c>
      <c r="D465" s="106"/>
      <c r="E465" s="107"/>
      <c r="F465" s="183"/>
      <c r="G465" s="108"/>
      <c r="H465" s="109"/>
      <c r="I465" s="110"/>
      <c r="J465" s="111"/>
      <c r="K465" s="163"/>
      <c r="L465" s="169"/>
      <c r="M465" s="156"/>
      <c r="N465" s="105"/>
    </row>
    <row r="466" spans="3:14" ht="25.2" x14ac:dyDescent="0.45">
      <c r="C466" s="179">
        <v>459</v>
      </c>
      <c r="D466" s="106"/>
      <c r="E466" s="107"/>
      <c r="F466" s="183"/>
      <c r="G466" s="108"/>
      <c r="H466" s="109"/>
      <c r="I466" s="110"/>
      <c r="J466" s="111"/>
      <c r="K466" s="163"/>
      <c r="L466" s="169"/>
      <c r="M466" s="156"/>
      <c r="N466" s="105"/>
    </row>
    <row r="467" spans="3:14" ht="25.2" x14ac:dyDescent="0.45">
      <c r="C467" s="180">
        <v>460</v>
      </c>
      <c r="D467" s="106"/>
      <c r="E467" s="107"/>
      <c r="F467" s="183"/>
      <c r="G467" s="108"/>
      <c r="H467" s="109"/>
      <c r="I467" s="110"/>
      <c r="J467" s="111"/>
      <c r="K467" s="163"/>
      <c r="L467" s="169"/>
      <c r="M467" s="156"/>
      <c r="N467" s="105"/>
    </row>
    <row r="468" spans="3:14" ht="25.2" x14ac:dyDescent="0.45">
      <c r="C468" s="179">
        <v>461</v>
      </c>
      <c r="D468" s="106"/>
      <c r="E468" s="107"/>
      <c r="F468" s="183"/>
      <c r="G468" s="108"/>
      <c r="H468" s="109"/>
      <c r="I468" s="110"/>
      <c r="J468" s="111"/>
      <c r="K468" s="163"/>
      <c r="L468" s="169"/>
      <c r="M468" s="156"/>
      <c r="N468" s="105"/>
    </row>
    <row r="469" spans="3:14" ht="25.2" x14ac:dyDescent="0.45">
      <c r="C469" s="180">
        <v>462</v>
      </c>
      <c r="D469" s="106"/>
      <c r="E469" s="107"/>
      <c r="F469" s="183"/>
      <c r="G469" s="108"/>
      <c r="H469" s="109"/>
      <c r="I469" s="110"/>
      <c r="J469" s="111"/>
      <c r="K469" s="163"/>
      <c r="L469" s="169"/>
      <c r="M469" s="156"/>
      <c r="N469" s="105"/>
    </row>
    <row r="470" spans="3:14" ht="25.2" x14ac:dyDescent="0.45">
      <c r="C470" s="179">
        <v>463</v>
      </c>
      <c r="D470" s="106"/>
      <c r="E470" s="107"/>
      <c r="F470" s="183"/>
      <c r="G470" s="108"/>
      <c r="H470" s="109"/>
      <c r="I470" s="110"/>
      <c r="J470" s="111"/>
      <c r="K470" s="163"/>
      <c r="L470" s="169"/>
      <c r="M470" s="156"/>
      <c r="N470" s="105"/>
    </row>
    <row r="471" spans="3:14" ht="25.2" x14ac:dyDescent="0.45">
      <c r="C471" s="180">
        <v>464</v>
      </c>
      <c r="D471" s="106"/>
      <c r="E471" s="107"/>
      <c r="F471" s="183"/>
      <c r="G471" s="108"/>
      <c r="H471" s="109"/>
      <c r="I471" s="110"/>
      <c r="J471" s="111"/>
      <c r="K471" s="163"/>
      <c r="L471" s="169"/>
      <c r="M471" s="156"/>
      <c r="N471" s="105"/>
    </row>
    <row r="472" spans="3:14" ht="25.2" x14ac:dyDescent="0.45">
      <c r="C472" s="179">
        <v>465</v>
      </c>
      <c r="D472" s="106"/>
      <c r="E472" s="107"/>
      <c r="F472" s="183"/>
      <c r="G472" s="108"/>
      <c r="H472" s="109"/>
      <c r="I472" s="110"/>
      <c r="J472" s="111"/>
      <c r="K472" s="163"/>
      <c r="L472" s="169"/>
      <c r="M472" s="156"/>
      <c r="N472" s="105"/>
    </row>
    <row r="473" spans="3:14" ht="25.2" x14ac:dyDescent="0.45">
      <c r="C473" s="180">
        <v>466</v>
      </c>
      <c r="D473" s="106"/>
      <c r="E473" s="107"/>
      <c r="F473" s="183"/>
      <c r="G473" s="108"/>
      <c r="H473" s="109"/>
      <c r="I473" s="110"/>
      <c r="J473" s="111"/>
      <c r="K473" s="163"/>
      <c r="L473" s="169"/>
      <c r="M473" s="156"/>
      <c r="N473" s="105"/>
    </row>
    <row r="474" spans="3:14" ht="25.2" x14ac:dyDescent="0.45">
      <c r="C474" s="179">
        <v>467</v>
      </c>
      <c r="D474" s="106"/>
      <c r="E474" s="107"/>
      <c r="F474" s="183"/>
      <c r="G474" s="108"/>
      <c r="H474" s="109"/>
      <c r="I474" s="110"/>
      <c r="J474" s="111"/>
      <c r="K474" s="163"/>
      <c r="L474" s="169"/>
      <c r="M474" s="156"/>
      <c r="N474" s="105"/>
    </row>
    <row r="475" spans="3:14" ht="25.2" x14ac:dyDescent="0.45">
      <c r="C475" s="180">
        <v>468</v>
      </c>
      <c r="D475" s="106"/>
      <c r="E475" s="107"/>
      <c r="F475" s="183"/>
      <c r="G475" s="108"/>
      <c r="H475" s="109"/>
      <c r="I475" s="110"/>
      <c r="J475" s="111"/>
      <c r="K475" s="163"/>
      <c r="L475" s="169"/>
      <c r="M475" s="156"/>
      <c r="N475" s="105"/>
    </row>
    <row r="476" spans="3:14" ht="25.2" x14ac:dyDescent="0.45">
      <c r="C476" s="179">
        <v>469</v>
      </c>
      <c r="D476" s="106"/>
      <c r="E476" s="107"/>
      <c r="F476" s="183"/>
      <c r="G476" s="108"/>
      <c r="H476" s="109"/>
      <c r="I476" s="110"/>
      <c r="J476" s="111"/>
      <c r="K476" s="163"/>
      <c r="L476" s="169"/>
      <c r="M476" s="156"/>
      <c r="N476" s="105"/>
    </row>
    <row r="477" spans="3:14" ht="25.2" x14ac:dyDescent="0.45">
      <c r="C477" s="180">
        <v>470</v>
      </c>
      <c r="D477" s="106"/>
      <c r="E477" s="107"/>
      <c r="F477" s="183"/>
      <c r="G477" s="108"/>
      <c r="H477" s="109"/>
      <c r="I477" s="110"/>
      <c r="J477" s="111"/>
      <c r="K477" s="163"/>
      <c r="L477" s="169"/>
      <c r="M477" s="156"/>
      <c r="N477" s="105"/>
    </row>
    <row r="478" spans="3:14" ht="25.2" x14ac:dyDescent="0.45">
      <c r="C478" s="179">
        <v>471</v>
      </c>
      <c r="D478" s="106"/>
      <c r="E478" s="107"/>
      <c r="F478" s="183"/>
      <c r="G478" s="108"/>
      <c r="H478" s="109"/>
      <c r="I478" s="110"/>
      <c r="J478" s="111"/>
      <c r="K478" s="163"/>
      <c r="L478" s="169"/>
      <c r="M478" s="156"/>
      <c r="N478" s="105"/>
    </row>
    <row r="479" spans="3:14" ht="25.2" x14ac:dyDescent="0.45">
      <c r="C479" s="180">
        <v>472</v>
      </c>
      <c r="D479" s="106"/>
      <c r="E479" s="107"/>
      <c r="F479" s="183"/>
      <c r="G479" s="108"/>
      <c r="H479" s="109"/>
      <c r="I479" s="110"/>
      <c r="J479" s="111"/>
      <c r="K479" s="163"/>
      <c r="L479" s="169"/>
      <c r="M479" s="156"/>
      <c r="N479" s="105"/>
    </row>
    <row r="480" spans="3:14" ht="25.2" x14ac:dyDescent="0.45">
      <c r="C480" s="179">
        <v>473</v>
      </c>
      <c r="D480" s="106"/>
      <c r="E480" s="107"/>
      <c r="F480" s="183"/>
      <c r="G480" s="108"/>
      <c r="H480" s="109"/>
      <c r="I480" s="110"/>
      <c r="J480" s="111"/>
      <c r="K480" s="163"/>
      <c r="L480" s="169"/>
      <c r="M480" s="156"/>
      <c r="N480" s="105"/>
    </row>
    <row r="481" spans="3:14" ht="25.2" x14ac:dyDescent="0.45">
      <c r="C481" s="180">
        <v>474</v>
      </c>
      <c r="D481" s="106"/>
      <c r="E481" s="107"/>
      <c r="F481" s="183"/>
      <c r="G481" s="108"/>
      <c r="H481" s="109"/>
      <c r="I481" s="110"/>
      <c r="J481" s="111"/>
      <c r="K481" s="163"/>
      <c r="L481" s="169"/>
      <c r="M481" s="156"/>
      <c r="N481" s="105"/>
    </row>
    <row r="482" spans="3:14" ht="25.2" x14ac:dyDescent="0.45">
      <c r="C482" s="179">
        <v>475</v>
      </c>
      <c r="D482" s="106"/>
      <c r="E482" s="107"/>
      <c r="F482" s="183"/>
      <c r="G482" s="108"/>
      <c r="H482" s="109"/>
      <c r="I482" s="110"/>
      <c r="J482" s="111"/>
      <c r="K482" s="163"/>
      <c r="L482" s="169"/>
      <c r="M482" s="156"/>
      <c r="N482" s="105"/>
    </row>
    <row r="483" spans="3:14" ht="25.2" x14ac:dyDescent="0.45">
      <c r="C483" s="180">
        <v>476</v>
      </c>
      <c r="D483" s="106"/>
      <c r="E483" s="107"/>
      <c r="F483" s="183"/>
      <c r="G483" s="108"/>
      <c r="H483" s="109"/>
      <c r="I483" s="110"/>
      <c r="J483" s="111"/>
      <c r="K483" s="163"/>
      <c r="L483" s="169"/>
      <c r="M483" s="156"/>
      <c r="N483" s="105"/>
    </row>
    <row r="484" spans="3:14" ht="25.2" x14ac:dyDescent="0.45">
      <c r="C484" s="179">
        <v>477</v>
      </c>
      <c r="D484" s="106"/>
      <c r="E484" s="107"/>
      <c r="F484" s="183"/>
      <c r="G484" s="108"/>
      <c r="H484" s="109"/>
      <c r="I484" s="110"/>
      <c r="J484" s="111"/>
      <c r="K484" s="163"/>
      <c r="L484" s="169"/>
      <c r="M484" s="156"/>
      <c r="N484" s="105"/>
    </row>
    <row r="485" spans="3:14" ht="25.2" x14ac:dyDescent="0.45">
      <c r="C485" s="180">
        <v>478</v>
      </c>
      <c r="D485" s="106"/>
      <c r="E485" s="107"/>
      <c r="F485" s="183"/>
      <c r="G485" s="108"/>
      <c r="H485" s="109"/>
      <c r="I485" s="110"/>
      <c r="J485" s="111"/>
      <c r="K485" s="163"/>
      <c r="L485" s="169"/>
      <c r="M485" s="156"/>
      <c r="N485" s="105"/>
    </row>
    <row r="486" spans="3:14" ht="25.2" x14ac:dyDescent="0.45">
      <c r="C486" s="179">
        <v>479</v>
      </c>
      <c r="D486" s="106"/>
      <c r="E486" s="107"/>
      <c r="F486" s="183"/>
      <c r="G486" s="108"/>
      <c r="H486" s="109"/>
      <c r="I486" s="110"/>
      <c r="J486" s="111"/>
      <c r="K486" s="163"/>
      <c r="L486" s="169"/>
      <c r="M486" s="156"/>
      <c r="N486" s="105"/>
    </row>
    <row r="487" spans="3:14" ht="25.2" x14ac:dyDescent="0.45">
      <c r="C487" s="180">
        <v>480</v>
      </c>
      <c r="D487" s="106"/>
      <c r="E487" s="107"/>
      <c r="F487" s="183"/>
      <c r="G487" s="108"/>
      <c r="H487" s="109"/>
      <c r="I487" s="110"/>
      <c r="J487" s="111"/>
      <c r="K487" s="163"/>
      <c r="L487" s="169"/>
      <c r="M487" s="156"/>
      <c r="N487" s="105"/>
    </row>
    <row r="488" spans="3:14" ht="25.2" x14ac:dyDescent="0.45">
      <c r="C488" s="179">
        <v>481</v>
      </c>
      <c r="D488" s="106"/>
      <c r="E488" s="107"/>
      <c r="F488" s="183"/>
      <c r="G488" s="108"/>
      <c r="H488" s="109"/>
      <c r="I488" s="110"/>
      <c r="J488" s="111"/>
      <c r="K488" s="163"/>
      <c r="L488" s="169"/>
      <c r="M488" s="156"/>
      <c r="N488" s="105"/>
    </row>
    <row r="489" spans="3:14" ht="25.2" x14ac:dyDescent="0.45">
      <c r="C489" s="180">
        <v>482</v>
      </c>
      <c r="D489" s="106"/>
      <c r="E489" s="107"/>
      <c r="F489" s="183"/>
      <c r="G489" s="108"/>
      <c r="H489" s="109"/>
      <c r="I489" s="110"/>
      <c r="J489" s="111"/>
      <c r="K489" s="163"/>
      <c r="L489" s="169"/>
      <c r="M489" s="156"/>
      <c r="N489" s="105"/>
    </row>
    <row r="490" spans="3:14" ht="25.2" x14ac:dyDescent="0.45">
      <c r="C490" s="179">
        <v>483</v>
      </c>
      <c r="D490" s="106"/>
      <c r="E490" s="107"/>
      <c r="F490" s="183"/>
      <c r="G490" s="108"/>
      <c r="H490" s="109"/>
      <c r="I490" s="110"/>
      <c r="J490" s="111"/>
      <c r="K490" s="163"/>
      <c r="L490" s="169"/>
      <c r="M490" s="156"/>
      <c r="N490" s="105"/>
    </row>
    <row r="491" spans="3:14" ht="25.2" x14ac:dyDescent="0.45">
      <c r="C491" s="180">
        <v>484</v>
      </c>
      <c r="D491" s="106"/>
      <c r="E491" s="107"/>
      <c r="F491" s="183"/>
      <c r="G491" s="108"/>
      <c r="H491" s="109"/>
      <c r="I491" s="110"/>
      <c r="J491" s="111"/>
      <c r="K491" s="163"/>
      <c r="L491" s="169"/>
      <c r="M491" s="156"/>
      <c r="N491" s="105"/>
    </row>
    <row r="492" spans="3:14" ht="25.2" x14ac:dyDescent="0.45">
      <c r="C492" s="179">
        <v>485</v>
      </c>
      <c r="D492" s="106"/>
      <c r="E492" s="107"/>
      <c r="F492" s="183"/>
      <c r="G492" s="108"/>
      <c r="H492" s="109"/>
      <c r="I492" s="110"/>
      <c r="J492" s="111"/>
      <c r="K492" s="163"/>
      <c r="L492" s="169"/>
      <c r="M492" s="156"/>
      <c r="N492" s="105"/>
    </row>
    <row r="493" spans="3:14" ht="25.2" x14ac:dyDescent="0.45">
      <c r="C493" s="180">
        <v>486</v>
      </c>
      <c r="D493" s="106"/>
      <c r="E493" s="107"/>
      <c r="F493" s="183"/>
      <c r="G493" s="108"/>
      <c r="H493" s="109"/>
      <c r="I493" s="110"/>
      <c r="J493" s="111"/>
      <c r="K493" s="163"/>
      <c r="L493" s="169"/>
      <c r="M493" s="156"/>
      <c r="N493" s="105"/>
    </row>
    <row r="494" spans="3:14" ht="25.2" x14ac:dyDescent="0.45">
      <c r="C494" s="179">
        <v>487</v>
      </c>
      <c r="D494" s="106"/>
      <c r="E494" s="107"/>
      <c r="F494" s="183"/>
      <c r="G494" s="108"/>
      <c r="H494" s="109"/>
      <c r="I494" s="110"/>
      <c r="J494" s="111"/>
      <c r="K494" s="163"/>
      <c r="L494" s="169"/>
      <c r="M494" s="156"/>
      <c r="N494" s="105"/>
    </row>
    <row r="495" spans="3:14" ht="25.2" x14ac:dyDescent="0.45">
      <c r="C495" s="180">
        <v>488</v>
      </c>
      <c r="D495" s="106"/>
      <c r="E495" s="107"/>
      <c r="F495" s="183"/>
      <c r="G495" s="108"/>
      <c r="H495" s="109"/>
      <c r="I495" s="110"/>
      <c r="J495" s="111"/>
      <c r="K495" s="163"/>
      <c r="L495" s="169"/>
      <c r="M495" s="156"/>
      <c r="N495" s="105"/>
    </row>
    <row r="496" spans="3:14" ht="25.2" x14ac:dyDescent="0.45">
      <c r="C496" s="179">
        <v>489</v>
      </c>
      <c r="D496" s="106"/>
      <c r="E496" s="107"/>
      <c r="F496" s="183"/>
      <c r="G496" s="108"/>
      <c r="H496" s="109"/>
      <c r="I496" s="110"/>
      <c r="J496" s="111"/>
      <c r="K496" s="163"/>
      <c r="L496" s="169"/>
      <c r="M496" s="156"/>
      <c r="N496" s="105"/>
    </row>
    <row r="497" spans="3:14" ht="25.2" x14ac:dyDescent="0.45">
      <c r="C497" s="180">
        <v>490</v>
      </c>
      <c r="D497" s="106"/>
      <c r="E497" s="107"/>
      <c r="F497" s="183"/>
      <c r="G497" s="108"/>
      <c r="H497" s="109"/>
      <c r="I497" s="110"/>
      <c r="J497" s="111"/>
      <c r="K497" s="163"/>
      <c r="L497" s="169"/>
      <c r="M497" s="156"/>
      <c r="N497" s="105"/>
    </row>
    <row r="498" spans="3:14" ht="25.2" x14ac:dyDescent="0.45">
      <c r="C498" s="179">
        <v>491</v>
      </c>
      <c r="D498" s="106"/>
      <c r="E498" s="107"/>
      <c r="F498" s="183"/>
      <c r="G498" s="108"/>
      <c r="H498" s="109"/>
      <c r="I498" s="110"/>
      <c r="J498" s="111"/>
      <c r="K498" s="163"/>
      <c r="L498" s="169"/>
      <c r="M498" s="156"/>
      <c r="N498" s="105"/>
    </row>
    <row r="499" spans="3:14" ht="25.2" x14ac:dyDescent="0.45">
      <c r="C499" s="180">
        <v>492</v>
      </c>
      <c r="D499" s="106"/>
      <c r="E499" s="107"/>
      <c r="F499" s="183"/>
      <c r="G499" s="108"/>
      <c r="H499" s="109"/>
      <c r="I499" s="110"/>
      <c r="J499" s="111"/>
      <c r="K499" s="163"/>
      <c r="L499" s="169"/>
      <c r="M499" s="156"/>
      <c r="N499" s="105"/>
    </row>
    <row r="500" spans="3:14" ht="25.2" x14ac:dyDescent="0.45">
      <c r="C500" s="179">
        <v>493</v>
      </c>
      <c r="D500" s="106"/>
      <c r="E500" s="107"/>
      <c r="F500" s="183"/>
      <c r="G500" s="108"/>
      <c r="H500" s="109"/>
      <c r="I500" s="110"/>
      <c r="J500" s="111"/>
      <c r="K500" s="163"/>
      <c r="L500" s="169"/>
      <c r="M500" s="156"/>
      <c r="N500" s="105"/>
    </row>
    <row r="501" spans="3:14" ht="25.2" x14ac:dyDescent="0.45">
      <c r="D501" s="106"/>
      <c r="E501" s="107"/>
      <c r="F501" s="183"/>
      <c r="G501" s="108"/>
      <c r="H501" s="109"/>
      <c r="I501" s="110"/>
      <c r="J501" s="111"/>
      <c r="K501" s="163"/>
      <c r="L501" s="169"/>
      <c r="M501" s="156"/>
      <c r="N501" s="105"/>
    </row>
    <row r="502" spans="3:14" ht="25.2" x14ac:dyDescent="0.45">
      <c r="D502" s="106"/>
      <c r="E502" s="107"/>
      <c r="F502" s="183"/>
      <c r="G502" s="108"/>
      <c r="H502" s="109"/>
      <c r="I502" s="110"/>
      <c r="J502" s="111"/>
      <c r="K502" s="163"/>
      <c r="L502" s="169"/>
      <c r="M502" s="156"/>
      <c r="N502" s="105"/>
    </row>
    <row r="503" spans="3:14" ht="25.2" x14ac:dyDescent="0.45">
      <c r="D503" s="106"/>
      <c r="E503" s="107"/>
      <c r="F503" s="183"/>
      <c r="G503" s="108"/>
      <c r="H503" s="109"/>
      <c r="I503" s="110"/>
      <c r="J503" s="111"/>
      <c r="K503" s="163"/>
      <c r="L503" s="169"/>
      <c r="M503" s="156"/>
      <c r="N503" s="105"/>
    </row>
    <row r="504" spans="3:14" ht="25.2" x14ac:dyDescent="0.45">
      <c r="D504" s="106"/>
      <c r="E504" s="107"/>
      <c r="F504" s="183"/>
      <c r="G504" s="108"/>
      <c r="H504" s="109"/>
      <c r="I504" s="110"/>
      <c r="J504" s="111"/>
      <c r="K504" s="163"/>
      <c r="L504" s="169"/>
      <c r="M504" s="156"/>
      <c r="N504" s="105"/>
    </row>
    <row r="505" spans="3:14" ht="25.2" x14ac:dyDescent="0.45">
      <c r="D505" s="106"/>
      <c r="E505" s="107"/>
      <c r="F505" s="183"/>
      <c r="G505" s="108"/>
      <c r="H505" s="109"/>
      <c r="I505" s="110"/>
      <c r="J505" s="111"/>
      <c r="K505" s="163"/>
      <c r="L505" s="169"/>
      <c r="M505" s="156"/>
      <c r="N505" s="105"/>
    </row>
    <row r="506" spans="3:14" ht="25.2" x14ac:dyDescent="0.45">
      <c r="D506" s="106"/>
      <c r="E506" s="107"/>
      <c r="F506" s="183"/>
      <c r="G506" s="108"/>
      <c r="H506" s="109"/>
      <c r="I506" s="110"/>
      <c r="J506" s="111"/>
      <c r="K506" s="163"/>
      <c r="L506" s="169"/>
      <c r="M506" s="156"/>
      <c r="N506" s="105"/>
    </row>
    <row r="507" spans="3:14" ht="25.2" x14ac:dyDescent="0.45">
      <c r="D507" s="106"/>
      <c r="E507" s="107"/>
      <c r="F507" s="183"/>
      <c r="G507" s="108"/>
      <c r="H507" s="109"/>
      <c r="I507" s="110"/>
      <c r="J507" s="111"/>
      <c r="K507" s="163"/>
      <c r="L507" s="169"/>
      <c r="M507" s="156"/>
      <c r="N507" s="105"/>
    </row>
    <row r="508" spans="3:14" ht="25.2" x14ac:dyDescent="0.45">
      <c r="D508" s="106"/>
      <c r="E508" s="107"/>
      <c r="F508" s="183"/>
      <c r="G508" s="108"/>
      <c r="H508" s="109"/>
      <c r="I508" s="110"/>
      <c r="J508" s="111"/>
      <c r="K508" s="163"/>
      <c r="L508" s="169"/>
      <c r="M508" s="156"/>
      <c r="N508" s="105"/>
    </row>
    <row r="509" spans="3:14" ht="25.2" x14ac:dyDescent="0.45">
      <c r="D509" s="106"/>
      <c r="E509" s="107"/>
      <c r="F509" s="183"/>
      <c r="G509" s="108"/>
      <c r="H509" s="109"/>
      <c r="I509" s="110"/>
      <c r="J509" s="111"/>
      <c r="K509" s="163"/>
      <c r="L509" s="169"/>
      <c r="M509" s="156"/>
      <c r="N509" s="105"/>
    </row>
    <row r="510" spans="3:14" ht="25.2" x14ac:dyDescent="0.45">
      <c r="D510" s="106"/>
      <c r="E510" s="107"/>
      <c r="F510" s="183"/>
      <c r="G510" s="108"/>
      <c r="H510" s="109"/>
      <c r="I510" s="110"/>
      <c r="J510" s="111"/>
      <c r="K510" s="163"/>
      <c r="L510" s="169"/>
      <c r="M510" s="156"/>
      <c r="N510" s="105"/>
    </row>
    <row r="511" spans="3:14" ht="25.2" x14ac:dyDescent="0.45">
      <c r="D511" s="106"/>
      <c r="E511" s="107"/>
      <c r="F511" s="183"/>
      <c r="G511" s="108"/>
      <c r="H511" s="109"/>
      <c r="I511" s="110"/>
      <c r="J511" s="111"/>
      <c r="K511" s="163"/>
      <c r="L511" s="169"/>
      <c r="M511" s="156"/>
      <c r="N511" s="105"/>
    </row>
    <row r="512" spans="3:14" ht="25.2" x14ac:dyDescent="0.45">
      <c r="D512" s="106"/>
      <c r="E512" s="107"/>
      <c r="F512" s="183"/>
      <c r="G512" s="108"/>
      <c r="H512" s="109"/>
      <c r="I512" s="110"/>
      <c r="J512" s="111"/>
      <c r="K512" s="163"/>
      <c r="L512" s="169"/>
      <c r="M512" s="156"/>
      <c r="N512" s="105"/>
    </row>
    <row r="513" spans="4:14" ht="25.2" x14ac:dyDescent="0.45">
      <c r="D513" s="106"/>
      <c r="E513" s="107"/>
      <c r="F513" s="183"/>
      <c r="G513" s="108"/>
      <c r="H513" s="109"/>
      <c r="I513" s="110"/>
      <c r="J513" s="111"/>
      <c r="K513" s="163"/>
      <c r="L513" s="169"/>
      <c r="M513" s="156"/>
      <c r="N513" s="105"/>
    </row>
    <row r="514" spans="4:14" ht="25.2" x14ac:dyDescent="0.45">
      <c r="D514" s="106"/>
      <c r="E514" s="107"/>
      <c r="F514" s="183"/>
      <c r="G514" s="108"/>
      <c r="H514" s="109"/>
      <c r="I514" s="110"/>
      <c r="J514" s="111"/>
      <c r="K514" s="163"/>
      <c r="L514" s="169"/>
      <c r="M514" s="156"/>
      <c r="N514" s="105"/>
    </row>
    <row r="515" spans="4:14" ht="25.2" x14ac:dyDescent="0.45">
      <c r="D515" s="106"/>
      <c r="E515" s="107"/>
      <c r="F515" s="183"/>
      <c r="G515" s="108"/>
      <c r="H515" s="109"/>
      <c r="I515" s="110"/>
      <c r="J515" s="111"/>
      <c r="K515" s="163"/>
      <c r="L515" s="169"/>
      <c r="M515" s="156"/>
      <c r="N515" s="105"/>
    </row>
    <row r="516" spans="4:14" ht="25.2" x14ac:dyDescent="0.45">
      <c r="D516" s="106"/>
      <c r="E516" s="107"/>
      <c r="F516" s="183"/>
      <c r="G516" s="108"/>
      <c r="H516" s="109"/>
      <c r="I516" s="110"/>
      <c r="J516" s="111"/>
      <c r="K516" s="163"/>
      <c r="L516" s="169"/>
      <c r="M516" s="156"/>
      <c r="N516" s="105"/>
    </row>
    <row r="517" spans="4:14" ht="25.2" x14ac:dyDescent="0.45">
      <c r="D517" s="106"/>
      <c r="E517" s="107"/>
      <c r="F517" s="183"/>
      <c r="G517" s="108"/>
      <c r="H517" s="109"/>
      <c r="I517" s="110"/>
      <c r="J517" s="111"/>
      <c r="K517" s="163"/>
      <c r="L517" s="169"/>
      <c r="M517" s="156"/>
      <c r="N517" s="105"/>
    </row>
    <row r="518" spans="4:14" ht="25.2" x14ac:dyDescent="0.45">
      <c r="D518" s="106"/>
      <c r="E518" s="107"/>
      <c r="F518" s="183"/>
      <c r="G518" s="108"/>
      <c r="H518" s="109"/>
      <c r="I518" s="110"/>
      <c r="J518" s="111"/>
      <c r="K518" s="163"/>
      <c r="L518" s="169"/>
      <c r="M518" s="156"/>
      <c r="N518" s="105"/>
    </row>
    <row r="519" spans="4:14" ht="25.2" x14ac:dyDescent="0.45">
      <c r="D519" s="106"/>
      <c r="E519" s="107"/>
      <c r="F519" s="183"/>
      <c r="G519" s="108"/>
      <c r="H519" s="109"/>
      <c r="I519" s="110"/>
      <c r="J519" s="111"/>
      <c r="K519" s="163"/>
      <c r="L519" s="169"/>
      <c r="M519" s="156"/>
      <c r="N519" s="105"/>
    </row>
    <row r="520" spans="4:14" ht="25.2" x14ac:dyDescent="0.45">
      <c r="D520" s="106"/>
      <c r="E520" s="107"/>
      <c r="F520" s="183"/>
      <c r="G520" s="108"/>
      <c r="H520" s="109"/>
      <c r="I520" s="110"/>
      <c r="J520" s="111"/>
      <c r="K520" s="163"/>
      <c r="L520" s="169"/>
      <c r="M520" s="156"/>
      <c r="N520" s="105"/>
    </row>
    <row r="521" spans="4:14" ht="25.2" x14ac:dyDescent="0.45">
      <c r="D521" s="106"/>
      <c r="E521" s="107"/>
      <c r="F521" s="183"/>
      <c r="G521" s="108"/>
      <c r="H521" s="109"/>
      <c r="I521" s="110"/>
      <c r="J521" s="111"/>
      <c r="K521" s="163"/>
      <c r="L521" s="169"/>
      <c r="M521" s="156"/>
      <c r="N521" s="105"/>
    </row>
    <row r="522" spans="4:14" ht="25.2" x14ac:dyDescent="0.45">
      <c r="D522" s="106"/>
      <c r="E522" s="107"/>
      <c r="F522" s="183"/>
      <c r="G522" s="108"/>
      <c r="H522" s="109"/>
      <c r="I522" s="110"/>
      <c r="J522" s="111"/>
      <c r="K522" s="163"/>
      <c r="L522" s="169"/>
      <c r="M522" s="156"/>
      <c r="N522" s="105"/>
    </row>
    <row r="523" spans="4:14" ht="25.2" x14ac:dyDescent="0.45">
      <c r="D523" s="106"/>
      <c r="E523" s="107"/>
      <c r="F523" s="183"/>
      <c r="G523" s="108"/>
      <c r="H523" s="109"/>
      <c r="I523" s="110"/>
      <c r="J523" s="111"/>
      <c r="K523" s="163"/>
      <c r="L523" s="169"/>
      <c r="M523" s="156"/>
      <c r="N523" s="105"/>
    </row>
    <row r="524" spans="4:14" ht="25.2" x14ac:dyDescent="0.45">
      <c r="D524" s="106"/>
      <c r="E524" s="107"/>
      <c r="F524" s="183"/>
      <c r="G524" s="108"/>
      <c r="H524" s="109"/>
      <c r="I524" s="110"/>
      <c r="J524" s="111"/>
      <c r="K524" s="163"/>
      <c r="L524" s="169"/>
      <c r="M524" s="156"/>
      <c r="N524" s="105"/>
    </row>
    <row r="525" spans="4:14" ht="25.2" x14ac:dyDescent="0.45">
      <c r="D525" s="106"/>
      <c r="E525" s="107"/>
      <c r="F525" s="183"/>
      <c r="G525" s="108"/>
      <c r="H525" s="109"/>
      <c r="I525" s="110"/>
      <c r="J525" s="111"/>
      <c r="K525" s="163"/>
      <c r="L525" s="169"/>
      <c r="M525" s="156"/>
      <c r="N525" s="105"/>
    </row>
    <row r="526" spans="4:14" ht="25.2" x14ac:dyDescent="0.45">
      <c r="D526" s="106"/>
      <c r="E526" s="107"/>
      <c r="F526" s="183"/>
      <c r="G526" s="108"/>
      <c r="H526" s="109"/>
      <c r="I526" s="110"/>
      <c r="J526" s="111"/>
      <c r="K526" s="163"/>
      <c r="L526" s="169"/>
      <c r="M526" s="156"/>
      <c r="N526" s="105"/>
    </row>
    <row r="527" spans="4:14" ht="25.2" x14ac:dyDescent="0.45">
      <c r="D527" s="106"/>
      <c r="E527" s="107"/>
      <c r="F527" s="183"/>
      <c r="G527" s="108"/>
      <c r="H527" s="109"/>
      <c r="I527" s="110"/>
      <c r="J527" s="111"/>
      <c r="K527" s="163"/>
      <c r="L527" s="169"/>
      <c r="M527" s="156"/>
      <c r="N527" s="105"/>
    </row>
    <row r="528" spans="4:14" ht="25.2" x14ac:dyDescent="0.45">
      <c r="D528" s="106"/>
      <c r="E528" s="107"/>
      <c r="F528" s="183"/>
      <c r="G528" s="108"/>
      <c r="H528" s="109"/>
      <c r="I528" s="110"/>
      <c r="J528" s="111"/>
      <c r="K528" s="163"/>
      <c r="L528" s="169"/>
      <c r="M528" s="156"/>
      <c r="N528" s="105"/>
    </row>
    <row r="529" spans="4:14" ht="25.2" x14ac:dyDescent="0.45">
      <c r="D529" s="106"/>
      <c r="E529" s="107"/>
      <c r="F529" s="183"/>
      <c r="G529" s="108"/>
      <c r="H529" s="109"/>
      <c r="I529" s="110"/>
      <c r="J529" s="111"/>
      <c r="K529" s="163"/>
      <c r="L529" s="169"/>
      <c r="M529" s="156"/>
      <c r="N529" s="105"/>
    </row>
    <row r="530" spans="4:14" ht="25.2" x14ac:dyDescent="0.45">
      <c r="D530" s="106"/>
      <c r="E530" s="107"/>
      <c r="F530" s="183"/>
      <c r="G530" s="108"/>
      <c r="H530" s="109"/>
      <c r="I530" s="110"/>
      <c r="J530" s="111"/>
      <c r="K530" s="163"/>
      <c r="L530" s="169"/>
      <c r="M530" s="156"/>
      <c r="N530" s="105"/>
    </row>
    <row r="531" spans="4:14" ht="25.2" x14ac:dyDescent="0.45">
      <c r="D531" s="106"/>
      <c r="E531" s="107"/>
      <c r="F531" s="183"/>
      <c r="G531" s="108"/>
      <c r="H531" s="109"/>
      <c r="I531" s="110"/>
      <c r="J531" s="111"/>
      <c r="K531" s="163"/>
      <c r="L531" s="169"/>
      <c r="M531" s="156"/>
      <c r="N531" s="105"/>
    </row>
    <row r="532" spans="4:14" ht="25.2" x14ac:dyDescent="0.45">
      <c r="D532" s="106"/>
      <c r="E532" s="107"/>
      <c r="F532" s="183"/>
      <c r="G532" s="108"/>
      <c r="H532" s="109"/>
      <c r="I532" s="110"/>
      <c r="J532" s="111"/>
      <c r="K532" s="163"/>
      <c r="L532" s="169"/>
      <c r="M532" s="156"/>
      <c r="N532" s="105"/>
    </row>
    <row r="533" spans="4:14" ht="25.2" x14ac:dyDescent="0.45">
      <c r="D533" s="106"/>
      <c r="E533" s="107"/>
      <c r="F533" s="183"/>
      <c r="G533" s="108"/>
      <c r="H533" s="109"/>
      <c r="I533" s="110"/>
      <c r="J533" s="111"/>
      <c r="K533" s="163"/>
      <c r="L533" s="169"/>
      <c r="M533" s="156"/>
      <c r="N533" s="105"/>
    </row>
    <row r="534" spans="4:14" ht="25.2" x14ac:dyDescent="0.45">
      <c r="D534" s="106"/>
      <c r="E534" s="107"/>
      <c r="F534" s="183"/>
      <c r="G534" s="108"/>
      <c r="H534" s="109"/>
      <c r="I534" s="110"/>
      <c r="J534" s="111"/>
      <c r="K534" s="163"/>
      <c r="L534" s="169"/>
      <c r="M534" s="156"/>
      <c r="N534" s="105"/>
    </row>
    <row r="535" spans="4:14" ht="25.2" x14ac:dyDescent="0.45">
      <c r="D535" s="106"/>
      <c r="E535" s="107"/>
      <c r="F535" s="183"/>
      <c r="G535" s="108"/>
      <c r="H535" s="109"/>
      <c r="I535" s="110"/>
      <c r="J535" s="111"/>
      <c r="K535" s="163"/>
      <c r="L535" s="169"/>
      <c r="M535" s="156"/>
      <c r="N535" s="105"/>
    </row>
    <row r="536" spans="4:14" ht="25.2" x14ac:dyDescent="0.45">
      <c r="D536" s="106"/>
      <c r="E536" s="107"/>
      <c r="F536" s="183"/>
      <c r="G536" s="108"/>
      <c r="H536" s="109"/>
      <c r="I536" s="110"/>
      <c r="J536" s="111"/>
      <c r="K536" s="163"/>
      <c r="L536" s="169"/>
      <c r="M536" s="156"/>
      <c r="N536" s="105"/>
    </row>
    <row r="537" spans="4:14" ht="25.2" x14ac:dyDescent="0.45">
      <c r="D537" s="106"/>
      <c r="E537" s="107"/>
      <c r="F537" s="183"/>
      <c r="G537" s="108"/>
      <c r="H537" s="109"/>
      <c r="I537" s="110"/>
      <c r="J537" s="111"/>
      <c r="K537" s="163"/>
      <c r="L537" s="169"/>
      <c r="M537" s="156"/>
      <c r="N537" s="105"/>
    </row>
    <row r="538" spans="4:14" ht="25.2" x14ac:dyDescent="0.45">
      <c r="D538" s="106"/>
      <c r="E538" s="107"/>
      <c r="F538" s="183"/>
      <c r="G538" s="108"/>
      <c r="H538" s="109"/>
      <c r="I538" s="110"/>
      <c r="J538" s="111"/>
      <c r="K538" s="163"/>
      <c r="L538" s="169"/>
      <c r="M538" s="156"/>
      <c r="N538" s="105"/>
    </row>
    <row r="539" spans="4:14" ht="25.2" x14ac:dyDescent="0.45">
      <c r="D539" s="106"/>
      <c r="E539" s="107"/>
      <c r="F539" s="183"/>
      <c r="G539" s="108"/>
      <c r="H539" s="109"/>
      <c r="I539" s="110"/>
      <c r="J539" s="111"/>
      <c r="K539" s="163"/>
      <c r="L539" s="169"/>
      <c r="M539" s="156"/>
      <c r="N539" s="105"/>
    </row>
    <row r="540" spans="4:14" ht="25.2" x14ac:dyDescent="0.45">
      <c r="D540" s="106"/>
      <c r="E540" s="107"/>
      <c r="F540" s="183"/>
      <c r="G540" s="108"/>
      <c r="H540" s="109"/>
      <c r="I540" s="110"/>
      <c r="J540" s="111"/>
      <c r="K540" s="163"/>
      <c r="L540" s="169"/>
      <c r="M540" s="156"/>
      <c r="N540" s="105"/>
    </row>
    <row r="541" spans="4:14" ht="25.2" x14ac:dyDescent="0.45">
      <c r="D541" s="106"/>
      <c r="E541" s="107"/>
      <c r="F541" s="183"/>
      <c r="G541" s="108"/>
      <c r="H541" s="109"/>
      <c r="I541" s="110"/>
      <c r="J541" s="111"/>
      <c r="K541" s="163"/>
      <c r="L541" s="169"/>
      <c r="M541" s="156"/>
      <c r="N541" s="105"/>
    </row>
    <row r="542" spans="4:14" ht="25.2" x14ac:dyDescent="0.45">
      <c r="D542" s="106"/>
      <c r="E542" s="107"/>
      <c r="F542" s="183"/>
      <c r="G542" s="108"/>
      <c r="H542" s="109"/>
      <c r="I542" s="110"/>
      <c r="J542" s="111"/>
      <c r="K542" s="163"/>
      <c r="L542" s="169"/>
      <c r="M542" s="156"/>
      <c r="N542" s="105"/>
    </row>
    <row r="543" spans="4:14" ht="25.2" x14ac:dyDescent="0.45">
      <c r="D543" s="106"/>
      <c r="E543" s="107"/>
      <c r="F543" s="183"/>
      <c r="G543" s="108"/>
      <c r="H543" s="109"/>
      <c r="I543" s="110"/>
      <c r="J543" s="111"/>
      <c r="K543" s="163"/>
      <c r="L543" s="169"/>
      <c r="M543" s="156"/>
      <c r="N543" s="105"/>
    </row>
    <row r="544" spans="4:14" ht="25.2" x14ac:dyDescent="0.45">
      <c r="D544" s="106"/>
      <c r="E544" s="107"/>
      <c r="F544" s="183"/>
      <c r="G544" s="108"/>
      <c r="H544" s="109"/>
      <c r="I544" s="110"/>
      <c r="J544" s="111"/>
      <c r="K544" s="163"/>
      <c r="L544" s="169"/>
      <c r="M544" s="156"/>
      <c r="N544" s="105"/>
    </row>
    <row r="545" spans="4:14" ht="25.2" x14ac:dyDescent="0.45">
      <c r="D545" s="106"/>
      <c r="E545" s="107"/>
      <c r="F545" s="183"/>
      <c r="G545" s="108"/>
      <c r="H545" s="109"/>
      <c r="I545" s="110"/>
      <c r="J545" s="111"/>
      <c r="K545" s="163"/>
      <c r="L545" s="169"/>
      <c r="M545" s="156"/>
      <c r="N545" s="105"/>
    </row>
    <row r="546" spans="4:14" ht="25.2" x14ac:dyDescent="0.45">
      <c r="D546" s="106"/>
      <c r="E546" s="107"/>
      <c r="F546" s="183"/>
      <c r="G546" s="108"/>
      <c r="H546" s="109"/>
      <c r="I546" s="110"/>
      <c r="J546" s="111"/>
      <c r="K546" s="163"/>
      <c r="L546" s="169"/>
      <c r="M546" s="156"/>
      <c r="N546" s="105"/>
    </row>
    <row r="547" spans="4:14" ht="25.2" x14ac:dyDescent="0.45">
      <c r="D547" s="106"/>
      <c r="E547" s="107"/>
      <c r="F547" s="183"/>
      <c r="G547" s="108"/>
      <c r="H547" s="109"/>
      <c r="I547" s="110"/>
      <c r="J547" s="111"/>
      <c r="K547" s="163"/>
      <c r="L547" s="169"/>
      <c r="M547" s="156"/>
      <c r="N547" s="105"/>
    </row>
    <row r="548" spans="4:14" ht="25.2" x14ac:dyDescent="0.45">
      <c r="D548" s="106"/>
      <c r="E548" s="107"/>
      <c r="F548" s="183"/>
      <c r="G548" s="108"/>
      <c r="H548" s="109"/>
      <c r="I548" s="110"/>
      <c r="J548" s="111"/>
      <c r="K548" s="163"/>
      <c r="L548" s="169"/>
      <c r="M548" s="156"/>
      <c r="N548" s="105"/>
    </row>
    <row r="549" spans="4:14" ht="25.2" x14ac:dyDescent="0.45">
      <c r="D549" s="106"/>
      <c r="E549" s="107"/>
      <c r="F549" s="183"/>
      <c r="G549" s="108"/>
      <c r="H549" s="109"/>
      <c r="I549" s="110"/>
      <c r="J549" s="111"/>
      <c r="K549" s="163"/>
      <c r="L549" s="169"/>
      <c r="M549" s="156"/>
      <c r="N549" s="105"/>
    </row>
    <row r="550" spans="4:14" ht="25.2" x14ac:dyDescent="0.45">
      <c r="D550" s="106"/>
      <c r="E550" s="107"/>
      <c r="F550" s="183"/>
      <c r="G550" s="108"/>
      <c r="H550" s="109"/>
      <c r="I550" s="110"/>
      <c r="J550" s="111"/>
      <c r="K550" s="163"/>
      <c r="L550" s="169"/>
      <c r="M550" s="156"/>
      <c r="N550" s="105"/>
    </row>
    <row r="551" spans="4:14" ht="25.2" x14ac:dyDescent="0.45">
      <c r="D551" s="106"/>
      <c r="E551" s="107"/>
      <c r="F551" s="183"/>
      <c r="G551" s="108"/>
      <c r="H551" s="109"/>
      <c r="I551" s="110"/>
      <c r="J551" s="111"/>
      <c r="K551" s="163"/>
      <c r="L551" s="169"/>
      <c r="M551" s="156"/>
      <c r="N551" s="105"/>
    </row>
    <row r="552" spans="4:14" ht="25.2" x14ac:dyDescent="0.45">
      <c r="D552" s="106"/>
      <c r="E552" s="107"/>
      <c r="F552" s="183"/>
      <c r="G552" s="108"/>
      <c r="H552" s="109"/>
      <c r="I552" s="110"/>
      <c r="J552" s="111"/>
      <c r="K552" s="163"/>
      <c r="L552" s="169"/>
      <c r="M552" s="156"/>
      <c r="N552" s="105"/>
    </row>
    <row r="553" spans="4:14" ht="25.2" x14ac:dyDescent="0.45">
      <c r="D553" s="106"/>
      <c r="E553" s="107"/>
      <c r="F553" s="183"/>
      <c r="G553" s="108"/>
      <c r="H553" s="109"/>
      <c r="I553" s="110"/>
      <c r="J553" s="111"/>
      <c r="K553" s="163"/>
      <c r="L553" s="169"/>
      <c r="M553" s="156"/>
      <c r="N553" s="105"/>
    </row>
    <row r="554" spans="4:14" ht="25.2" x14ac:dyDescent="0.45">
      <c r="D554" s="106"/>
      <c r="E554" s="107"/>
      <c r="F554" s="183"/>
      <c r="G554" s="108"/>
      <c r="H554" s="109"/>
      <c r="I554" s="110"/>
      <c r="J554" s="111"/>
      <c r="K554" s="163"/>
      <c r="L554" s="169"/>
      <c r="M554" s="156"/>
      <c r="N554" s="105"/>
    </row>
    <row r="555" spans="4:14" ht="25.2" x14ac:dyDescent="0.45">
      <c r="D555" s="106"/>
      <c r="E555" s="107"/>
      <c r="F555" s="183"/>
      <c r="G555" s="108"/>
      <c r="H555" s="109"/>
      <c r="I555" s="110"/>
      <c r="J555" s="111"/>
      <c r="K555" s="163"/>
      <c r="L555" s="169"/>
      <c r="M555" s="156"/>
      <c r="N555" s="105"/>
    </row>
    <row r="556" spans="4:14" ht="25.2" x14ac:dyDescent="0.45">
      <c r="D556" s="106"/>
      <c r="E556" s="107"/>
      <c r="F556" s="183"/>
      <c r="G556" s="108"/>
      <c r="H556" s="109"/>
      <c r="I556" s="110"/>
      <c r="J556" s="111"/>
      <c r="K556" s="163"/>
      <c r="L556" s="169"/>
      <c r="M556" s="156"/>
      <c r="N556" s="105"/>
    </row>
    <row r="557" spans="4:14" ht="25.2" x14ac:dyDescent="0.45">
      <c r="D557" s="106"/>
      <c r="E557" s="107"/>
      <c r="F557" s="183"/>
      <c r="G557" s="108"/>
      <c r="H557" s="109"/>
      <c r="I557" s="110"/>
      <c r="J557" s="111"/>
      <c r="K557" s="163"/>
      <c r="L557" s="169"/>
      <c r="M557" s="156"/>
      <c r="N557" s="105"/>
    </row>
    <row r="558" spans="4:14" ht="25.2" x14ac:dyDescent="0.45">
      <c r="D558" s="106"/>
      <c r="E558" s="107"/>
      <c r="F558" s="183"/>
      <c r="G558" s="108"/>
      <c r="H558" s="109"/>
      <c r="I558" s="110"/>
      <c r="J558" s="111"/>
      <c r="K558" s="163"/>
      <c r="L558" s="169"/>
      <c r="M558" s="156"/>
      <c r="N558" s="105"/>
    </row>
    <row r="559" spans="4:14" ht="25.2" x14ac:dyDescent="0.45">
      <c r="D559" s="106"/>
      <c r="E559" s="107"/>
      <c r="F559" s="183"/>
      <c r="G559" s="108"/>
      <c r="H559" s="109"/>
      <c r="I559" s="110"/>
      <c r="J559" s="111"/>
      <c r="K559" s="163"/>
      <c r="L559" s="169"/>
      <c r="M559" s="156"/>
      <c r="N559" s="105"/>
    </row>
    <row r="560" spans="4:14" ht="25.2" x14ac:dyDescent="0.45">
      <c r="D560" s="106"/>
      <c r="E560" s="107"/>
      <c r="F560" s="183"/>
      <c r="G560" s="108"/>
      <c r="H560" s="109"/>
      <c r="I560" s="110"/>
      <c r="J560" s="111"/>
      <c r="K560" s="163"/>
      <c r="L560" s="169"/>
      <c r="M560" s="156"/>
      <c r="N560" s="105"/>
    </row>
    <row r="561" spans="4:14" ht="25.2" x14ac:dyDescent="0.45">
      <c r="D561" s="106"/>
      <c r="E561" s="107"/>
      <c r="F561" s="183"/>
      <c r="G561" s="108"/>
      <c r="H561" s="109"/>
      <c r="I561" s="110"/>
      <c r="J561" s="111"/>
      <c r="K561" s="163"/>
      <c r="L561" s="169"/>
      <c r="M561" s="156"/>
      <c r="N561" s="105"/>
    </row>
    <row r="562" spans="4:14" ht="25.2" x14ac:dyDescent="0.45">
      <c r="D562" s="106"/>
      <c r="E562" s="107"/>
      <c r="F562" s="183"/>
      <c r="G562" s="108"/>
      <c r="H562" s="109"/>
      <c r="I562" s="110"/>
      <c r="J562" s="111"/>
      <c r="K562" s="163"/>
      <c r="L562" s="169"/>
      <c r="M562" s="156"/>
      <c r="N562" s="105"/>
    </row>
    <row r="563" spans="4:14" ht="25.2" x14ac:dyDescent="0.45">
      <c r="D563" s="106"/>
      <c r="E563" s="107"/>
      <c r="F563" s="183"/>
      <c r="G563" s="108"/>
      <c r="H563" s="109"/>
      <c r="I563" s="110"/>
      <c r="J563" s="111"/>
      <c r="K563" s="163"/>
      <c r="L563" s="169"/>
      <c r="M563" s="156"/>
      <c r="N563" s="105"/>
    </row>
    <row r="564" spans="4:14" ht="25.2" x14ac:dyDescent="0.45">
      <c r="D564" s="106"/>
      <c r="E564" s="107"/>
      <c r="F564" s="183"/>
      <c r="G564" s="108"/>
      <c r="H564" s="109"/>
      <c r="I564" s="110"/>
      <c r="J564" s="111"/>
      <c r="K564" s="163"/>
      <c r="L564" s="169"/>
      <c r="M564" s="156"/>
      <c r="N564" s="105"/>
    </row>
    <row r="565" spans="4:14" ht="25.2" x14ac:dyDescent="0.45">
      <c r="D565" s="106"/>
      <c r="E565" s="107"/>
      <c r="F565" s="183"/>
      <c r="G565" s="108"/>
      <c r="H565" s="109"/>
      <c r="I565" s="110"/>
      <c r="J565" s="111"/>
      <c r="K565" s="163"/>
      <c r="L565" s="169"/>
      <c r="M565" s="156"/>
      <c r="N565" s="105"/>
    </row>
    <row r="566" spans="4:14" ht="25.2" x14ac:dyDescent="0.45">
      <c r="D566" s="106"/>
      <c r="E566" s="107"/>
      <c r="F566" s="183"/>
      <c r="G566" s="108"/>
      <c r="H566" s="109"/>
      <c r="I566" s="110"/>
      <c r="J566" s="111"/>
      <c r="K566" s="163"/>
      <c r="L566" s="169"/>
      <c r="M566" s="156"/>
      <c r="N566" s="105"/>
    </row>
    <row r="567" spans="4:14" ht="25.2" x14ac:dyDescent="0.45">
      <c r="D567" s="106"/>
      <c r="E567" s="107"/>
      <c r="F567" s="183"/>
      <c r="G567" s="108"/>
      <c r="H567" s="109"/>
      <c r="I567" s="110"/>
      <c r="J567" s="111"/>
      <c r="K567" s="163"/>
      <c r="L567" s="169"/>
      <c r="M567" s="156"/>
      <c r="N567" s="105"/>
    </row>
    <row r="568" spans="4:14" ht="25.2" x14ac:dyDescent="0.45">
      <c r="D568" s="106"/>
      <c r="E568" s="107"/>
      <c r="F568" s="183"/>
      <c r="G568" s="108"/>
      <c r="H568" s="109"/>
      <c r="I568" s="110"/>
      <c r="J568" s="111"/>
      <c r="K568" s="163"/>
      <c r="L568" s="169"/>
      <c r="M568" s="156"/>
      <c r="N568" s="105"/>
    </row>
    <row r="569" spans="4:14" ht="25.2" x14ac:dyDescent="0.45">
      <c r="D569" s="106"/>
      <c r="E569" s="107"/>
      <c r="F569" s="183"/>
      <c r="G569" s="108"/>
      <c r="H569" s="109"/>
      <c r="I569" s="110"/>
      <c r="J569" s="111"/>
      <c r="K569" s="163"/>
      <c r="L569" s="169"/>
      <c r="M569" s="156"/>
      <c r="N569" s="105"/>
    </row>
    <row r="570" spans="4:14" ht="25.2" x14ac:dyDescent="0.45">
      <c r="D570" s="106"/>
      <c r="E570" s="107"/>
      <c r="F570" s="183"/>
      <c r="G570" s="108"/>
      <c r="H570" s="109"/>
      <c r="I570" s="110"/>
      <c r="J570" s="111"/>
      <c r="K570" s="163"/>
      <c r="L570" s="169"/>
      <c r="M570" s="156"/>
      <c r="N570" s="105"/>
    </row>
    <row r="571" spans="4:14" ht="25.2" x14ac:dyDescent="0.45">
      <c r="D571" s="106"/>
      <c r="E571" s="107"/>
      <c r="F571" s="183"/>
      <c r="G571" s="108"/>
      <c r="H571" s="109"/>
      <c r="I571" s="110"/>
      <c r="J571" s="111"/>
      <c r="K571" s="163"/>
      <c r="L571" s="169"/>
      <c r="M571" s="156"/>
      <c r="N571" s="105"/>
    </row>
    <row r="572" spans="4:14" ht="25.2" x14ac:dyDescent="0.45">
      <c r="D572" s="106"/>
      <c r="E572" s="107"/>
      <c r="F572" s="183"/>
      <c r="G572" s="108"/>
      <c r="H572" s="109"/>
      <c r="I572" s="110"/>
      <c r="J572" s="111"/>
      <c r="K572" s="163"/>
      <c r="L572" s="169"/>
      <c r="M572" s="156"/>
      <c r="N572" s="105"/>
    </row>
    <row r="573" spans="4:14" ht="25.2" x14ac:dyDescent="0.45">
      <c r="D573" s="106"/>
      <c r="E573" s="107"/>
      <c r="F573" s="183"/>
      <c r="G573" s="108"/>
      <c r="H573" s="109"/>
      <c r="I573" s="110"/>
      <c r="J573" s="111"/>
      <c r="K573" s="163"/>
      <c r="L573" s="169"/>
      <c r="M573" s="156"/>
      <c r="N573" s="105"/>
    </row>
    <row r="574" spans="4:14" ht="25.2" x14ac:dyDescent="0.45">
      <c r="D574" s="106"/>
      <c r="E574" s="107"/>
      <c r="F574" s="183"/>
      <c r="G574" s="108"/>
      <c r="H574" s="109"/>
      <c r="I574" s="110"/>
      <c r="J574" s="111"/>
      <c r="K574" s="163"/>
      <c r="L574" s="169"/>
      <c r="M574" s="156"/>
      <c r="N574" s="105"/>
    </row>
    <row r="575" spans="4:14" ht="25.2" x14ac:dyDescent="0.45">
      <c r="D575" s="106"/>
      <c r="E575" s="107"/>
      <c r="F575" s="183"/>
      <c r="G575" s="108"/>
      <c r="H575" s="109"/>
      <c r="I575" s="110"/>
      <c r="J575" s="111"/>
      <c r="K575" s="163"/>
      <c r="L575" s="169"/>
      <c r="M575" s="156"/>
      <c r="N575" s="105"/>
    </row>
    <row r="576" spans="4:14" ht="25.2" x14ac:dyDescent="0.45">
      <c r="D576" s="106"/>
      <c r="E576" s="107"/>
      <c r="F576" s="183"/>
      <c r="G576" s="108"/>
      <c r="H576" s="109"/>
      <c r="I576" s="110"/>
      <c r="J576" s="111"/>
      <c r="K576" s="163"/>
      <c r="L576" s="169"/>
      <c r="M576" s="156"/>
      <c r="N576" s="105"/>
    </row>
    <row r="577" spans="4:14" ht="25.2" x14ac:dyDescent="0.45">
      <c r="D577" s="106"/>
      <c r="E577" s="107"/>
      <c r="F577" s="183"/>
      <c r="G577" s="108"/>
      <c r="H577" s="109"/>
      <c r="I577" s="110"/>
      <c r="J577" s="111"/>
      <c r="K577" s="163"/>
      <c r="L577" s="169"/>
      <c r="M577" s="156"/>
      <c r="N577" s="105"/>
    </row>
    <row r="578" spans="4:14" ht="25.2" x14ac:dyDescent="0.45">
      <c r="D578" s="106"/>
      <c r="E578" s="107"/>
      <c r="F578" s="183"/>
      <c r="G578" s="108"/>
      <c r="H578" s="109"/>
      <c r="I578" s="110"/>
      <c r="J578" s="111"/>
      <c r="K578" s="163"/>
      <c r="L578" s="169"/>
      <c r="M578" s="156"/>
      <c r="N578" s="105"/>
    </row>
    <row r="579" spans="4:14" ht="25.2" x14ac:dyDescent="0.45">
      <c r="D579" s="106"/>
      <c r="E579" s="107"/>
      <c r="F579" s="183"/>
      <c r="G579" s="108"/>
      <c r="H579" s="109"/>
      <c r="I579" s="110"/>
      <c r="J579" s="111"/>
      <c r="K579" s="163"/>
      <c r="L579" s="169"/>
      <c r="M579" s="156"/>
      <c r="N579" s="105"/>
    </row>
    <row r="580" spans="4:14" ht="25.2" x14ac:dyDescent="0.45">
      <c r="D580" s="106"/>
      <c r="E580" s="107"/>
      <c r="F580" s="183"/>
      <c r="G580" s="108"/>
      <c r="H580" s="109"/>
      <c r="I580" s="110"/>
      <c r="J580" s="111"/>
      <c r="K580" s="163"/>
      <c r="L580" s="169"/>
      <c r="M580" s="156"/>
      <c r="N580" s="105"/>
    </row>
    <row r="581" spans="4:14" ht="25.2" x14ac:dyDescent="0.45">
      <c r="D581" s="106"/>
      <c r="E581" s="107"/>
      <c r="F581" s="183"/>
      <c r="G581" s="108"/>
      <c r="H581" s="109"/>
      <c r="I581" s="110"/>
      <c r="J581" s="111"/>
      <c r="K581" s="163"/>
      <c r="L581" s="169"/>
      <c r="M581" s="156"/>
      <c r="N581" s="105"/>
    </row>
    <row r="582" spans="4:14" ht="25.2" x14ac:dyDescent="0.45">
      <c r="D582" s="106"/>
      <c r="E582" s="107"/>
      <c r="F582" s="183"/>
      <c r="G582" s="108"/>
      <c r="H582" s="109"/>
      <c r="I582" s="110"/>
      <c r="J582" s="111"/>
      <c r="K582" s="163"/>
      <c r="L582" s="169"/>
      <c r="M582" s="156"/>
      <c r="N582" s="105"/>
    </row>
    <row r="583" spans="4:14" ht="25.2" x14ac:dyDescent="0.45">
      <c r="D583" s="106"/>
      <c r="E583" s="107"/>
      <c r="F583" s="183"/>
      <c r="G583" s="108"/>
      <c r="H583" s="109"/>
      <c r="I583" s="110"/>
      <c r="J583" s="111"/>
      <c r="K583" s="163"/>
      <c r="L583" s="169"/>
      <c r="M583" s="156"/>
      <c r="N583" s="105"/>
    </row>
    <row r="584" spans="4:14" ht="25.2" x14ac:dyDescent="0.45">
      <c r="D584" s="106"/>
      <c r="E584" s="107"/>
      <c r="F584" s="183"/>
      <c r="G584" s="108"/>
      <c r="H584" s="109"/>
      <c r="I584" s="110"/>
      <c r="J584" s="111"/>
      <c r="K584" s="163"/>
      <c r="L584" s="169"/>
      <c r="M584" s="156"/>
      <c r="N584" s="105"/>
    </row>
    <row r="585" spans="4:14" ht="25.2" x14ac:dyDescent="0.45">
      <c r="D585" s="106"/>
      <c r="E585" s="107"/>
      <c r="F585" s="183"/>
      <c r="G585" s="108"/>
      <c r="H585" s="109"/>
      <c r="I585" s="110"/>
      <c r="J585" s="111"/>
      <c r="K585" s="163"/>
      <c r="L585" s="169"/>
      <c r="M585" s="156"/>
      <c r="N585" s="105"/>
    </row>
    <row r="586" spans="4:14" ht="25.2" x14ac:dyDescent="0.45">
      <c r="D586" s="106"/>
      <c r="E586" s="107"/>
      <c r="F586" s="183"/>
      <c r="G586" s="108"/>
      <c r="H586" s="109"/>
      <c r="I586" s="110"/>
      <c r="J586" s="111"/>
      <c r="K586" s="163"/>
      <c r="L586" s="169"/>
      <c r="M586" s="156"/>
      <c r="N586" s="105"/>
    </row>
    <row r="587" spans="4:14" ht="25.2" x14ac:dyDescent="0.45">
      <c r="D587" s="106"/>
      <c r="E587" s="107"/>
      <c r="F587" s="183"/>
      <c r="G587" s="108"/>
      <c r="H587" s="109"/>
      <c r="I587" s="110"/>
      <c r="J587" s="111"/>
      <c r="K587" s="163"/>
      <c r="L587" s="169"/>
      <c r="M587" s="156"/>
      <c r="N587" s="105"/>
    </row>
    <row r="588" spans="4:14" ht="25.2" x14ac:dyDescent="0.45">
      <c r="D588" s="106"/>
      <c r="E588" s="107"/>
      <c r="F588" s="183"/>
      <c r="G588" s="108"/>
      <c r="H588" s="109"/>
      <c r="I588" s="110"/>
      <c r="J588" s="111"/>
      <c r="K588" s="163"/>
      <c r="L588" s="169"/>
      <c r="M588" s="156"/>
      <c r="N588" s="105"/>
    </row>
    <row r="589" spans="4:14" ht="25.2" x14ac:dyDescent="0.45">
      <c r="D589" s="106"/>
      <c r="E589" s="107"/>
      <c r="F589" s="183"/>
      <c r="G589" s="108"/>
      <c r="H589" s="109"/>
      <c r="I589" s="110"/>
      <c r="J589" s="111"/>
      <c r="K589" s="163"/>
      <c r="L589" s="169"/>
      <c r="M589" s="156"/>
      <c r="N589" s="105"/>
    </row>
    <row r="590" spans="4:14" ht="25.2" x14ac:dyDescent="0.45">
      <c r="D590" s="106"/>
      <c r="E590" s="107"/>
      <c r="F590" s="183"/>
      <c r="G590" s="108"/>
      <c r="H590" s="109"/>
      <c r="I590" s="110"/>
      <c r="J590" s="111"/>
      <c r="K590" s="163"/>
      <c r="L590" s="169"/>
      <c r="M590" s="156"/>
      <c r="N590" s="105"/>
    </row>
    <row r="591" spans="4:14" ht="25.2" x14ac:dyDescent="0.45">
      <c r="D591" s="106"/>
      <c r="E591" s="107"/>
      <c r="F591" s="183"/>
      <c r="G591" s="108"/>
      <c r="H591" s="109"/>
      <c r="I591" s="110"/>
      <c r="J591" s="111"/>
      <c r="K591" s="163"/>
      <c r="L591" s="169"/>
      <c r="M591" s="156"/>
      <c r="N591" s="105"/>
    </row>
    <row r="592" spans="4:14" ht="25.2" x14ac:dyDescent="0.45">
      <c r="D592" s="106"/>
      <c r="E592" s="107"/>
      <c r="F592" s="183"/>
      <c r="G592" s="108"/>
      <c r="H592" s="109"/>
      <c r="I592" s="110"/>
      <c r="J592" s="111"/>
      <c r="K592" s="163"/>
      <c r="L592" s="169"/>
      <c r="M592" s="156"/>
      <c r="N592" s="105"/>
    </row>
    <row r="593" spans="4:14" ht="25.2" x14ac:dyDescent="0.45">
      <c r="D593" s="106"/>
      <c r="E593" s="107"/>
      <c r="F593" s="183"/>
      <c r="G593" s="108"/>
      <c r="H593" s="109"/>
      <c r="I593" s="110"/>
      <c r="J593" s="111"/>
      <c r="K593" s="163"/>
      <c r="L593" s="169"/>
      <c r="M593" s="156"/>
      <c r="N593" s="105"/>
    </row>
    <row r="594" spans="4:14" ht="25.2" x14ac:dyDescent="0.45">
      <c r="D594" s="106"/>
      <c r="E594" s="107"/>
      <c r="F594" s="183"/>
      <c r="G594" s="108"/>
      <c r="H594" s="109"/>
      <c r="I594" s="110"/>
      <c r="J594" s="111"/>
      <c r="K594" s="163"/>
      <c r="L594" s="169"/>
      <c r="M594" s="156"/>
      <c r="N594" s="105"/>
    </row>
    <row r="595" spans="4:14" ht="25.2" x14ac:dyDescent="0.45">
      <c r="D595" s="106"/>
      <c r="E595" s="107"/>
      <c r="F595" s="183"/>
      <c r="G595" s="108"/>
      <c r="H595" s="109"/>
      <c r="I595" s="110"/>
      <c r="J595" s="111"/>
      <c r="K595" s="163"/>
      <c r="L595" s="169"/>
      <c r="M595" s="156"/>
      <c r="N595" s="105"/>
    </row>
    <row r="596" spans="4:14" ht="25.2" x14ac:dyDescent="0.45">
      <c r="D596" s="106"/>
      <c r="E596" s="107"/>
      <c r="F596" s="183"/>
      <c r="G596" s="108"/>
      <c r="H596" s="109"/>
      <c r="I596" s="110"/>
      <c r="J596" s="111"/>
      <c r="K596" s="163"/>
      <c r="L596" s="169"/>
      <c r="M596" s="156"/>
      <c r="N596" s="105"/>
    </row>
    <row r="597" spans="4:14" ht="25.2" x14ac:dyDescent="0.45">
      <c r="D597" s="106"/>
      <c r="E597" s="107"/>
      <c r="F597" s="183"/>
      <c r="G597" s="108"/>
      <c r="H597" s="109"/>
      <c r="I597" s="110"/>
      <c r="J597" s="111"/>
      <c r="K597" s="163"/>
      <c r="L597" s="169"/>
      <c r="M597" s="156"/>
      <c r="N597" s="105"/>
    </row>
    <row r="598" spans="4:14" ht="25.2" x14ac:dyDescent="0.45">
      <c r="D598" s="106"/>
      <c r="E598" s="107"/>
      <c r="F598" s="183"/>
      <c r="G598" s="108"/>
      <c r="H598" s="109"/>
      <c r="I598" s="110"/>
      <c r="J598" s="111"/>
      <c r="K598" s="163"/>
      <c r="L598" s="169"/>
      <c r="M598" s="156"/>
      <c r="N598" s="105"/>
    </row>
    <row r="599" spans="4:14" ht="25.2" x14ac:dyDescent="0.45">
      <c r="D599" s="106"/>
      <c r="E599" s="107"/>
      <c r="F599" s="183"/>
      <c r="G599" s="108"/>
      <c r="H599" s="109"/>
      <c r="I599" s="110"/>
      <c r="J599" s="111"/>
      <c r="K599" s="163"/>
      <c r="L599" s="169"/>
      <c r="M599" s="156"/>
      <c r="N599" s="105"/>
    </row>
    <row r="600" spans="4:14" ht="25.2" x14ac:dyDescent="0.45">
      <c r="D600" s="106"/>
      <c r="E600" s="107"/>
      <c r="F600" s="183"/>
      <c r="G600" s="108"/>
      <c r="H600" s="109"/>
      <c r="I600" s="110"/>
      <c r="J600" s="111"/>
      <c r="K600" s="163"/>
      <c r="L600" s="169"/>
      <c r="M600" s="156"/>
      <c r="N600" s="105"/>
    </row>
    <row r="601" spans="4:14" ht="25.2" x14ac:dyDescent="0.45">
      <c r="D601" s="106"/>
      <c r="E601" s="107"/>
      <c r="F601" s="183"/>
      <c r="G601" s="108"/>
      <c r="H601" s="109"/>
      <c r="I601" s="110"/>
      <c r="J601" s="111"/>
      <c r="K601" s="163"/>
      <c r="L601" s="169"/>
      <c r="M601" s="156"/>
      <c r="N601" s="105"/>
    </row>
    <row r="602" spans="4:14" ht="25.2" x14ac:dyDescent="0.45">
      <c r="D602" s="106"/>
      <c r="E602" s="107"/>
      <c r="F602" s="183"/>
      <c r="G602" s="108"/>
      <c r="H602" s="109"/>
      <c r="I602" s="110"/>
      <c r="J602" s="111"/>
      <c r="K602" s="163"/>
      <c r="L602" s="169"/>
      <c r="M602" s="156"/>
      <c r="N602" s="105"/>
    </row>
    <row r="603" spans="4:14" ht="25.2" x14ac:dyDescent="0.45">
      <c r="D603" s="106"/>
      <c r="E603" s="107"/>
      <c r="F603" s="183"/>
      <c r="G603" s="108"/>
      <c r="H603" s="109"/>
      <c r="I603" s="110"/>
      <c r="J603" s="111"/>
      <c r="K603" s="163"/>
      <c r="L603" s="169"/>
      <c r="M603" s="156"/>
      <c r="N603" s="105"/>
    </row>
    <row r="604" spans="4:14" ht="25.2" x14ac:dyDescent="0.45">
      <c r="D604" s="106"/>
      <c r="E604" s="107"/>
      <c r="F604" s="183"/>
      <c r="G604" s="108"/>
      <c r="H604" s="109"/>
      <c r="I604" s="110"/>
      <c r="J604" s="111"/>
      <c r="K604" s="163"/>
      <c r="L604" s="169"/>
      <c r="M604" s="156"/>
      <c r="N604" s="105"/>
    </row>
    <row r="605" spans="4:14" ht="25.2" x14ac:dyDescent="0.45">
      <c r="D605" s="106"/>
      <c r="E605" s="107"/>
      <c r="F605" s="183"/>
      <c r="G605" s="108"/>
      <c r="H605" s="109"/>
      <c r="I605" s="110"/>
      <c r="J605" s="111"/>
      <c r="K605" s="163"/>
      <c r="L605" s="169"/>
      <c r="M605" s="156"/>
      <c r="N605" s="105"/>
    </row>
    <row r="606" spans="4:14" ht="25.2" x14ac:dyDescent="0.45">
      <c r="D606" s="106"/>
      <c r="E606" s="107"/>
      <c r="F606" s="183"/>
      <c r="G606" s="108"/>
      <c r="H606" s="109"/>
      <c r="I606" s="110"/>
      <c r="J606" s="111"/>
      <c r="K606" s="163"/>
      <c r="L606" s="169"/>
      <c r="M606" s="156"/>
      <c r="N606" s="105"/>
    </row>
    <row r="607" spans="4:14" ht="25.2" x14ac:dyDescent="0.45">
      <c r="D607" s="106"/>
      <c r="E607" s="107"/>
      <c r="F607" s="183"/>
      <c r="G607" s="108"/>
      <c r="H607" s="109"/>
      <c r="I607" s="110"/>
      <c r="J607" s="111"/>
      <c r="K607" s="163"/>
      <c r="L607" s="169"/>
      <c r="M607" s="156"/>
      <c r="N607" s="105"/>
    </row>
    <row r="608" spans="4:14" ht="25.2" x14ac:dyDescent="0.45">
      <c r="D608" s="106"/>
      <c r="E608" s="107"/>
      <c r="F608" s="183"/>
      <c r="G608" s="108"/>
      <c r="H608" s="109"/>
      <c r="I608" s="110"/>
      <c r="J608" s="111"/>
      <c r="K608" s="163"/>
      <c r="L608" s="169"/>
      <c r="M608" s="156"/>
      <c r="N608" s="105"/>
    </row>
    <row r="609" spans="4:14" ht="25.2" x14ac:dyDescent="0.45">
      <c r="D609" s="106"/>
      <c r="E609" s="107"/>
      <c r="F609" s="183"/>
      <c r="G609" s="108"/>
      <c r="H609" s="109"/>
      <c r="I609" s="110"/>
      <c r="J609" s="111"/>
      <c r="K609" s="163"/>
      <c r="L609" s="169"/>
      <c r="M609" s="156"/>
      <c r="N609" s="105"/>
    </row>
    <row r="610" spans="4:14" ht="25.2" x14ac:dyDescent="0.45">
      <c r="D610" s="106"/>
      <c r="E610" s="107"/>
      <c r="F610" s="183"/>
      <c r="G610" s="108"/>
      <c r="H610" s="109"/>
      <c r="I610" s="110"/>
      <c r="J610" s="111"/>
      <c r="K610" s="163"/>
      <c r="L610" s="169"/>
      <c r="M610" s="156"/>
      <c r="N610" s="105"/>
    </row>
    <row r="611" spans="4:14" ht="25.2" x14ac:dyDescent="0.45">
      <c r="D611" s="106"/>
      <c r="E611" s="107"/>
      <c r="F611" s="183"/>
      <c r="G611" s="108"/>
      <c r="H611" s="109"/>
      <c r="I611" s="110"/>
      <c r="J611" s="111"/>
      <c r="K611" s="163"/>
      <c r="L611" s="169"/>
      <c r="M611" s="156"/>
      <c r="N611" s="105"/>
    </row>
    <row r="612" spans="4:14" ht="25.2" x14ac:dyDescent="0.45">
      <c r="D612" s="106"/>
      <c r="E612" s="107"/>
      <c r="F612" s="183"/>
      <c r="G612" s="108"/>
      <c r="H612" s="109"/>
      <c r="I612" s="110"/>
      <c r="J612" s="111"/>
      <c r="K612" s="163"/>
      <c r="L612" s="169"/>
      <c r="M612" s="156"/>
      <c r="N612" s="105"/>
    </row>
    <row r="613" spans="4:14" ht="25.2" x14ac:dyDescent="0.45">
      <c r="D613" s="106"/>
      <c r="E613" s="107"/>
      <c r="F613" s="183"/>
      <c r="G613" s="108"/>
      <c r="H613" s="109"/>
      <c r="I613" s="110"/>
      <c r="J613" s="111"/>
      <c r="K613" s="163"/>
      <c r="L613" s="169"/>
      <c r="M613" s="156"/>
      <c r="N613" s="105"/>
    </row>
    <row r="614" spans="4:14" ht="25.2" x14ac:dyDescent="0.45">
      <c r="D614" s="106"/>
      <c r="E614" s="107"/>
      <c r="F614" s="183"/>
      <c r="G614" s="108"/>
      <c r="H614" s="109"/>
      <c r="I614" s="110"/>
      <c r="J614" s="111"/>
      <c r="K614" s="163"/>
      <c r="L614" s="169"/>
      <c r="M614" s="156"/>
      <c r="N614" s="105"/>
    </row>
    <row r="615" spans="4:14" ht="25.2" x14ac:dyDescent="0.45">
      <c r="D615" s="106"/>
      <c r="E615" s="107"/>
      <c r="F615" s="183"/>
      <c r="G615" s="108"/>
      <c r="H615" s="109"/>
      <c r="I615" s="110"/>
      <c r="J615" s="111"/>
      <c r="K615" s="163"/>
      <c r="L615" s="169"/>
      <c r="M615" s="156"/>
      <c r="N615" s="105"/>
    </row>
    <row r="616" spans="4:14" ht="25.2" x14ac:dyDescent="0.45">
      <c r="D616" s="106"/>
      <c r="E616" s="107"/>
      <c r="F616" s="183"/>
      <c r="G616" s="108"/>
      <c r="H616" s="109"/>
      <c r="I616" s="110"/>
      <c r="J616" s="111"/>
      <c r="K616" s="163"/>
      <c r="L616" s="169"/>
      <c r="M616" s="156"/>
      <c r="N616" s="105"/>
    </row>
    <row r="617" spans="4:14" ht="25.2" x14ac:dyDescent="0.45">
      <c r="D617" s="106"/>
      <c r="E617" s="107"/>
      <c r="F617" s="183"/>
      <c r="G617" s="108"/>
      <c r="H617" s="109"/>
      <c r="I617" s="110"/>
      <c r="J617" s="111"/>
      <c r="K617" s="163"/>
      <c r="L617" s="169"/>
      <c r="M617" s="156"/>
      <c r="N617" s="105"/>
    </row>
    <row r="618" spans="4:14" ht="25.2" x14ac:dyDescent="0.45">
      <c r="D618" s="106"/>
      <c r="E618" s="107"/>
      <c r="F618" s="183"/>
      <c r="G618" s="108"/>
      <c r="H618" s="109"/>
      <c r="I618" s="110"/>
      <c r="J618" s="111"/>
      <c r="K618" s="163"/>
      <c r="L618" s="169"/>
      <c r="M618" s="156"/>
      <c r="N618" s="105"/>
    </row>
    <row r="619" spans="4:14" ht="25.2" x14ac:dyDescent="0.45">
      <c r="D619" s="106"/>
      <c r="E619" s="107"/>
      <c r="F619" s="183"/>
      <c r="G619" s="108"/>
      <c r="H619" s="109"/>
      <c r="I619" s="110"/>
      <c r="J619" s="111"/>
      <c r="K619" s="163"/>
      <c r="L619" s="169"/>
      <c r="M619" s="156"/>
      <c r="N619" s="105"/>
    </row>
    <row r="620" spans="4:14" ht="25.2" x14ac:dyDescent="0.45">
      <c r="D620" s="106"/>
      <c r="E620" s="107"/>
      <c r="F620" s="183"/>
      <c r="G620" s="108"/>
      <c r="H620" s="109"/>
      <c r="I620" s="110"/>
      <c r="J620" s="111"/>
      <c r="K620" s="163"/>
      <c r="L620" s="169"/>
      <c r="M620" s="156"/>
      <c r="N620" s="105"/>
    </row>
    <row r="621" spans="4:14" ht="25.2" x14ac:dyDescent="0.45">
      <c r="D621" s="106"/>
      <c r="E621" s="107"/>
      <c r="F621" s="183"/>
      <c r="G621" s="108"/>
      <c r="H621" s="109"/>
      <c r="I621" s="110"/>
      <c r="J621" s="111"/>
      <c r="K621" s="163"/>
      <c r="L621" s="169"/>
      <c r="M621" s="156"/>
      <c r="N621" s="105"/>
    </row>
    <row r="622" spans="4:14" ht="25.2" x14ac:dyDescent="0.45">
      <c r="D622" s="106"/>
      <c r="E622" s="107"/>
      <c r="F622" s="183"/>
      <c r="G622" s="108"/>
      <c r="H622" s="109"/>
      <c r="I622" s="110"/>
      <c r="J622" s="111"/>
      <c r="K622" s="163"/>
      <c r="L622" s="169"/>
      <c r="M622" s="156"/>
      <c r="N622" s="105"/>
    </row>
    <row r="623" spans="4:14" ht="25.2" x14ac:dyDescent="0.45">
      <c r="D623" s="106"/>
      <c r="E623" s="107"/>
      <c r="F623" s="183"/>
      <c r="G623" s="108"/>
      <c r="H623" s="109"/>
      <c r="I623" s="110"/>
      <c r="J623" s="111"/>
      <c r="K623" s="163"/>
      <c r="L623" s="169"/>
      <c r="M623" s="156"/>
      <c r="N623" s="105"/>
    </row>
    <row r="624" spans="4:14" ht="25.2" x14ac:dyDescent="0.45">
      <c r="D624" s="106"/>
      <c r="E624" s="107"/>
      <c r="F624" s="183"/>
      <c r="G624" s="108"/>
      <c r="H624" s="109"/>
      <c r="I624" s="110"/>
      <c r="J624" s="111"/>
      <c r="K624" s="163"/>
      <c r="L624" s="169"/>
      <c r="M624" s="156"/>
      <c r="N624" s="105"/>
    </row>
    <row r="625" spans="4:14" ht="25.2" x14ac:dyDescent="0.45">
      <c r="D625" s="106"/>
      <c r="E625" s="107"/>
      <c r="F625" s="183"/>
      <c r="G625" s="108"/>
      <c r="H625" s="109"/>
      <c r="I625" s="110"/>
      <c r="J625" s="111"/>
      <c r="K625" s="163"/>
      <c r="L625" s="169"/>
      <c r="M625" s="156"/>
      <c r="N625" s="105"/>
    </row>
    <row r="626" spans="4:14" ht="25.2" x14ac:dyDescent="0.45">
      <c r="D626" s="106"/>
      <c r="E626" s="107"/>
      <c r="F626" s="183"/>
      <c r="G626" s="108"/>
      <c r="H626" s="109"/>
      <c r="I626" s="110"/>
      <c r="J626" s="111"/>
      <c r="K626" s="163"/>
      <c r="L626" s="169"/>
      <c r="M626" s="156"/>
      <c r="N626" s="105"/>
    </row>
    <row r="627" spans="4:14" ht="25.2" x14ac:dyDescent="0.45">
      <c r="D627" s="106"/>
      <c r="E627" s="107"/>
      <c r="F627" s="183"/>
      <c r="G627" s="108"/>
      <c r="H627" s="109"/>
      <c r="I627" s="110"/>
      <c r="J627" s="111"/>
      <c r="K627" s="163"/>
      <c r="L627" s="169"/>
      <c r="M627" s="156"/>
      <c r="N627" s="105"/>
    </row>
    <row r="628" spans="4:14" ht="25.2" x14ac:dyDescent="0.45">
      <c r="D628" s="106"/>
      <c r="E628" s="107"/>
      <c r="F628" s="183"/>
      <c r="G628" s="108"/>
      <c r="H628" s="109"/>
      <c r="I628" s="110"/>
      <c r="J628" s="111"/>
      <c r="K628" s="163"/>
      <c r="L628" s="169"/>
      <c r="M628" s="156"/>
      <c r="N628" s="105"/>
    </row>
    <row r="629" spans="4:14" ht="25.2" x14ac:dyDescent="0.45">
      <c r="D629" s="106"/>
      <c r="E629" s="107"/>
      <c r="F629" s="183"/>
      <c r="G629" s="108"/>
      <c r="H629" s="109"/>
      <c r="I629" s="110"/>
      <c r="J629" s="111"/>
      <c r="K629" s="163"/>
      <c r="L629" s="169"/>
      <c r="M629" s="156"/>
      <c r="N629" s="105"/>
    </row>
    <row r="630" spans="4:14" ht="25.2" x14ac:dyDescent="0.45">
      <c r="D630" s="106"/>
      <c r="E630" s="107"/>
      <c r="F630" s="183"/>
      <c r="G630" s="108"/>
      <c r="H630" s="109"/>
      <c r="I630" s="110"/>
      <c r="J630" s="111"/>
      <c r="K630" s="163"/>
      <c r="L630" s="169"/>
      <c r="M630" s="156"/>
      <c r="N630" s="105"/>
    </row>
    <row r="631" spans="4:14" ht="25.2" x14ac:dyDescent="0.45">
      <c r="D631" s="106"/>
      <c r="E631" s="107"/>
      <c r="F631" s="183"/>
      <c r="G631" s="108"/>
      <c r="H631" s="109"/>
      <c r="I631" s="110"/>
      <c r="J631" s="111"/>
      <c r="K631" s="163"/>
      <c r="L631" s="169"/>
      <c r="M631" s="156"/>
      <c r="N631" s="105"/>
    </row>
    <row r="632" spans="4:14" ht="25.2" x14ac:dyDescent="0.45">
      <c r="D632" s="106"/>
      <c r="E632" s="107"/>
      <c r="F632" s="183"/>
      <c r="G632" s="108"/>
      <c r="H632" s="109"/>
      <c r="I632" s="110"/>
      <c r="J632" s="111"/>
      <c r="K632" s="163"/>
      <c r="L632" s="169"/>
      <c r="M632" s="156"/>
      <c r="N632" s="105"/>
    </row>
    <row r="633" spans="4:14" ht="25.2" x14ac:dyDescent="0.45">
      <c r="D633" s="106"/>
      <c r="E633" s="107"/>
      <c r="F633" s="183"/>
      <c r="G633" s="108"/>
      <c r="H633" s="109"/>
      <c r="I633" s="110"/>
      <c r="J633" s="111"/>
      <c r="K633" s="163"/>
      <c r="L633" s="169"/>
      <c r="M633" s="156"/>
      <c r="N633" s="105"/>
    </row>
    <row r="634" spans="4:14" ht="25.2" x14ac:dyDescent="0.45">
      <c r="D634" s="106"/>
      <c r="E634" s="107"/>
      <c r="F634" s="183"/>
      <c r="G634" s="108"/>
      <c r="H634" s="109"/>
      <c r="I634" s="110"/>
      <c r="J634" s="111"/>
      <c r="K634" s="163"/>
      <c r="L634" s="169"/>
      <c r="M634" s="156"/>
      <c r="N634" s="105"/>
    </row>
    <row r="635" spans="4:14" ht="25.2" x14ac:dyDescent="0.45">
      <c r="D635" s="106"/>
      <c r="E635" s="107"/>
      <c r="F635" s="183"/>
      <c r="G635" s="108"/>
      <c r="H635" s="109"/>
      <c r="I635" s="110"/>
      <c r="J635" s="111"/>
      <c r="K635" s="163"/>
      <c r="L635" s="169"/>
      <c r="M635" s="156"/>
      <c r="N635" s="105"/>
    </row>
    <row r="636" spans="4:14" ht="25.2" x14ac:dyDescent="0.45">
      <c r="D636" s="106"/>
      <c r="E636" s="107"/>
      <c r="F636" s="183"/>
      <c r="G636" s="108"/>
      <c r="H636" s="109"/>
      <c r="I636" s="110"/>
      <c r="J636" s="111"/>
      <c r="K636" s="163"/>
      <c r="L636" s="169"/>
      <c r="M636" s="156"/>
      <c r="N636" s="105"/>
    </row>
    <row r="637" spans="4:14" ht="25.2" x14ac:dyDescent="0.45">
      <c r="D637" s="106"/>
      <c r="E637" s="107"/>
      <c r="F637" s="183"/>
      <c r="G637" s="108"/>
      <c r="H637" s="109"/>
      <c r="I637" s="110"/>
      <c r="J637" s="111"/>
      <c r="K637" s="163"/>
      <c r="L637" s="169"/>
      <c r="M637" s="156"/>
      <c r="N637" s="105"/>
    </row>
    <row r="638" spans="4:14" ht="25.2" x14ac:dyDescent="0.45">
      <c r="D638" s="106"/>
      <c r="E638" s="107"/>
      <c r="F638" s="183"/>
      <c r="G638" s="108"/>
      <c r="H638" s="109"/>
      <c r="I638" s="110"/>
      <c r="J638" s="111"/>
      <c r="K638" s="163"/>
      <c r="L638" s="169"/>
      <c r="M638" s="156"/>
      <c r="N638" s="105"/>
    </row>
    <row r="639" spans="4:14" ht="25.2" x14ac:dyDescent="0.45">
      <c r="D639" s="106"/>
      <c r="E639" s="107"/>
      <c r="F639" s="183"/>
      <c r="G639" s="108"/>
      <c r="H639" s="109"/>
      <c r="I639" s="110"/>
      <c r="J639" s="111"/>
      <c r="K639" s="163"/>
      <c r="L639" s="169"/>
      <c r="M639" s="156"/>
      <c r="N639" s="105"/>
    </row>
    <row r="640" spans="4:14" ht="25.2" x14ac:dyDescent="0.45">
      <c r="D640" s="106"/>
      <c r="E640" s="107"/>
      <c r="F640" s="183"/>
      <c r="G640" s="108"/>
      <c r="H640" s="109"/>
      <c r="I640" s="110"/>
      <c r="J640" s="111"/>
      <c r="K640" s="163"/>
      <c r="L640" s="169"/>
      <c r="M640" s="156"/>
      <c r="N640" s="105"/>
    </row>
    <row r="641" spans="4:14" ht="25.2" x14ac:dyDescent="0.45">
      <c r="D641" s="106"/>
      <c r="E641" s="107"/>
      <c r="F641" s="183"/>
      <c r="G641" s="108"/>
      <c r="H641" s="109"/>
      <c r="I641" s="110"/>
      <c r="J641" s="111"/>
      <c r="K641" s="163"/>
      <c r="L641" s="169"/>
      <c r="M641" s="156"/>
      <c r="N641" s="105"/>
    </row>
    <row r="642" spans="4:14" ht="25.2" x14ac:dyDescent="0.45">
      <c r="D642" s="106"/>
      <c r="E642" s="107"/>
      <c r="F642" s="183"/>
      <c r="G642" s="108"/>
      <c r="H642" s="109"/>
      <c r="I642" s="110"/>
      <c r="J642" s="111"/>
      <c r="K642" s="163"/>
      <c r="L642" s="169"/>
      <c r="M642" s="156"/>
      <c r="N642" s="105"/>
    </row>
    <row r="643" spans="4:14" ht="25.2" x14ac:dyDescent="0.45">
      <c r="D643" s="106"/>
      <c r="E643" s="107"/>
      <c r="F643" s="183"/>
      <c r="G643" s="108"/>
      <c r="H643" s="109"/>
      <c r="I643" s="110"/>
      <c r="J643" s="111"/>
      <c r="K643" s="163"/>
      <c r="L643" s="169"/>
      <c r="M643" s="156"/>
      <c r="N643" s="105"/>
    </row>
    <row r="644" spans="4:14" ht="25.2" x14ac:dyDescent="0.45">
      <c r="D644" s="106"/>
      <c r="E644" s="107"/>
      <c r="F644" s="183"/>
      <c r="G644" s="108"/>
      <c r="H644" s="109"/>
      <c r="I644" s="110"/>
      <c r="J644" s="111"/>
      <c r="K644" s="163"/>
      <c r="L644" s="169"/>
      <c r="M644" s="156"/>
      <c r="N644" s="105"/>
    </row>
    <row r="645" spans="4:14" ht="25.2" x14ac:dyDescent="0.45">
      <c r="D645" s="106"/>
      <c r="E645" s="107"/>
      <c r="F645" s="183"/>
      <c r="G645" s="108"/>
      <c r="H645" s="109"/>
      <c r="I645" s="110"/>
      <c r="J645" s="111"/>
      <c r="K645" s="163"/>
      <c r="L645" s="169"/>
      <c r="M645" s="156"/>
      <c r="N645" s="105"/>
    </row>
    <row r="646" spans="4:14" ht="25.2" x14ac:dyDescent="0.45">
      <c r="D646" s="106"/>
      <c r="E646" s="107"/>
      <c r="F646" s="183"/>
      <c r="G646" s="108"/>
      <c r="H646" s="109"/>
      <c r="I646" s="110"/>
      <c r="J646" s="111"/>
      <c r="K646" s="163"/>
      <c r="L646" s="169"/>
      <c r="M646" s="156"/>
      <c r="N646" s="105"/>
    </row>
    <row r="647" spans="4:14" ht="25.2" x14ac:dyDescent="0.45">
      <c r="D647" s="106"/>
      <c r="E647" s="107"/>
      <c r="F647" s="183"/>
      <c r="G647" s="108"/>
      <c r="H647" s="109"/>
      <c r="I647" s="110"/>
      <c r="J647" s="111"/>
      <c r="K647" s="163"/>
      <c r="L647" s="169"/>
      <c r="M647" s="156"/>
      <c r="N647" s="105"/>
    </row>
    <row r="648" spans="4:14" ht="25.2" x14ac:dyDescent="0.45">
      <c r="D648" s="106"/>
      <c r="E648" s="107"/>
      <c r="F648" s="183"/>
      <c r="G648" s="108"/>
      <c r="H648" s="109"/>
      <c r="I648" s="110"/>
      <c r="J648" s="111"/>
      <c r="K648" s="163"/>
      <c r="L648" s="169"/>
      <c r="M648" s="156"/>
      <c r="N648" s="105"/>
    </row>
    <row r="649" spans="4:14" ht="25.2" x14ac:dyDescent="0.45">
      <c r="D649" s="106"/>
      <c r="E649" s="107"/>
      <c r="F649" s="183"/>
      <c r="G649" s="108"/>
      <c r="H649" s="109"/>
      <c r="I649" s="110"/>
      <c r="J649" s="111"/>
      <c r="K649" s="163"/>
      <c r="L649" s="169"/>
      <c r="M649" s="156"/>
      <c r="N649" s="105"/>
    </row>
    <row r="650" spans="4:14" ht="25.2" x14ac:dyDescent="0.45">
      <c r="D650" s="106"/>
      <c r="E650" s="107"/>
      <c r="F650" s="183"/>
      <c r="G650" s="108"/>
      <c r="H650" s="109"/>
      <c r="I650" s="110"/>
      <c r="J650" s="111"/>
      <c r="K650" s="163"/>
      <c r="L650" s="169"/>
      <c r="M650" s="156"/>
      <c r="N650" s="105"/>
    </row>
    <row r="651" spans="4:14" ht="25.2" x14ac:dyDescent="0.45">
      <c r="D651" s="106"/>
      <c r="E651" s="107"/>
      <c r="F651" s="183"/>
      <c r="G651" s="108"/>
      <c r="H651" s="109"/>
      <c r="I651" s="110"/>
      <c r="J651" s="111"/>
      <c r="K651" s="163"/>
      <c r="L651" s="169"/>
      <c r="M651" s="156"/>
      <c r="N651" s="105"/>
    </row>
    <row r="652" spans="4:14" ht="25.2" x14ac:dyDescent="0.45">
      <c r="D652" s="106"/>
      <c r="E652" s="107"/>
      <c r="F652" s="183"/>
      <c r="G652" s="108"/>
      <c r="H652" s="109"/>
      <c r="I652" s="110"/>
      <c r="J652" s="111"/>
      <c r="K652" s="163"/>
      <c r="L652" s="169"/>
      <c r="M652" s="156"/>
      <c r="N652" s="105"/>
    </row>
    <row r="653" spans="4:14" ht="25.2" x14ac:dyDescent="0.45">
      <c r="D653" s="106"/>
      <c r="E653" s="107"/>
      <c r="F653" s="183"/>
      <c r="G653" s="108"/>
      <c r="H653" s="109"/>
      <c r="I653" s="110"/>
      <c r="J653" s="111"/>
      <c r="K653" s="163"/>
      <c r="L653" s="169"/>
      <c r="M653" s="156"/>
      <c r="N653" s="105"/>
    </row>
    <row r="654" spans="4:14" ht="25.2" x14ac:dyDescent="0.45">
      <c r="D654" s="106"/>
      <c r="E654" s="107"/>
      <c r="F654" s="183"/>
      <c r="G654" s="108"/>
      <c r="H654" s="109"/>
      <c r="I654" s="110"/>
      <c r="J654" s="111"/>
      <c r="K654" s="163"/>
      <c r="L654" s="169"/>
      <c r="M654" s="156"/>
      <c r="N654" s="105"/>
    </row>
    <row r="655" spans="4:14" ht="25.2" x14ac:dyDescent="0.45">
      <c r="D655" s="106"/>
      <c r="E655" s="107"/>
      <c r="F655" s="183"/>
      <c r="G655" s="108"/>
      <c r="H655" s="109"/>
      <c r="I655" s="110"/>
      <c r="J655" s="111"/>
      <c r="K655" s="163"/>
      <c r="L655" s="169"/>
      <c r="M655" s="156"/>
      <c r="N655" s="105"/>
    </row>
    <row r="656" spans="4:14" ht="25.2" x14ac:dyDescent="0.45">
      <c r="D656" s="106"/>
      <c r="E656" s="107"/>
      <c r="F656" s="183"/>
      <c r="G656" s="108"/>
      <c r="H656" s="109"/>
      <c r="I656" s="110"/>
      <c r="J656" s="111"/>
      <c r="K656" s="163"/>
      <c r="L656" s="169"/>
      <c r="M656" s="156"/>
      <c r="N656" s="105"/>
    </row>
    <row r="657" spans="4:14" ht="25.2" x14ac:dyDescent="0.45">
      <c r="D657" s="106"/>
      <c r="E657" s="107"/>
      <c r="F657" s="183"/>
      <c r="G657" s="108"/>
      <c r="H657" s="109"/>
      <c r="I657" s="110"/>
      <c r="J657" s="111"/>
      <c r="K657" s="163"/>
      <c r="L657" s="169"/>
      <c r="M657" s="156"/>
      <c r="N657" s="105"/>
    </row>
    <row r="658" spans="4:14" ht="25.2" x14ac:dyDescent="0.45">
      <c r="D658" s="106"/>
      <c r="E658" s="107"/>
      <c r="F658" s="183"/>
      <c r="G658" s="108"/>
      <c r="H658" s="109"/>
      <c r="I658" s="110"/>
      <c r="J658" s="111"/>
      <c r="K658" s="163"/>
      <c r="L658" s="169"/>
      <c r="M658" s="156"/>
      <c r="N658" s="105"/>
    </row>
    <row r="659" spans="4:14" ht="25.2" x14ac:dyDescent="0.45">
      <c r="D659" s="106"/>
      <c r="E659" s="107"/>
      <c r="F659" s="183"/>
      <c r="G659" s="108"/>
      <c r="H659" s="109"/>
      <c r="I659" s="110"/>
      <c r="J659" s="111"/>
      <c r="K659" s="163"/>
      <c r="L659" s="169"/>
      <c r="M659" s="156"/>
      <c r="N659" s="105"/>
    </row>
    <row r="660" spans="4:14" ht="25.2" x14ac:dyDescent="0.45">
      <c r="D660" s="106"/>
      <c r="E660" s="107"/>
      <c r="F660" s="183"/>
      <c r="G660" s="108"/>
      <c r="H660" s="109"/>
      <c r="I660" s="110"/>
      <c r="J660" s="111"/>
      <c r="K660" s="163"/>
      <c r="L660" s="169"/>
      <c r="M660" s="156"/>
      <c r="N660" s="105"/>
    </row>
    <row r="661" spans="4:14" ht="25.2" x14ac:dyDescent="0.45">
      <c r="D661" s="106"/>
      <c r="E661" s="107"/>
      <c r="F661" s="183"/>
      <c r="G661" s="108"/>
      <c r="H661" s="109"/>
      <c r="I661" s="110"/>
      <c r="J661" s="111"/>
      <c r="K661" s="163"/>
      <c r="L661" s="169"/>
      <c r="M661" s="156"/>
      <c r="N661" s="105"/>
    </row>
    <row r="662" spans="4:14" ht="25.2" x14ac:dyDescent="0.45">
      <c r="D662" s="106"/>
      <c r="E662" s="107"/>
      <c r="F662" s="183"/>
      <c r="G662" s="108"/>
      <c r="H662" s="109"/>
      <c r="I662" s="110"/>
      <c r="J662" s="111"/>
      <c r="K662" s="163"/>
      <c r="L662" s="169"/>
      <c r="M662" s="156"/>
      <c r="N662" s="105"/>
    </row>
    <row r="663" spans="4:14" ht="25.2" x14ac:dyDescent="0.45">
      <c r="D663" s="106"/>
      <c r="E663" s="107"/>
      <c r="F663" s="183"/>
      <c r="G663" s="108"/>
      <c r="H663" s="109"/>
      <c r="I663" s="110"/>
      <c r="J663" s="111"/>
      <c r="K663" s="163"/>
      <c r="L663" s="169"/>
      <c r="M663" s="156"/>
      <c r="N663" s="105"/>
    </row>
    <row r="664" spans="4:14" ht="25.2" x14ac:dyDescent="0.45">
      <c r="D664" s="106"/>
      <c r="E664" s="107"/>
      <c r="F664" s="183"/>
      <c r="G664" s="108"/>
      <c r="H664" s="109"/>
      <c r="I664" s="110"/>
      <c r="J664" s="111"/>
      <c r="K664" s="163"/>
      <c r="L664" s="169"/>
      <c r="M664" s="156"/>
      <c r="N664" s="105"/>
    </row>
    <row r="665" spans="4:14" ht="25.2" x14ac:dyDescent="0.45">
      <c r="D665" s="106"/>
      <c r="E665" s="107"/>
      <c r="F665" s="183"/>
      <c r="G665" s="108"/>
      <c r="H665" s="109"/>
      <c r="I665" s="110"/>
      <c r="J665" s="111"/>
      <c r="K665" s="163"/>
      <c r="L665" s="169"/>
      <c r="M665" s="156"/>
      <c r="N665" s="105"/>
    </row>
    <row r="666" spans="4:14" ht="25.2" x14ac:dyDescent="0.45">
      <c r="D666" s="106"/>
      <c r="E666" s="107"/>
      <c r="F666" s="183"/>
      <c r="G666" s="108"/>
      <c r="H666" s="109"/>
      <c r="I666" s="110"/>
      <c r="J666" s="111"/>
      <c r="K666" s="163"/>
      <c r="L666" s="169"/>
      <c r="M666" s="156"/>
      <c r="N666" s="105"/>
    </row>
    <row r="667" spans="4:14" ht="25.2" x14ac:dyDescent="0.45">
      <c r="D667" s="106"/>
      <c r="E667" s="107"/>
      <c r="F667" s="183"/>
      <c r="G667" s="108"/>
      <c r="H667" s="109"/>
      <c r="I667" s="110"/>
      <c r="J667" s="111"/>
      <c r="K667" s="163"/>
      <c r="L667" s="169"/>
      <c r="M667" s="156"/>
      <c r="N667" s="105"/>
    </row>
    <row r="668" spans="4:14" ht="25.2" x14ac:dyDescent="0.45">
      <c r="D668" s="106"/>
      <c r="E668" s="107"/>
      <c r="F668" s="183"/>
      <c r="G668" s="108"/>
      <c r="H668" s="109"/>
      <c r="I668" s="110"/>
      <c r="J668" s="111"/>
      <c r="K668" s="163"/>
      <c r="L668" s="169"/>
      <c r="M668" s="156"/>
      <c r="N668" s="105"/>
    </row>
    <row r="669" spans="4:14" ht="25.2" x14ac:dyDescent="0.45">
      <c r="D669" s="106"/>
      <c r="E669" s="107"/>
      <c r="F669" s="183"/>
      <c r="G669" s="108"/>
      <c r="H669" s="109"/>
      <c r="I669" s="110"/>
      <c r="J669" s="111"/>
      <c r="K669" s="163"/>
      <c r="L669" s="169"/>
      <c r="M669" s="156"/>
      <c r="N669" s="105"/>
    </row>
    <row r="670" spans="4:14" ht="25.2" x14ac:dyDescent="0.45">
      <c r="D670" s="106"/>
      <c r="E670" s="107"/>
      <c r="F670" s="183"/>
      <c r="G670" s="108"/>
      <c r="H670" s="109"/>
      <c r="I670" s="110"/>
      <c r="J670" s="111"/>
      <c r="K670" s="163"/>
      <c r="L670" s="169"/>
      <c r="M670" s="156"/>
      <c r="N670" s="105"/>
    </row>
    <row r="671" spans="4:14" ht="25.2" x14ac:dyDescent="0.45">
      <c r="D671" s="106"/>
      <c r="E671" s="107"/>
      <c r="F671" s="183"/>
      <c r="G671" s="108"/>
      <c r="H671" s="109"/>
      <c r="I671" s="110"/>
      <c r="J671" s="111"/>
      <c r="K671" s="163"/>
      <c r="L671" s="169"/>
      <c r="M671" s="156"/>
      <c r="N671" s="105"/>
    </row>
    <row r="672" spans="4:14" ht="25.2" x14ac:dyDescent="0.45">
      <c r="D672" s="106"/>
      <c r="E672" s="107"/>
      <c r="F672" s="183"/>
      <c r="G672" s="108"/>
      <c r="H672" s="109"/>
      <c r="I672" s="110"/>
      <c r="J672" s="111"/>
      <c r="K672" s="163"/>
      <c r="L672" s="169"/>
      <c r="M672" s="156"/>
      <c r="N672" s="105"/>
    </row>
    <row r="673" spans="4:14" ht="25.2" x14ac:dyDescent="0.45">
      <c r="D673" s="106"/>
      <c r="E673" s="107"/>
      <c r="F673" s="183"/>
      <c r="G673" s="108"/>
      <c r="H673" s="109"/>
      <c r="I673" s="110"/>
      <c r="J673" s="111"/>
      <c r="K673" s="163"/>
      <c r="L673" s="169"/>
      <c r="M673" s="156"/>
      <c r="N673" s="105"/>
    </row>
    <row r="674" spans="4:14" ht="25.2" x14ac:dyDescent="0.45">
      <c r="D674" s="106"/>
      <c r="E674" s="107"/>
      <c r="F674" s="183"/>
      <c r="G674" s="108"/>
      <c r="H674" s="109"/>
      <c r="I674" s="110"/>
      <c r="J674" s="111"/>
      <c r="K674" s="163"/>
      <c r="L674" s="169"/>
      <c r="M674" s="156"/>
      <c r="N674" s="105"/>
    </row>
    <row r="675" spans="4:14" ht="25.2" x14ac:dyDescent="0.45">
      <c r="D675" s="106"/>
      <c r="E675" s="107"/>
      <c r="F675" s="183"/>
      <c r="G675" s="108"/>
      <c r="H675" s="109"/>
      <c r="I675" s="110"/>
      <c r="J675" s="111"/>
      <c r="K675" s="163"/>
      <c r="L675" s="169"/>
      <c r="M675" s="156"/>
      <c r="N675" s="105"/>
    </row>
    <row r="676" spans="4:14" ht="25.2" x14ac:dyDescent="0.45">
      <c r="D676" s="106"/>
      <c r="E676" s="107"/>
      <c r="F676" s="183"/>
      <c r="G676" s="108"/>
      <c r="H676" s="109"/>
      <c r="I676" s="110"/>
      <c r="J676" s="111"/>
      <c r="K676" s="163"/>
      <c r="L676" s="169"/>
      <c r="M676" s="156"/>
      <c r="N676" s="105"/>
    </row>
    <row r="677" spans="4:14" ht="25.2" x14ac:dyDescent="0.45">
      <c r="D677" s="106"/>
      <c r="E677" s="107"/>
      <c r="F677" s="183"/>
      <c r="G677" s="108"/>
      <c r="H677" s="109"/>
      <c r="I677" s="110"/>
      <c r="J677" s="111"/>
      <c r="K677" s="163"/>
      <c r="L677" s="169"/>
      <c r="M677" s="156"/>
      <c r="N677" s="105"/>
    </row>
    <row r="678" spans="4:14" ht="25.2" x14ac:dyDescent="0.45">
      <c r="D678" s="106"/>
      <c r="E678" s="107"/>
      <c r="F678" s="183"/>
      <c r="G678" s="108"/>
      <c r="H678" s="109"/>
      <c r="I678" s="110"/>
      <c r="J678" s="111"/>
      <c r="K678" s="163"/>
      <c r="L678" s="169"/>
      <c r="M678" s="156"/>
      <c r="N678" s="105"/>
    </row>
    <row r="679" spans="4:14" ht="25.2" x14ac:dyDescent="0.45">
      <c r="D679" s="106"/>
      <c r="E679" s="107"/>
      <c r="F679" s="183"/>
      <c r="G679" s="108"/>
      <c r="H679" s="109"/>
      <c r="I679" s="110"/>
      <c r="J679" s="111"/>
      <c r="K679" s="163"/>
      <c r="L679" s="169"/>
      <c r="M679" s="156"/>
      <c r="N679" s="105"/>
    </row>
    <row r="680" spans="4:14" ht="25.2" x14ac:dyDescent="0.45">
      <c r="D680" s="106"/>
      <c r="E680" s="107"/>
      <c r="F680" s="183"/>
      <c r="G680" s="108"/>
      <c r="H680" s="109"/>
      <c r="I680" s="110"/>
      <c r="J680" s="111"/>
      <c r="K680" s="163"/>
      <c r="L680" s="169"/>
      <c r="M680" s="156"/>
      <c r="N680" s="105"/>
    </row>
    <row r="681" spans="4:14" ht="25.2" x14ac:dyDescent="0.45">
      <c r="D681" s="106"/>
      <c r="E681" s="107"/>
      <c r="F681" s="183"/>
      <c r="G681" s="108"/>
      <c r="H681" s="109"/>
      <c r="I681" s="110"/>
      <c r="J681" s="111"/>
      <c r="K681" s="163"/>
      <c r="L681" s="169"/>
      <c r="M681" s="156"/>
      <c r="N681" s="105"/>
    </row>
    <row r="682" spans="4:14" ht="25.2" x14ac:dyDescent="0.45">
      <c r="D682" s="106"/>
      <c r="E682" s="107"/>
      <c r="F682" s="183"/>
      <c r="G682" s="108"/>
      <c r="H682" s="109"/>
      <c r="I682" s="110"/>
      <c r="J682" s="111"/>
      <c r="K682" s="163"/>
      <c r="L682" s="169"/>
      <c r="M682" s="156"/>
      <c r="N682" s="105"/>
    </row>
    <row r="683" spans="4:14" ht="25.2" x14ac:dyDescent="0.45">
      <c r="D683" s="106"/>
      <c r="E683" s="107"/>
      <c r="F683" s="183"/>
      <c r="G683" s="108"/>
      <c r="H683" s="109"/>
      <c r="I683" s="110"/>
      <c r="J683" s="111"/>
      <c r="K683" s="163"/>
      <c r="L683" s="169"/>
      <c r="M683" s="156"/>
      <c r="N683" s="105"/>
    </row>
    <row r="684" spans="4:14" ht="25.2" x14ac:dyDescent="0.45">
      <c r="D684" s="106"/>
      <c r="E684" s="107"/>
      <c r="F684" s="183"/>
      <c r="G684" s="108"/>
      <c r="H684" s="109"/>
      <c r="I684" s="110"/>
      <c r="J684" s="111"/>
      <c r="K684" s="163"/>
      <c r="L684" s="169"/>
      <c r="M684" s="156"/>
      <c r="N684" s="105"/>
    </row>
    <row r="685" spans="4:14" ht="25.2" x14ac:dyDescent="0.45">
      <c r="D685" s="106"/>
      <c r="E685" s="107"/>
      <c r="F685" s="183"/>
      <c r="G685" s="108"/>
      <c r="H685" s="109"/>
      <c r="I685" s="110"/>
      <c r="J685" s="111"/>
      <c r="K685" s="163"/>
      <c r="L685" s="169"/>
      <c r="M685" s="156"/>
      <c r="N685" s="105"/>
    </row>
    <row r="686" spans="4:14" ht="25.2" x14ac:dyDescent="0.45">
      <c r="D686" s="106"/>
      <c r="E686" s="107"/>
      <c r="F686" s="183"/>
      <c r="G686" s="108"/>
      <c r="H686" s="109"/>
      <c r="I686" s="110"/>
      <c r="J686" s="111"/>
      <c r="K686" s="163"/>
      <c r="L686" s="169"/>
      <c r="M686" s="156"/>
      <c r="N686" s="105"/>
    </row>
    <row r="687" spans="4:14" ht="25.2" x14ac:dyDescent="0.45">
      <c r="D687" s="106"/>
      <c r="E687" s="107"/>
      <c r="F687" s="183"/>
      <c r="G687" s="108"/>
      <c r="H687" s="109"/>
      <c r="I687" s="110"/>
      <c r="J687" s="111"/>
      <c r="K687" s="163"/>
      <c r="L687" s="169"/>
      <c r="M687" s="156"/>
      <c r="N687" s="105"/>
    </row>
    <row r="688" spans="4:14" ht="25.2" x14ac:dyDescent="0.45">
      <c r="D688" s="106"/>
      <c r="E688" s="107"/>
      <c r="F688" s="183"/>
      <c r="G688" s="108"/>
      <c r="H688" s="109"/>
      <c r="I688" s="110"/>
      <c r="J688" s="111"/>
      <c r="K688" s="163"/>
      <c r="L688" s="169"/>
      <c r="M688" s="156"/>
      <c r="N688" s="105"/>
    </row>
    <row r="689" spans="4:14" ht="25.2" x14ac:dyDescent="0.45">
      <c r="D689" s="106"/>
      <c r="E689" s="107"/>
      <c r="F689" s="183"/>
      <c r="G689" s="108"/>
      <c r="H689" s="109"/>
      <c r="I689" s="110"/>
      <c r="J689" s="111"/>
      <c r="K689" s="163"/>
      <c r="L689" s="169"/>
      <c r="M689" s="156"/>
      <c r="N689" s="105"/>
    </row>
    <row r="690" spans="4:14" ht="25.2" x14ac:dyDescent="0.45">
      <c r="D690" s="106"/>
      <c r="E690" s="107"/>
      <c r="F690" s="183"/>
      <c r="G690" s="108"/>
      <c r="H690" s="109"/>
      <c r="I690" s="110"/>
      <c r="J690" s="111"/>
      <c r="K690" s="163"/>
      <c r="L690" s="169"/>
      <c r="M690" s="156"/>
      <c r="N690" s="105"/>
    </row>
    <row r="691" spans="4:14" ht="25.2" x14ac:dyDescent="0.45">
      <c r="D691" s="106"/>
      <c r="E691" s="107"/>
      <c r="F691" s="183"/>
      <c r="G691" s="108"/>
      <c r="H691" s="109"/>
      <c r="I691" s="110"/>
      <c r="J691" s="111"/>
      <c r="K691" s="163"/>
      <c r="L691" s="169"/>
      <c r="M691" s="156"/>
      <c r="N691" s="105"/>
    </row>
    <row r="692" spans="4:14" ht="25.2" x14ac:dyDescent="0.45">
      <c r="D692" s="106"/>
      <c r="E692" s="107"/>
      <c r="F692" s="183"/>
      <c r="G692" s="108"/>
      <c r="H692" s="109"/>
      <c r="I692" s="110"/>
      <c r="J692" s="111"/>
      <c r="K692" s="163"/>
      <c r="L692" s="169"/>
      <c r="M692" s="156"/>
      <c r="N692" s="105"/>
    </row>
    <row r="693" spans="4:14" ht="25.2" x14ac:dyDescent="0.45">
      <c r="D693" s="106"/>
      <c r="E693" s="107"/>
      <c r="F693" s="183"/>
      <c r="G693" s="108"/>
      <c r="H693" s="109"/>
      <c r="I693" s="110"/>
      <c r="J693" s="111"/>
      <c r="K693" s="163"/>
      <c r="L693" s="169"/>
      <c r="M693" s="156"/>
      <c r="N693" s="105"/>
    </row>
    <row r="694" spans="4:14" ht="25.2" x14ac:dyDescent="0.45">
      <c r="D694" s="106"/>
      <c r="E694" s="107"/>
      <c r="F694" s="183"/>
      <c r="G694" s="108"/>
      <c r="H694" s="109"/>
      <c r="I694" s="110"/>
      <c r="J694" s="111"/>
      <c r="K694" s="163"/>
      <c r="L694" s="169"/>
      <c r="M694" s="156"/>
      <c r="N694" s="105"/>
    </row>
    <row r="695" spans="4:14" ht="25.2" x14ac:dyDescent="0.45">
      <c r="D695" s="106"/>
      <c r="E695" s="107"/>
      <c r="F695" s="183"/>
      <c r="G695" s="108"/>
      <c r="H695" s="109"/>
      <c r="I695" s="110"/>
      <c r="J695" s="111"/>
      <c r="K695" s="163"/>
      <c r="L695" s="169"/>
      <c r="M695" s="156"/>
      <c r="N695" s="105"/>
    </row>
    <row r="696" spans="4:14" ht="25.2" x14ac:dyDescent="0.45">
      <c r="D696" s="106"/>
      <c r="E696" s="107"/>
      <c r="F696" s="183"/>
      <c r="G696" s="108"/>
      <c r="H696" s="109"/>
      <c r="I696" s="110"/>
      <c r="J696" s="111"/>
      <c r="K696" s="163"/>
      <c r="L696" s="169"/>
      <c r="M696" s="156"/>
      <c r="N696" s="105"/>
    </row>
    <row r="697" spans="4:14" ht="25.2" x14ac:dyDescent="0.45">
      <c r="D697" s="106"/>
      <c r="E697" s="107"/>
      <c r="F697" s="183"/>
      <c r="G697" s="108"/>
      <c r="H697" s="109"/>
      <c r="I697" s="110"/>
      <c r="J697" s="111"/>
      <c r="K697" s="163"/>
      <c r="L697" s="169"/>
      <c r="M697" s="156"/>
      <c r="N697" s="105"/>
    </row>
    <row r="698" spans="4:14" ht="25.2" x14ac:dyDescent="0.45">
      <c r="D698" s="106"/>
      <c r="E698" s="107"/>
      <c r="F698" s="183"/>
      <c r="G698" s="108"/>
      <c r="H698" s="109"/>
      <c r="I698" s="110"/>
      <c r="J698" s="111"/>
      <c r="K698" s="163"/>
      <c r="L698" s="169"/>
      <c r="M698" s="156"/>
      <c r="N698" s="105"/>
    </row>
    <row r="699" spans="4:14" ht="25.2" x14ac:dyDescent="0.45">
      <c r="D699" s="106"/>
      <c r="E699" s="107"/>
      <c r="F699" s="183"/>
      <c r="G699" s="108"/>
      <c r="H699" s="109"/>
      <c r="I699" s="110"/>
      <c r="J699" s="111"/>
      <c r="K699" s="163"/>
      <c r="L699" s="169"/>
      <c r="M699" s="156"/>
      <c r="N699" s="105"/>
    </row>
    <row r="700" spans="4:14" ht="25.2" x14ac:dyDescent="0.45">
      <c r="D700" s="106"/>
      <c r="E700" s="107"/>
      <c r="F700" s="183"/>
      <c r="G700" s="108"/>
      <c r="H700" s="109"/>
      <c r="I700" s="110"/>
      <c r="J700" s="111"/>
      <c r="K700" s="163"/>
      <c r="L700" s="169"/>
      <c r="M700" s="156"/>
      <c r="N700" s="105"/>
    </row>
    <row r="701" spans="4:14" ht="25.2" x14ac:dyDescent="0.45">
      <c r="D701" s="106"/>
      <c r="E701" s="107"/>
      <c r="F701" s="183"/>
      <c r="G701" s="108"/>
      <c r="H701" s="109"/>
      <c r="I701" s="110"/>
      <c r="J701" s="111"/>
      <c r="K701" s="163"/>
      <c r="L701" s="169"/>
      <c r="M701" s="156"/>
      <c r="N701" s="105"/>
    </row>
    <row r="702" spans="4:14" ht="25.2" x14ac:dyDescent="0.45">
      <c r="D702" s="106"/>
      <c r="E702" s="107"/>
      <c r="F702" s="183"/>
      <c r="G702" s="108"/>
      <c r="H702" s="109"/>
      <c r="I702" s="110"/>
      <c r="J702" s="111"/>
      <c r="K702" s="163"/>
      <c r="L702" s="169"/>
      <c r="M702" s="156"/>
      <c r="N702" s="105"/>
    </row>
    <row r="703" spans="4:14" ht="25.2" x14ac:dyDescent="0.45">
      <c r="D703" s="106"/>
      <c r="E703" s="107"/>
      <c r="F703" s="183"/>
      <c r="G703" s="108"/>
      <c r="H703" s="109"/>
      <c r="I703" s="110"/>
      <c r="J703" s="111"/>
      <c r="K703" s="163"/>
      <c r="L703" s="169"/>
      <c r="M703" s="156"/>
      <c r="N703" s="105"/>
    </row>
    <row r="704" spans="4:14" ht="25.2" x14ac:dyDescent="0.45">
      <c r="D704" s="106"/>
      <c r="E704" s="107"/>
      <c r="F704" s="183"/>
      <c r="G704" s="108"/>
      <c r="H704" s="109"/>
      <c r="I704" s="110"/>
      <c r="J704" s="111"/>
      <c r="K704" s="163"/>
      <c r="L704" s="169"/>
      <c r="M704" s="156"/>
      <c r="N704" s="105"/>
    </row>
    <row r="705" spans="4:14" ht="25.2" x14ac:dyDescent="0.45">
      <c r="D705" s="106"/>
      <c r="E705" s="107"/>
      <c r="F705" s="183"/>
      <c r="G705" s="108"/>
      <c r="H705" s="109"/>
      <c r="I705" s="110"/>
      <c r="J705" s="111"/>
      <c r="K705" s="163"/>
      <c r="L705" s="169"/>
      <c r="M705" s="156"/>
      <c r="N705" s="105"/>
    </row>
    <row r="706" spans="4:14" ht="25.2" x14ac:dyDescent="0.45">
      <c r="D706" s="106"/>
      <c r="E706" s="107"/>
      <c r="F706" s="183"/>
      <c r="G706" s="108"/>
      <c r="H706" s="109"/>
      <c r="I706" s="110"/>
      <c r="J706" s="111"/>
      <c r="K706" s="163"/>
      <c r="L706" s="169"/>
      <c r="M706" s="158"/>
      <c r="N706" s="105"/>
    </row>
    <row r="707" spans="4:14" ht="25.2" x14ac:dyDescent="0.45">
      <c r="D707" s="106"/>
      <c r="E707" s="107"/>
      <c r="F707" s="183"/>
      <c r="G707" s="108"/>
      <c r="H707" s="109"/>
      <c r="I707" s="110"/>
      <c r="J707" s="111"/>
      <c r="K707" s="163"/>
      <c r="L707" s="169"/>
      <c r="M707" s="158"/>
      <c r="N707" s="112"/>
    </row>
    <row r="708" spans="4:14" ht="25.2" x14ac:dyDescent="0.45">
      <c r="D708" s="106"/>
      <c r="E708" s="107"/>
      <c r="F708" s="183"/>
      <c r="G708" s="108"/>
      <c r="H708" s="109"/>
      <c r="I708" s="110"/>
      <c r="J708" s="111"/>
      <c r="K708" s="163"/>
      <c r="L708" s="169"/>
      <c r="M708" s="158"/>
      <c r="N708" s="112"/>
    </row>
    <row r="709" spans="4:14" ht="25.2" x14ac:dyDescent="0.45">
      <c r="D709" s="106"/>
      <c r="E709" s="107"/>
      <c r="F709" s="183"/>
      <c r="G709" s="108"/>
      <c r="H709" s="109"/>
      <c r="I709" s="110"/>
      <c r="J709" s="111"/>
      <c r="K709" s="163"/>
      <c r="L709" s="169"/>
      <c r="M709" s="158"/>
      <c r="N709" s="112"/>
    </row>
    <row r="710" spans="4:14" ht="25.2" x14ac:dyDescent="0.45">
      <c r="D710" s="106"/>
      <c r="E710" s="107"/>
      <c r="F710" s="183"/>
      <c r="G710" s="108"/>
      <c r="H710" s="109"/>
      <c r="I710" s="110"/>
      <c r="J710" s="111"/>
      <c r="K710" s="163"/>
      <c r="L710" s="169"/>
      <c r="M710" s="158"/>
      <c r="N710" s="112"/>
    </row>
    <row r="711" spans="4:14" ht="25.2" x14ac:dyDescent="0.45">
      <c r="D711" s="106"/>
      <c r="E711" s="107"/>
      <c r="F711" s="183"/>
      <c r="G711" s="108"/>
      <c r="H711" s="109"/>
      <c r="I711" s="110"/>
      <c r="J711" s="111"/>
      <c r="K711" s="163"/>
      <c r="L711" s="169"/>
      <c r="M711" s="158"/>
      <c r="N711" s="112"/>
    </row>
    <row r="712" spans="4:14" ht="25.2" x14ac:dyDescent="0.45">
      <c r="D712" s="106"/>
      <c r="E712" s="107"/>
      <c r="F712" s="183"/>
      <c r="G712" s="108"/>
      <c r="H712" s="109"/>
      <c r="I712" s="110"/>
      <c r="J712" s="111"/>
      <c r="K712" s="163"/>
      <c r="L712" s="169"/>
      <c r="M712" s="158"/>
      <c r="N712" s="112"/>
    </row>
    <row r="713" spans="4:14" ht="25.2" x14ac:dyDescent="0.45">
      <c r="D713" s="106"/>
      <c r="E713" s="107"/>
      <c r="F713" s="183"/>
      <c r="G713" s="108"/>
      <c r="H713" s="109"/>
      <c r="I713" s="110"/>
      <c r="J713" s="111"/>
      <c r="K713" s="163"/>
      <c r="L713" s="169"/>
      <c r="M713" s="158"/>
      <c r="N713" s="112"/>
    </row>
    <row r="714" spans="4:14" ht="25.2" x14ac:dyDescent="0.45">
      <c r="D714" s="106"/>
      <c r="E714" s="107"/>
      <c r="F714" s="183"/>
      <c r="G714" s="108"/>
      <c r="H714" s="109"/>
      <c r="I714" s="110"/>
      <c r="J714" s="111"/>
      <c r="K714" s="163"/>
      <c r="L714" s="169"/>
      <c r="M714" s="158"/>
      <c r="N714" s="112"/>
    </row>
    <row r="715" spans="4:14" ht="25.2" x14ac:dyDescent="0.45">
      <c r="D715" s="106"/>
      <c r="E715" s="107"/>
      <c r="F715" s="183"/>
      <c r="G715" s="108"/>
      <c r="H715" s="109"/>
      <c r="I715" s="110"/>
      <c r="J715" s="111"/>
      <c r="K715" s="163"/>
      <c r="L715" s="169"/>
      <c r="M715" s="158"/>
      <c r="N715" s="112"/>
    </row>
    <row r="716" spans="4:14" ht="25.2" x14ac:dyDescent="0.45">
      <c r="D716" s="106"/>
      <c r="E716" s="107"/>
      <c r="F716" s="183"/>
      <c r="G716" s="108"/>
      <c r="H716" s="109"/>
      <c r="I716" s="110"/>
      <c r="J716" s="111"/>
      <c r="K716" s="163"/>
      <c r="L716" s="169"/>
      <c r="M716" s="158"/>
      <c r="N716" s="112"/>
    </row>
    <row r="717" spans="4:14" ht="25.2" x14ac:dyDescent="0.45">
      <c r="D717" s="106"/>
      <c r="E717" s="107"/>
      <c r="F717" s="183"/>
      <c r="G717" s="108"/>
      <c r="H717" s="109"/>
      <c r="I717" s="110"/>
      <c r="J717" s="111"/>
      <c r="K717" s="163"/>
      <c r="L717" s="169"/>
      <c r="M717" s="158"/>
      <c r="N717" s="112"/>
    </row>
    <row r="718" spans="4:14" ht="25.2" x14ac:dyDescent="0.45">
      <c r="D718" s="106"/>
      <c r="E718" s="107"/>
      <c r="F718" s="183"/>
      <c r="G718" s="108"/>
      <c r="H718" s="109"/>
      <c r="I718" s="110"/>
      <c r="J718" s="111"/>
      <c r="K718" s="163"/>
      <c r="L718" s="169"/>
      <c r="M718" s="158"/>
      <c r="N718" s="112"/>
    </row>
    <row r="719" spans="4:14" ht="25.2" x14ac:dyDescent="0.45">
      <c r="D719" s="106"/>
      <c r="E719" s="107"/>
      <c r="F719" s="183"/>
      <c r="G719" s="108"/>
      <c r="H719" s="109"/>
      <c r="I719" s="110"/>
      <c r="J719" s="111"/>
      <c r="K719" s="163"/>
      <c r="L719" s="169"/>
      <c r="M719" s="158"/>
      <c r="N719" s="112"/>
    </row>
    <row r="720" spans="4:14" ht="25.2" x14ac:dyDescent="0.45">
      <c r="D720" s="106"/>
      <c r="E720" s="107"/>
      <c r="F720" s="183"/>
      <c r="G720" s="108"/>
      <c r="H720" s="109"/>
      <c r="I720" s="110"/>
      <c r="J720" s="111"/>
      <c r="K720" s="163"/>
      <c r="L720" s="169"/>
      <c r="M720" s="158"/>
      <c r="N720" s="112"/>
    </row>
    <row r="721" spans="4:14" ht="25.2" x14ac:dyDescent="0.45">
      <c r="D721" s="106"/>
      <c r="E721" s="107"/>
      <c r="F721" s="183"/>
      <c r="G721" s="108"/>
      <c r="H721" s="109"/>
      <c r="I721" s="110"/>
      <c r="J721" s="111"/>
      <c r="K721" s="163"/>
      <c r="L721" s="169"/>
      <c r="M721" s="158"/>
      <c r="N721" s="112"/>
    </row>
    <row r="722" spans="4:14" ht="25.2" x14ac:dyDescent="0.45">
      <c r="D722" s="106"/>
      <c r="E722" s="107"/>
      <c r="F722" s="183"/>
      <c r="G722" s="108"/>
      <c r="H722" s="109"/>
      <c r="I722" s="110"/>
      <c r="J722" s="111"/>
      <c r="K722" s="163"/>
      <c r="L722" s="169"/>
      <c r="M722" s="158"/>
      <c r="N722" s="112"/>
    </row>
    <row r="723" spans="4:14" ht="25.2" x14ac:dyDescent="0.45">
      <c r="D723" s="106"/>
      <c r="E723" s="107"/>
      <c r="F723" s="183"/>
      <c r="G723" s="108"/>
      <c r="H723" s="109"/>
      <c r="I723" s="110"/>
      <c r="J723" s="111"/>
      <c r="K723" s="163"/>
      <c r="L723" s="169"/>
      <c r="M723" s="158"/>
      <c r="N723" s="112"/>
    </row>
    <row r="724" spans="4:14" ht="25.2" x14ac:dyDescent="0.45">
      <c r="D724" s="106"/>
      <c r="E724" s="107"/>
      <c r="F724" s="183"/>
      <c r="G724" s="108"/>
      <c r="H724" s="109"/>
      <c r="I724" s="110"/>
      <c r="J724" s="111"/>
      <c r="K724" s="163"/>
      <c r="L724" s="169"/>
      <c r="M724" s="158"/>
      <c r="N724" s="112"/>
    </row>
  </sheetData>
  <sheetProtection deleteColumns="0" deleteRows="0" selectLockedCells="1" sort="0"/>
  <protectedRanges>
    <protectedRange sqref="D417:L20005" name="Range1"/>
  </protectedRanges>
  <sortState xmlns:xlrd2="http://schemas.microsoft.com/office/spreadsheetml/2017/richdata2" ref="D8:L724">
    <sortCondition descending="1" ref="E7"/>
  </sortState>
  <mergeCells count="7">
    <mergeCell ref="J3:L5"/>
    <mergeCell ref="J2:L2"/>
    <mergeCell ref="A29:B29"/>
    <mergeCell ref="G2:H2"/>
    <mergeCell ref="G3:H3"/>
    <mergeCell ref="A25:B25"/>
    <mergeCell ref="D3:D5"/>
  </mergeCells>
  <phoneticPr fontId="11" type="noConversion"/>
  <conditionalFormatting sqref="L417:L1005">
    <cfRule type="expression" dxfId="22" priority="4">
      <formula>$D417&lt;&gt;""</formula>
    </cfRule>
  </conditionalFormatting>
  <conditionalFormatting sqref="F5">
    <cfRule type="expression" dxfId="21" priority="1">
      <formula>OFFSET($D$8,0,0,COUNTA($D$8:$D$9000),10)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S473"/>
  <sheetViews>
    <sheetView showGridLines="0" workbookViewId="0">
      <selection activeCell="B3" sqref="B3:J3"/>
    </sheetView>
  </sheetViews>
  <sheetFormatPr defaultRowHeight="14.4" x14ac:dyDescent="0.3"/>
  <cols>
    <col min="1" max="1" width="2.88671875" customWidth="1"/>
    <col min="2" max="2" width="15" style="1" customWidth="1"/>
    <col min="3" max="3" width="53.33203125" customWidth="1"/>
    <col min="4" max="4" width="4.88671875" customWidth="1"/>
    <col min="5" max="5" width="10.77734375" style="2" customWidth="1"/>
    <col min="6" max="6" width="12.33203125" style="3" customWidth="1"/>
    <col min="7" max="7" width="12.6640625" style="3" customWidth="1"/>
    <col min="8" max="8" width="12" customWidth="1"/>
    <col min="9" max="9" width="11.6640625" customWidth="1"/>
    <col min="10" max="10" width="15.77734375" customWidth="1"/>
    <col min="11" max="11" width="7.109375" customWidth="1"/>
    <col min="12" max="12" width="5" customWidth="1"/>
    <col min="13" max="13" width="11.6640625" style="65" customWidth="1"/>
    <col min="14" max="14" width="11.88671875" style="65" customWidth="1"/>
    <col min="17" max="17" width="19" customWidth="1"/>
  </cols>
  <sheetData>
    <row r="1" spans="2:19" x14ac:dyDescent="0.3">
      <c r="M1"/>
      <c r="N1"/>
    </row>
    <row r="2" spans="2:19" ht="34.950000000000003" customHeight="1" x14ac:dyDescent="0.3">
      <c r="M2"/>
      <c r="N2"/>
    </row>
    <row r="3" spans="2:19" s="33" customFormat="1" x14ac:dyDescent="0.3">
      <c r="B3" s="32" t="s">
        <v>0</v>
      </c>
      <c r="C3" s="33" t="s">
        <v>1</v>
      </c>
      <c r="D3" s="33" t="s">
        <v>60</v>
      </c>
      <c r="E3" s="134" t="s">
        <v>62</v>
      </c>
      <c r="F3" s="134" t="s">
        <v>63</v>
      </c>
      <c r="G3" s="34" t="s">
        <v>61</v>
      </c>
      <c r="H3" s="35" t="s">
        <v>5</v>
      </c>
      <c r="I3" s="35" t="s">
        <v>6</v>
      </c>
      <c r="J3" s="134" t="s">
        <v>64</v>
      </c>
    </row>
    <row r="4" spans="2:19" ht="15" thickBot="1" x14ac:dyDescent="0.35">
      <c r="B4" s="171" t="s">
        <v>219</v>
      </c>
      <c r="C4" s="174" t="s">
        <v>55</v>
      </c>
      <c r="D4" s="2" t="s">
        <v>65</v>
      </c>
      <c r="E4" s="172">
        <v>3</v>
      </c>
      <c r="F4" s="2">
        <v>0</v>
      </c>
      <c r="G4" s="2">
        <f>IF(E4&lt;&gt;"",E4-F4,G4="")</f>
        <v>3</v>
      </c>
      <c r="H4" s="173">
        <v>6000</v>
      </c>
      <c r="I4" s="173">
        <v>10000</v>
      </c>
      <c r="J4" s="3">
        <f>IF(E4&lt;&gt;"",E4*H4,"")</f>
        <v>18000</v>
      </c>
      <c r="K4" s="2"/>
      <c r="M4"/>
      <c r="N4"/>
    </row>
    <row r="5" spans="2:19" ht="15" thickBot="1" x14ac:dyDescent="0.35">
      <c r="B5" s="171" t="s">
        <v>220</v>
      </c>
      <c r="C5" s="174" t="s">
        <v>597</v>
      </c>
      <c r="D5" s="172" t="s">
        <v>65</v>
      </c>
      <c r="E5" s="172">
        <v>1</v>
      </c>
      <c r="F5" s="172">
        <v>0</v>
      </c>
      <c r="G5" s="172">
        <f t="shared" ref="G5:G68" si="0">IF(E5&lt;&gt;"",E5-F5,G5="")</f>
        <v>1</v>
      </c>
      <c r="H5" s="173">
        <v>17000</v>
      </c>
      <c r="I5" s="173">
        <v>25000</v>
      </c>
      <c r="J5" s="173">
        <f t="shared" ref="J5:J68" si="1">IF(E5&lt;&gt;"",E5*H5,"")</f>
        <v>17000</v>
      </c>
      <c r="M5"/>
      <c r="N5"/>
      <c r="R5" s="67" t="s">
        <v>45</v>
      </c>
      <c r="S5" s="66" t="s">
        <v>111</v>
      </c>
    </row>
    <row r="6" spans="2:19" x14ac:dyDescent="0.3">
      <c r="B6" s="171" t="s">
        <v>221</v>
      </c>
      <c r="C6" s="174" t="s">
        <v>598</v>
      </c>
      <c r="D6" s="172" t="s">
        <v>65</v>
      </c>
      <c r="E6" s="172">
        <v>2</v>
      </c>
      <c r="F6" s="172">
        <v>0</v>
      </c>
      <c r="G6" s="172">
        <f t="shared" si="0"/>
        <v>2</v>
      </c>
      <c r="H6" s="173">
        <v>7500</v>
      </c>
      <c r="I6" s="173">
        <v>15000</v>
      </c>
      <c r="J6" s="173">
        <f t="shared" si="1"/>
        <v>15000</v>
      </c>
      <c r="M6"/>
      <c r="N6"/>
    </row>
    <row r="7" spans="2:19" x14ac:dyDescent="0.3">
      <c r="B7" s="171" t="s">
        <v>222</v>
      </c>
      <c r="C7" s="174" t="s">
        <v>599</v>
      </c>
      <c r="D7" s="172" t="s">
        <v>65</v>
      </c>
      <c r="E7" s="172">
        <v>1</v>
      </c>
      <c r="F7" s="172">
        <v>0</v>
      </c>
      <c r="G7" s="172">
        <f t="shared" si="0"/>
        <v>1</v>
      </c>
      <c r="H7" s="173">
        <v>50000</v>
      </c>
      <c r="I7" s="173">
        <v>80000</v>
      </c>
      <c r="J7" s="173">
        <f t="shared" si="1"/>
        <v>50000</v>
      </c>
      <c r="M7"/>
      <c r="N7"/>
    </row>
    <row r="8" spans="2:19" x14ac:dyDescent="0.3">
      <c r="B8" s="171" t="s">
        <v>223</v>
      </c>
      <c r="C8" s="174" t="s">
        <v>600</v>
      </c>
      <c r="D8" s="172" t="s">
        <v>65</v>
      </c>
      <c r="E8" s="172">
        <v>6</v>
      </c>
      <c r="F8" s="172">
        <v>0</v>
      </c>
      <c r="G8" s="172">
        <f t="shared" si="0"/>
        <v>6</v>
      </c>
      <c r="H8" s="173">
        <v>45000</v>
      </c>
      <c r="I8" s="173">
        <v>65000</v>
      </c>
      <c r="J8" s="173">
        <f t="shared" si="1"/>
        <v>270000</v>
      </c>
      <c r="M8"/>
      <c r="N8"/>
    </row>
    <row r="9" spans="2:19" x14ac:dyDescent="0.3">
      <c r="B9" s="171" t="s">
        <v>224</v>
      </c>
      <c r="C9" s="174" t="s">
        <v>601</v>
      </c>
      <c r="D9" s="172" t="s">
        <v>65</v>
      </c>
      <c r="E9" s="172">
        <v>1</v>
      </c>
      <c r="F9" s="172">
        <v>0</v>
      </c>
      <c r="G9" s="172">
        <f t="shared" si="0"/>
        <v>1</v>
      </c>
      <c r="H9" s="173">
        <v>12000</v>
      </c>
      <c r="I9" s="173">
        <v>25000</v>
      </c>
      <c r="J9" s="173">
        <f t="shared" si="1"/>
        <v>12000</v>
      </c>
      <c r="M9"/>
      <c r="N9"/>
    </row>
    <row r="10" spans="2:19" x14ac:dyDescent="0.3">
      <c r="B10" s="171" t="s">
        <v>225</v>
      </c>
      <c r="C10" s="174" t="s">
        <v>602</v>
      </c>
      <c r="D10" s="172" t="s">
        <v>65</v>
      </c>
      <c r="E10" s="172">
        <v>2</v>
      </c>
      <c r="F10" s="172">
        <v>0</v>
      </c>
      <c r="G10" s="172">
        <f t="shared" si="0"/>
        <v>2</v>
      </c>
      <c r="H10" s="173">
        <v>20000</v>
      </c>
      <c r="I10" s="173">
        <v>28000</v>
      </c>
      <c r="J10" s="173">
        <f t="shared" si="1"/>
        <v>40000</v>
      </c>
      <c r="M10"/>
      <c r="N10"/>
    </row>
    <row r="11" spans="2:19" x14ac:dyDescent="0.3">
      <c r="B11" s="171" t="s">
        <v>226</v>
      </c>
      <c r="C11" s="174" t="s">
        <v>603</v>
      </c>
      <c r="D11" s="172" t="s">
        <v>65</v>
      </c>
      <c r="E11" s="172">
        <v>2</v>
      </c>
      <c r="F11" s="172">
        <v>0</v>
      </c>
      <c r="G11" s="172">
        <f t="shared" si="0"/>
        <v>2</v>
      </c>
      <c r="H11" s="173">
        <v>60000</v>
      </c>
      <c r="I11" s="173">
        <v>80000</v>
      </c>
      <c r="J11" s="173">
        <f t="shared" si="1"/>
        <v>120000</v>
      </c>
      <c r="M11"/>
      <c r="N11"/>
    </row>
    <row r="12" spans="2:19" x14ac:dyDescent="0.3">
      <c r="B12" s="171" t="s">
        <v>227</v>
      </c>
      <c r="C12" s="174" t="s">
        <v>604</v>
      </c>
      <c r="D12" s="172" t="s">
        <v>65</v>
      </c>
      <c r="E12" s="172" t="s">
        <v>218</v>
      </c>
      <c r="F12" s="172">
        <v>0</v>
      </c>
      <c r="G12" s="172">
        <f t="shared" si="0"/>
        <v>4</v>
      </c>
      <c r="H12" s="173">
        <v>25000</v>
      </c>
      <c r="I12" s="173">
        <v>30000</v>
      </c>
      <c r="J12" s="173">
        <f t="shared" si="1"/>
        <v>100000</v>
      </c>
      <c r="K12" s="62"/>
      <c r="L12" s="62"/>
      <c r="M12" s="62"/>
      <c r="N12" s="62"/>
    </row>
    <row r="13" spans="2:19" x14ac:dyDescent="0.3">
      <c r="B13" s="171" t="s">
        <v>228</v>
      </c>
      <c r="C13" s="174" t="s">
        <v>605</v>
      </c>
      <c r="D13" s="172" t="s">
        <v>65</v>
      </c>
      <c r="E13" s="172">
        <v>2</v>
      </c>
      <c r="F13" s="172">
        <v>0</v>
      </c>
      <c r="G13" s="172">
        <f t="shared" si="0"/>
        <v>2</v>
      </c>
      <c r="H13" s="173">
        <v>160000</v>
      </c>
      <c r="I13" s="173">
        <v>220000</v>
      </c>
      <c r="J13" s="173">
        <f t="shared" si="1"/>
        <v>320000</v>
      </c>
      <c r="K13" s="62"/>
      <c r="L13" s="61"/>
      <c r="M13" s="63"/>
      <c r="N13" s="62"/>
    </row>
    <row r="14" spans="2:19" x14ac:dyDescent="0.3">
      <c r="B14" s="171" t="s">
        <v>229</v>
      </c>
      <c r="C14" s="174" t="s">
        <v>606</v>
      </c>
      <c r="D14" s="172" t="s">
        <v>65</v>
      </c>
      <c r="E14" s="172">
        <v>5</v>
      </c>
      <c r="F14" s="172">
        <v>0</v>
      </c>
      <c r="G14" s="172">
        <f t="shared" si="0"/>
        <v>5</v>
      </c>
      <c r="H14" s="173">
        <v>6000</v>
      </c>
      <c r="I14" s="173">
        <v>15000</v>
      </c>
      <c r="J14" s="173">
        <f t="shared" si="1"/>
        <v>30000</v>
      </c>
      <c r="K14" s="62"/>
      <c r="L14" s="62"/>
      <c r="M14" s="62"/>
      <c r="N14" s="62"/>
    </row>
    <row r="15" spans="2:19" x14ac:dyDescent="0.3">
      <c r="B15" s="171" t="s">
        <v>230</v>
      </c>
      <c r="C15" s="174" t="s">
        <v>607</v>
      </c>
      <c r="D15" s="172" t="s">
        <v>65</v>
      </c>
      <c r="E15" s="172">
        <v>1</v>
      </c>
      <c r="F15" s="172">
        <v>0</v>
      </c>
      <c r="G15" s="172">
        <f t="shared" si="0"/>
        <v>1</v>
      </c>
      <c r="H15" s="173">
        <v>6000</v>
      </c>
      <c r="I15" s="173">
        <v>10000</v>
      </c>
      <c r="J15" s="173">
        <f t="shared" si="1"/>
        <v>6000</v>
      </c>
      <c r="M15"/>
      <c r="N15"/>
    </row>
    <row r="16" spans="2:19" x14ac:dyDescent="0.3">
      <c r="B16" s="171" t="s">
        <v>231</v>
      </c>
      <c r="C16" s="174" t="s">
        <v>608</v>
      </c>
      <c r="D16" s="172" t="s">
        <v>65</v>
      </c>
      <c r="E16" s="172">
        <v>1</v>
      </c>
      <c r="F16" s="172">
        <v>0</v>
      </c>
      <c r="G16" s="172">
        <f t="shared" si="0"/>
        <v>1</v>
      </c>
      <c r="H16" s="173">
        <v>5000</v>
      </c>
      <c r="I16" s="173">
        <v>10000</v>
      </c>
      <c r="J16" s="173">
        <f t="shared" si="1"/>
        <v>5000</v>
      </c>
      <c r="M16"/>
      <c r="N16"/>
    </row>
    <row r="17" spans="2:17" x14ac:dyDescent="0.3">
      <c r="B17" s="171" t="s">
        <v>232</v>
      </c>
      <c r="C17" s="174" t="s">
        <v>609</v>
      </c>
      <c r="D17" s="172" t="s">
        <v>65</v>
      </c>
      <c r="E17" s="172">
        <v>1</v>
      </c>
      <c r="F17" s="172">
        <v>0</v>
      </c>
      <c r="G17" s="172">
        <f t="shared" si="0"/>
        <v>1</v>
      </c>
      <c r="H17" s="173">
        <v>6000</v>
      </c>
      <c r="I17" s="173">
        <v>10000</v>
      </c>
      <c r="J17" s="173">
        <f t="shared" si="1"/>
        <v>6000</v>
      </c>
      <c r="M17"/>
      <c r="N17"/>
    </row>
    <row r="18" spans="2:17" x14ac:dyDescent="0.3">
      <c r="B18" s="171" t="s">
        <v>233</v>
      </c>
      <c r="C18" s="174" t="s">
        <v>610</v>
      </c>
      <c r="D18" s="172" t="s">
        <v>65</v>
      </c>
      <c r="E18" s="172">
        <v>1</v>
      </c>
      <c r="F18" s="172">
        <v>0</v>
      </c>
      <c r="G18" s="172">
        <f t="shared" si="0"/>
        <v>1</v>
      </c>
      <c r="H18" s="173">
        <v>6000</v>
      </c>
      <c r="I18" s="173">
        <v>10000</v>
      </c>
      <c r="J18" s="173">
        <f t="shared" si="1"/>
        <v>6000</v>
      </c>
      <c r="K18" t="s">
        <v>44</v>
      </c>
      <c r="M18"/>
      <c r="N18"/>
    </row>
    <row r="19" spans="2:17" x14ac:dyDescent="0.3">
      <c r="B19" s="171" t="s">
        <v>234</v>
      </c>
      <c r="C19" s="174" t="s">
        <v>611</v>
      </c>
      <c r="D19" s="172" t="s">
        <v>65</v>
      </c>
      <c r="E19" s="172">
        <v>4</v>
      </c>
      <c r="F19" s="172">
        <v>0</v>
      </c>
      <c r="G19" s="172">
        <f t="shared" si="0"/>
        <v>4</v>
      </c>
      <c r="H19" s="173">
        <v>3000</v>
      </c>
      <c r="I19" s="173">
        <v>6000</v>
      </c>
      <c r="J19" s="173">
        <f t="shared" si="1"/>
        <v>12000</v>
      </c>
      <c r="K19" s="59" t="s">
        <v>38</v>
      </c>
      <c r="L19" s="59" t="s">
        <v>39</v>
      </c>
      <c r="M19" s="59" t="s">
        <v>40</v>
      </c>
      <c r="N19" s="59" t="s">
        <v>41</v>
      </c>
      <c r="O19" s="59" t="s">
        <v>42</v>
      </c>
      <c r="P19" s="59" t="s">
        <v>43</v>
      </c>
      <c r="Q19" s="60"/>
    </row>
    <row r="20" spans="2:17" x14ac:dyDescent="0.3">
      <c r="B20" s="171" t="s">
        <v>235</v>
      </c>
      <c r="C20" s="174" t="s">
        <v>612</v>
      </c>
      <c r="D20" s="172" t="s">
        <v>65</v>
      </c>
      <c r="E20" s="172">
        <v>1</v>
      </c>
      <c r="F20" s="172">
        <v>0</v>
      </c>
      <c r="G20" s="172">
        <f t="shared" si="0"/>
        <v>1</v>
      </c>
      <c r="H20" s="173">
        <v>30000</v>
      </c>
      <c r="I20" s="173">
        <v>50000</v>
      </c>
      <c r="J20" s="173">
        <f t="shared" si="1"/>
        <v>30000</v>
      </c>
      <c r="K20" s="64" t="str">
        <f t="shared" ref="K20:P20" si="2">LOOKUP(1,1/(B:B&lt;&gt;""),B:B)</f>
        <v>K55</v>
      </c>
      <c r="L20" s="64" t="str">
        <f t="shared" si="2"/>
        <v>KABEL DATA BARU</v>
      </c>
      <c r="M20" s="64" t="str">
        <f t="shared" si="2"/>
        <v>Acc</v>
      </c>
      <c r="N20" s="64">
        <f t="shared" si="2"/>
        <v>10</v>
      </c>
      <c r="O20" s="65">
        <f t="shared" si="2"/>
        <v>0</v>
      </c>
      <c r="P20" s="65">
        <f t="shared" si="2"/>
        <v>4</v>
      </c>
    </row>
    <row r="21" spans="2:17" x14ac:dyDescent="0.3">
      <c r="B21" s="171" t="s">
        <v>236</v>
      </c>
      <c r="C21" s="174" t="s">
        <v>613</v>
      </c>
      <c r="D21" s="172" t="s">
        <v>65</v>
      </c>
      <c r="E21" s="172">
        <v>3</v>
      </c>
      <c r="F21" s="172">
        <v>0</v>
      </c>
      <c r="G21" s="172">
        <f t="shared" si="0"/>
        <v>3</v>
      </c>
      <c r="H21" s="173">
        <v>22500</v>
      </c>
      <c r="I21" s="173">
        <v>35000</v>
      </c>
      <c r="J21" s="173">
        <f t="shared" si="1"/>
        <v>67500</v>
      </c>
      <c r="M21"/>
      <c r="N21"/>
      <c r="O21" s="65"/>
      <c r="P21" s="65"/>
    </row>
    <row r="22" spans="2:17" x14ac:dyDescent="0.3">
      <c r="B22" s="171" t="s">
        <v>237</v>
      </c>
      <c r="C22" s="174" t="s">
        <v>614</v>
      </c>
      <c r="D22" s="172" t="s">
        <v>65</v>
      </c>
      <c r="E22" s="172">
        <v>2</v>
      </c>
      <c r="F22" s="172">
        <v>0</v>
      </c>
      <c r="G22" s="172">
        <f t="shared" si="0"/>
        <v>2</v>
      </c>
      <c r="H22" s="173">
        <v>6000</v>
      </c>
      <c r="I22" s="173">
        <v>10000</v>
      </c>
      <c r="J22" s="173">
        <f t="shared" si="1"/>
        <v>12000</v>
      </c>
    </row>
    <row r="23" spans="2:17" x14ac:dyDescent="0.3">
      <c r="B23" s="171" t="s">
        <v>238</v>
      </c>
      <c r="C23" s="174" t="s">
        <v>615</v>
      </c>
      <c r="D23" s="172" t="s">
        <v>65</v>
      </c>
      <c r="E23" s="172">
        <v>2</v>
      </c>
      <c r="F23" s="172">
        <v>0</v>
      </c>
      <c r="G23" s="172">
        <f t="shared" si="0"/>
        <v>2</v>
      </c>
      <c r="H23" s="173">
        <v>15000</v>
      </c>
      <c r="I23" s="173">
        <v>20000</v>
      </c>
      <c r="J23" s="173">
        <f t="shared" si="1"/>
        <v>30000</v>
      </c>
    </row>
    <row r="24" spans="2:17" x14ac:dyDescent="0.3">
      <c r="B24" s="171" t="s">
        <v>239</v>
      </c>
      <c r="C24" s="174" t="s">
        <v>616</v>
      </c>
      <c r="D24" s="172" t="s">
        <v>65</v>
      </c>
      <c r="E24" s="172">
        <v>4</v>
      </c>
      <c r="F24" s="172">
        <v>0</v>
      </c>
      <c r="G24" s="172">
        <f t="shared" si="0"/>
        <v>4</v>
      </c>
      <c r="H24" s="173">
        <v>5000</v>
      </c>
      <c r="I24" s="173">
        <v>10000</v>
      </c>
      <c r="J24" s="173">
        <f t="shared" si="1"/>
        <v>20000</v>
      </c>
    </row>
    <row r="25" spans="2:17" x14ac:dyDescent="0.3">
      <c r="B25" s="171" t="s">
        <v>240</v>
      </c>
      <c r="C25" s="174" t="s">
        <v>617</v>
      </c>
      <c r="D25" s="172" t="s">
        <v>65</v>
      </c>
      <c r="E25" s="172" t="s">
        <v>214</v>
      </c>
      <c r="F25" s="172">
        <v>0</v>
      </c>
      <c r="G25" s="172">
        <f t="shared" si="0"/>
        <v>5</v>
      </c>
      <c r="H25" s="173">
        <v>20000</v>
      </c>
      <c r="I25" s="173">
        <v>45000</v>
      </c>
      <c r="J25" s="173">
        <f t="shared" si="1"/>
        <v>100000</v>
      </c>
    </row>
    <row r="26" spans="2:17" x14ac:dyDescent="0.3">
      <c r="B26" s="171" t="s">
        <v>241</v>
      </c>
      <c r="C26" s="174" t="s">
        <v>618</v>
      </c>
      <c r="D26" s="172" t="s">
        <v>65</v>
      </c>
      <c r="E26" s="172" t="s">
        <v>973</v>
      </c>
      <c r="F26" s="172">
        <v>0</v>
      </c>
      <c r="G26" s="172">
        <f t="shared" si="0"/>
        <v>3</v>
      </c>
      <c r="H26" s="173">
        <v>25000</v>
      </c>
      <c r="I26" s="173">
        <v>40000</v>
      </c>
      <c r="J26" s="173">
        <f t="shared" si="1"/>
        <v>75000</v>
      </c>
    </row>
    <row r="27" spans="2:17" x14ac:dyDescent="0.3">
      <c r="B27" s="171" t="s">
        <v>242</v>
      </c>
      <c r="C27" s="174" t="s">
        <v>619</v>
      </c>
      <c r="D27" s="172" t="s">
        <v>65</v>
      </c>
      <c r="E27" s="172">
        <v>1</v>
      </c>
      <c r="F27" s="172">
        <v>0</v>
      </c>
      <c r="G27" s="172">
        <f t="shared" si="0"/>
        <v>1</v>
      </c>
      <c r="H27" s="173">
        <v>70000</v>
      </c>
      <c r="I27" s="173">
        <v>85000</v>
      </c>
      <c r="J27" s="173">
        <f t="shared" si="1"/>
        <v>70000</v>
      </c>
    </row>
    <row r="28" spans="2:17" x14ac:dyDescent="0.3">
      <c r="B28" s="171" t="s">
        <v>243</v>
      </c>
      <c r="C28" s="174" t="s">
        <v>620</v>
      </c>
      <c r="D28" s="172" t="s">
        <v>65</v>
      </c>
      <c r="E28" s="172" t="s">
        <v>214</v>
      </c>
      <c r="F28" s="172">
        <v>0</v>
      </c>
      <c r="G28" s="172">
        <f t="shared" si="0"/>
        <v>5</v>
      </c>
      <c r="H28" s="173">
        <v>75000</v>
      </c>
      <c r="I28" s="173">
        <v>89000</v>
      </c>
      <c r="J28" s="173">
        <f t="shared" si="1"/>
        <v>375000</v>
      </c>
    </row>
    <row r="29" spans="2:17" x14ac:dyDescent="0.3">
      <c r="B29" s="171" t="s">
        <v>244</v>
      </c>
      <c r="C29" s="174" t="s">
        <v>621</v>
      </c>
      <c r="D29" s="172" t="s">
        <v>65</v>
      </c>
      <c r="E29" s="172">
        <v>1</v>
      </c>
      <c r="F29" s="172">
        <v>0</v>
      </c>
      <c r="G29" s="172">
        <f t="shared" si="0"/>
        <v>1</v>
      </c>
      <c r="H29" s="173">
        <v>70000</v>
      </c>
      <c r="I29" s="173">
        <v>85000</v>
      </c>
      <c r="J29" s="173">
        <f t="shared" si="1"/>
        <v>70000</v>
      </c>
    </row>
    <row r="30" spans="2:17" x14ac:dyDescent="0.3">
      <c r="B30" s="171" t="s">
        <v>245</v>
      </c>
      <c r="C30" s="174" t="s">
        <v>622</v>
      </c>
      <c r="D30" s="172" t="s">
        <v>65</v>
      </c>
      <c r="E30" s="172" t="s">
        <v>974</v>
      </c>
      <c r="F30" s="172">
        <v>0</v>
      </c>
      <c r="G30" s="172">
        <f t="shared" si="0"/>
        <v>2</v>
      </c>
      <c r="H30" s="173">
        <v>65000</v>
      </c>
      <c r="I30" s="173">
        <v>80000</v>
      </c>
      <c r="J30" s="173">
        <f t="shared" si="1"/>
        <v>130000</v>
      </c>
    </row>
    <row r="31" spans="2:17" x14ac:dyDescent="0.3">
      <c r="B31" s="171" t="s">
        <v>246</v>
      </c>
      <c r="C31" s="174" t="s">
        <v>623</v>
      </c>
      <c r="D31" s="172" t="s">
        <v>65</v>
      </c>
      <c r="E31" s="172">
        <v>0</v>
      </c>
      <c r="F31" s="172">
        <v>0</v>
      </c>
      <c r="G31" s="172">
        <f t="shared" si="0"/>
        <v>0</v>
      </c>
      <c r="H31" s="173">
        <v>70000</v>
      </c>
      <c r="I31" s="173">
        <v>85000</v>
      </c>
      <c r="J31" s="173">
        <f t="shared" si="1"/>
        <v>0</v>
      </c>
    </row>
    <row r="32" spans="2:17" x14ac:dyDescent="0.3">
      <c r="B32" s="171" t="s">
        <v>247</v>
      </c>
      <c r="C32" s="174" t="s">
        <v>624</v>
      </c>
      <c r="D32" s="172" t="s">
        <v>65</v>
      </c>
      <c r="E32" s="172">
        <v>3</v>
      </c>
      <c r="F32" s="172">
        <v>0</v>
      </c>
      <c r="G32" s="172">
        <f t="shared" si="0"/>
        <v>3</v>
      </c>
      <c r="H32" s="173">
        <v>44000</v>
      </c>
      <c r="I32" s="173">
        <v>65000</v>
      </c>
      <c r="J32" s="173">
        <f t="shared" si="1"/>
        <v>132000</v>
      </c>
    </row>
    <row r="33" spans="2:10" x14ac:dyDescent="0.3">
      <c r="B33" s="171" t="s">
        <v>248</v>
      </c>
      <c r="C33" s="174" t="s">
        <v>625</v>
      </c>
      <c r="D33" s="172" t="s">
        <v>65</v>
      </c>
      <c r="E33" s="172">
        <v>1</v>
      </c>
      <c r="F33" s="172">
        <v>0</v>
      </c>
      <c r="G33" s="172">
        <f t="shared" si="0"/>
        <v>1</v>
      </c>
      <c r="H33" s="173">
        <v>10000</v>
      </c>
      <c r="I33" s="173">
        <v>23000</v>
      </c>
      <c r="J33" s="173">
        <f t="shared" si="1"/>
        <v>10000</v>
      </c>
    </row>
    <row r="34" spans="2:10" x14ac:dyDescent="0.3">
      <c r="B34" s="171" t="s">
        <v>249</v>
      </c>
      <c r="C34" s="174" t="s">
        <v>626</v>
      </c>
      <c r="D34" s="172" t="s">
        <v>65</v>
      </c>
      <c r="E34" s="172">
        <v>2</v>
      </c>
      <c r="F34" s="172">
        <v>0</v>
      </c>
      <c r="G34" s="172">
        <f t="shared" si="0"/>
        <v>2</v>
      </c>
      <c r="H34" s="173">
        <v>6000</v>
      </c>
      <c r="I34" s="173">
        <v>10000</v>
      </c>
      <c r="J34" s="173">
        <f t="shared" si="1"/>
        <v>12000</v>
      </c>
    </row>
    <row r="35" spans="2:10" x14ac:dyDescent="0.3">
      <c r="B35" s="171" t="s">
        <v>250</v>
      </c>
      <c r="C35" s="174" t="s">
        <v>627</v>
      </c>
      <c r="D35" s="172" t="s">
        <v>65</v>
      </c>
      <c r="E35" s="172">
        <v>3</v>
      </c>
      <c r="F35" s="172">
        <v>0</v>
      </c>
      <c r="G35" s="172">
        <f t="shared" si="0"/>
        <v>3</v>
      </c>
      <c r="H35" s="173">
        <v>50000</v>
      </c>
      <c r="I35" s="173">
        <v>65000</v>
      </c>
      <c r="J35" s="173">
        <f t="shared" si="1"/>
        <v>150000</v>
      </c>
    </row>
    <row r="36" spans="2:10" x14ac:dyDescent="0.3">
      <c r="B36" s="171" t="s">
        <v>251</v>
      </c>
      <c r="C36" s="174" t="s">
        <v>628</v>
      </c>
      <c r="D36" s="172" t="s">
        <v>65</v>
      </c>
      <c r="E36" s="172" t="s">
        <v>974</v>
      </c>
      <c r="F36" s="172">
        <v>0</v>
      </c>
      <c r="G36" s="172">
        <f t="shared" si="0"/>
        <v>2</v>
      </c>
      <c r="H36" s="173">
        <v>6000</v>
      </c>
      <c r="I36" s="173">
        <v>10000</v>
      </c>
      <c r="J36" s="173">
        <f t="shared" si="1"/>
        <v>12000</v>
      </c>
    </row>
    <row r="37" spans="2:10" x14ac:dyDescent="0.3">
      <c r="B37" s="171" t="s">
        <v>252</v>
      </c>
      <c r="C37" s="174" t="s">
        <v>629</v>
      </c>
      <c r="D37" s="172" t="s">
        <v>65</v>
      </c>
      <c r="E37" s="172">
        <v>7</v>
      </c>
      <c r="F37" s="172">
        <v>0</v>
      </c>
      <c r="G37" s="172">
        <f t="shared" si="0"/>
        <v>7</v>
      </c>
      <c r="H37" s="173">
        <v>6000</v>
      </c>
      <c r="I37" s="173">
        <v>10000</v>
      </c>
      <c r="J37" s="173">
        <f t="shared" si="1"/>
        <v>42000</v>
      </c>
    </row>
    <row r="38" spans="2:10" x14ac:dyDescent="0.3">
      <c r="B38" s="171" t="s">
        <v>253</v>
      </c>
      <c r="C38" s="174" t="s">
        <v>630</v>
      </c>
      <c r="D38" s="172" t="s">
        <v>65</v>
      </c>
      <c r="E38" s="172" t="s">
        <v>973</v>
      </c>
      <c r="F38" s="172">
        <v>0</v>
      </c>
      <c r="G38" s="172">
        <f t="shared" si="0"/>
        <v>3</v>
      </c>
      <c r="H38" s="173">
        <v>6000</v>
      </c>
      <c r="I38" s="173">
        <v>10000</v>
      </c>
      <c r="J38" s="173">
        <f t="shared" si="1"/>
        <v>18000</v>
      </c>
    </row>
    <row r="39" spans="2:10" x14ac:dyDescent="0.3">
      <c r="B39" s="171" t="s">
        <v>254</v>
      </c>
      <c r="C39" s="174" t="s">
        <v>631</v>
      </c>
      <c r="D39" s="172" t="s">
        <v>65</v>
      </c>
      <c r="E39" s="172">
        <v>1</v>
      </c>
      <c r="F39" s="172">
        <v>0</v>
      </c>
      <c r="G39" s="172">
        <f t="shared" si="0"/>
        <v>1</v>
      </c>
      <c r="H39" s="173">
        <v>6000</v>
      </c>
      <c r="I39" s="173">
        <v>15000</v>
      </c>
      <c r="J39" s="173">
        <f t="shared" si="1"/>
        <v>6000</v>
      </c>
    </row>
    <row r="40" spans="2:10" x14ac:dyDescent="0.3">
      <c r="B40" s="171" t="s">
        <v>255</v>
      </c>
      <c r="C40" s="174" t="s">
        <v>632</v>
      </c>
      <c r="D40" s="172" t="s">
        <v>65</v>
      </c>
      <c r="E40" s="172">
        <v>4</v>
      </c>
      <c r="F40" s="172">
        <v>0</v>
      </c>
      <c r="G40" s="172">
        <f t="shared" si="0"/>
        <v>4</v>
      </c>
      <c r="H40" s="173">
        <v>6000</v>
      </c>
      <c r="I40" s="173">
        <v>10000</v>
      </c>
      <c r="J40" s="173">
        <f t="shared" si="1"/>
        <v>24000</v>
      </c>
    </row>
    <row r="41" spans="2:10" x14ac:dyDescent="0.3">
      <c r="B41" s="171" t="s">
        <v>256</v>
      </c>
      <c r="C41" s="174" t="s">
        <v>633</v>
      </c>
      <c r="D41" s="172" t="s">
        <v>65</v>
      </c>
      <c r="E41" s="172">
        <v>2</v>
      </c>
      <c r="F41" s="172">
        <v>0</v>
      </c>
      <c r="G41" s="172">
        <f t="shared" si="0"/>
        <v>2</v>
      </c>
      <c r="H41" s="173">
        <v>60000</v>
      </c>
      <c r="I41" s="173">
        <v>80000</v>
      </c>
      <c r="J41" s="173">
        <f t="shared" si="1"/>
        <v>120000</v>
      </c>
    </row>
    <row r="42" spans="2:10" x14ac:dyDescent="0.3">
      <c r="B42" s="171" t="s">
        <v>257</v>
      </c>
      <c r="C42" s="174" t="s">
        <v>634</v>
      </c>
      <c r="D42" s="172" t="s">
        <v>65</v>
      </c>
      <c r="E42" s="172">
        <v>3</v>
      </c>
      <c r="F42" s="172">
        <v>0</v>
      </c>
      <c r="G42" s="172">
        <f t="shared" si="0"/>
        <v>3</v>
      </c>
      <c r="H42" s="173">
        <v>70000</v>
      </c>
      <c r="I42" s="173">
        <v>80000</v>
      </c>
      <c r="J42" s="173">
        <f t="shared" si="1"/>
        <v>210000</v>
      </c>
    </row>
    <row r="43" spans="2:10" x14ac:dyDescent="0.3">
      <c r="B43" s="171" t="s">
        <v>258</v>
      </c>
      <c r="C43" s="174" t="s">
        <v>635</v>
      </c>
      <c r="D43" s="172" t="s">
        <v>65</v>
      </c>
      <c r="E43" s="172">
        <v>3</v>
      </c>
      <c r="F43" s="172">
        <v>0</v>
      </c>
      <c r="G43" s="172">
        <f t="shared" si="0"/>
        <v>3</v>
      </c>
      <c r="H43" s="173">
        <v>60000</v>
      </c>
      <c r="I43" s="173">
        <v>85000</v>
      </c>
      <c r="J43" s="173">
        <f t="shared" si="1"/>
        <v>180000</v>
      </c>
    </row>
    <row r="44" spans="2:10" x14ac:dyDescent="0.3">
      <c r="B44" s="171" t="s">
        <v>259</v>
      </c>
      <c r="C44" s="174" t="s">
        <v>636</v>
      </c>
      <c r="D44" s="172" t="s">
        <v>65</v>
      </c>
      <c r="E44" s="172">
        <v>1</v>
      </c>
      <c r="F44" s="172">
        <v>0</v>
      </c>
      <c r="G44" s="172">
        <f t="shared" si="0"/>
        <v>1</v>
      </c>
      <c r="H44" s="173">
        <v>6000</v>
      </c>
      <c r="I44" s="173">
        <v>10000</v>
      </c>
      <c r="J44" s="173">
        <f t="shared" si="1"/>
        <v>6000</v>
      </c>
    </row>
    <row r="45" spans="2:10" x14ac:dyDescent="0.3">
      <c r="B45" s="171" t="s">
        <v>260</v>
      </c>
      <c r="C45" s="174" t="s">
        <v>637</v>
      </c>
      <c r="D45" s="172" t="s">
        <v>65</v>
      </c>
      <c r="E45" s="172">
        <v>3</v>
      </c>
      <c r="F45" s="172">
        <v>0</v>
      </c>
      <c r="G45" s="172">
        <f t="shared" si="0"/>
        <v>3</v>
      </c>
      <c r="H45" s="173">
        <v>6000</v>
      </c>
      <c r="I45" s="173">
        <v>10000</v>
      </c>
      <c r="J45" s="173">
        <f t="shared" si="1"/>
        <v>18000</v>
      </c>
    </row>
    <row r="46" spans="2:10" x14ac:dyDescent="0.3">
      <c r="B46" s="171" t="s">
        <v>261</v>
      </c>
      <c r="C46" s="174" t="s">
        <v>638</v>
      </c>
      <c r="D46" s="172" t="s">
        <v>65</v>
      </c>
      <c r="E46" s="172">
        <v>5</v>
      </c>
      <c r="F46" s="172">
        <v>0</v>
      </c>
      <c r="G46" s="172">
        <f t="shared" si="0"/>
        <v>5</v>
      </c>
      <c r="H46" s="173">
        <v>6000</v>
      </c>
      <c r="I46" s="173">
        <v>10000</v>
      </c>
      <c r="J46" s="173">
        <f t="shared" si="1"/>
        <v>30000</v>
      </c>
    </row>
    <row r="47" spans="2:10" x14ac:dyDescent="0.3">
      <c r="B47" s="171" t="s">
        <v>262</v>
      </c>
      <c r="C47" s="174" t="s">
        <v>639</v>
      </c>
      <c r="D47" s="172" t="s">
        <v>65</v>
      </c>
      <c r="E47" s="172">
        <v>5</v>
      </c>
      <c r="F47" s="172">
        <v>0</v>
      </c>
      <c r="G47" s="172">
        <f t="shared" si="0"/>
        <v>5</v>
      </c>
      <c r="H47" s="173">
        <v>11000</v>
      </c>
      <c r="I47" s="173">
        <v>18000</v>
      </c>
      <c r="J47" s="173">
        <f t="shared" si="1"/>
        <v>55000</v>
      </c>
    </row>
    <row r="48" spans="2:10" x14ac:dyDescent="0.3">
      <c r="B48" s="171" t="s">
        <v>263</v>
      </c>
      <c r="C48" s="174" t="s">
        <v>640</v>
      </c>
      <c r="D48" s="172" t="s">
        <v>65</v>
      </c>
      <c r="E48" s="172">
        <v>1</v>
      </c>
      <c r="F48" s="172">
        <v>0</v>
      </c>
      <c r="G48" s="172">
        <f t="shared" si="0"/>
        <v>1</v>
      </c>
      <c r="H48" s="173">
        <v>32000</v>
      </c>
      <c r="I48" s="173">
        <v>50000</v>
      </c>
      <c r="J48" s="173">
        <f t="shared" si="1"/>
        <v>32000</v>
      </c>
    </row>
    <row r="49" spans="2:10" x14ac:dyDescent="0.3">
      <c r="B49" s="171" t="s">
        <v>264</v>
      </c>
      <c r="C49" s="174" t="s">
        <v>641</v>
      </c>
      <c r="D49" s="172" t="s">
        <v>65</v>
      </c>
      <c r="E49" s="172">
        <v>4</v>
      </c>
      <c r="F49" s="172">
        <v>0</v>
      </c>
      <c r="G49" s="172">
        <f t="shared" si="0"/>
        <v>4</v>
      </c>
      <c r="H49" s="173">
        <v>55000</v>
      </c>
      <c r="I49" s="173">
        <v>73000</v>
      </c>
      <c r="J49" s="173">
        <f t="shared" si="1"/>
        <v>220000</v>
      </c>
    </row>
    <row r="50" spans="2:10" x14ac:dyDescent="0.3">
      <c r="B50" s="171" t="s">
        <v>265</v>
      </c>
      <c r="C50" s="174" t="s">
        <v>604</v>
      </c>
      <c r="D50" s="172" t="s">
        <v>65</v>
      </c>
      <c r="E50" s="172" t="s">
        <v>974</v>
      </c>
      <c r="F50" s="172">
        <v>0</v>
      </c>
      <c r="G50" s="172">
        <f t="shared" si="0"/>
        <v>2</v>
      </c>
      <c r="H50" s="173">
        <v>25000</v>
      </c>
      <c r="I50" s="173">
        <v>35000</v>
      </c>
      <c r="J50" s="173">
        <f t="shared" si="1"/>
        <v>50000</v>
      </c>
    </row>
    <row r="51" spans="2:10" x14ac:dyDescent="0.3">
      <c r="B51" s="171" t="s">
        <v>266</v>
      </c>
      <c r="C51" s="174" t="s">
        <v>642</v>
      </c>
      <c r="D51" s="172" t="s">
        <v>65</v>
      </c>
      <c r="E51" s="172">
        <v>4</v>
      </c>
      <c r="F51" s="172">
        <v>0</v>
      </c>
      <c r="G51" s="172">
        <f t="shared" si="0"/>
        <v>4</v>
      </c>
      <c r="H51" s="173">
        <v>30000</v>
      </c>
      <c r="I51" s="173">
        <v>37000</v>
      </c>
      <c r="J51" s="173">
        <f t="shared" si="1"/>
        <v>120000</v>
      </c>
    </row>
    <row r="52" spans="2:10" x14ac:dyDescent="0.3">
      <c r="B52" s="171" t="s">
        <v>267</v>
      </c>
      <c r="C52" s="174" t="s">
        <v>643</v>
      </c>
      <c r="D52" s="172" t="s">
        <v>65</v>
      </c>
      <c r="E52" s="172">
        <v>1</v>
      </c>
      <c r="F52" s="172">
        <v>0</v>
      </c>
      <c r="G52" s="172">
        <f t="shared" si="0"/>
        <v>1</v>
      </c>
      <c r="H52" s="173">
        <v>13000</v>
      </c>
      <c r="I52" s="173">
        <v>25000</v>
      </c>
      <c r="J52" s="173">
        <f t="shared" si="1"/>
        <v>13000</v>
      </c>
    </row>
    <row r="53" spans="2:10" x14ac:dyDescent="0.3">
      <c r="B53" s="171" t="s">
        <v>268</v>
      </c>
      <c r="C53" s="174" t="s">
        <v>644</v>
      </c>
      <c r="D53" s="172" t="s">
        <v>65</v>
      </c>
      <c r="E53" s="172">
        <v>1</v>
      </c>
      <c r="F53" s="172">
        <v>0</v>
      </c>
      <c r="G53" s="172">
        <f t="shared" si="0"/>
        <v>1</v>
      </c>
      <c r="H53" s="173">
        <v>6000</v>
      </c>
      <c r="I53" s="173">
        <v>10000</v>
      </c>
      <c r="J53" s="173">
        <f t="shared" si="1"/>
        <v>6000</v>
      </c>
    </row>
    <row r="54" spans="2:10" x14ac:dyDescent="0.3">
      <c r="B54" s="171" t="s">
        <v>269</v>
      </c>
      <c r="C54" s="174" t="s">
        <v>645</v>
      </c>
      <c r="D54" s="172" t="s">
        <v>65</v>
      </c>
      <c r="E54" s="172">
        <v>0</v>
      </c>
      <c r="F54" s="172">
        <v>0</v>
      </c>
      <c r="G54" s="172">
        <f t="shared" si="0"/>
        <v>0</v>
      </c>
      <c r="H54" s="173">
        <v>6000</v>
      </c>
      <c r="I54" s="173">
        <v>10000</v>
      </c>
      <c r="J54" s="173">
        <f t="shared" si="1"/>
        <v>0</v>
      </c>
    </row>
    <row r="55" spans="2:10" x14ac:dyDescent="0.3">
      <c r="B55" s="171" t="s">
        <v>270</v>
      </c>
      <c r="C55" s="174" t="s">
        <v>646</v>
      </c>
      <c r="D55" s="172" t="s">
        <v>65</v>
      </c>
      <c r="E55" s="172">
        <v>2</v>
      </c>
      <c r="F55" s="172">
        <v>0</v>
      </c>
      <c r="G55" s="172">
        <f t="shared" si="0"/>
        <v>2</v>
      </c>
      <c r="H55" s="173">
        <v>6000</v>
      </c>
      <c r="I55" s="173">
        <v>10000</v>
      </c>
      <c r="J55" s="173">
        <f t="shared" si="1"/>
        <v>12000</v>
      </c>
    </row>
    <row r="56" spans="2:10" x14ac:dyDescent="0.3">
      <c r="B56" s="171" t="s">
        <v>271</v>
      </c>
      <c r="C56" s="174" t="s">
        <v>647</v>
      </c>
      <c r="D56" s="172" t="s">
        <v>65</v>
      </c>
      <c r="E56" s="172">
        <v>1</v>
      </c>
      <c r="F56" s="172">
        <v>0</v>
      </c>
      <c r="G56" s="172">
        <f t="shared" si="0"/>
        <v>1</v>
      </c>
      <c r="H56" s="173">
        <v>5000</v>
      </c>
      <c r="I56" s="173">
        <v>10000</v>
      </c>
      <c r="J56" s="173">
        <f t="shared" si="1"/>
        <v>5000</v>
      </c>
    </row>
    <row r="57" spans="2:10" x14ac:dyDescent="0.3">
      <c r="B57" s="171" t="s">
        <v>272</v>
      </c>
      <c r="C57" s="174" t="s">
        <v>648</v>
      </c>
      <c r="D57" s="172" t="s">
        <v>65</v>
      </c>
      <c r="E57" s="172">
        <v>5</v>
      </c>
      <c r="F57" s="172">
        <v>0</v>
      </c>
      <c r="G57" s="172">
        <f t="shared" si="0"/>
        <v>5</v>
      </c>
      <c r="H57" s="173">
        <v>24000</v>
      </c>
      <c r="I57" s="173">
        <v>32000</v>
      </c>
      <c r="J57" s="173">
        <f t="shared" si="1"/>
        <v>120000</v>
      </c>
    </row>
    <row r="58" spans="2:10" x14ac:dyDescent="0.3">
      <c r="B58" s="171" t="s">
        <v>273</v>
      </c>
      <c r="C58" s="174" t="s">
        <v>649</v>
      </c>
      <c r="D58" s="172" t="s">
        <v>65</v>
      </c>
      <c r="E58" s="172">
        <v>1</v>
      </c>
      <c r="F58" s="172">
        <v>0</v>
      </c>
      <c r="G58" s="172">
        <f t="shared" si="0"/>
        <v>1</v>
      </c>
      <c r="H58" s="173">
        <v>24000</v>
      </c>
      <c r="I58" s="173">
        <v>38000</v>
      </c>
      <c r="J58" s="173">
        <f t="shared" si="1"/>
        <v>24000</v>
      </c>
    </row>
    <row r="59" spans="2:10" x14ac:dyDescent="0.3">
      <c r="B59" s="171" t="s">
        <v>274</v>
      </c>
      <c r="C59" s="174" t="s">
        <v>650</v>
      </c>
      <c r="D59" s="172" t="s">
        <v>65</v>
      </c>
      <c r="E59" s="172">
        <v>1</v>
      </c>
      <c r="F59" s="172">
        <v>0</v>
      </c>
      <c r="G59" s="172">
        <f t="shared" si="0"/>
        <v>1</v>
      </c>
      <c r="H59" s="173">
        <v>29000</v>
      </c>
      <c r="I59" s="173">
        <v>45000</v>
      </c>
      <c r="J59" s="173">
        <f t="shared" si="1"/>
        <v>29000</v>
      </c>
    </row>
    <row r="60" spans="2:10" x14ac:dyDescent="0.3">
      <c r="B60" s="171" t="s">
        <v>275</v>
      </c>
      <c r="C60" s="174" t="s">
        <v>651</v>
      </c>
      <c r="D60" s="172" t="s">
        <v>65</v>
      </c>
      <c r="E60" s="172">
        <v>5</v>
      </c>
      <c r="F60" s="172">
        <v>0</v>
      </c>
      <c r="G60" s="172">
        <f t="shared" si="0"/>
        <v>5</v>
      </c>
      <c r="H60" s="173">
        <v>12000</v>
      </c>
      <c r="I60" s="173">
        <v>17000</v>
      </c>
      <c r="J60" s="173">
        <f t="shared" si="1"/>
        <v>60000</v>
      </c>
    </row>
    <row r="61" spans="2:10" x14ac:dyDescent="0.3">
      <c r="B61" s="171" t="s">
        <v>276</v>
      </c>
      <c r="C61" s="174" t="s">
        <v>652</v>
      </c>
      <c r="D61" s="172" t="s">
        <v>65</v>
      </c>
      <c r="E61" s="172">
        <v>8</v>
      </c>
      <c r="F61" s="172">
        <v>0</v>
      </c>
      <c r="G61" s="172">
        <f t="shared" si="0"/>
        <v>8</v>
      </c>
      <c r="H61" s="173">
        <v>13000</v>
      </c>
      <c r="I61" s="173">
        <v>18000</v>
      </c>
      <c r="J61" s="173">
        <f t="shared" si="1"/>
        <v>104000</v>
      </c>
    </row>
    <row r="62" spans="2:10" x14ac:dyDescent="0.3">
      <c r="B62" s="171" t="s">
        <v>277</v>
      </c>
      <c r="C62" s="174" t="s">
        <v>653</v>
      </c>
      <c r="D62" s="172" t="s">
        <v>65</v>
      </c>
      <c r="E62" s="172">
        <v>0</v>
      </c>
      <c r="F62" s="172">
        <v>0</v>
      </c>
      <c r="G62" s="172">
        <f t="shared" si="0"/>
        <v>0</v>
      </c>
      <c r="H62" s="173">
        <v>6000</v>
      </c>
      <c r="I62" s="173">
        <v>10000</v>
      </c>
      <c r="J62" s="173">
        <f t="shared" si="1"/>
        <v>0</v>
      </c>
    </row>
    <row r="63" spans="2:10" x14ac:dyDescent="0.3">
      <c r="B63" s="171" t="s">
        <v>278</v>
      </c>
      <c r="C63" s="174" t="s">
        <v>654</v>
      </c>
      <c r="D63" s="172" t="s">
        <v>65</v>
      </c>
      <c r="E63" s="172" t="s">
        <v>212</v>
      </c>
      <c r="F63" s="172">
        <v>0</v>
      </c>
      <c r="G63" s="172">
        <f t="shared" si="0"/>
        <v>10</v>
      </c>
      <c r="H63" s="173">
        <v>8000</v>
      </c>
      <c r="I63" s="173">
        <v>15000</v>
      </c>
      <c r="J63" s="173">
        <f t="shared" si="1"/>
        <v>80000</v>
      </c>
    </row>
    <row r="64" spans="2:10" x14ac:dyDescent="0.3">
      <c r="B64" s="171" t="s">
        <v>279</v>
      </c>
      <c r="C64" s="174" t="s">
        <v>655</v>
      </c>
      <c r="D64" s="172" t="s">
        <v>65</v>
      </c>
      <c r="E64" s="172" t="s">
        <v>213</v>
      </c>
      <c r="F64" s="172">
        <v>0</v>
      </c>
      <c r="G64" s="172">
        <f t="shared" si="0"/>
        <v>8</v>
      </c>
      <c r="H64" s="173">
        <v>7500</v>
      </c>
      <c r="I64" s="173">
        <v>15000</v>
      </c>
      <c r="J64" s="173">
        <f t="shared" si="1"/>
        <v>60000</v>
      </c>
    </row>
    <row r="65" spans="2:10" x14ac:dyDescent="0.3">
      <c r="B65" s="171" t="s">
        <v>280</v>
      </c>
      <c r="C65" s="174" t="s">
        <v>656</v>
      </c>
      <c r="D65" s="172" t="s">
        <v>65</v>
      </c>
      <c r="E65" s="172">
        <v>12</v>
      </c>
      <c r="F65" s="172">
        <v>0</v>
      </c>
      <c r="G65" s="172">
        <f t="shared" si="0"/>
        <v>12</v>
      </c>
      <c r="H65" s="173">
        <v>7500</v>
      </c>
      <c r="I65" s="173">
        <v>15000</v>
      </c>
      <c r="J65" s="173">
        <f t="shared" si="1"/>
        <v>90000</v>
      </c>
    </row>
    <row r="66" spans="2:10" x14ac:dyDescent="0.3">
      <c r="B66" s="171" t="s">
        <v>281</v>
      </c>
      <c r="C66" s="174" t="s">
        <v>657</v>
      </c>
      <c r="D66" s="172" t="s">
        <v>65</v>
      </c>
      <c r="E66" s="172">
        <v>2</v>
      </c>
      <c r="F66" s="172">
        <v>0</v>
      </c>
      <c r="G66" s="172">
        <f t="shared" si="0"/>
        <v>2</v>
      </c>
      <c r="H66" s="173">
        <v>5000</v>
      </c>
      <c r="I66" s="173">
        <v>15000</v>
      </c>
      <c r="J66" s="173">
        <f t="shared" si="1"/>
        <v>10000</v>
      </c>
    </row>
    <row r="67" spans="2:10" x14ac:dyDescent="0.3">
      <c r="B67" s="171" t="s">
        <v>282</v>
      </c>
      <c r="C67" s="174" t="s">
        <v>658</v>
      </c>
      <c r="D67" s="172" t="s">
        <v>65</v>
      </c>
      <c r="E67" s="172">
        <v>0</v>
      </c>
      <c r="F67" s="172">
        <v>0</v>
      </c>
      <c r="G67" s="172">
        <f t="shared" si="0"/>
        <v>0</v>
      </c>
      <c r="H67" s="173">
        <v>5000</v>
      </c>
      <c r="I67" s="173">
        <v>15000</v>
      </c>
      <c r="J67" s="173">
        <f t="shared" si="1"/>
        <v>0</v>
      </c>
    </row>
    <row r="68" spans="2:10" x14ac:dyDescent="0.3">
      <c r="B68" s="171" t="s">
        <v>283</v>
      </c>
      <c r="C68" s="174" t="s">
        <v>659</v>
      </c>
      <c r="D68" s="172" t="s">
        <v>65</v>
      </c>
      <c r="E68" s="172">
        <v>6</v>
      </c>
      <c r="F68" s="172">
        <v>0</v>
      </c>
      <c r="G68" s="172">
        <f t="shared" si="0"/>
        <v>6</v>
      </c>
      <c r="H68" s="173">
        <v>10000</v>
      </c>
      <c r="I68" s="173">
        <v>15000</v>
      </c>
      <c r="J68" s="173">
        <f t="shared" si="1"/>
        <v>60000</v>
      </c>
    </row>
    <row r="69" spans="2:10" x14ac:dyDescent="0.3">
      <c r="B69" s="171" t="s">
        <v>284</v>
      </c>
      <c r="C69" s="174" t="s">
        <v>660</v>
      </c>
      <c r="D69" s="172" t="s">
        <v>65</v>
      </c>
      <c r="E69" s="172">
        <v>1</v>
      </c>
      <c r="F69" s="172">
        <v>0</v>
      </c>
      <c r="G69" s="172">
        <f t="shared" ref="G69:G132" si="3">IF(E69&lt;&gt;"",E69-F69,G69="")</f>
        <v>1</v>
      </c>
      <c r="H69" s="173">
        <v>5000</v>
      </c>
      <c r="I69" s="173">
        <v>15000</v>
      </c>
      <c r="J69" s="173">
        <f t="shared" ref="J69:J132" si="4">IF(E69&lt;&gt;"",E69*H69,"")</f>
        <v>5000</v>
      </c>
    </row>
    <row r="70" spans="2:10" x14ac:dyDescent="0.3">
      <c r="B70" s="171" t="s">
        <v>285</v>
      </c>
      <c r="C70" s="174" t="s">
        <v>661</v>
      </c>
      <c r="D70" s="172" t="s">
        <v>65</v>
      </c>
      <c r="E70" s="172">
        <v>4</v>
      </c>
      <c r="F70" s="172">
        <v>0</v>
      </c>
      <c r="G70" s="172">
        <f t="shared" si="3"/>
        <v>4</v>
      </c>
      <c r="H70" s="173">
        <v>5000</v>
      </c>
      <c r="I70" s="173">
        <v>15000</v>
      </c>
      <c r="J70" s="173">
        <f t="shared" si="4"/>
        <v>20000</v>
      </c>
    </row>
    <row r="71" spans="2:10" x14ac:dyDescent="0.3">
      <c r="B71" s="171" t="s">
        <v>286</v>
      </c>
      <c r="C71" s="174" t="s">
        <v>662</v>
      </c>
      <c r="D71" s="172" t="s">
        <v>65</v>
      </c>
      <c r="E71" s="172">
        <v>1</v>
      </c>
      <c r="F71" s="172">
        <v>0</v>
      </c>
      <c r="G71" s="172">
        <f t="shared" si="3"/>
        <v>1</v>
      </c>
      <c r="H71" s="173">
        <v>7500</v>
      </c>
      <c r="I71" s="173">
        <v>15000</v>
      </c>
      <c r="J71" s="173">
        <f t="shared" si="4"/>
        <v>7500</v>
      </c>
    </row>
    <row r="72" spans="2:10" x14ac:dyDescent="0.3">
      <c r="B72" s="171" t="s">
        <v>287</v>
      </c>
      <c r="C72" s="174" t="s">
        <v>663</v>
      </c>
      <c r="D72" s="172" t="s">
        <v>65</v>
      </c>
      <c r="E72" s="172" t="s">
        <v>218</v>
      </c>
      <c r="F72" s="172">
        <v>0</v>
      </c>
      <c r="G72" s="172">
        <f t="shared" si="3"/>
        <v>4</v>
      </c>
      <c r="H72" s="173">
        <v>7500</v>
      </c>
      <c r="I72" s="173">
        <v>15000</v>
      </c>
      <c r="J72" s="173">
        <f t="shared" si="4"/>
        <v>30000</v>
      </c>
    </row>
    <row r="73" spans="2:10" x14ac:dyDescent="0.3">
      <c r="B73" s="171" t="s">
        <v>288</v>
      </c>
      <c r="C73" s="174" t="s">
        <v>664</v>
      </c>
      <c r="D73" s="172" t="s">
        <v>65</v>
      </c>
      <c r="E73" s="172" t="s">
        <v>218</v>
      </c>
      <c r="F73" s="172">
        <v>0</v>
      </c>
      <c r="G73" s="172">
        <f t="shared" si="3"/>
        <v>4</v>
      </c>
      <c r="H73" s="173">
        <v>7500</v>
      </c>
      <c r="I73" s="173">
        <v>15000</v>
      </c>
      <c r="J73" s="173">
        <f t="shared" si="4"/>
        <v>30000</v>
      </c>
    </row>
    <row r="74" spans="2:10" x14ac:dyDescent="0.3">
      <c r="B74" s="171" t="s">
        <v>289</v>
      </c>
      <c r="C74" s="174" t="s">
        <v>665</v>
      </c>
      <c r="D74" s="172" t="s">
        <v>65</v>
      </c>
      <c r="E74" s="172">
        <v>6</v>
      </c>
      <c r="F74" s="172">
        <v>0</v>
      </c>
      <c r="G74" s="172">
        <f t="shared" si="3"/>
        <v>6</v>
      </c>
      <c r="H74" s="173">
        <v>7500</v>
      </c>
      <c r="I74" s="173">
        <v>15000</v>
      </c>
      <c r="J74" s="173">
        <f t="shared" si="4"/>
        <v>45000</v>
      </c>
    </row>
    <row r="75" spans="2:10" x14ac:dyDescent="0.3">
      <c r="B75" s="171" t="s">
        <v>290</v>
      </c>
      <c r="C75" s="174" t="s">
        <v>666</v>
      </c>
      <c r="D75" s="172" t="s">
        <v>65</v>
      </c>
      <c r="E75" s="172">
        <v>2</v>
      </c>
      <c r="F75" s="172">
        <v>0</v>
      </c>
      <c r="G75" s="172">
        <f t="shared" si="3"/>
        <v>2</v>
      </c>
      <c r="H75" s="173">
        <v>7500</v>
      </c>
      <c r="I75" s="173">
        <v>15000</v>
      </c>
      <c r="J75" s="173">
        <f t="shared" si="4"/>
        <v>15000</v>
      </c>
    </row>
    <row r="76" spans="2:10" x14ac:dyDescent="0.3">
      <c r="B76" s="171" t="s">
        <v>291</v>
      </c>
      <c r="C76" s="174" t="s">
        <v>667</v>
      </c>
      <c r="D76" s="172" t="s">
        <v>65</v>
      </c>
      <c r="E76" s="172">
        <v>7</v>
      </c>
      <c r="F76" s="172">
        <v>0</v>
      </c>
      <c r="G76" s="172">
        <f t="shared" si="3"/>
        <v>7</v>
      </c>
      <c r="H76" s="173">
        <v>7500</v>
      </c>
      <c r="I76" s="173">
        <v>15000</v>
      </c>
      <c r="J76" s="173">
        <f t="shared" si="4"/>
        <v>52500</v>
      </c>
    </row>
    <row r="77" spans="2:10" x14ac:dyDescent="0.3">
      <c r="B77" s="171" t="s">
        <v>292</v>
      </c>
      <c r="C77" s="174" t="s">
        <v>668</v>
      </c>
      <c r="D77" s="172" t="s">
        <v>65</v>
      </c>
      <c r="E77" s="172" t="s">
        <v>975</v>
      </c>
      <c r="F77" s="172">
        <v>0</v>
      </c>
      <c r="G77" s="172">
        <f t="shared" si="3"/>
        <v>6</v>
      </c>
      <c r="H77" s="173">
        <v>7500</v>
      </c>
      <c r="I77" s="173">
        <v>15000</v>
      </c>
      <c r="J77" s="173">
        <f t="shared" si="4"/>
        <v>45000</v>
      </c>
    </row>
    <row r="78" spans="2:10" x14ac:dyDescent="0.3">
      <c r="B78" s="171" t="s">
        <v>293</v>
      </c>
      <c r="C78" s="174" t="s">
        <v>669</v>
      </c>
      <c r="D78" s="172" t="s">
        <v>65</v>
      </c>
      <c r="E78" s="172">
        <v>2</v>
      </c>
      <c r="F78" s="172">
        <v>0</v>
      </c>
      <c r="G78" s="172">
        <f t="shared" si="3"/>
        <v>2</v>
      </c>
      <c r="H78" s="173">
        <v>7500</v>
      </c>
      <c r="I78" s="173">
        <v>15000</v>
      </c>
      <c r="J78" s="173">
        <f t="shared" si="4"/>
        <v>15000</v>
      </c>
    </row>
    <row r="79" spans="2:10" x14ac:dyDescent="0.3">
      <c r="B79" s="171" t="s">
        <v>294</v>
      </c>
      <c r="C79" s="174" t="s">
        <v>670</v>
      </c>
      <c r="D79" s="172" t="s">
        <v>65</v>
      </c>
      <c r="E79" s="172">
        <v>3</v>
      </c>
      <c r="F79" s="172">
        <v>0</v>
      </c>
      <c r="G79" s="172">
        <f t="shared" si="3"/>
        <v>3</v>
      </c>
      <c r="H79" s="173">
        <v>7500</v>
      </c>
      <c r="I79" s="173">
        <v>15000</v>
      </c>
      <c r="J79" s="173">
        <f t="shared" si="4"/>
        <v>22500</v>
      </c>
    </row>
    <row r="80" spans="2:10" x14ac:dyDescent="0.3">
      <c r="B80" s="171" t="s">
        <v>295</v>
      </c>
      <c r="C80" s="174" t="s">
        <v>671</v>
      </c>
      <c r="D80" s="172" t="s">
        <v>65</v>
      </c>
      <c r="E80" s="172">
        <v>0</v>
      </c>
      <c r="F80" s="172">
        <v>0</v>
      </c>
      <c r="G80" s="172">
        <f t="shared" si="3"/>
        <v>0</v>
      </c>
      <c r="H80" s="173">
        <v>7500</v>
      </c>
      <c r="I80" s="173">
        <v>15000</v>
      </c>
      <c r="J80" s="173">
        <f t="shared" si="4"/>
        <v>0</v>
      </c>
    </row>
    <row r="81" spans="2:10" x14ac:dyDescent="0.3">
      <c r="B81" s="171" t="s">
        <v>296</v>
      </c>
      <c r="C81" s="174" t="s">
        <v>672</v>
      </c>
      <c r="D81" s="172" t="s">
        <v>65</v>
      </c>
      <c r="E81" s="172" t="s">
        <v>974</v>
      </c>
      <c r="F81" s="172">
        <v>0</v>
      </c>
      <c r="G81" s="172">
        <f t="shared" si="3"/>
        <v>2</v>
      </c>
      <c r="H81" s="173">
        <v>7500</v>
      </c>
      <c r="I81" s="173">
        <v>15000</v>
      </c>
      <c r="J81" s="173">
        <f t="shared" si="4"/>
        <v>15000</v>
      </c>
    </row>
    <row r="82" spans="2:10" x14ac:dyDescent="0.3">
      <c r="B82" s="171" t="s">
        <v>297</v>
      </c>
      <c r="C82" s="174" t="s">
        <v>673</v>
      </c>
      <c r="D82" s="172" t="s">
        <v>65</v>
      </c>
      <c r="E82" s="172">
        <v>4</v>
      </c>
      <c r="F82" s="172">
        <v>0</v>
      </c>
      <c r="G82" s="172">
        <f t="shared" si="3"/>
        <v>4</v>
      </c>
      <c r="H82" s="173">
        <v>7500</v>
      </c>
      <c r="I82" s="173">
        <v>15000</v>
      </c>
      <c r="J82" s="173">
        <f t="shared" si="4"/>
        <v>30000</v>
      </c>
    </row>
    <row r="83" spans="2:10" x14ac:dyDescent="0.3">
      <c r="B83" s="171" t="s">
        <v>298</v>
      </c>
      <c r="C83" s="174" t="s">
        <v>674</v>
      </c>
      <c r="D83" s="172" t="s">
        <v>65</v>
      </c>
      <c r="E83" s="172">
        <v>9</v>
      </c>
      <c r="F83" s="172">
        <v>0</v>
      </c>
      <c r="G83" s="172">
        <f t="shared" si="3"/>
        <v>9</v>
      </c>
      <c r="H83" s="173">
        <v>22000</v>
      </c>
      <c r="I83" s="173">
        <v>28000</v>
      </c>
      <c r="J83" s="173">
        <f t="shared" si="4"/>
        <v>198000</v>
      </c>
    </row>
    <row r="84" spans="2:10" x14ac:dyDescent="0.3">
      <c r="B84" s="171" t="s">
        <v>299</v>
      </c>
      <c r="C84" s="174" t="s">
        <v>675</v>
      </c>
      <c r="D84" s="172" t="s">
        <v>65</v>
      </c>
      <c r="E84" s="172">
        <v>7</v>
      </c>
      <c r="F84" s="172">
        <v>0</v>
      </c>
      <c r="G84" s="172">
        <f t="shared" si="3"/>
        <v>7</v>
      </c>
      <c r="H84" s="173">
        <v>5000</v>
      </c>
      <c r="I84" s="173">
        <v>15000</v>
      </c>
      <c r="J84" s="173">
        <f t="shared" si="4"/>
        <v>35000</v>
      </c>
    </row>
    <row r="85" spans="2:10" x14ac:dyDescent="0.3">
      <c r="B85" s="171" t="s">
        <v>300</v>
      </c>
      <c r="C85" s="174" t="s">
        <v>676</v>
      </c>
      <c r="D85" s="172" t="s">
        <v>65</v>
      </c>
      <c r="E85" s="172">
        <v>2</v>
      </c>
      <c r="F85" s="172">
        <v>0</v>
      </c>
      <c r="G85" s="172">
        <f t="shared" si="3"/>
        <v>2</v>
      </c>
      <c r="H85" s="173">
        <v>5000</v>
      </c>
      <c r="I85" s="173">
        <v>15000</v>
      </c>
      <c r="J85" s="173">
        <f t="shared" si="4"/>
        <v>10000</v>
      </c>
    </row>
    <row r="86" spans="2:10" x14ac:dyDescent="0.3">
      <c r="B86" s="171" t="s">
        <v>301</v>
      </c>
      <c r="C86" s="174" t="s">
        <v>677</v>
      </c>
      <c r="D86" s="172" t="s">
        <v>65</v>
      </c>
      <c r="E86" s="172">
        <v>2</v>
      </c>
      <c r="F86" s="172">
        <v>0</v>
      </c>
      <c r="G86" s="172">
        <f t="shared" si="3"/>
        <v>2</v>
      </c>
      <c r="H86" s="173">
        <v>5000</v>
      </c>
      <c r="I86" s="173">
        <v>15000</v>
      </c>
      <c r="J86" s="173">
        <f t="shared" si="4"/>
        <v>10000</v>
      </c>
    </row>
    <row r="87" spans="2:10" x14ac:dyDescent="0.3">
      <c r="B87" s="171" t="s">
        <v>302</v>
      </c>
      <c r="C87" s="174" t="s">
        <v>678</v>
      </c>
      <c r="D87" s="172" t="s">
        <v>65</v>
      </c>
      <c r="E87" s="172">
        <v>4</v>
      </c>
      <c r="F87" s="172">
        <v>0</v>
      </c>
      <c r="G87" s="172">
        <f t="shared" si="3"/>
        <v>4</v>
      </c>
      <c r="H87" s="173">
        <v>7500</v>
      </c>
      <c r="I87" s="173">
        <v>15000</v>
      </c>
      <c r="J87" s="173">
        <f t="shared" si="4"/>
        <v>30000</v>
      </c>
    </row>
    <row r="88" spans="2:10" x14ac:dyDescent="0.3">
      <c r="B88" s="171" t="s">
        <v>303</v>
      </c>
      <c r="C88" s="174" t="s">
        <v>679</v>
      </c>
      <c r="D88" s="172" t="s">
        <v>65</v>
      </c>
      <c r="E88" s="172">
        <v>2</v>
      </c>
      <c r="F88" s="172">
        <v>0</v>
      </c>
      <c r="G88" s="172">
        <f t="shared" si="3"/>
        <v>2</v>
      </c>
      <c r="H88" s="173">
        <v>5000</v>
      </c>
      <c r="I88" s="173">
        <v>15000</v>
      </c>
      <c r="J88" s="173">
        <f t="shared" si="4"/>
        <v>10000</v>
      </c>
    </row>
    <row r="89" spans="2:10" x14ac:dyDescent="0.3">
      <c r="B89" s="171" t="s">
        <v>304</v>
      </c>
      <c r="C89" s="174" t="s">
        <v>680</v>
      </c>
      <c r="D89" s="172" t="s">
        <v>65</v>
      </c>
      <c r="E89" s="172">
        <v>1</v>
      </c>
      <c r="F89" s="172">
        <v>0</v>
      </c>
      <c r="G89" s="172">
        <f t="shared" si="3"/>
        <v>1</v>
      </c>
      <c r="H89" s="173">
        <v>5000</v>
      </c>
      <c r="I89" s="173">
        <v>15000</v>
      </c>
      <c r="J89" s="173">
        <f t="shared" si="4"/>
        <v>5000</v>
      </c>
    </row>
    <row r="90" spans="2:10" x14ac:dyDescent="0.3">
      <c r="B90" s="171" t="s">
        <v>305</v>
      </c>
      <c r="C90" s="174" t="s">
        <v>681</v>
      </c>
      <c r="D90" s="172" t="s">
        <v>65</v>
      </c>
      <c r="E90" s="172">
        <v>0</v>
      </c>
      <c r="F90" s="172">
        <v>0</v>
      </c>
      <c r="G90" s="172">
        <f t="shared" si="3"/>
        <v>0</v>
      </c>
      <c r="H90" s="173">
        <v>6000</v>
      </c>
      <c r="I90" s="173">
        <v>10000</v>
      </c>
      <c r="J90" s="173">
        <f t="shared" si="4"/>
        <v>0</v>
      </c>
    </row>
    <row r="91" spans="2:10" x14ac:dyDescent="0.3">
      <c r="B91" s="171" t="s">
        <v>306</v>
      </c>
      <c r="C91" s="174" t="s">
        <v>682</v>
      </c>
      <c r="D91" s="172" t="s">
        <v>65</v>
      </c>
      <c r="E91" s="172">
        <v>1</v>
      </c>
      <c r="F91" s="172">
        <v>0</v>
      </c>
      <c r="G91" s="172">
        <f t="shared" si="3"/>
        <v>1</v>
      </c>
      <c r="H91" s="173">
        <v>7500</v>
      </c>
      <c r="I91" s="173">
        <v>15000</v>
      </c>
      <c r="J91" s="173">
        <f t="shared" si="4"/>
        <v>7500</v>
      </c>
    </row>
    <row r="92" spans="2:10" x14ac:dyDescent="0.3">
      <c r="B92" s="171" t="s">
        <v>307</v>
      </c>
      <c r="C92" s="174" t="s">
        <v>683</v>
      </c>
      <c r="D92" s="172" t="s">
        <v>65</v>
      </c>
      <c r="E92" s="172">
        <v>2</v>
      </c>
      <c r="F92" s="172">
        <v>0</v>
      </c>
      <c r="G92" s="172">
        <f t="shared" si="3"/>
        <v>2</v>
      </c>
      <c r="H92" s="173">
        <v>7500</v>
      </c>
      <c r="I92" s="173">
        <v>15000</v>
      </c>
      <c r="J92" s="173">
        <f t="shared" si="4"/>
        <v>15000</v>
      </c>
    </row>
    <row r="93" spans="2:10" x14ac:dyDescent="0.3">
      <c r="B93" s="171" t="s">
        <v>308</v>
      </c>
      <c r="C93" s="174" t="s">
        <v>684</v>
      </c>
      <c r="D93" s="172" t="s">
        <v>65</v>
      </c>
      <c r="E93" s="172">
        <v>1</v>
      </c>
      <c r="F93" s="172">
        <v>0</v>
      </c>
      <c r="G93" s="172">
        <f t="shared" si="3"/>
        <v>1</v>
      </c>
      <c r="H93" s="173">
        <v>7500</v>
      </c>
      <c r="I93" s="173">
        <v>15000</v>
      </c>
      <c r="J93" s="173">
        <f t="shared" si="4"/>
        <v>7500</v>
      </c>
    </row>
    <row r="94" spans="2:10" x14ac:dyDescent="0.3">
      <c r="B94" s="171" t="s">
        <v>309</v>
      </c>
      <c r="C94" s="174" t="s">
        <v>685</v>
      </c>
      <c r="D94" s="172" t="s">
        <v>65</v>
      </c>
      <c r="E94" s="172">
        <v>3</v>
      </c>
      <c r="F94" s="172">
        <v>0</v>
      </c>
      <c r="G94" s="172">
        <f t="shared" si="3"/>
        <v>3</v>
      </c>
      <c r="H94" s="173">
        <v>7500</v>
      </c>
      <c r="I94" s="173">
        <v>15000</v>
      </c>
      <c r="J94" s="173">
        <f t="shared" si="4"/>
        <v>22500</v>
      </c>
    </row>
    <row r="95" spans="2:10" x14ac:dyDescent="0.3">
      <c r="B95" s="171" t="s">
        <v>310</v>
      </c>
      <c r="C95" s="174" t="s">
        <v>686</v>
      </c>
      <c r="D95" s="172" t="s">
        <v>65</v>
      </c>
      <c r="E95" s="172" t="s">
        <v>73</v>
      </c>
      <c r="F95" s="172">
        <v>0</v>
      </c>
      <c r="G95" s="172">
        <f t="shared" si="3"/>
        <v>9</v>
      </c>
      <c r="H95" s="173">
        <v>7500</v>
      </c>
      <c r="I95" s="173">
        <v>15000</v>
      </c>
      <c r="J95" s="173">
        <f t="shared" si="4"/>
        <v>67500</v>
      </c>
    </row>
    <row r="96" spans="2:10" x14ac:dyDescent="0.3">
      <c r="B96" s="171" t="s">
        <v>311</v>
      </c>
      <c r="C96" s="174" t="s">
        <v>687</v>
      </c>
      <c r="D96" s="172" t="s">
        <v>65</v>
      </c>
      <c r="E96" s="172">
        <v>0</v>
      </c>
      <c r="F96" s="172">
        <v>0</v>
      </c>
      <c r="G96" s="172">
        <f t="shared" si="3"/>
        <v>0</v>
      </c>
      <c r="H96" s="173">
        <v>7500</v>
      </c>
      <c r="I96" s="173">
        <v>15000</v>
      </c>
      <c r="J96" s="173">
        <f t="shared" si="4"/>
        <v>0</v>
      </c>
    </row>
    <row r="97" spans="2:10" x14ac:dyDescent="0.3">
      <c r="B97" s="171" t="s">
        <v>312</v>
      </c>
      <c r="C97" s="174" t="s">
        <v>688</v>
      </c>
      <c r="D97" s="172" t="s">
        <v>65</v>
      </c>
      <c r="E97" s="172">
        <v>0</v>
      </c>
      <c r="F97" s="172">
        <v>0</v>
      </c>
      <c r="G97" s="172">
        <f t="shared" si="3"/>
        <v>0</v>
      </c>
      <c r="H97" s="173">
        <v>7500</v>
      </c>
      <c r="I97" s="173">
        <v>15000</v>
      </c>
      <c r="J97" s="173">
        <f t="shared" si="4"/>
        <v>0</v>
      </c>
    </row>
    <row r="98" spans="2:10" x14ac:dyDescent="0.3">
      <c r="B98" s="171" t="s">
        <v>313</v>
      </c>
      <c r="C98" s="174" t="s">
        <v>689</v>
      </c>
      <c r="D98" s="172" t="s">
        <v>65</v>
      </c>
      <c r="E98" s="172">
        <v>2</v>
      </c>
      <c r="F98" s="172">
        <v>0</v>
      </c>
      <c r="G98" s="172">
        <f t="shared" si="3"/>
        <v>2</v>
      </c>
      <c r="H98" s="173">
        <v>7500</v>
      </c>
      <c r="I98" s="173">
        <v>15000</v>
      </c>
      <c r="J98" s="173">
        <f t="shared" si="4"/>
        <v>15000</v>
      </c>
    </row>
    <row r="99" spans="2:10" x14ac:dyDescent="0.3">
      <c r="B99" s="171" t="s">
        <v>314</v>
      </c>
      <c r="C99" s="174" t="s">
        <v>690</v>
      </c>
      <c r="D99" s="172" t="s">
        <v>65</v>
      </c>
      <c r="E99" s="172">
        <v>3</v>
      </c>
      <c r="F99" s="172">
        <v>0</v>
      </c>
      <c r="G99" s="172">
        <f t="shared" si="3"/>
        <v>3</v>
      </c>
      <c r="H99" s="173">
        <v>7500</v>
      </c>
      <c r="I99" s="173">
        <v>15000</v>
      </c>
      <c r="J99" s="173">
        <f t="shared" si="4"/>
        <v>22500</v>
      </c>
    </row>
    <row r="100" spans="2:10" x14ac:dyDescent="0.3">
      <c r="B100" s="171" t="s">
        <v>314</v>
      </c>
      <c r="C100" s="174" t="s">
        <v>690</v>
      </c>
      <c r="D100" s="172" t="s">
        <v>65</v>
      </c>
      <c r="E100" s="172">
        <v>4</v>
      </c>
      <c r="F100" s="172">
        <v>0</v>
      </c>
      <c r="G100" s="172">
        <f t="shared" si="3"/>
        <v>4</v>
      </c>
      <c r="H100" s="173">
        <v>7500</v>
      </c>
      <c r="I100" s="173">
        <v>15000</v>
      </c>
      <c r="J100" s="173">
        <f t="shared" si="4"/>
        <v>30000</v>
      </c>
    </row>
    <row r="101" spans="2:10" x14ac:dyDescent="0.3">
      <c r="B101" s="171" t="s">
        <v>315</v>
      </c>
      <c r="C101" s="174" t="s">
        <v>691</v>
      </c>
      <c r="D101" s="172" t="s">
        <v>65</v>
      </c>
      <c r="E101" s="172">
        <v>1</v>
      </c>
      <c r="F101" s="172">
        <v>0</v>
      </c>
      <c r="G101" s="172">
        <f t="shared" si="3"/>
        <v>1</v>
      </c>
      <c r="H101" s="173">
        <v>6000</v>
      </c>
      <c r="I101" s="173">
        <v>10000</v>
      </c>
      <c r="J101" s="173">
        <f t="shared" si="4"/>
        <v>6000</v>
      </c>
    </row>
    <row r="102" spans="2:10" x14ac:dyDescent="0.3">
      <c r="B102" s="171" t="s">
        <v>316</v>
      </c>
      <c r="C102" s="174" t="s">
        <v>692</v>
      </c>
      <c r="D102" s="172" t="s">
        <v>65</v>
      </c>
      <c r="E102" s="172">
        <v>3</v>
      </c>
      <c r="F102" s="172">
        <v>0</v>
      </c>
      <c r="G102" s="172">
        <f t="shared" si="3"/>
        <v>3</v>
      </c>
      <c r="H102" s="173">
        <v>6000</v>
      </c>
      <c r="I102" s="173">
        <v>10000</v>
      </c>
      <c r="J102" s="173">
        <f t="shared" si="4"/>
        <v>18000</v>
      </c>
    </row>
    <row r="103" spans="2:10" x14ac:dyDescent="0.3">
      <c r="B103" s="171" t="s">
        <v>317</v>
      </c>
      <c r="C103" s="174" t="s">
        <v>693</v>
      </c>
      <c r="D103" s="172" t="s">
        <v>65</v>
      </c>
      <c r="E103" s="172">
        <v>2</v>
      </c>
      <c r="F103" s="172">
        <v>0</v>
      </c>
      <c r="G103" s="172">
        <f t="shared" si="3"/>
        <v>2</v>
      </c>
      <c r="H103" s="173">
        <v>7500</v>
      </c>
      <c r="I103" s="173">
        <v>15000</v>
      </c>
      <c r="J103" s="173">
        <f t="shared" si="4"/>
        <v>15000</v>
      </c>
    </row>
    <row r="104" spans="2:10" x14ac:dyDescent="0.3">
      <c r="B104" s="171" t="s">
        <v>318</v>
      </c>
      <c r="C104" s="174" t="s">
        <v>694</v>
      </c>
      <c r="D104" s="172" t="s">
        <v>65</v>
      </c>
      <c r="E104" s="172">
        <v>3</v>
      </c>
      <c r="F104" s="172">
        <v>0</v>
      </c>
      <c r="G104" s="172">
        <f t="shared" si="3"/>
        <v>3</v>
      </c>
      <c r="H104" s="173">
        <v>7500</v>
      </c>
      <c r="I104" s="173">
        <v>15000</v>
      </c>
      <c r="J104" s="173">
        <f t="shared" si="4"/>
        <v>22500</v>
      </c>
    </row>
    <row r="105" spans="2:10" x14ac:dyDescent="0.3">
      <c r="B105" s="171" t="s">
        <v>319</v>
      </c>
      <c r="C105" s="174" t="s">
        <v>695</v>
      </c>
      <c r="D105" s="172" t="s">
        <v>65</v>
      </c>
      <c r="E105" s="172">
        <v>4</v>
      </c>
      <c r="F105" s="172">
        <v>0</v>
      </c>
      <c r="G105" s="172">
        <f t="shared" si="3"/>
        <v>4</v>
      </c>
      <c r="H105" s="173">
        <v>5000</v>
      </c>
      <c r="I105" s="173">
        <v>15000</v>
      </c>
      <c r="J105" s="173">
        <f t="shared" si="4"/>
        <v>20000</v>
      </c>
    </row>
    <row r="106" spans="2:10" x14ac:dyDescent="0.3">
      <c r="B106" s="171" t="s">
        <v>320</v>
      </c>
      <c r="C106" s="174" t="s">
        <v>696</v>
      </c>
      <c r="D106" s="172" t="s">
        <v>65</v>
      </c>
      <c r="E106" s="172">
        <v>4</v>
      </c>
      <c r="F106" s="172">
        <v>0</v>
      </c>
      <c r="G106" s="172">
        <f t="shared" si="3"/>
        <v>4</v>
      </c>
      <c r="H106" s="173">
        <v>7500</v>
      </c>
      <c r="I106" s="173">
        <v>15000</v>
      </c>
      <c r="J106" s="173">
        <f t="shared" si="4"/>
        <v>30000</v>
      </c>
    </row>
    <row r="107" spans="2:10" x14ac:dyDescent="0.3">
      <c r="B107" s="171" t="s">
        <v>320</v>
      </c>
      <c r="C107" s="174" t="s">
        <v>697</v>
      </c>
      <c r="D107" s="172" t="s">
        <v>65</v>
      </c>
      <c r="E107" s="172">
        <v>4</v>
      </c>
      <c r="F107" s="172">
        <v>0</v>
      </c>
      <c r="G107" s="172">
        <f t="shared" si="3"/>
        <v>4</v>
      </c>
      <c r="H107" s="173">
        <v>7500</v>
      </c>
      <c r="I107" s="173">
        <v>15000</v>
      </c>
      <c r="J107" s="173">
        <f t="shared" si="4"/>
        <v>30000</v>
      </c>
    </row>
    <row r="108" spans="2:10" x14ac:dyDescent="0.3">
      <c r="B108" s="171" t="s">
        <v>321</v>
      </c>
      <c r="C108" s="174" t="s">
        <v>698</v>
      </c>
      <c r="D108" s="172" t="s">
        <v>65</v>
      </c>
      <c r="E108" s="172">
        <v>1</v>
      </c>
      <c r="F108" s="172">
        <v>0</v>
      </c>
      <c r="G108" s="172">
        <f t="shared" si="3"/>
        <v>1</v>
      </c>
      <c r="H108" s="173">
        <v>7500</v>
      </c>
      <c r="I108" s="173">
        <v>15000</v>
      </c>
      <c r="J108" s="173">
        <f t="shared" si="4"/>
        <v>7500</v>
      </c>
    </row>
    <row r="109" spans="2:10" x14ac:dyDescent="0.3">
      <c r="B109" s="171" t="s">
        <v>322</v>
      </c>
      <c r="C109" s="174" t="s">
        <v>699</v>
      </c>
      <c r="D109" s="172" t="s">
        <v>65</v>
      </c>
      <c r="E109" s="172">
        <v>1</v>
      </c>
      <c r="F109" s="172">
        <v>0</v>
      </c>
      <c r="G109" s="172">
        <f t="shared" si="3"/>
        <v>1</v>
      </c>
      <c r="H109" s="173">
        <v>7500</v>
      </c>
      <c r="I109" s="173">
        <v>15000</v>
      </c>
      <c r="J109" s="173">
        <f t="shared" si="4"/>
        <v>7500</v>
      </c>
    </row>
    <row r="110" spans="2:10" x14ac:dyDescent="0.3">
      <c r="B110" s="171" t="s">
        <v>323</v>
      </c>
      <c r="C110" s="174" t="s">
        <v>700</v>
      </c>
      <c r="D110" s="172" t="s">
        <v>65</v>
      </c>
      <c r="E110" s="172">
        <v>0</v>
      </c>
      <c r="F110" s="172">
        <v>0</v>
      </c>
      <c r="G110" s="172">
        <f t="shared" si="3"/>
        <v>0</v>
      </c>
      <c r="H110" s="173">
        <v>5000</v>
      </c>
      <c r="I110" s="173">
        <v>15000</v>
      </c>
      <c r="J110" s="173">
        <f t="shared" si="4"/>
        <v>0</v>
      </c>
    </row>
    <row r="111" spans="2:10" x14ac:dyDescent="0.3">
      <c r="B111" s="171" t="s">
        <v>324</v>
      </c>
      <c r="C111" s="174" t="s">
        <v>701</v>
      </c>
      <c r="D111" s="172" t="s">
        <v>65</v>
      </c>
      <c r="E111" s="172">
        <v>8</v>
      </c>
      <c r="F111" s="172">
        <v>0</v>
      </c>
      <c r="G111" s="172">
        <f t="shared" si="3"/>
        <v>8</v>
      </c>
      <c r="H111" s="173">
        <v>5000</v>
      </c>
      <c r="I111" s="173">
        <v>15000</v>
      </c>
      <c r="J111" s="173">
        <f t="shared" si="4"/>
        <v>40000</v>
      </c>
    </row>
    <row r="112" spans="2:10" x14ac:dyDescent="0.3">
      <c r="B112" s="171" t="s">
        <v>325</v>
      </c>
      <c r="C112" s="174" t="s">
        <v>702</v>
      </c>
      <c r="D112" s="172" t="s">
        <v>65</v>
      </c>
      <c r="E112" s="172">
        <v>1</v>
      </c>
      <c r="F112" s="172">
        <v>0</v>
      </c>
      <c r="G112" s="172">
        <f t="shared" si="3"/>
        <v>1</v>
      </c>
      <c r="H112" s="173">
        <v>9000</v>
      </c>
      <c r="I112" s="173">
        <v>15000</v>
      </c>
      <c r="J112" s="173">
        <f t="shared" si="4"/>
        <v>9000</v>
      </c>
    </row>
    <row r="113" spans="2:10" x14ac:dyDescent="0.3">
      <c r="B113" s="171" t="s">
        <v>326</v>
      </c>
      <c r="C113" s="174" t="s">
        <v>703</v>
      </c>
      <c r="D113" s="172" t="s">
        <v>65</v>
      </c>
      <c r="E113" s="172">
        <v>2</v>
      </c>
      <c r="F113" s="172">
        <v>0</v>
      </c>
      <c r="G113" s="172">
        <f t="shared" si="3"/>
        <v>2</v>
      </c>
      <c r="H113" s="173">
        <v>130000</v>
      </c>
      <c r="I113" s="173">
        <v>165000</v>
      </c>
      <c r="J113" s="173">
        <f t="shared" si="4"/>
        <v>260000</v>
      </c>
    </row>
    <row r="114" spans="2:10" x14ac:dyDescent="0.3">
      <c r="B114" s="171" t="s">
        <v>327</v>
      </c>
      <c r="C114" s="174" t="s">
        <v>704</v>
      </c>
      <c r="D114" s="172" t="s">
        <v>65</v>
      </c>
      <c r="E114" s="172">
        <v>2</v>
      </c>
      <c r="F114" s="172">
        <v>0</v>
      </c>
      <c r="G114" s="172">
        <f t="shared" si="3"/>
        <v>2</v>
      </c>
      <c r="H114" s="173">
        <v>7500</v>
      </c>
      <c r="I114" s="173">
        <v>15000</v>
      </c>
      <c r="J114" s="173">
        <f t="shared" si="4"/>
        <v>15000</v>
      </c>
    </row>
    <row r="115" spans="2:10" x14ac:dyDescent="0.3">
      <c r="B115" s="171" t="s">
        <v>328</v>
      </c>
      <c r="C115" s="174" t="s">
        <v>705</v>
      </c>
      <c r="D115" s="172" t="s">
        <v>65</v>
      </c>
      <c r="E115" s="172">
        <v>3</v>
      </c>
      <c r="F115" s="172">
        <v>0</v>
      </c>
      <c r="G115" s="172">
        <f t="shared" si="3"/>
        <v>3</v>
      </c>
      <c r="H115" s="173">
        <v>40000</v>
      </c>
      <c r="I115" s="173">
        <v>60000</v>
      </c>
      <c r="J115" s="173">
        <f t="shared" si="4"/>
        <v>120000</v>
      </c>
    </row>
    <row r="116" spans="2:10" x14ac:dyDescent="0.3">
      <c r="B116" s="171" t="s">
        <v>329</v>
      </c>
      <c r="C116" s="174" t="s">
        <v>706</v>
      </c>
      <c r="D116" s="172" t="s">
        <v>65</v>
      </c>
      <c r="E116" s="172">
        <v>3</v>
      </c>
      <c r="F116" s="172">
        <v>0</v>
      </c>
      <c r="G116" s="172">
        <f t="shared" si="3"/>
        <v>3</v>
      </c>
      <c r="H116" s="173">
        <v>7500</v>
      </c>
      <c r="I116" s="173">
        <v>15000</v>
      </c>
      <c r="J116" s="173">
        <f t="shared" si="4"/>
        <v>22500</v>
      </c>
    </row>
    <row r="117" spans="2:10" x14ac:dyDescent="0.3">
      <c r="B117" s="171" t="s">
        <v>329</v>
      </c>
      <c r="C117" s="174" t="s">
        <v>706</v>
      </c>
      <c r="D117" s="172" t="s">
        <v>65</v>
      </c>
      <c r="E117" s="172">
        <v>5</v>
      </c>
      <c r="F117" s="172">
        <v>0</v>
      </c>
      <c r="G117" s="172">
        <f t="shared" si="3"/>
        <v>5</v>
      </c>
      <c r="H117" s="173">
        <v>7500</v>
      </c>
      <c r="I117" s="173">
        <v>15000</v>
      </c>
      <c r="J117" s="173">
        <f t="shared" si="4"/>
        <v>37500</v>
      </c>
    </row>
    <row r="118" spans="2:10" x14ac:dyDescent="0.3">
      <c r="B118" s="171" t="s">
        <v>330</v>
      </c>
      <c r="C118" s="174" t="s">
        <v>707</v>
      </c>
      <c r="D118" s="172" t="s">
        <v>65</v>
      </c>
      <c r="E118" s="172" t="s">
        <v>973</v>
      </c>
      <c r="F118" s="172">
        <v>0</v>
      </c>
      <c r="G118" s="172">
        <f t="shared" si="3"/>
        <v>3</v>
      </c>
      <c r="H118" s="173">
        <v>7500</v>
      </c>
      <c r="I118" s="173">
        <v>15000</v>
      </c>
      <c r="J118" s="173">
        <f t="shared" si="4"/>
        <v>22500</v>
      </c>
    </row>
    <row r="119" spans="2:10" x14ac:dyDescent="0.3">
      <c r="B119" s="171" t="s">
        <v>330</v>
      </c>
      <c r="C119" s="174" t="s">
        <v>707</v>
      </c>
      <c r="D119" s="172" t="s">
        <v>65</v>
      </c>
      <c r="E119" s="172">
        <v>8</v>
      </c>
      <c r="F119" s="172">
        <v>0</v>
      </c>
      <c r="G119" s="172">
        <f t="shared" si="3"/>
        <v>8</v>
      </c>
      <c r="H119" s="173">
        <v>7500</v>
      </c>
      <c r="I119" s="173">
        <v>15000</v>
      </c>
      <c r="J119" s="173">
        <f t="shared" si="4"/>
        <v>60000</v>
      </c>
    </row>
    <row r="120" spans="2:10" x14ac:dyDescent="0.3">
      <c r="B120" s="171" t="s">
        <v>331</v>
      </c>
      <c r="C120" s="174" t="s">
        <v>708</v>
      </c>
      <c r="D120" s="172" t="s">
        <v>65</v>
      </c>
      <c r="E120" s="172">
        <v>2</v>
      </c>
      <c r="F120" s="172">
        <v>0</v>
      </c>
      <c r="G120" s="172">
        <f t="shared" si="3"/>
        <v>2</v>
      </c>
      <c r="H120" s="173">
        <v>7500</v>
      </c>
      <c r="I120" s="173">
        <v>15000</v>
      </c>
      <c r="J120" s="173">
        <f t="shared" si="4"/>
        <v>15000</v>
      </c>
    </row>
    <row r="121" spans="2:10" x14ac:dyDescent="0.3">
      <c r="B121" s="171" t="s">
        <v>332</v>
      </c>
      <c r="C121" s="174" t="s">
        <v>709</v>
      </c>
      <c r="D121" s="172" t="s">
        <v>65</v>
      </c>
      <c r="E121" s="172">
        <v>2</v>
      </c>
      <c r="F121" s="172">
        <v>0</v>
      </c>
      <c r="G121" s="172">
        <f t="shared" si="3"/>
        <v>2</v>
      </c>
      <c r="H121" s="173">
        <v>7500</v>
      </c>
      <c r="I121" s="173">
        <v>15000</v>
      </c>
      <c r="J121" s="173">
        <f t="shared" si="4"/>
        <v>15000</v>
      </c>
    </row>
    <row r="122" spans="2:10" x14ac:dyDescent="0.3">
      <c r="B122" s="171" t="s">
        <v>332</v>
      </c>
      <c r="C122" s="174" t="s">
        <v>709</v>
      </c>
      <c r="D122" s="172" t="s">
        <v>65</v>
      </c>
      <c r="E122" s="172">
        <v>4</v>
      </c>
      <c r="F122" s="172">
        <v>0</v>
      </c>
      <c r="G122" s="172">
        <f t="shared" si="3"/>
        <v>4</v>
      </c>
      <c r="H122" s="173">
        <v>7500</v>
      </c>
      <c r="I122" s="173">
        <v>15000</v>
      </c>
      <c r="J122" s="173">
        <f t="shared" si="4"/>
        <v>30000</v>
      </c>
    </row>
    <row r="123" spans="2:10" x14ac:dyDescent="0.3">
      <c r="B123" s="171" t="s">
        <v>333</v>
      </c>
      <c r="C123" s="174" t="s">
        <v>710</v>
      </c>
      <c r="D123" s="172" t="s">
        <v>65</v>
      </c>
      <c r="E123" s="172">
        <v>11</v>
      </c>
      <c r="F123" s="172">
        <v>0</v>
      </c>
      <c r="G123" s="172">
        <f t="shared" si="3"/>
        <v>11</v>
      </c>
      <c r="H123" s="173">
        <v>7500</v>
      </c>
      <c r="I123" s="173">
        <v>15000</v>
      </c>
      <c r="J123" s="173">
        <f t="shared" si="4"/>
        <v>82500</v>
      </c>
    </row>
    <row r="124" spans="2:10" x14ac:dyDescent="0.3">
      <c r="B124" s="171" t="s">
        <v>334</v>
      </c>
      <c r="C124" s="174" t="s">
        <v>711</v>
      </c>
      <c r="D124" s="172" t="s">
        <v>65</v>
      </c>
      <c r="E124" s="172">
        <v>4</v>
      </c>
      <c r="F124" s="172">
        <v>0</v>
      </c>
      <c r="G124" s="172">
        <f t="shared" si="3"/>
        <v>4</v>
      </c>
      <c r="H124" s="173">
        <v>7500</v>
      </c>
      <c r="I124" s="173">
        <v>15000</v>
      </c>
      <c r="J124" s="173">
        <f t="shared" si="4"/>
        <v>30000</v>
      </c>
    </row>
    <row r="125" spans="2:10" x14ac:dyDescent="0.3">
      <c r="B125" s="171" t="s">
        <v>335</v>
      </c>
      <c r="C125" s="174" t="s">
        <v>712</v>
      </c>
      <c r="D125" s="172" t="s">
        <v>65</v>
      </c>
      <c r="E125" s="172">
        <v>13</v>
      </c>
      <c r="F125" s="172">
        <v>0</v>
      </c>
      <c r="G125" s="172">
        <f t="shared" si="3"/>
        <v>13</v>
      </c>
      <c r="H125" s="173">
        <v>7500</v>
      </c>
      <c r="I125" s="173">
        <v>15000</v>
      </c>
      <c r="J125" s="173">
        <f t="shared" si="4"/>
        <v>97500</v>
      </c>
    </row>
    <row r="126" spans="2:10" x14ac:dyDescent="0.3">
      <c r="B126" s="171" t="s">
        <v>336</v>
      </c>
      <c r="C126" s="174" t="s">
        <v>713</v>
      </c>
      <c r="D126" s="172" t="s">
        <v>65</v>
      </c>
      <c r="E126" s="172" t="s">
        <v>214</v>
      </c>
      <c r="F126" s="172">
        <v>0</v>
      </c>
      <c r="G126" s="172">
        <f t="shared" si="3"/>
        <v>5</v>
      </c>
      <c r="H126" s="173">
        <v>7500</v>
      </c>
      <c r="I126" s="173">
        <v>15000</v>
      </c>
      <c r="J126" s="173">
        <f t="shared" si="4"/>
        <v>37500</v>
      </c>
    </row>
    <row r="127" spans="2:10" x14ac:dyDescent="0.3">
      <c r="B127" s="171" t="s">
        <v>336</v>
      </c>
      <c r="C127" s="174" t="s">
        <v>714</v>
      </c>
      <c r="D127" s="172" t="s">
        <v>65</v>
      </c>
      <c r="E127" s="172">
        <v>1</v>
      </c>
      <c r="F127" s="172">
        <v>0</v>
      </c>
      <c r="G127" s="172">
        <f t="shared" si="3"/>
        <v>1</v>
      </c>
      <c r="H127" s="173">
        <v>7500</v>
      </c>
      <c r="I127" s="173">
        <v>15000</v>
      </c>
      <c r="J127" s="173">
        <f t="shared" si="4"/>
        <v>7500</v>
      </c>
    </row>
    <row r="128" spans="2:10" x14ac:dyDescent="0.3">
      <c r="B128" s="171" t="s">
        <v>337</v>
      </c>
      <c r="C128" s="174" t="s">
        <v>715</v>
      </c>
      <c r="D128" s="172" t="s">
        <v>65</v>
      </c>
      <c r="E128" s="172">
        <v>5</v>
      </c>
      <c r="F128" s="172">
        <v>0</v>
      </c>
      <c r="G128" s="172">
        <f t="shared" si="3"/>
        <v>5</v>
      </c>
      <c r="H128" s="173">
        <v>7500</v>
      </c>
      <c r="I128" s="173">
        <v>15000</v>
      </c>
      <c r="J128" s="173">
        <f t="shared" si="4"/>
        <v>37500</v>
      </c>
    </row>
    <row r="129" spans="2:10" x14ac:dyDescent="0.3">
      <c r="B129" s="171" t="s">
        <v>338</v>
      </c>
      <c r="C129" s="174" t="s">
        <v>716</v>
      </c>
      <c r="D129" s="172" t="s">
        <v>65</v>
      </c>
      <c r="E129" s="172">
        <v>16</v>
      </c>
      <c r="F129" s="172">
        <v>0</v>
      </c>
      <c r="G129" s="172">
        <f t="shared" si="3"/>
        <v>16</v>
      </c>
      <c r="H129" s="173">
        <v>7500</v>
      </c>
      <c r="I129" s="173">
        <v>15000</v>
      </c>
      <c r="J129" s="173">
        <f t="shared" si="4"/>
        <v>120000</v>
      </c>
    </row>
    <row r="130" spans="2:10" x14ac:dyDescent="0.3">
      <c r="B130" s="171" t="s">
        <v>339</v>
      </c>
      <c r="C130" s="174" t="s">
        <v>717</v>
      </c>
      <c r="D130" s="172" t="s">
        <v>65</v>
      </c>
      <c r="E130" s="172">
        <v>2</v>
      </c>
      <c r="F130" s="172">
        <v>0</v>
      </c>
      <c r="G130" s="172">
        <f t="shared" si="3"/>
        <v>2</v>
      </c>
      <c r="H130" s="173">
        <v>7500</v>
      </c>
      <c r="I130" s="173">
        <v>15000</v>
      </c>
      <c r="J130" s="173">
        <f t="shared" si="4"/>
        <v>15000</v>
      </c>
    </row>
    <row r="131" spans="2:10" x14ac:dyDescent="0.3">
      <c r="B131" s="171" t="s">
        <v>340</v>
      </c>
      <c r="C131" s="174" t="s">
        <v>718</v>
      </c>
      <c r="D131" s="172" t="s">
        <v>65</v>
      </c>
      <c r="E131" s="172">
        <v>3</v>
      </c>
      <c r="F131" s="172">
        <v>0</v>
      </c>
      <c r="G131" s="172">
        <f t="shared" si="3"/>
        <v>3</v>
      </c>
      <c r="H131" s="173">
        <v>7500</v>
      </c>
      <c r="I131" s="173">
        <v>15000</v>
      </c>
      <c r="J131" s="173">
        <f t="shared" si="4"/>
        <v>22500</v>
      </c>
    </row>
    <row r="132" spans="2:10" x14ac:dyDescent="0.3">
      <c r="B132" s="171" t="s">
        <v>341</v>
      </c>
      <c r="C132" s="174" t="s">
        <v>719</v>
      </c>
      <c r="D132" s="172" t="s">
        <v>65</v>
      </c>
      <c r="E132" s="172">
        <v>2</v>
      </c>
      <c r="F132" s="172">
        <v>0</v>
      </c>
      <c r="G132" s="172">
        <f t="shared" si="3"/>
        <v>2</v>
      </c>
      <c r="H132" s="173">
        <v>7500</v>
      </c>
      <c r="I132" s="173">
        <v>15000</v>
      </c>
      <c r="J132" s="173">
        <f t="shared" si="4"/>
        <v>15000</v>
      </c>
    </row>
    <row r="133" spans="2:10" x14ac:dyDescent="0.3">
      <c r="B133" s="171" t="s">
        <v>341</v>
      </c>
      <c r="C133" s="174" t="s">
        <v>720</v>
      </c>
      <c r="D133" s="172" t="s">
        <v>65</v>
      </c>
      <c r="E133" s="172">
        <v>2</v>
      </c>
      <c r="F133" s="172">
        <v>0</v>
      </c>
      <c r="G133" s="172">
        <f t="shared" ref="G133:G196" si="5">IF(E133&lt;&gt;"",E133-F133,G133="")</f>
        <v>2</v>
      </c>
      <c r="H133" s="173">
        <v>7500</v>
      </c>
      <c r="I133" s="173">
        <v>15000</v>
      </c>
      <c r="J133" s="173">
        <f t="shared" ref="J133:J196" si="6">IF(E133&lt;&gt;"",E133*H133,"")</f>
        <v>15000</v>
      </c>
    </row>
    <row r="134" spans="2:10" x14ac:dyDescent="0.3">
      <c r="B134" s="171" t="s">
        <v>342</v>
      </c>
      <c r="C134" s="174" t="s">
        <v>721</v>
      </c>
      <c r="D134" s="172" t="s">
        <v>65</v>
      </c>
      <c r="E134" s="172">
        <v>1</v>
      </c>
      <c r="F134" s="172">
        <v>0</v>
      </c>
      <c r="G134" s="172">
        <f t="shared" si="5"/>
        <v>1</v>
      </c>
      <c r="H134" s="173">
        <v>30000</v>
      </c>
      <c r="I134" s="173">
        <v>55000</v>
      </c>
      <c r="J134" s="173">
        <f t="shared" si="6"/>
        <v>30000</v>
      </c>
    </row>
    <row r="135" spans="2:10" x14ac:dyDescent="0.3">
      <c r="B135" s="171" t="s">
        <v>343</v>
      </c>
      <c r="C135" s="174" t="s">
        <v>722</v>
      </c>
      <c r="D135" s="172" t="s">
        <v>65</v>
      </c>
      <c r="E135" s="172">
        <v>1</v>
      </c>
      <c r="F135" s="172">
        <v>0</v>
      </c>
      <c r="G135" s="172">
        <f t="shared" si="5"/>
        <v>1</v>
      </c>
      <c r="H135" s="173">
        <v>10000</v>
      </c>
      <c r="I135" s="173">
        <v>20000</v>
      </c>
      <c r="J135" s="173">
        <f t="shared" si="6"/>
        <v>10000</v>
      </c>
    </row>
    <row r="136" spans="2:10" x14ac:dyDescent="0.3">
      <c r="B136" s="171" t="s">
        <v>343</v>
      </c>
      <c r="C136" s="174" t="s">
        <v>722</v>
      </c>
      <c r="D136" s="172" t="s">
        <v>65</v>
      </c>
      <c r="E136" s="172">
        <v>1</v>
      </c>
      <c r="F136" s="172">
        <v>0</v>
      </c>
      <c r="G136" s="172">
        <f t="shared" si="5"/>
        <v>1</v>
      </c>
      <c r="H136" s="173">
        <v>10000</v>
      </c>
      <c r="I136" s="173">
        <v>20000</v>
      </c>
      <c r="J136" s="173">
        <f t="shared" si="6"/>
        <v>10000</v>
      </c>
    </row>
    <row r="137" spans="2:10" x14ac:dyDescent="0.3">
      <c r="B137" s="171" t="s">
        <v>344</v>
      </c>
      <c r="C137" s="174" t="s">
        <v>723</v>
      </c>
      <c r="D137" s="172" t="s">
        <v>65</v>
      </c>
      <c r="E137" s="172">
        <v>4</v>
      </c>
      <c r="F137" s="172">
        <v>0</v>
      </c>
      <c r="G137" s="172">
        <f t="shared" si="5"/>
        <v>4</v>
      </c>
      <c r="H137" s="173">
        <v>10000</v>
      </c>
      <c r="I137" s="173">
        <v>20000</v>
      </c>
      <c r="J137" s="173">
        <f t="shared" si="6"/>
        <v>40000</v>
      </c>
    </row>
    <row r="138" spans="2:10" x14ac:dyDescent="0.3">
      <c r="B138" s="171" t="s">
        <v>345</v>
      </c>
      <c r="C138" s="174" t="s">
        <v>724</v>
      </c>
      <c r="D138" s="172" t="s">
        <v>65</v>
      </c>
      <c r="E138" s="172">
        <v>4</v>
      </c>
      <c r="F138" s="172">
        <v>0</v>
      </c>
      <c r="G138" s="172">
        <f t="shared" si="5"/>
        <v>4</v>
      </c>
      <c r="H138" s="173">
        <v>10000</v>
      </c>
      <c r="I138" s="173">
        <v>20000</v>
      </c>
      <c r="J138" s="173">
        <f t="shared" si="6"/>
        <v>40000</v>
      </c>
    </row>
    <row r="139" spans="2:10" x14ac:dyDescent="0.3">
      <c r="B139" s="171" t="s">
        <v>346</v>
      </c>
      <c r="C139" s="174" t="s">
        <v>725</v>
      </c>
      <c r="D139" s="172" t="s">
        <v>65</v>
      </c>
      <c r="E139" s="172">
        <v>1</v>
      </c>
      <c r="F139" s="172">
        <v>0</v>
      </c>
      <c r="G139" s="172">
        <f t="shared" si="5"/>
        <v>1</v>
      </c>
      <c r="H139" s="173">
        <v>10000</v>
      </c>
      <c r="I139" s="173">
        <v>20000</v>
      </c>
      <c r="J139" s="173">
        <f t="shared" si="6"/>
        <v>10000</v>
      </c>
    </row>
    <row r="140" spans="2:10" x14ac:dyDescent="0.3">
      <c r="B140" s="171" t="s">
        <v>347</v>
      </c>
      <c r="C140" s="174" t="s">
        <v>726</v>
      </c>
      <c r="D140" s="172" t="s">
        <v>65</v>
      </c>
      <c r="E140" s="172">
        <v>4</v>
      </c>
      <c r="F140" s="172">
        <v>0</v>
      </c>
      <c r="G140" s="172">
        <f t="shared" si="5"/>
        <v>4</v>
      </c>
      <c r="H140" s="173">
        <v>10000</v>
      </c>
      <c r="I140" s="173">
        <v>20000</v>
      </c>
      <c r="J140" s="173">
        <f t="shared" si="6"/>
        <v>40000</v>
      </c>
    </row>
    <row r="141" spans="2:10" x14ac:dyDescent="0.3">
      <c r="B141" s="171" t="s">
        <v>348</v>
      </c>
      <c r="C141" s="174" t="s">
        <v>727</v>
      </c>
      <c r="D141" s="172" t="s">
        <v>65</v>
      </c>
      <c r="E141" s="172">
        <v>2</v>
      </c>
      <c r="F141" s="172">
        <v>0</v>
      </c>
      <c r="G141" s="172">
        <f t="shared" si="5"/>
        <v>2</v>
      </c>
      <c r="H141" s="173">
        <v>10000</v>
      </c>
      <c r="I141" s="173">
        <v>20000</v>
      </c>
      <c r="J141" s="173">
        <f t="shared" si="6"/>
        <v>20000</v>
      </c>
    </row>
    <row r="142" spans="2:10" x14ac:dyDescent="0.3">
      <c r="B142" s="171" t="s">
        <v>349</v>
      </c>
      <c r="C142" s="174" t="s">
        <v>728</v>
      </c>
      <c r="D142" s="172" t="s">
        <v>65</v>
      </c>
      <c r="E142" s="172">
        <v>1</v>
      </c>
      <c r="F142" s="172">
        <v>0</v>
      </c>
      <c r="G142" s="172">
        <f t="shared" si="5"/>
        <v>1</v>
      </c>
      <c r="H142" s="173">
        <v>10000</v>
      </c>
      <c r="I142" s="173">
        <v>20000</v>
      </c>
      <c r="J142" s="173">
        <f t="shared" si="6"/>
        <v>10000</v>
      </c>
    </row>
    <row r="143" spans="2:10" x14ac:dyDescent="0.3">
      <c r="B143" s="171" t="s">
        <v>350</v>
      </c>
      <c r="C143" s="174" t="s">
        <v>729</v>
      </c>
      <c r="D143" s="172" t="s">
        <v>65</v>
      </c>
      <c r="E143" s="172">
        <v>2</v>
      </c>
      <c r="F143" s="172">
        <v>0</v>
      </c>
      <c r="G143" s="172">
        <f t="shared" si="5"/>
        <v>2</v>
      </c>
      <c r="H143" s="173">
        <v>22000</v>
      </c>
      <c r="I143" s="173">
        <v>35000</v>
      </c>
      <c r="J143" s="173">
        <f t="shared" si="6"/>
        <v>44000</v>
      </c>
    </row>
    <row r="144" spans="2:10" x14ac:dyDescent="0.3">
      <c r="B144" s="171" t="s">
        <v>351</v>
      </c>
      <c r="C144" s="174" t="s">
        <v>730</v>
      </c>
      <c r="D144" s="172" t="s">
        <v>65</v>
      </c>
      <c r="E144" s="172">
        <v>1</v>
      </c>
      <c r="F144" s="172">
        <v>0</v>
      </c>
      <c r="G144" s="172">
        <f t="shared" si="5"/>
        <v>1</v>
      </c>
      <c r="H144" s="173">
        <v>5000</v>
      </c>
      <c r="I144" s="173">
        <v>15000</v>
      </c>
      <c r="J144" s="173">
        <f t="shared" si="6"/>
        <v>5000</v>
      </c>
    </row>
    <row r="145" spans="2:10" x14ac:dyDescent="0.3">
      <c r="B145" s="171" t="s">
        <v>352</v>
      </c>
      <c r="C145" s="174" t="s">
        <v>731</v>
      </c>
      <c r="D145" s="172" t="s">
        <v>65</v>
      </c>
      <c r="E145" s="172">
        <v>1</v>
      </c>
      <c r="F145" s="172">
        <v>0</v>
      </c>
      <c r="G145" s="172">
        <f t="shared" si="5"/>
        <v>1</v>
      </c>
      <c r="H145" s="173">
        <v>7500</v>
      </c>
      <c r="I145" s="173">
        <v>15000</v>
      </c>
      <c r="J145" s="173">
        <f t="shared" si="6"/>
        <v>7500</v>
      </c>
    </row>
    <row r="146" spans="2:10" x14ac:dyDescent="0.3">
      <c r="B146" s="171" t="s">
        <v>353</v>
      </c>
      <c r="C146" s="174" t="s">
        <v>732</v>
      </c>
      <c r="D146" s="172" t="s">
        <v>65</v>
      </c>
      <c r="E146" s="172">
        <v>1</v>
      </c>
      <c r="F146" s="172">
        <v>0</v>
      </c>
      <c r="G146" s="172">
        <f t="shared" si="5"/>
        <v>1</v>
      </c>
      <c r="H146" s="173">
        <v>7500</v>
      </c>
      <c r="I146" s="173">
        <v>15000</v>
      </c>
      <c r="J146" s="173">
        <f t="shared" si="6"/>
        <v>7500</v>
      </c>
    </row>
    <row r="147" spans="2:10" x14ac:dyDescent="0.3">
      <c r="B147" s="171" t="s">
        <v>354</v>
      </c>
      <c r="C147" s="174" t="s">
        <v>733</v>
      </c>
      <c r="D147" s="172" t="s">
        <v>65</v>
      </c>
      <c r="E147" s="172" t="s">
        <v>213</v>
      </c>
      <c r="F147" s="172">
        <v>0</v>
      </c>
      <c r="G147" s="172">
        <f t="shared" si="5"/>
        <v>8</v>
      </c>
      <c r="H147" s="173">
        <v>5000</v>
      </c>
      <c r="I147" s="173">
        <v>15000</v>
      </c>
      <c r="J147" s="173">
        <f t="shared" si="6"/>
        <v>40000</v>
      </c>
    </row>
    <row r="148" spans="2:10" x14ac:dyDescent="0.3">
      <c r="B148" s="171" t="s">
        <v>355</v>
      </c>
      <c r="C148" s="174" t="s">
        <v>734</v>
      </c>
      <c r="D148" s="172" t="s">
        <v>65</v>
      </c>
      <c r="E148" s="172">
        <v>3</v>
      </c>
      <c r="F148" s="172">
        <v>0</v>
      </c>
      <c r="G148" s="172">
        <f t="shared" si="5"/>
        <v>3</v>
      </c>
      <c r="H148" s="173">
        <v>7500</v>
      </c>
      <c r="I148" s="173">
        <v>15000</v>
      </c>
      <c r="J148" s="173">
        <f t="shared" si="6"/>
        <v>22500</v>
      </c>
    </row>
    <row r="149" spans="2:10" x14ac:dyDescent="0.3">
      <c r="B149" s="171" t="s">
        <v>356</v>
      </c>
      <c r="C149" s="174" t="s">
        <v>735</v>
      </c>
      <c r="D149" s="172" t="s">
        <v>65</v>
      </c>
      <c r="E149" s="172">
        <v>3</v>
      </c>
      <c r="F149" s="172">
        <v>0</v>
      </c>
      <c r="G149" s="172">
        <f t="shared" si="5"/>
        <v>3</v>
      </c>
      <c r="H149" s="173">
        <v>7500</v>
      </c>
      <c r="I149" s="173">
        <v>15000</v>
      </c>
      <c r="J149" s="173">
        <f t="shared" si="6"/>
        <v>22500</v>
      </c>
    </row>
    <row r="150" spans="2:10" x14ac:dyDescent="0.3">
      <c r="B150" s="171" t="s">
        <v>357</v>
      </c>
      <c r="C150" s="174" t="s">
        <v>736</v>
      </c>
      <c r="D150" s="172" t="s">
        <v>65</v>
      </c>
      <c r="E150" s="172">
        <v>2</v>
      </c>
      <c r="F150" s="172">
        <v>0</v>
      </c>
      <c r="G150" s="172">
        <f t="shared" si="5"/>
        <v>2</v>
      </c>
      <c r="H150" s="173">
        <v>7500</v>
      </c>
      <c r="I150" s="173">
        <v>15000</v>
      </c>
      <c r="J150" s="173">
        <f t="shared" si="6"/>
        <v>15000</v>
      </c>
    </row>
    <row r="151" spans="2:10" x14ac:dyDescent="0.3">
      <c r="B151" s="171" t="s">
        <v>358</v>
      </c>
      <c r="C151" s="174" t="s">
        <v>737</v>
      </c>
      <c r="D151" s="172" t="s">
        <v>65</v>
      </c>
      <c r="E151" s="172">
        <v>6</v>
      </c>
      <c r="F151" s="172">
        <v>0</v>
      </c>
      <c r="G151" s="172">
        <f t="shared" si="5"/>
        <v>6</v>
      </c>
      <c r="H151" s="173">
        <v>7500</v>
      </c>
      <c r="I151" s="173">
        <v>15000</v>
      </c>
      <c r="J151" s="173">
        <f t="shared" si="6"/>
        <v>45000</v>
      </c>
    </row>
    <row r="152" spans="2:10" x14ac:dyDescent="0.3">
      <c r="B152" s="171" t="s">
        <v>359</v>
      </c>
      <c r="C152" s="174" t="s">
        <v>738</v>
      </c>
      <c r="D152" s="172" t="s">
        <v>65</v>
      </c>
      <c r="E152" s="172">
        <v>6</v>
      </c>
      <c r="F152" s="172">
        <v>0</v>
      </c>
      <c r="G152" s="172">
        <f t="shared" si="5"/>
        <v>6</v>
      </c>
      <c r="H152" s="173">
        <v>7500</v>
      </c>
      <c r="I152" s="173">
        <v>15000</v>
      </c>
      <c r="J152" s="173">
        <f t="shared" si="6"/>
        <v>45000</v>
      </c>
    </row>
    <row r="153" spans="2:10" x14ac:dyDescent="0.3">
      <c r="B153" s="171" t="s">
        <v>360</v>
      </c>
      <c r="C153" s="174" t="s">
        <v>739</v>
      </c>
      <c r="D153" s="172" t="s">
        <v>65</v>
      </c>
      <c r="E153" s="172">
        <v>4</v>
      </c>
      <c r="F153" s="172">
        <v>0</v>
      </c>
      <c r="G153" s="172">
        <f t="shared" si="5"/>
        <v>4</v>
      </c>
      <c r="H153" s="173">
        <v>7500</v>
      </c>
      <c r="I153" s="173">
        <v>15000</v>
      </c>
      <c r="J153" s="173">
        <f t="shared" si="6"/>
        <v>30000</v>
      </c>
    </row>
    <row r="154" spans="2:10" x14ac:dyDescent="0.3">
      <c r="B154" s="171" t="s">
        <v>361</v>
      </c>
      <c r="C154" s="174" t="s">
        <v>740</v>
      </c>
      <c r="D154" s="172" t="s">
        <v>65</v>
      </c>
      <c r="E154" s="172">
        <v>2</v>
      </c>
      <c r="F154" s="172">
        <v>0</v>
      </c>
      <c r="G154" s="172">
        <f t="shared" si="5"/>
        <v>2</v>
      </c>
      <c r="H154" s="173">
        <v>7500</v>
      </c>
      <c r="I154" s="173">
        <v>15000</v>
      </c>
      <c r="J154" s="173">
        <f t="shared" si="6"/>
        <v>15000</v>
      </c>
    </row>
    <row r="155" spans="2:10" x14ac:dyDescent="0.3">
      <c r="B155" s="171" t="s">
        <v>362</v>
      </c>
      <c r="C155" s="174" t="s">
        <v>741</v>
      </c>
      <c r="D155" s="172" t="s">
        <v>65</v>
      </c>
      <c r="E155" s="172" t="s">
        <v>973</v>
      </c>
      <c r="F155" s="172">
        <v>0</v>
      </c>
      <c r="G155" s="172">
        <f t="shared" si="5"/>
        <v>3</v>
      </c>
      <c r="H155" s="173">
        <v>7500</v>
      </c>
      <c r="I155" s="173">
        <v>15000</v>
      </c>
      <c r="J155" s="173">
        <f t="shared" si="6"/>
        <v>22500</v>
      </c>
    </row>
    <row r="156" spans="2:10" x14ac:dyDescent="0.3">
      <c r="B156" s="171" t="s">
        <v>363</v>
      </c>
      <c r="C156" s="174" t="s">
        <v>742</v>
      </c>
      <c r="D156" s="172" t="s">
        <v>65</v>
      </c>
      <c r="E156" s="172">
        <v>2</v>
      </c>
      <c r="F156" s="172">
        <v>0</v>
      </c>
      <c r="G156" s="172">
        <f t="shared" si="5"/>
        <v>2</v>
      </c>
      <c r="H156" s="173">
        <v>7500</v>
      </c>
      <c r="I156" s="173">
        <v>15000</v>
      </c>
      <c r="J156" s="173">
        <f t="shared" si="6"/>
        <v>15000</v>
      </c>
    </row>
    <row r="157" spans="2:10" x14ac:dyDescent="0.3">
      <c r="B157" s="171" t="s">
        <v>364</v>
      </c>
      <c r="C157" s="174" t="s">
        <v>743</v>
      </c>
      <c r="D157" s="172" t="s">
        <v>65</v>
      </c>
      <c r="E157" s="172">
        <v>2</v>
      </c>
      <c r="F157" s="172">
        <v>0</v>
      </c>
      <c r="G157" s="172">
        <f t="shared" si="5"/>
        <v>2</v>
      </c>
      <c r="H157" s="173">
        <v>10000</v>
      </c>
      <c r="I157" s="173">
        <v>20000</v>
      </c>
      <c r="J157" s="173">
        <f t="shared" si="6"/>
        <v>20000</v>
      </c>
    </row>
    <row r="158" spans="2:10" x14ac:dyDescent="0.3">
      <c r="B158" s="171" t="s">
        <v>365</v>
      </c>
      <c r="C158" s="174" t="s">
        <v>744</v>
      </c>
      <c r="D158" s="172" t="s">
        <v>65</v>
      </c>
      <c r="E158" s="172">
        <v>2</v>
      </c>
      <c r="F158" s="172">
        <v>0</v>
      </c>
      <c r="G158" s="172">
        <f t="shared" si="5"/>
        <v>2</v>
      </c>
      <c r="H158" s="173">
        <v>42000</v>
      </c>
      <c r="I158" s="173">
        <v>60000</v>
      </c>
      <c r="J158" s="173">
        <f t="shared" si="6"/>
        <v>84000</v>
      </c>
    </row>
    <row r="159" spans="2:10" x14ac:dyDescent="0.3">
      <c r="B159" s="171" t="s">
        <v>366</v>
      </c>
      <c r="C159" s="174" t="s">
        <v>745</v>
      </c>
      <c r="D159" s="172" t="s">
        <v>65</v>
      </c>
      <c r="E159" s="172">
        <v>3</v>
      </c>
      <c r="F159" s="172">
        <v>0</v>
      </c>
      <c r="G159" s="172">
        <f t="shared" si="5"/>
        <v>3</v>
      </c>
      <c r="H159" s="173">
        <v>6000</v>
      </c>
      <c r="I159" s="173">
        <v>10000</v>
      </c>
      <c r="J159" s="173">
        <f t="shared" si="6"/>
        <v>18000</v>
      </c>
    </row>
    <row r="160" spans="2:10" x14ac:dyDescent="0.3">
      <c r="B160" s="171" t="s">
        <v>367</v>
      </c>
      <c r="C160" s="174" t="s">
        <v>746</v>
      </c>
      <c r="D160" s="172" t="s">
        <v>65</v>
      </c>
      <c r="E160" s="172">
        <v>1</v>
      </c>
      <c r="F160" s="172">
        <v>0</v>
      </c>
      <c r="G160" s="172">
        <f t="shared" si="5"/>
        <v>1</v>
      </c>
      <c r="H160" s="173">
        <v>34000</v>
      </c>
      <c r="I160" s="173">
        <v>60000</v>
      </c>
      <c r="J160" s="173">
        <f t="shared" si="6"/>
        <v>34000</v>
      </c>
    </row>
    <row r="161" spans="2:10" x14ac:dyDescent="0.3">
      <c r="B161" s="171" t="s">
        <v>368</v>
      </c>
      <c r="C161" s="174" t="s">
        <v>747</v>
      </c>
      <c r="D161" s="172" t="s">
        <v>65</v>
      </c>
      <c r="E161" s="172">
        <v>8</v>
      </c>
      <c r="F161" s="172">
        <v>0</v>
      </c>
      <c r="G161" s="172">
        <f t="shared" si="5"/>
        <v>8</v>
      </c>
      <c r="H161" s="173">
        <v>7500</v>
      </c>
      <c r="I161" s="173">
        <v>15000</v>
      </c>
      <c r="J161" s="173">
        <f t="shared" si="6"/>
        <v>60000</v>
      </c>
    </row>
    <row r="162" spans="2:10" x14ac:dyDescent="0.3">
      <c r="B162" s="171" t="s">
        <v>369</v>
      </c>
      <c r="C162" s="174" t="s">
        <v>748</v>
      </c>
      <c r="D162" s="172" t="s">
        <v>65</v>
      </c>
      <c r="E162" s="172">
        <v>3</v>
      </c>
      <c r="F162" s="172">
        <v>0</v>
      </c>
      <c r="G162" s="172">
        <f t="shared" si="5"/>
        <v>3</v>
      </c>
      <c r="H162" s="173">
        <v>7500</v>
      </c>
      <c r="I162" s="173">
        <v>15000</v>
      </c>
      <c r="J162" s="173">
        <f t="shared" si="6"/>
        <v>22500</v>
      </c>
    </row>
    <row r="163" spans="2:10" x14ac:dyDescent="0.3">
      <c r="B163" s="171" t="s">
        <v>370</v>
      </c>
      <c r="C163" s="174" t="s">
        <v>749</v>
      </c>
      <c r="D163" s="172" t="s">
        <v>65</v>
      </c>
      <c r="E163" s="172" t="s">
        <v>218</v>
      </c>
      <c r="F163" s="172">
        <v>0</v>
      </c>
      <c r="G163" s="172">
        <f t="shared" si="5"/>
        <v>4</v>
      </c>
      <c r="H163" s="173">
        <v>7500</v>
      </c>
      <c r="I163" s="173">
        <v>15000</v>
      </c>
      <c r="J163" s="173">
        <f t="shared" si="6"/>
        <v>30000</v>
      </c>
    </row>
    <row r="164" spans="2:10" x14ac:dyDescent="0.3">
      <c r="B164" s="171" t="s">
        <v>370</v>
      </c>
      <c r="C164" s="174" t="s">
        <v>749</v>
      </c>
      <c r="D164" s="172" t="s">
        <v>65</v>
      </c>
      <c r="E164" s="172">
        <v>3</v>
      </c>
      <c r="F164" s="172">
        <v>0</v>
      </c>
      <c r="G164" s="172">
        <f t="shared" si="5"/>
        <v>3</v>
      </c>
      <c r="H164" s="173">
        <v>7500</v>
      </c>
      <c r="I164" s="173">
        <v>15000</v>
      </c>
      <c r="J164" s="173">
        <f t="shared" si="6"/>
        <v>22500</v>
      </c>
    </row>
    <row r="165" spans="2:10" x14ac:dyDescent="0.3">
      <c r="B165" s="171" t="s">
        <v>371</v>
      </c>
      <c r="C165" s="174" t="s">
        <v>750</v>
      </c>
      <c r="D165" s="172" t="s">
        <v>65</v>
      </c>
      <c r="E165" s="172" t="s">
        <v>973</v>
      </c>
      <c r="F165" s="172">
        <v>0</v>
      </c>
      <c r="G165" s="172">
        <f t="shared" si="5"/>
        <v>3</v>
      </c>
      <c r="H165" s="173">
        <v>5000</v>
      </c>
      <c r="I165" s="173">
        <v>15000</v>
      </c>
      <c r="J165" s="173">
        <f t="shared" si="6"/>
        <v>15000</v>
      </c>
    </row>
    <row r="166" spans="2:10" x14ac:dyDescent="0.3">
      <c r="B166" s="171" t="s">
        <v>371</v>
      </c>
      <c r="C166" s="174" t="s">
        <v>751</v>
      </c>
      <c r="D166" s="172" t="s">
        <v>65</v>
      </c>
      <c r="E166" s="172">
        <v>1</v>
      </c>
      <c r="F166" s="172">
        <v>0</v>
      </c>
      <c r="G166" s="172">
        <f t="shared" si="5"/>
        <v>1</v>
      </c>
      <c r="H166" s="173">
        <v>7500</v>
      </c>
      <c r="I166" s="173">
        <v>15000</v>
      </c>
      <c r="J166" s="173">
        <f t="shared" si="6"/>
        <v>7500</v>
      </c>
    </row>
    <row r="167" spans="2:10" x14ac:dyDescent="0.3">
      <c r="B167" s="171" t="s">
        <v>372</v>
      </c>
      <c r="C167" s="174" t="s">
        <v>752</v>
      </c>
      <c r="D167" s="172" t="s">
        <v>65</v>
      </c>
      <c r="E167" s="172">
        <v>3</v>
      </c>
      <c r="F167" s="172">
        <v>0</v>
      </c>
      <c r="G167" s="172">
        <f t="shared" si="5"/>
        <v>3</v>
      </c>
      <c r="H167" s="173">
        <v>7500</v>
      </c>
      <c r="I167" s="173">
        <v>15000</v>
      </c>
      <c r="J167" s="173">
        <f t="shared" si="6"/>
        <v>22500</v>
      </c>
    </row>
    <row r="168" spans="2:10" x14ac:dyDescent="0.3">
      <c r="B168" s="171" t="s">
        <v>373</v>
      </c>
      <c r="C168" s="174" t="s">
        <v>753</v>
      </c>
      <c r="D168" s="172" t="s">
        <v>65</v>
      </c>
      <c r="E168" s="172">
        <v>2</v>
      </c>
      <c r="F168" s="172">
        <v>0</v>
      </c>
      <c r="G168" s="172">
        <f t="shared" si="5"/>
        <v>2</v>
      </c>
      <c r="H168" s="173">
        <v>5000</v>
      </c>
      <c r="I168" s="173">
        <v>15000</v>
      </c>
      <c r="J168" s="173">
        <f t="shared" si="6"/>
        <v>10000</v>
      </c>
    </row>
    <row r="169" spans="2:10" x14ac:dyDescent="0.3">
      <c r="B169" s="171" t="s">
        <v>374</v>
      </c>
      <c r="C169" s="174" t="s">
        <v>754</v>
      </c>
      <c r="D169" s="172" t="s">
        <v>65</v>
      </c>
      <c r="E169" s="172">
        <v>4</v>
      </c>
      <c r="F169" s="172">
        <v>0</v>
      </c>
      <c r="G169" s="172">
        <f t="shared" si="5"/>
        <v>4</v>
      </c>
      <c r="H169" s="173">
        <v>5000</v>
      </c>
      <c r="I169" s="173">
        <v>15000</v>
      </c>
      <c r="J169" s="173">
        <f t="shared" si="6"/>
        <v>20000</v>
      </c>
    </row>
    <row r="170" spans="2:10" x14ac:dyDescent="0.3">
      <c r="B170" s="171" t="s">
        <v>375</v>
      </c>
      <c r="C170" s="174" t="s">
        <v>755</v>
      </c>
      <c r="D170" s="172" t="s">
        <v>65</v>
      </c>
      <c r="E170" s="172">
        <v>2</v>
      </c>
      <c r="F170" s="172">
        <v>0</v>
      </c>
      <c r="G170" s="172">
        <f t="shared" si="5"/>
        <v>2</v>
      </c>
      <c r="H170" s="173">
        <v>7500</v>
      </c>
      <c r="I170" s="173">
        <v>15000</v>
      </c>
      <c r="J170" s="173">
        <f t="shared" si="6"/>
        <v>15000</v>
      </c>
    </row>
    <row r="171" spans="2:10" x14ac:dyDescent="0.3">
      <c r="B171" s="171" t="s">
        <v>376</v>
      </c>
      <c r="C171" s="174" t="s">
        <v>756</v>
      </c>
      <c r="D171" s="172" t="s">
        <v>65</v>
      </c>
      <c r="E171" s="172" t="s">
        <v>218</v>
      </c>
      <c r="F171" s="172">
        <v>0</v>
      </c>
      <c r="G171" s="172">
        <f t="shared" si="5"/>
        <v>4</v>
      </c>
      <c r="H171" s="173">
        <v>7500</v>
      </c>
      <c r="I171" s="173">
        <v>15000</v>
      </c>
      <c r="J171" s="173">
        <f t="shared" si="6"/>
        <v>30000</v>
      </c>
    </row>
    <row r="172" spans="2:10" x14ac:dyDescent="0.3">
      <c r="B172" s="171" t="s">
        <v>377</v>
      </c>
      <c r="C172" s="174" t="s">
        <v>757</v>
      </c>
      <c r="D172" s="172" t="s">
        <v>65</v>
      </c>
      <c r="E172" s="172">
        <v>3</v>
      </c>
      <c r="F172" s="172">
        <v>0</v>
      </c>
      <c r="G172" s="172">
        <f t="shared" si="5"/>
        <v>3</v>
      </c>
      <c r="H172" s="173">
        <v>6000</v>
      </c>
      <c r="I172" s="173">
        <v>10000</v>
      </c>
      <c r="J172" s="173">
        <f t="shared" si="6"/>
        <v>18000</v>
      </c>
    </row>
    <row r="173" spans="2:10" x14ac:dyDescent="0.3">
      <c r="B173" s="171" t="s">
        <v>378</v>
      </c>
      <c r="C173" s="174" t="s">
        <v>758</v>
      </c>
      <c r="D173" s="172" t="s">
        <v>65</v>
      </c>
      <c r="E173" s="172">
        <v>3</v>
      </c>
      <c r="F173" s="172">
        <v>0</v>
      </c>
      <c r="G173" s="172">
        <f t="shared" si="5"/>
        <v>3</v>
      </c>
      <c r="H173" s="173">
        <v>6000</v>
      </c>
      <c r="I173" s="173">
        <v>10000</v>
      </c>
      <c r="J173" s="173">
        <f t="shared" si="6"/>
        <v>18000</v>
      </c>
    </row>
    <row r="174" spans="2:10" x14ac:dyDescent="0.3">
      <c r="B174" s="171" t="s">
        <v>379</v>
      </c>
      <c r="C174" s="174" t="s">
        <v>759</v>
      </c>
      <c r="D174" s="172" t="s">
        <v>65</v>
      </c>
      <c r="E174" s="172" t="s">
        <v>217</v>
      </c>
      <c r="F174" s="172">
        <v>0</v>
      </c>
      <c r="G174" s="172">
        <f t="shared" si="5"/>
        <v>1</v>
      </c>
      <c r="H174" s="173">
        <v>42000</v>
      </c>
      <c r="I174" s="173">
        <v>60000</v>
      </c>
      <c r="J174" s="173">
        <f t="shared" si="6"/>
        <v>42000</v>
      </c>
    </row>
    <row r="175" spans="2:10" x14ac:dyDescent="0.3">
      <c r="B175" s="171" t="s">
        <v>380</v>
      </c>
      <c r="C175" s="174" t="s">
        <v>760</v>
      </c>
      <c r="D175" s="172" t="s">
        <v>65</v>
      </c>
      <c r="E175" s="172">
        <v>1</v>
      </c>
      <c r="F175" s="172">
        <v>0</v>
      </c>
      <c r="G175" s="172">
        <f t="shared" si="5"/>
        <v>1</v>
      </c>
      <c r="H175" s="173">
        <v>15000</v>
      </c>
      <c r="I175" s="173">
        <v>20000</v>
      </c>
      <c r="J175" s="173">
        <f t="shared" si="6"/>
        <v>15000</v>
      </c>
    </row>
    <row r="176" spans="2:10" x14ac:dyDescent="0.3">
      <c r="B176" s="171" t="s">
        <v>381</v>
      </c>
      <c r="C176" s="174" t="s">
        <v>761</v>
      </c>
      <c r="D176" s="172" t="s">
        <v>65</v>
      </c>
      <c r="E176" s="172">
        <v>1</v>
      </c>
      <c r="F176" s="172">
        <v>0</v>
      </c>
      <c r="G176" s="172">
        <f t="shared" si="5"/>
        <v>1</v>
      </c>
      <c r="H176" s="173">
        <v>12000</v>
      </c>
      <c r="I176" s="173">
        <v>20000</v>
      </c>
      <c r="J176" s="173">
        <f t="shared" si="6"/>
        <v>12000</v>
      </c>
    </row>
    <row r="177" spans="2:10" x14ac:dyDescent="0.3">
      <c r="B177" s="171" t="s">
        <v>382</v>
      </c>
      <c r="C177" s="174" t="s">
        <v>762</v>
      </c>
      <c r="D177" s="172" t="s">
        <v>65</v>
      </c>
      <c r="E177" s="172">
        <v>1</v>
      </c>
      <c r="F177" s="172">
        <v>0</v>
      </c>
      <c r="G177" s="172">
        <f t="shared" si="5"/>
        <v>1</v>
      </c>
      <c r="H177" s="173">
        <v>30000</v>
      </c>
      <c r="I177" s="173">
        <v>43000</v>
      </c>
      <c r="J177" s="173">
        <f t="shared" si="6"/>
        <v>30000</v>
      </c>
    </row>
    <row r="178" spans="2:10" x14ac:dyDescent="0.3">
      <c r="B178" s="171" t="s">
        <v>383</v>
      </c>
      <c r="C178" s="174" t="s">
        <v>763</v>
      </c>
      <c r="D178" s="172" t="s">
        <v>65</v>
      </c>
      <c r="E178" s="172">
        <v>1</v>
      </c>
      <c r="F178" s="172">
        <v>0</v>
      </c>
      <c r="G178" s="172">
        <f t="shared" si="5"/>
        <v>1</v>
      </c>
      <c r="H178" s="173">
        <v>30000</v>
      </c>
      <c r="I178" s="173">
        <v>43000</v>
      </c>
      <c r="J178" s="173">
        <f t="shared" si="6"/>
        <v>30000</v>
      </c>
    </row>
    <row r="179" spans="2:10" x14ac:dyDescent="0.3">
      <c r="B179" s="171" t="s">
        <v>384</v>
      </c>
      <c r="C179" s="174" t="s">
        <v>764</v>
      </c>
      <c r="D179" s="172" t="s">
        <v>65</v>
      </c>
      <c r="E179" s="172">
        <v>1</v>
      </c>
      <c r="F179" s="172">
        <v>0</v>
      </c>
      <c r="G179" s="172">
        <f t="shared" si="5"/>
        <v>1</v>
      </c>
      <c r="H179" s="173">
        <v>9000</v>
      </c>
      <c r="I179" s="173">
        <v>16000</v>
      </c>
      <c r="J179" s="173">
        <f t="shared" si="6"/>
        <v>9000</v>
      </c>
    </row>
    <row r="180" spans="2:10" x14ac:dyDescent="0.3">
      <c r="B180" s="171" t="s">
        <v>385</v>
      </c>
      <c r="C180" s="174" t="s">
        <v>765</v>
      </c>
      <c r="D180" s="172" t="s">
        <v>65</v>
      </c>
      <c r="E180" s="172">
        <v>9</v>
      </c>
      <c r="F180" s="172">
        <v>0</v>
      </c>
      <c r="G180" s="172">
        <f t="shared" si="5"/>
        <v>9</v>
      </c>
      <c r="H180" s="173">
        <v>7500</v>
      </c>
      <c r="I180" s="173">
        <v>15000</v>
      </c>
      <c r="J180" s="173">
        <f t="shared" si="6"/>
        <v>67500</v>
      </c>
    </row>
    <row r="181" spans="2:10" x14ac:dyDescent="0.3">
      <c r="B181" s="171" t="s">
        <v>386</v>
      </c>
      <c r="C181" s="174" t="s">
        <v>766</v>
      </c>
      <c r="D181" s="172" t="s">
        <v>65</v>
      </c>
      <c r="E181" s="172">
        <v>13</v>
      </c>
      <c r="F181" s="172">
        <v>0</v>
      </c>
      <c r="G181" s="172">
        <f t="shared" si="5"/>
        <v>13</v>
      </c>
      <c r="H181" s="173">
        <v>13000</v>
      </c>
      <c r="I181" s="173">
        <v>25000</v>
      </c>
      <c r="J181" s="173">
        <f t="shared" si="6"/>
        <v>169000</v>
      </c>
    </row>
    <row r="182" spans="2:10" x14ac:dyDescent="0.3">
      <c r="B182" s="171" t="s">
        <v>387</v>
      </c>
      <c r="C182" s="174" t="s">
        <v>767</v>
      </c>
      <c r="D182" s="172" t="s">
        <v>65</v>
      </c>
      <c r="E182" s="172">
        <v>1</v>
      </c>
      <c r="F182" s="172">
        <v>0</v>
      </c>
      <c r="G182" s="172">
        <f t="shared" si="5"/>
        <v>1</v>
      </c>
      <c r="H182" s="173">
        <v>30000</v>
      </c>
      <c r="I182" s="173">
        <v>55000</v>
      </c>
      <c r="J182" s="173">
        <f t="shared" si="6"/>
        <v>30000</v>
      </c>
    </row>
    <row r="183" spans="2:10" x14ac:dyDescent="0.3">
      <c r="B183" s="171" t="s">
        <v>388</v>
      </c>
      <c r="C183" s="174" t="s">
        <v>768</v>
      </c>
      <c r="D183" s="172" t="s">
        <v>65</v>
      </c>
      <c r="E183" s="172" t="s">
        <v>217</v>
      </c>
      <c r="F183" s="172">
        <v>0</v>
      </c>
      <c r="G183" s="172">
        <f t="shared" si="5"/>
        <v>1</v>
      </c>
      <c r="H183" s="173">
        <v>12000</v>
      </c>
      <c r="I183" s="173">
        <v>18000</v>
      </c>
      <c r="J183" s="173">
        <f t="shared" si="6"/>
        <v>12000</v>
      </c>
    </row>
    <row r="184" spans="2:10" x14ac:dyDescent="0.3">
      <c r="B184" s="171" t="s">
        <v>389</v>
      </c>
      <c r="C184" s="174" t="s">
        <v>769</v>
      </c>
      <c r="D184" s="172" t="s">
        <v>65</v>
      </c>
      <c r="E184" s="172">
        <v>2</v>
      </c>
      <c r="F184" s="172">
        <v>0</v>
      </c>
      <c r="G184" s="172">
        <f t="shared" si="5"/>
        <v>2</v>
      </c>
      <c r="H184" s="173">
        <v>7500</v>
      </c>
      <c r="I184" s="173">
        <v>15000</v>
      </c>
      <c r="J184" s="173">
        <f t="shared" si="6"/>
        <v>15000</v>
      </c>
    </row>
    <row r="185" spans="2:10" x14ac:dyDescent="0.3">
      <c r="B185" s="171" t="s">
        <v>390</v>
      </c>
      <c r="C185" s="174" t="s">
        <v>770</v>
      </c>
      <c r="D185" s="172" t="s">
        <v>65</v>
      </c>
      <c r="E185" s="172" t="s">
        <v>214</v>
      </c>
      <c r="F185" s="172">
        <v>0</v>
      </c>
      <c r="G185" s="172">
        <f t="shared" si="5"/>
        <v>5</v>
      </c>
      <c r="H185" s="173">
        <v>7500</v>
      </c>
      <c r="I185" s="173">
        <v>15000</v>
      </c>
      <c r="J185" s="173">
        <f t="shared" si="6"/>
        <v>37500</v>
      </c>
    </row>
    <row r="186" spans="2:10" x14ac:dyDescent="0.3">
      <c r="B186" s="171" t="s">
        <v>391</v>
      </c>
      <c r="C186" s="174" t="s">
        <v>771</v>
      </c>
      <c r="D186" s="172" t="s">
        <v>65</v>
      </c>
      <c r="E186" s="172">
        <v>5</v>
      </c>
      <c r="F186" s="172">
        <v>0</v>
      </c>
      <c r="G186" s="172">
        <f t="shared" si="5"/>
        <v>5</v>
      </c>
      <c r="H186" s="173">
        <v>35000</v>
      </c>
      <c r="I186" s="173">
        <v>50000</v>
      </c>
      <c r="J186" s="173">
        <f t="shared" si="6"/>
        <v>175000</v>
      </c>
    </row>
    <row r="187" spans="2:10" x14ac:dyDescent="0.3">
      <c r="B187" s="171" t="s">
        <v>392</v>
      </c>
      <c r="C187" s="174" t="s">
        <v>772</v>
      </c>
      <c r="D187" s="172" t="s">
        <v>65</v>
      </c>
      <c r="E187" s="172">
        <v>3</v>
      </c>
      <c r="F187" s="172">
        <v>0</v>
      </c>
      <c r="G187" s="172">
        <f t="shared" si="5"/>
        <v>3</v>
      </c>
      <c r="H187" s="173">
        <v>9000</v>
      </c>
      <c r="I187" s="173">
        <v>15000</v>
      </c>
      <c r="J187" s="173">
        <f t="shared" si="6"/>
        <v>27000</v>
      </c>
    </row>
    <row r="188" spans="2:10" x14ac:dyDescent="0.3">
      <c r="B188" s="171" t="s">
        <v>393</v>
      </c>
      <c r="C188" s="174" t="s">
        <v>773</v>
      </c>
      <c r="D188" s="172" t="s">
        <v>65</v>
      </c>
      <c r="E188" s="172">
        <v>0</v>
      </c>
      <c r="F188" s="172">
        <v>0</v>
      </c>
      <c r="G188" s="172">
        <f t="shared" si="5"/>
        <v>0</v>
      </c>
      <c r="H188" s="173">
        <v>5000</v>
      </c>
      <c r="I188" s="173">
        <v>15000</v>
      </c>
      <c r="J188" s="173">
        <f t="shared" si="6"/>
        <v>0</v>
      </c>
    </row>
    <row r="189" spans="2:10" x14ac:dyDescent="0.3">
      <c r="B189" s="171" t="s">
        <v>394</v>
      </c>
      <c r="C189" s="174" t="s">
        <v>774</v>
      </c>
      <c r="D189" s="172" t="s">
        <v>65</v>
      </c>
      <c r="E189" s="172">
        <v>2</v>
      </c>
      <c r="F189" s="172">
        <v>0</v>
      </c>
      <c r="G189" s="172">
        <f t="shared" si="5"/>
        <v>2</v>
      </c>
      <c r="H189" s="173">
        <v>12000</v>
      </c>
      <c r="I189" s="173">
        <v>22000</v>
      </c>
      <c r="J189" s="173">
        <f t="shared" si="6"/>
        <v>24000</v>
      </c>
    </row>
    <row r="190" spans="2:10" x14ac:dyDescent="0.3">
      <c r="B190" s="171" t="s">
        <v>395</v>
      </c>
      <c r="C190" s="174" t="s">
        <v>775</v>
      </c>
      <c r="D190" s="172" t="s">
        <v>65</v>
      </c>
      <c r="E190" s="172">
        <v>1</v>
      </c>
      <c r="F190" s="172">
        <v>0</v>
      </c>
      <c r="G190" s="172">
        <f t="shared" si="5"/>
        <v>1</v>
      </c>
      <c r="H190" s="173">
        <v>7500</v>
      </c>
      <c r="I190" s="173">
        <v>15000</v>
      </c>
      <c r="J190" s="173">
        <f t="shared" si="6"/>
        <v>7500</v>
      </c>
    </row>
    <row r="191" spans="2:10" x14ac:dyDescent="0.3">
      <c r="B191" s="171" t="s">
        <v>396</v>
      </c>
      <c r="C191" s="174" t="s">
        <v>776</v>
      </c>
      <c r="D191" s="172" t="s">
        <v>65</v>
      </c>
      <c r="E191" s="172">
        <v>4</v>
      </c>
      <c r="F191" s="172">
        <v>0</v>
      </c>
      <c r="G191" s="172">
        <f t="shared" si="5"/>
        <v>4</v>
      </c>
      <c r="H191" s="173">
        <v>7500</v>
      </c>
      <c r="I191" s="173">
        <v>15000</v>
      </c>
      <c r="J191" s="173">
        <f t="shared" si="6"/>
        <v>30000</v>
      </c>
    </row>
    <row r="192" spans="2:10" x14ac:dyDescent="0.3">
      <c r="B192" s="171" t="s">
        <v>397</v>
      </c>
      <c r="C192" s="174" t="s">
        <v>777</v>
      </c>
      <c r="D192" s="172" t="s">
        <v>65</v>
      </c>
      <c r="E192" s="172">
        <v>2</v>
      </c>
      <c r="F192" s="172">
        <v>0</v>
      </c>
      <c r="G192" s="172">
        <f t="shared" si="5"/>
        <v>2</v>
      </c>
      <c r="H192" s="173">
        <v>7500</v>
      </c>
      <c r="I192" s="173">
        <v>15000</v>
      </c>
      <c r="J192" s="173">
        <f t="shared" si="6"/>
        <v>15000</v>
      </c>
    </row>
    <row r="193" spans="2:10" x14ac:dyDescent="0.3">
      <c r="B193" s="171" t="s">
        <v>398</v>
      </c>
      <c r="C193" s="174" t="s">
        <v>778</v>
      </c>
      <c r="D193" s="172" t="s">
        <v>65</v>
      </c>
      <c r="E193" s="172">
        <v>4</v>
      </c>
      <c r="F193" s="172">
        <v>0</v>
      </c>
      <c r="G193" s="172">
        <f t="shared" si="5"/>
        <v>4</v>
      </c>
      <c r="H193" s="173">
        <v>7500</v>
      </c>
      <c r="I193" s="173">
        <v>15000</v>
      </c>
      <c r="J193" s="173">
        <f t="shared" si="6"/>
        <v>30000</v>
      </c>
    </row>
    <row r="194" spans="2:10" x14ac:dyDescent="0.3">
      <c r="B194" s="171" t="s">
        <v>399</v>
      </c>
      <c r="C194" s="174" t="s">
        <v>779</v>
      </c>
      <c r="D194" s="172" t="s">
        <v>65</v>
      </c>
      <c r="E194" s="172">
        <v>3</v>
      </c>
      <c r="F194" s="172">
        <v>0</v>
      </c>
      <c r="G194" s="172">
        <f t="shared" si="5"/>
        <v>3</v>
      </c>
      <c r="H194" s="173">
        <v>5000</v>
      </c>
      <c r="I194" s="173">
        <v>15000</v>
      </c>
      <c r="J194" s="173">
        <f t="shared" si="6"/>
        <v>15000</v>
      </c>
    </row>
    <row r="195" spans="2:10" x14ac:dyDescent="0.3">
      <c r="B195" s="171" t="s">
        <v>400</v>
      </c>
      <c r="C195" s="174" t="s">
        <v>780</v>
      </c>
      <c r="D195" s="172" t="s">
        <v>65</v>
      </c>
      <c r="E195" s="172">
        <v>3</v>
      </c>
      <c r="F195" s="172">
        <v>0</v>
      </c>
      <c r="G195" s="172">
        <f t="shared" si="5"/>
        <v>3</v>
      </c>
      <c r="H195" s="173">
        <v>5000</v>
      </c>
      <c r="I195" s="173">
        <v>15000</v>
      </c>
      <c r="J195" s="173">
        <f t="shared" si="6"/>
        <v>15000</v>
      </c>
    </row>
    <row r="196" spans="2:10" x14ac:dyDescent="0.3">
      <c r="B196" s="171" t="s">
        <v>401</v>
      </c>
      <c r="C196" s="174" t="s">
        <v>781</v>
      </c>
      <c r="D196" s="172" t="s">
        <v>65</v>
      </c>
      <c r="E196" s="172">
        <v>3</v>
      </c>
      <c r="F196" s="172">
        <v>0</v>
      </c>
      <c r="G196" s="172">
        <f t="shared" si="5"/>
        <v>3</v>
      </c>
      <c r="H196" s="173">
        <v>5000</v>
      </c>
      <c r="I196" s="173">
        <v>15000</v>
      </c>
      <c r="J196" s="173">
        <f t="shared" si="6"/>
        <v>15000</v>
      </c>
    </row>
    <row r="197" spans="2:10" x14ac:dyDescent="0.3">
      <c r="B197" s="171" t="s">
        <v>402</v>
      </c>
      <c r="C197" s="174" t="s">
        <v>782</v>
      </c>
      <c r="D197" s="172" t="s">
        <v>65</v>
      </c>
      <c r="E197" s="172">
        <v>4</v>
      </c>
      <c r="F197" s="172">
        <v>0</v>
      </c>
      <c r="G197" s="172">
        <f t="shared" ref="G197:G260" si="7">IF(E197&lt;&gt;"",E197-F197,G197="")</f>
        <v>4</v>
      </c>
      <c r="H197" s="173">
        <v>7500</v>
      </c>
      <c r="I197" s="173">
        <v>15000</v>
      </c>
      <c r="J197" s="173">
        <f t="shared" ref="J197:J260" si="8">IF(E197&lt;&gt;"",E197*H197,"")</f>
        <v>30000</v>
      </c>
    </row>
    <row r="198" spans="2:10" x14ac:dyDescent="0.3">
      <c r="B198" s="171" t="s">
        <v>403</v>
      </c>
      <c r="C198" s="174" t="s">
        <v>783</v>
      </c>
      <c r="D198" s="172" t="s">
        <v>65</v>
      </c>
      <c r="E198" s="172">
        <v>4</v>
      </c>
      <c r="F198" s="172">
        <v>0</v>
      </c>
      <c r="G198" s="172">
        <f t="shared" si="7"/>
        <v>4</v>
      </c>
      <c r="H198" s="173">
        <v>7500</v>
      </c>
      <c r="I198" s="173">
        <v>15000</v>
      </c>
      <c r="J198" s="173">
        <f t="shared" si="8"/>
        <v>30000</v>
      </c>
    </row>
    <row r="199" spans="2:10" x14ac:dyDescent="0.3">
      <c r="B199" s="171" t="s">
        <v>404</v>
      </c>
      <c r="C199" s="174" t="s">
        <v>784</v>
      </c>
      <c r="D199" s="172" t="s">
        <v>65</v>
      </c>
      <c r="E199" s="172" t="s">
        <v>218</v>
      </c>
      <c r="F199" s="172">
        <v>0</v>
      </c>
      <c r="G199" s="172">
        <f t="shared" si="7"/>
        <v>4</v>
      </c>
      <c r="H199" s="173">
        <v>7500</v>
      </c>
      <c r="I199" s="173">
        <v>15000</v>
      </c>
      <c r="J199" s="173">
        <f t="shared" si="8"/>
        <v>30000</v>
      </c>
    </row>
    <row r="200" spans="2:10" x14ac:dyDescent="0.3">
      <c r="B200" s="171" t="s">
        <v>405</v>
      </c>
      <c r="C200" s="174" t="s">
        <v>785</v>
      </c>
      <c r="D200" s="172" t="s">
        <v>65</v>
      </c>
      <c r="E200" s="172">
        <v>2</v>
      </c>
      <c r="F200" s="172">
        <v>0</v>
      </c>
      <c r="G200" s="172">
        <f t="shared" si="7"/>
        <v>2</v>
      </c>
      <c r="H200" s="173">
        <v>7500</v>
      </c>
      <c r="I200" s="173">
        <v>15000</v>
      </c>
      <c r="J200" s="173">
        <f t="shared" si="8"/>
        <v>15000</v>
      </c>
    </row>
    <row r="201" spans="2:10" x14ac:dyDescent="0.3">
      <c r="B201" s="171" t="s">
        <v>405</v>
      </c>
      <c r="C201" s="174" t="s">
        <v>786</v>
      </c>
      <c r="D201" s="172" t="s">
        <v>65</v>
      </c>
      <c r="E201" s="172">
        <v>3</v>
      </c>
      <c r="F201" s="172">
        <v>0</v>
      </c>
      <c r="G201" s="172">
        <f t="shared" si="7"/>
        <v>3</v>
      </c>
      <c r="H201" s="173">
        <v>7500</v>
      </c>
      <c r="I201" s="173">
        <v>15000</v>
      </c>
      <c r="J201" s="173">
        <f t="shared" si="8"/>
        <v>22500</v>
      </c>
    </row>
    <row r="202" spans="2:10" x14ac:dyDescent="0.3">
      <c r="B202" s="171" t="s">
        <v>406</v>
      </c>
      <c r="C202" s="174" t="s">
        <v>787</v>
      </c>
      <c r="D202" s="172" t="s">
        <v>65</v>
      </c>
      <c r="E202" s="172" t="s">
        <v>214</v>
      </c>
      <c r="F202" s="172">
        <v>0</v>
      </c>
      <c r="G202" s="172">
        <f t="shared" si="7"/>
        <v>5</v>
      </c>
      <c r="H202" s="173">
        <v>7500</v>
      </c>
      <c r="I202" s="173">
        <v>15000</v>
      </c>
      <c r="J202" s="173">
        <f t="shared" si="8"/>
        <v>37500</v>
      </c>
    </row>
    <row r="203" spans="2:10" x14ac:dyDescent="0.3">
      <c r="B203" s="171" t="s">
        <v>407</v>
      </c>
      <c r="C203" s="174" t="s">
        <v>788</v>
      </c>
      <c r="D203" s="172" t="s">
        <v>65</v>
      </c>
      <c r="E203" s="172">
        <v>3</v>
      </c>
      <c r="F203" s="172">
        <v>0</v>
      </c>
      <c r="G203" s="172">
        <f t="shared" si="7"/>
        <v>3</v>
      </c>
      <c r="H203" s="173">
        <v>7500</v>
      </c>
      <c r="I203" s="173">
        <v>15000</v>
      </c>
      <c r="J203" s="173">
        <f t="shared" si="8"/>
        <v>22500</v>
      </c>
    </row>
    <row r="204" spans="2:10" x14ac:dyDescent="0.3">
      <c r="B204" s="171" t="s">
        <v>408</v>
      </c>
      <c r="C204" s="174" t="s">
        <v>789</v>
      </c>
      <c r="D204" s="172" t="s">
        <v>65</v>
      </c>
      <c r="E204" s="172" t="s">
        <v>976</v>
      </c>
      <c r="F204" s="172">
        <v>0</v>
      </c>
      <c r="G204" s="172">
        <f t="shared" si="7"/>
        <v>7</v>
      </c>
      <c r="H204" s="173">
        <v>7500</v>
      </c>
      <c r="I204" s="173">
        <v>15000</v>
      </c>
      <c r="J204" s="173">
        <f t="shared" si="8"/>
        <v>52500</v>
      </c>
    </row>
    <row r="205" spans="2:10" x14ac:dyDescent="0.3">
      <c r="B205" s="171" t="s">
        <v>409</v>
      </c>
      <c r="C205" s="174" t="s">
        <v>790</v>
      </c>
      <c r="D205" s="172" t="s">
        <v>65</v>
      </c>
      <c r="E205" s="172">
        <v>2</v>
      </c>
      <c r="F205" s="172">
        <v>0</v>
      </c>
      <c r="G205" s="172">
        <f t="shared" si="7"/>
        <v>2</v>
      </c>
      <c r="H205" s="173">
        <v>5000</v>
      </c>
      <c r="I205" s="173">
        <v>15000</v>
      </c>
      <c r="J205" s="173">
        <f t="shared" si="8"/>
        <v>10000</v>
      </c>
    </row>
    <row r="206" spans="2:10" x14ac:dyDescent="0.3">
      <c r="B206" s="171" t="s">
        <v>410</v>
      </c>
      <c r="C206" s="174" t="s">
        <v>791</v>
      </c>
      <c r="D206" s="172" t="s">
        <v>65</v>
      </c>
      <c r="E206" s="172" t="s">
        <v>975</v>
      </c>
      <c r="F206" s="172">
        <v>0</v>
      </c>
      <c r="G206" s="172">
        <f t="shared" si="7"/>
        <v>6</v>
      </c>
      <c r="H206" s="173">
        <v>7500</v>
      </c>
      <c r="I206" s="173">
        <v>15000</v>
      </c>
      <c r="J206" s="173">
        <f t="shared" si="8"/>
        <v>45000</v>
      </c>
    </row>
    <row r="207" spans="2:10" x14ac:dyDescent="0.3">
      <c r="B207" s="171" t="s">
        <v>411</v>
      </c>
      <c r="C207" s="174" t="s">
        <v>792</v>
      </c>
      <c r="D207" s="172" t="s">
        <v>65</v>
      </c>
      <c r="E207" s="172">
        <v>1</v>
      </c>
      <c r="F207" s="172">
        <v>0</v>
      </c>
      <c r="G207" s="172">
        <f t="shared" si="7"/>
        <v>1</v>
      </c>
      <c r="H207" s="173">
        <v>10000</v>
      </c>
      <c r="I207" s="173">
        <v>20000</v>
      </c>
      <c r="J207" s="173">
        <f t="shared" si="8"/>
        <v>10000</v>
      </c>
    </row>
    <row r="208" spans="2:10" x14ac:dyDescent="0.3">
      <c r="B208" s="171" t="s">
        <v>412</v>
      </c>
      <c r="C208" s="174" t="s">
        <v>793</v>
      </c>
      <c r="D208" s="172" t="s">
        <v>65</v>
      </c>
      <c r="E208" s="172">
        <v>2</v>
      </c>
      <c r="F208" s="172">
        <v>0</v>
      </c>
      <c r="G208" s="172">
        <f t="shared" si="7"/>
        <v>2</v>
      </c>
      <c r="H208" s="173">
        <v>6000</v>
      </c>
      <c r="I208" s="173">
        <v>10000</v>
      </c>
      <c r="J208" s="173">
        <f t="shared" si="8"/>
        <v>12000</v>
      </c>
    </row>
    <row r="209" spans="2:10" x14ac:dyDescent="0.3">
      <c r="B209" s="171" t="s">
        <v>413</v>
      </c>
      <c r="C209" s="174" t="s">
        <v>794</v>
      </c>
      <c r="D209" s="172" t="s">
        <v>65</v>
      </c>
      <c r="E209" s="172">
        <v>5</v>
      </c>
      <c r="F209" s="172">
        <v>0</v>
      </c>
      <c r="G209" s="172">
        <f t="shared" si="7"/>
        <v>5</v>
      </c>
      <c r="H209" s="173">
        <v>7500</v>
      </c>
      <c r="I209" s="173">
        <v>15000</v>
      </c>
      <c r="J209" s="173">
        <f t="shared" si="8"/>
        <v>37500</v>
      </c>
    </row>
    <row r="210" spans="2:10" x14ac:dyDescent="0.3">
      <c r="B210" s="171" t="s">
        <v>414</v>
      </c>
      <c r="C210" s="174" t="s">
        <v>795</v>
      </c>
      <c r="D210" s="172" t="s">
        <v>65</v>
      </c>
      <c r="E210" s="172">
        <v>3</v>
      </c>
      <c r="F210" s="172">
        <v>0</v>
      </c>
      <c r="G210" s="172">
        <f t="shared" si="7"/>
        <v>3</v>
      </c>
      <c r="H210" s="173">
        <v>10000</v>
      </c>
      <c r="I210" s="173">
        <v>15000</v>
      </c>
      <c r="J210" s="173">
        <f t="shared" si="8"/>
        <v>30000</v>
      </c>
    </row>
    <row r="211" spans="2:10" x14ac:dyDescent="0.3">
      <c r="B211" s="171" t="s">
        <v>415</v>
      </c>
      <c r="C211" s="174" t="s">
        <v>796</v>
      </c>
      <c r="D211" s="172" t="s">
        <v>65</v>
      </c>
      <c r="E211" s="172">
        <v>3</v>
      </c>
      <c r="F211" s="172">
        <v>0</v>
      </c>
      <c r="G211" s="172">
        <f t="shared" si="7"/>
        <v>3</v>
      </c>
      <c r="H211" s="173">
        <v>10000</v>
      </c>
      <c r="I211" s="173">
        <v>20000</v>
      </c>
      <c r="J211" s="173">
        <f t="shared" si="8"/>
        <v>30000</v>
      </c>
    </row>
    <row r="212" spans="2:10" x14ac:dyDescent="0.3">
      <c r="B212" s="171" t="s">
        <v>416</v>
      </c>
      <c r="C212" s="174" t="s">
        <v>797</v>
      </c>
      <c r="D212" s="172" t="s">
        <v>65</v>
      </c>
      <c r="E212" s="172">
        <v>-1</v>
      </c>
      <c r="F212" s="172">
        <v>0</v>
      </c>
      <c r="G212" s="172">
        <f t="shared" si="7"/>
        <v>-1</v>
      </c>
      <c r="H212" s="173">
        <v>26000</v>
      </c>
      <c r="I212" s="173">
        <v>40000</v>
      </c>
      <c r="J212" s="173">
        <f t="shared" si="8"/>
        <v>-26000</v>
      </c>
    </row>
    <row r="213" spans="2:10" x14ac:dyDescent="0.3">
      <c r="B213" s="171" t="s">
        <v>417</v>
      </c>
      <c r="C213" s="174" t="s">
        <v>798</v>
      </c>
      <c r="D213" s="172" t="s">
        <v>65</v>
      </c>
      <c r="E213" s="172">
        <v>2</v>
      </c>
      <c r="F213" s="172">
        <v>0</v>
      </c>
      <c r="G213" s="172">
        <f t="shared" si="7"/>
        <v>2</v>
      </c>
      <c r="H213" s="173">
        <v>6000</v>
      </c>
      <c r="I213" s="173">
        <v>10000</v>
      </c>
      <c r="J213" s="173">
        <f t="shared" si="8"/>
        <v>12000</v>
      </c>
    </row>
    <row r="214" spans="2:10" x14ac:dyDescent="0.3">
      <c r="B214" s="171" t="s">
        <v>418</v>
      </c>
      <c r="C214" s="174" t="s">
        <v>799</v>
      </c>
      <c r="D214" s="172" t="s">
        <v>65</v>
      </c>
      <c r="E214" s="172">
        <v>0</v>
      </c>
      <c r="F214" s="172">
        <v>0</v>
      </c>
      <c r="G214" s="172">
        <f t="shared" si="7"/>
        <v>0</v>
      </c>
      <c r="H214" s="173">
        <v>40000</v>
      </c>
      <c r="I214" s="173">
        <v>47000</v>
      </c>
      <c r="J214" s="173">
        <f t="shared" si="8"/>
        <v>0</v>
      </c>
    </row>
    <row r="215" spans="2:10" x14ac:dyDescent="0.3">
      <c r="B215" s="171" t="s">
        <v>419</v>
      </c>
      <c r="C215" s="174" t="s">
        <v>800</v>
      </c>
      <c r="D215" s="172" t="s">
        <v>65</v>
      </c>
      <c r="E215" s="172">
        <v>5</v>
      </c>
      <c r="F215" s="172">
        <v>0</v>
      </c>
      <c r="G215" s="172">
        <f t="shared" si="7"/>
        <v>5</v>
      </c>
      <c r="H215" s="173">
        <v>31000</v>
      </c>
      <c r="I215" s="173">
        <v>40000</v>
      </c>
      <c r="J215" s="173">
        <f t="shared" si="8"/>
        <v>155000</v>
      </c>
    </row>
    <row r="216" spans="2:10" x14ac:dyDescent="0.3">
      <c r="B216" s="171" t="s">
        <v>420</v>
      </c>
      <c r="C216" s="174" t="s">
        <v>801</v>
      </c>
      <c r="D216" s="172" t="s">
        <v>65</v>
      </c>
      <c r="E216" s="172">
        <v>2</v>
      </c>
      <c r="F216" s="172">
        <v>0</v>
      </c>
      <c r="G216" s="172">
        <f t="shared" si="7"/>
        <v>2</v>
      </c>
      <c r="H216" s="173">
        <v>6000</v>
      </c>
      <c r="I216" s="173">
        <v>10000</v>
      </c>
      <c r="J216" s="173">
        <f t="shared" si="8"/>
        <v>12000</v>
      </c>
    </row>
    <row r="217" spans="2:10" x14ac:dyDescent="0.3">
      <c r="B217" s="171" t="s">
        <v>421</v>
      </c>
      <c r="C217" s="174" t="s">
        <v>802</v>
      </c>
      <c r="D217" s="172" t="s">
        <v>65</v>
      </c>
      <c r="E217" s="172" t="s">
        <v>976</v>
      </c>
      <c r="F217" s="172">
        <v>0</v>
      </c>
      <c r="G217" s="172">
        <f t="shared" si="7"/>
        <v>7</v>
      </c>
      <c r="H217" s="173">
        <v>12000</v>
      </c>
      <c r="I217" s="173">
        <v>25000</v>
      </c>
      <c r="J217" s="173">
        <f t="shared" si="8"/>
        <v>84000</v>
      </c>
    </row>
    <row r="218" spans="2:10" x14ac:dyDescent="0.3">
      <c r="B218" s="171" t="s">
        <v>422</v>
      </c>
      <c r="C218" s="174" t="s">
        <v>803</v>
      </c>
      <c r="D218" s="172" t="s">
        <v>65</v>
      </c>
      <c r="E218" s="172" t="s">
        <v>973</v>
      </c>
      <c r="F218" s="172">
        <v>0</v>
      </c>
      <c r="G218" s="172">
        <f t="shared" si="7"/>
        <v>3</v>
      </c>
      <c r="H218" s="173">
        <v>12000</v>
      </c>
      <c r="I218" s="173">
        <v>25000</v>
      </c>
      <c r="J218" s="173">
        <f t="shared" si="8"/>
        <v>36000</v>
      </c>
    </row>
    <row r="219" spans="2:10" x14ac:dyDescent="0.3">
      <c r="B219" s="171" t="s">
        <v>422</v>
      </c>
      <c r="C219" s="174" t="s">
        <v>804</v>
      </c>
      <c r="D219" s="172" t="s">
        <v>65</v>
      </c>
      <c r="E219" s="172">
        <v>4</v>
      </c>
      <c r="F219" s="172">
        <v>0</v>
      </c>
      <c r="G219" s="172">
        <f t="shared" si="7"/>
        <v>4</v>
      </c>
      <c r="H219" s="173">
        <v>12000</v>
      </c>
      <c r="I219" s="173">
        <v>25000</v>
      </c>
      <c r="J219" s="173">
        <f t="shared" si="8"/>
        <v>48000</v>
      </c>
    </row>
    <row r="220" spans="2:10" x14ac:dyDescent="0.3">
      <c r="B220" s="171" t="s">
        <v>422</v>
      </c>
      <c r="C220" s="174" t="s">
        <v>804</v>
      </c>
      <c r="D220" s="172" t="s">
        <v>65</v>
      </c>
      <c r="E220" s="172">
        <v>4</v>
      </c>
      <c r="F220" s="172">
        <v>0</v>
      </c>
      <c r="G220" s="172">
        <f t="shared" si="7"/>
        <v>4</v>
      </c>
      <c r="H220" s="173">
        <v>12000</v>
      </c>
      <c r="I220" s="173">
        <v>25000</v>
      </c>
      <c r="J220" s="173">
        <f t="shared" si="8"/>
        <v>48000</v>
      </c>
    </row>
    <row r="221" spans="2:10" x14ac:dyDescent="0.3">
      <c r="B221" s="171" t="s">
        <v>423</v>
      </c>
      <c r="C221" s="174" t="s">
        <v>601</v>
      </c>
      <c r="D221" s="172" t="s">
        <v>65</v>
      </c>
      <c r="E221" s="172">
        <v>3</v>
      </c>
      <c r="F221" s="172">
        <v>0</v>
      </c>
      <c r="G221" s="172">
        <f t="shared" si="7"/>
        <v>3</v>
      </c>
      <c r="H221" s="173">
        <v>20000</v>
      </c>
      <c r="I221" s="173">
        <v>25000</v>
      </c>
      <c r="J221" s="173">
        <f t="shared" si="8"/>
        <v>60000</v>
      </c>
    </row>
    <row r="222" spans="2:10" x14ac:dyDescent="0.3">
      <c r="B222" s="171" t="s">
        <v>424</v>
      </c>
      <c r="C222" s="174" t="s">
        <v>805</v>
      </c>
      <c r="D222" s="172" t="s">
        <v>65</v>
      </c>
      <c r="E222" s="172">
        <v>2</v>
      </c>
      <c r="F222" s="172">
        <v>0</v>
      </c>
      <c r="G222" s="172">
        <f t="shared" si="7"/>
        <v>2</v>
      </c>
      <c r="H222" s="173">
        <v>12000</v>
      </c>
      <c r="I222" s="173">
        <v>25000</v>
      </c>
      <c r="J222" s="173">
        <f t="shared" si="8"/>
        <v>24000</v>
      </c>
    </row>
    <row r="223" spans="2:10" x14ac:dyDescent="0.3">
      <c r="B223" s="171" t="s">
        <v>425</v>
      </c>
      <c r="C223" s="174" t="s">
        <v>806</v>
      </c>
      <c r="D223" s="172" t="s">
        <v>65</v>
      </c>
      <c r="E223" s="172">
        <v>2</v>
      </c>
      <c r="F223" s="172">
        <v>0</v>
      </c>
      <c r="G223" s="172">
        <f t="shared" si="7"/>
        <v>2</v>
      </c>
      <c r="H223" s="173">
        <v>20000</v>
      </c>
      <c r="I223" s="173">
        <v>25000</v>
      </c>
      <c r="J223" s="173">
        <f t="shared" si="8"/>
        <v>40000</v>
      </c>
    </row>
    <row r="224" spans="2:10" x14ac:dyDescent="0.3">
      <c r="B224" s="171" t="s">
        <v>426</v>
      </c>
      <c r="C224" s="174" t="s">
        <v>806</v>
      </c>
      <c r="D224" s="172" t="s">
        <v>65</v>
      </c>
      <c r="E224" s="172">
        <v>1</v>
      </c>
      <c r="F224" s="172">
        <v>0</v>
      </c>
      <c r="G224" s="172">
        <f t="shared" si="7"/>
        <v>1</v>
      </c>
      <c r="H224" s="173">
        <v>12000</v>
      </c>
      <c r="I224" s="173">
        <v>25000</v>
      </c>
      <c r="J224" s="173">
        <f t="shared" si="8"/>
        <v>12000</v>
      </c>
    </row>
    <row r="225" spans="2:10" x14ac:dyDescent="0.3">
      <c r="B225" s="171" t="s">
        <v>427</v>
      </c>
      <c r="C225" s="174" t="s">
        <v>807</v>
      </c>
      <c r="D225" s="172" t="s">
        <v>65</v>
      </c>
      <c r="E225" s="172">
        <v>1</v>
      </c>
      <c r="F225" s="172">
        <v>0</v>
      </c>
      <c r="G225" s="172">
        <f t="shared" si="7"/>
        <v>1</v>
      </c>
      <c r="H225" s="173">
        <v>12000</v>
      </c>
      <c r="I225" s="173">
        <v>25000</v>
      </c>
      <c r="J225" s="173">
        <f t="shared" si="8"/>
        <v>12000</v>
      </c>
    </row>
    <row r="226" spans="2:10" x14ac:dyDescent="0.3">
      <c r="B226" s="171" t="s">
        <v>428</v>
      </c>
      <c r="C226" s="174" t="s">
        <v>808</v>
      </c>
      <c r="D226" s="172" t="s">
        <v>65</v>
      </c>
      <c r="E226" s="172">
        <v>1</v>
      </c>
      <c r="F226" s="172">
        <v>0</v>
      </c>
      <c r="G226" s="172">
        <f t="shared" si="7"/>
        <v>1</v>
      </c>
      <c r="H226" s="173">
        <v>12000</v>
      </c>
      <c r="I226" s="173">
        <v>25000</v>
      </c>
      <c r="J226" s="173">
        <f t="shared" si="8"/>
        <v>12000</v>
      </c>
    </row>
    <row r="227" spans="2:10" x14ac:dyDescent="0.3">
      <c r="B227" s="171" t="s">
        <v>429</v>
      </c>
      <c r="C227" s="174" t="s">
        <v>809</v>
      </c>
      <c r="D227" s="172" t="s">
        <v>65</v>
      </c>
      <c r="E227" s="172">
        <v>5</v>
      </c>
      <c r="F227" s="172">
        <v>0</v>
      </c>
      <c r="G227" s="172">
        <f t="shared" si="7"/>
        <v>5</v>
      </c>
      <c r="H227" s="173">
        <v>12000</v>
      </c>
      <c r="I227" s="173">
        <v>25000</v>
      </c>
      <c r="J227" s="173">
        <f t="shared" si="8"/>
        <v>60000</v>
      </c>
    </row>
    <row r="228" spans="2:10" x14ac:dyDescent="0.3">
      <c r="B228" s="171" t="s">
        <v>430</v>
      </c>
      <c r="C228" s="174" t="s">
        <v>810</v>
      </c>
      <c r="D228" s="172" t="s">
        <v>65</v>
      </c>
      <c r="E228" s="172">
        <v>13</v>
      </c>
      <c r="F228" s="172">
        <v>0</v>
      </c>
      <c r="G228" s="172">
        <f t="shared" si="7"/>
        <v>13</v>
      </c>
      <c r="H228" s="173">
        <v>12000</v>
      </c>
      <c r="I228" s="173">
        <v>25000</v>
      </c>
      <c r="J228" s="173">
        <f t="shared" si="8"/>
        <v>156000</v>
      </c>
    </row>
    <row r="229" spans="2:10" x14ac:dyDescent="0.3">
      <c r="B229" s="171" t="s">
        <v>431</v>
      </c>
      <c r="C229" s="174" t="s">
        <v>811</v>
      </c>
      <c r="D229" s="172" t="s">
        <v>65</v>
      </c>
      <c r="E229" s="172" t="s">
        <v>213</v>
      </c>
      <c r="F229" s="172">
        <v>0</v>
      </c>
      <c r="G229" s="172">
        <f t="shared" si="7"/>
        <v>8</v>
      </c>
      <c r="H229" s="173">
        <v>7500</v>
      </c>
      <c r="I229" s="173">
        <v>15000</v>
      </c>
      <c r="J229" s="173">
        <f t="shared" si="8"/>
        <v>60000</v>
      </c>
    </row>
    <row r="230" spans="2:10" x14ac:dyDescent="0.3">
      <c r="B230" s="171" t="s">
        <v>432</v>
      </c>
      <c r="C230" s="174" t="s">
        <v>812</v>
      </c>
      <c r="D230" s="172" t="s">
        <v>65</v>
      </c>
      <c r="E230" s="172">
        <v>0</v>
      </c>
      <c r="F230" s="172">
        <v>0</v>
      </c>
      <c r="G230" s="172">
        <f t="shared" si="7"/>
        <v>0</v>
      </c>
      <c r="H230" s="173">
        <v>20000</v>
      </c>
      <c r="I230" s="173">
        <v>25000</v>
      </c>
      <c r="J230" s="173">
        <f t="shared" si="8"/>
        <v>0</v>
      </c>
    </row>
    <row r="231" spans="2:10" x14ac:dyDescent="0.3">
      <c r="B231" s="171" t="s">
        <v>433</v>
      </c>
      <c r="C231" s="174" t="s">
        <v>813</v>
      </c>
      <c r="D231" s="172" t="s">
        <v>65</v>
      </c>
      <c r="E231" s="172" t="s">
        <v>976</v>
      </c>
      <c r="F231" s="172">
        <v>0</v>
      </c>
      <c r="G231" s="172">
        <f t="shared" si="7"/>
        <v>7</v>
      </c>
      <c r="H231" s="173">
        <v>7500</v>
      </c>
      <c r="I231" s="173">
        <v>15000</v>
      </c>
      <c r="J231" s="173">
        <f t="shared" si="8"/>
        <v>52500</v>
      </c>
    </row>
    <row r="232" spans="2:10" x14ac:dyDescent="0.3">
      <c r="B232" s="171" t="s">
        <v>434</v>
      </c>
      <c r="C232" s="174" t="s">
        <v>814</v>
      </c>
      <c r="D232" s="172" t="s">
        <v>65</v>
      </c>
      <c r="E232" s="172">
        <v>1</v>
      </c>
      <c r="F232" s="172">
        <v>0</v>
      </c>
      <c r="G232" s="172">
        <f t="shared" si="7"/>
        <v>1</v>
      </c>
      <c r="H232" s="173">
        <v>12000</v>
      </c>
      <c r="I232" s="173">
        <v>25000</v>
      </c>
      <c r="J232" s="173">
        <f t="shared" si="8"/>
        <v>12000</v>
      </c>
    </row>
    <row r="233" spans="2:10" x14ac:dyDescent="0.3">
      <c r="B233" s="171" t="s">
        <v>435</v>
      </c>
      <c r="C233" s="174" t="s">
        <v>815</v>
      </c>
      <c r="D233" s="172" t="s">
        <v>65</v>
      </c>
      <c r="E233" s="172" t="s">
        <v>214</v>
      </c>
      <c r="F233" s="172">
        <v>0</v>
      </c>
      <c r="G233" s="172">
        <f t="shared" si="7"/>
        <v>5</v>
      </c>
      <c r="H233" s="173">
        <v>12000</v>
      </c>
      <c r="I233" s="173">
        <v>25000</v>
      </c>
      <c r="J233" s="173">
        <f t="shared" si="8"/>
        <v>60000</v>
      </c>
    </row>
    <row r="234" spans="2:10" x14ac:dyDescent="0.3">
      <c r="B234" s="171" t="s">
        <v>436</v>
      </c>
      <c r="C234" s="174" t="s">
        <v>816</v>
      </c>
      <c r="D234" s="172" t="s">
        <v>65</v>
      </c>
      <c r="E234" s="172" t="s">
        <v>218</v>
      </c>
      <c r="F234" s="172">
        <v>0</v>
      </c>
      <c r="G234" s="172">
        <f t="shared" si="7"/>
        <v>4</v>
      </c>
      <c r="H234" s="173">
        <v>12000</v>
      </c>
      <c r="I234" s="173">
        <v>25000</v>
      </c>
      <c r="J234" s="173">
        <f t="shared" si="8"/>
        <v>48000</v>
      </c>
    </row>
    <row r="235" spans="2:10" x14ac:dyDescent="0.3">
      <c r="B235" s="171" t="s">
        <v>437</v>
      </c>
      <c r="C235" s="174" t="s">
        <v>817</v>
      </c>
      <c r="D235" s="172" t="s">
        <v>65</v>
      </c>
      <c r="E235" s="172">
        <v>1</v>
      </c>
      <c r="F235" s="172">
        <v>0</v>
      </c>
      <c r="G235" s="172">
        <f t="shared" si="7"/>
        <v>1</v>
      </c>
      <c r="H235" s="173">
        <v>12000</v>
      </c>
      <c r="I235" s="173">
        <v>25000</v>
      </c>
      <c r="J235" s="173">
        <f t="shared" si="8"/>
        <v>12000</v>
      </c>
    </row>
    <row r="236" spans="2:10" x14ac:dyDescent="0.3">
      <c r="B236" s="171" t="s">
        <v>438</v>
      </c>
      <c r="C236" s="174" t="s">
        <v>818</v>
      </c>
      <c r="D236" s="172" t="s">
        <v>65</v>
      </c>
      <c r="E236" s="172" t="s">
        <v>973</v>
      </c>
      <c r="F236" s="172">
        <v>0</v>
      </c>
      <c r="G236" s="172">
        <f t="shared" si="7"/>
        <v>3</v>
      </c>
      <c r="H236" s="173">
        <v>12000</v>
      </c>
      <c r="I236" s="173">
        <v>25000</v>
      </c>
      <c r="J236" s="173">
        <f t="shared" si="8"/>
        <v>36000</v>
      </c>
    </row>
    <row r="237" spans="2:10" x14ac:dyDescent="0.3">
      <c r="B237" s="171" t="s">
        <v>439</v>
      </c>
      <c r="C237" s="174" t="s">
        <v>819</v>
      </c>
      <c r="D237" s="172" t="s">
        <v>65</v>
      </c>
      <c r="E237" s="172" t="s">
        <v>218</v>
      </c>
      <c r="F237" s="172">
        <v>0</v>
      </c>
      <c r="G237" s="172">
        <f t="shared" si="7"/>
        <v>4</v>
      </c>
      <c r="H237" s="173">
        <v>12000</v>
      </c>
      <c r="I237" s="173">
        <v>25000</v>
      </c>
      <c r="J237" s="173">
        <f t="shared" si="8"/>
        <v>48000</v>
      </c>
    </row>
    <row r="238" spans="2:10" x14ac:dyDescent="0.3">
      <c r="B238" s="171" t="s">
        <v>440</v>
      </c>
      <c r="C238" s="174" t="s">
        <v>820</v>
      </c>
      <c r="D238" s="172" t="s">
        <v>65</v>
      </c>
      <c r="E238" s="172">
        <v>2</v>
      </c>
      <c r="F238" s="172">
        <v>0</v>
      </c>
      <c r="G238" s="172">
        <f t="shared" si="7"/>
        <v>2</v>
      </c>
      <c r="H238" s="173">
        <v>12500</v>
      </c>
      <c r="I238" s="173">
        <v>25000</v>
      </c>
      <c r="J238" s="173">
        <f t="shared" si="8"/>
        <v>25000</v>
      </c>
    </row>
    <row r="239" spans="2:10" x14ac:dyDescent="0.3">
      <c r="B239" s="171" t="s">
        <v>441</v>
      </c>
      <c r="C239" s="174" t="s">
        <v>821</v>
      </c>
      <c r="D239" s="172" t="s">
        <v>65</v>
      </c>
      <c r="E239" s="172">
        <v>2</v>
      </c>
      <c r="F239" s="172">
        <v>0</v>
      </c>
      <c r="G239" s="172">
        <f t="shared" si="7"/>
        <v>2</v>
      </c>
      <c r="H239" s="173">
        <v>20000</v>
      </c>
      <c r="I239" s="173">
        <v>25000</v>
      </c>
      <c r="J239" s="173">
        <f t="shared" si="8"/>
        <v>40000</v>
      </c>
    </row>
    <row r="240" spans="2:10" x14ac:dyDescent="0.3">
      <c r="B240" s="171" t="s">
        <v>442</v>
      </c>
      <c r="C240" s="174" t="s">
        <v>822</v>
      </c>
      <c r="D240" s="172" t="s">
        <v>65</v>
      </c>
      <c r="E240" s="172">
        <v>1</v>
      </c>
      <c r="F240" s="172">
        <v>0</v>
      </c>
      <c r="G240" s="172">
        <f t="shared" si="7"/>
        <v>1</v>
      </c>
      <c r="H240" s="173">
        <v>12500</v>
      </c>
      <c r="I240" s="173">
        <v>25000</v>
      </c>
      <c r="J240" s="173">
        <f t="shared" si="8"/>
        <v>12500</v>
      </c>
    </row>
    <row r="241" spans="2:10" x14ac:dyDescent="0.3">
      <c r="B241" s="171" t="s">
        <v>443</v>
      </c>
      <c r="C241" s="174" t="s">
        <v>823</v>
      </c>
      <c r="D241" s="172" t="s">
        <v>65</v>
      </c>
      <c r="E241" s="172">
        <v>0</v>
      </c>
      <c r="F241" s="172">
        <v>0</v>
      </c>
      <c r="G241" s="172">
        <f t="shared" si="7"/>
        <v>0</v>
      </c>
      <c r="H241" s="173">
        <v>12000</v>
      </c>
      <c r="I241" s="173">
        <v>25000</v>
      </c>
      <c r="J241" s="173">
        <f t="shared" si="8"/>
        <v>0</v>
      </c>
    </row>
    <row r="242" spans="2:10" x14ac:dyDescent="0.3">
      <c r="B242" s="171" t="s">
        <v>444</v>
      </c>
      <c r="C242" s="174" t="s">
        <v>824</v>
      </c>
      <c r="D242" s="172" t="s">
        <v>65</v>
      </c>
      <c r="E242" s="172">
        <v>3</v>
      </c>
      <c r="F242" s="172">
        <v>0</v>
      </c>
      <c r="G242" s="172">
        <f t="shared" si="7"/>
        <v>3</v>
      </c>
      <c r="H242" s="173">
        <v>7500</v>
      </c>
      <c r="I242" s="173">
        <v>15000</v>
      </c>
      <c r="J242" s="173">
        <f t="shared" si="8"/>
        <v>22500</v>
      </c>
    </row>
    <row r="243" spans="2:10" x14ac:dyDescent="0.3">
      <c r="B243" s="171" t="s">
        <v>445</v>
      </c>
      <c r="C243" s="174" t="s">
        <v>825</v>
      </c>
      <c r="D243" s="172" t="s">
        <v>65</v>
      </c>
      <c r="E243" s="172">
        <v>2</v>
      </c>
      <c r="F243" s="172">
        <v>0</v>
      </c>
      <c r="G243" s="172">
        <f t="shared" si="7"/>
        <v>2</v>
      </c>
      <c r="H243" s="173">
        <v>7500</v>
      </c>
      <c r="I243" s="173">
        <v>15000</v>
      </c>
      <c r="J243" s="173">
        <f t="shared" si="8"/>
        <v>15000</v>
      </c>
    </row>
    <row r="244" spans="2:10" x14ac:dyDescent="0.3">
      <c r="B244" s="171" t="s">
        <v>446</v>
      </c>
      <c r="C244" s="174" t="s">
        <v>826</v>
      </c>
      <c r="D244" s="172" t="s">
        <v>65</v>
      </c>
      <c r="E244" s="172">
        <v>4</v>
      </c>
      <c r="F244" s="172">
        <v>0</v>
      </c>
      <c r="G244" s="172">
        <f t="shared" si="7"/>
        <v>4</v>
      </c>
      <c r="H244" s="173">
        <v>7500</v>
      </c>
      <c r="I244" s="173">
        <v>15000</v>
      </c>
      <c r="J244" s="173">
        <f t="shared" si="8"/>
        <v>30000</v>
      </c>
    </row>
    <row r="245" spans="2:10" x14ac:dyDescent="0.3">
      <c r="B245" s="171" t="s">
        <v>447</v>
      </c>
      <c r="C245" s="174" t="s">
        <v>827</v>
      </c>
      <c r="D245" s="172" t="s">
        <v>65</v>
      </c>
      <c r="E245" s="172" t="s">
        <v>974</v>
      </c>
      <c r="F245" s="172">
        <v>0</v>
      </c>
      <c r="G245" s="172">
        <f t="shared" si="7"/>
        <v>2</v>
      </c>
      <c r="H245" s="173">
        <v>9000</v>
      </c>
      <c r="I245" s="173">
        <v>15000</v>
      </c>
      <c r="J245" s="173">
        <f t="shared" si="8"/>
        <v>18000</v>
      </c>
    </row>
    <row r="246" spans="2:10" x14ac:dyDescent="0.3">
      <c r="B246" s="171" t="s">
        <v>448</v>
      </c>
      <c r="C246" s="174" t="s">
        <v>828</v>
      </c>
      <c r="D246" s="172" t="s">
        <v>65</v>
      </c>
      <c r="E246" s="172">
        <v>2</v>
      </c>
      <c r="F246" s="172">
        <v>0</v>
      </c>
      <c r="G246" s="172">
        <f t="shared" si="7"/>
        <v>2</v>
      </c>
      <c r="H246" s="173">
        <v>7500</v>
      </c>
      <c r="I246" s="173">
        <v>15000</v>
      </c>
      <c r="J246" s="173">
        <f t="shared" si="8"/>
        <v>15000</v>
      </c>
    </row>
    <row r="247" spans="2:10" x14ac:dyDescent="0.3">
      <c r="B247" s="171" t="s">
        <v>449</v>
      </c>
      <c r="C247" s="174" t="s">
        <v>829</v>
      </c>
      <c r="D247" s="172" t="s">
        <v>65</v>
      </c>
      <c r="E247" s="172">
        <v>3</v>
      </c>
      <c r="F247" s="172">
        <v>0</v>
      </c>
      <c r="G247" s="172">
        <f t="shared" si="7"/>
        <v>3</v>
      </c>
      <c r="H247" s="173">
        <v>9000</v>
      </c>
      <c r="I247" s="173">
        <v>15000</v>
      </c>
      <c r="J247" s="173">
        <f t="shared" si="8"/>
        <v>27000</v>
      </c>
    </row>
    <row r="248" spans="2:10" x14ac:dyDescent="0.3">
      <c r="B248" s="171" t="s">
        <v>450</v>
      </c>
      <c r="C248" s="174" t="s">
        <v>802</v>
      </c>
      <c r="D248" s="172" t="s">
        <v>65</v>
      </c>
      <c r="E248" s="172">
        <v>1</v>
      </c>
      <c r="F248" s="172">
        <v>0</v>
      </c>
      <c r="G248" s="172">
        <f t="shared" si="7"/>
        <v>1</v>
      </c>
      <c r="H248" s="173">
        <v>12000</v>
      </c>
      <c r="I248" s="173">
        <v>25000</v>
      </c>
      <c r="J248" s="173">
        <f t="shared" si="8"/>
        <v>12000</v>
      </c>
    </row>
    <row r="249" spans="2:10" x14ac:dyDescent="0.3">
      <c r="B249" s="171" t="s">
        <v>451</v>
      </c>
      <c r="C249" s="174" t="s">
        <v>830</v>
      </c>
      <c r="D249" s="172" t="s">
        <v>65</v>
      </c>
      <c r="E249" s="172" t="s">
        <v>973</v>
      </c>
      <c r="F249" s="172">
        <v>0</v>
      </c>
      <c r="G249" s="172">
        <f t="shared" si="7"/>
        <v>3</v>
      </c>
      <c r="H249" s="173">
        <v>12000</v>
      </c>
      <c r="I249" s="173">
        <v>25000</v>
      </c>
      <c r="J249" s="173">
        <f t="shared" si="8"/>
        <v>36000</v>
      </c>
    </row>
    <row r="250" spans="2:10" x14ac:dyDescent="0.3">
      <c r="B250" s="171" t="s">
        <v>452</v>
      </c>
      <c r="C250" s="174" t="s">
        <v>831</v>
      </c>
      <c r="D250" s="172" t="s">
        <v>65</v>
      </c>
      <c r="E250" s="172" t="s">
        <v>975</v>
      </c>
      <c r="F250" s="172">
        <v>0</v>
      </c>
      <c r="G250" s="172">
        <f t="shared" si="7"/>
        <v>6</v>
      </c>
      <c r="H250" s="173">
        <v>9000</v>
      </c>
      <c r="I250" s="173">
        <v>15000</v>
      </c>
      <c r="J250" s="173">
        <f t="shared" si="8"/>
        <v>54000</v>
      </c>
    </row>
    <row r="251" spans="2:10" x14ac:dyDescent="0.3">
      <c r="B251" s="171" t="s">
        <v>453</v>
      </c>
      <c r="C251" s="174" t="s">
        <v>832</v>
      </c>
      <c r="D251" s="172" t="s">
        <v>65</v>
      </c>
      <c r="E251" s="172" t="s">
        <v>212</v>
      </c>
      <c r="F251" s="172">
        <v>0</v>
      </c>
      <c r="G251" s="172">
        <f t="shared" si="7"/>
        <v>10</v>
      </c>
      <c r="H251" s="173">
        <v>10000</v>
      </c>
      <c r="I251" s="173">
        <v>15000</v>
      </c>
      <c r="J251" s="173">
        <f t="shared" si="8"/>
        <v>100000</v>
      </c>
    </row>
    <row r="252" spans="2:10" x14ac:dyDescent="0.3">
      <c r="B252" s="171" t="s">
        <v>454</v>
      </c>
      <c r="C252" s="174" t="s">
        <v>833</v>
      </c>
      <c r="D252" s="172" t="s">
        <v>65</v>
      </c>
      <c r="E252" s="172" t="s">
        <v>214</v>
      </c>
      <c r="F252" s="172">
        <v>0</v>
      </c>
      <c r="G252" s="172">
        <f t="shared" si="7"/>
        <v>5</v>
      </c>
      <c r="H252" s="173">
        <v>10000</v>
      </c>
      <c r="I252" s="173">
        <v>20000</v>
      </c>
      <c r="J252" s="173">
        <f t="shared" si="8"/>
        <v>50000</v>
      </c>
    </row>
    <row r="253" spans="2:10" x14ac:dyDescent="0.3">
      <c r="B253" s="171" t="s">
        <v>455</v>
      </c>
      <c r="C253" s="174" t="s">
        <v>834</v>
      </c>
      <c r="D253" s="172" t="s">
        <v>65</v>
      </c>
      <c r="E253" s="172" t="s">
        <v>214</v>
      </c>
      <c r="F253" s="172">
        <v>0</v>
      </c>
      <c r="G253" s="172">
        <f t="shared" si="7"/>
        <v>5</v>
      </c>
      <c r="H253" s="173">
        <v>10000</v>
      </c>
      <c r="I253" s="173">
        <v>20000</v>
      </c>
      <c r="J253" s="173">
        <f t="shared" si="8"/>
        <v>50000</v>
      </c>
    </row>
    <row r="254" spans="2:10" x14ac:dyDescent="0.3">
      <c r="B254" s="171" t="s">
        <v>456</v>
      </c>
      <c r="C254" s="174" t="s">
        <v>835</v>
      </c>
      <c r="D254" s="172" t="s">
        <v>65</v>
      </c>
      <c r="E254" s="172">
        <v>1</v>
      </c>
      <c r="F254" s="172">
        <v>0</v>
      </c>
      <c r="G254" s="172">
        <f t="shared" si="7"/>
        <v>1</v>
      </c>
      <c r="H254" s="173">
        <v>17000</v>
      </c>
      <c r="I254" s="173">
        <v>29000</v>
      </c>
      <c r="J254" s="173">
        <f t="shared" si="8"/>
        <v>17000</v>
      </c>
    </row>
    <row r="255" spans="2:10" x14ac:dyDescent="0.3">
      <c r="B255" s="171" t="s">
        <v>457</v>
      </c>
      <c r="C255" s="174" t="s">
        <v>829</v>
      </c>
      <c r="D255" s="172" t="s">
        <v>65</v>
      </c>
      <c r="E255" s="172">
        <v>3</v>
      </c>
      <c r="F255" s="172">
        <v>0</v>
      </c>
      <c r="G255" s="172">
        <f t="shared" si="7"/>
        <v>3</v>
      </c>
      <c r="H255" s="173">
        <v>7500</v>
      </c>
      <c r="I255" s="173">
        <v>15000</v>
      </c>
      <c r="J255" s="173">
        <f t="shared" si="8"/>
        <v>22500</v>
      </c>
    </row>
    <row r="256" spans="2:10" x14ac:dyDescent="0.3">
      <c r="B256" s="171" t="s">
        <v>458</v>
      </c>
      <c r="C256" s="174" t="s">
        <v>836</v>
      </c>
      <c r="D256" s="172" t="s">
        <v>65</v>
      </c>
      <c r="E256" s="172">
        <v>3</v>
      </c>
      <c r="F256" s="172">
        <v>0</v>
      </c>
      <c r="G256" s="172">
        <f t="shared" si="7"/>
        <v>3</v>
      </c>
      <c r="H256" s="173">
        <v>10000</v>
      </c>
      <c r="I256" s="173">
        <v>15000</v>
      </c>
      <c r="J256" s="173">
        <f t="shared" si="8"/>
        <v>30000</v>
      </c>
    </row>
    <row r="257" spans="2:10" x14ac:dyDescent="0.3">
      <c r="B257" s="171" t="s">
        <v>459</v>
      </c>
      <c r="C257" s="174" t="s">
        <v>837</v>
      </c>
      <c r="D257" s="172" t="s">
        <v>65</v>
      </c>
      <c r="E257" s="172">
        <v>2</v>
      </c>
      <c r="F257" s="172">
        <v>0</v>
      </c>
      <c r="G257" s="172">
        <f t="shared" si="7"/>
        <v>2</v>
      </c>
      <c r="H257" s="173">
        <v>35000</v>
      </c>
      <c r="I257" s="173">
        <v>50000</v>
      </c>
      <c r="J257" s="173">
        <f t="shared" si="8"/>
        <v>70000</v>
      </c>
    </row>
    <row r="258" spans="2:10" x14ac:dyDescent="0.3">
      <c r="B258" s="171" t="s">
        <v>460</v>
      </c>
      <c r="C258" s="174" t="s">
        <v>838</v>
      </c>
      <c r="D258" s="172" t="s">
        <v>65</v>
      </c>
      <c r="E258" s="172" t="s">
        <v>975</v>
      </c>
      <c r="F258" s="172">
        <v>0</v>
      </c>
      <c r="G258" s="172">
        <f t="shared" si="7"/>
        <v>6</v>
      </c>
      <c r="H258" s="173">
        <v>35000</v>
      </c>
      <c r="I258" s="173">
        <v>40000</v>
      </c>
      <c r="J258" s="173">
        <f t="shared" si="8"/>
        <v>210000</v>
      </c>
    </row>
    <row r="259" spans="2:10" x14ac:dyDescent="0.3">
      <c r="B259" s="171" t="s">
        <v>461</v>
      </c>
      <c r="C259" s="174" t="s">
        <v>839</v>
      </c>
      <c r="D259" s="172" t="s">
        <v>65</v>
      </c>
      <c r="E259" s="172">
        <v>3</v>
      </c>
      <c r="F259" s="172">
        <v>0</v>
      </c>
      <c r="G259" s="172">
        <f t="shared" si="7"/>
        <v>3</v>
      </c>
      <c r="H259" s="173">
        <v>50000</v>
      </c>
      <c r="I259" s="173">
        <v>65000</v>
      </c>
      <c r="J259" s="173">
        <f t="shared" si="8"/>
        <v>150000</v>
      </c>
    </row>
    <row r="260" spans="2:10" x14ac:dyDescent="0.3">
      <c r="B260" s="171" t="s">
        <v>462</v>
      </c>
      <c r="C260" s="174" t="s">
        <v>840</v>
      </c>
      <c r="D260" s="172" t="s">
        <v>65</v>
      </c>
      <c r="E260" s="172">
        <v>3</v>
      </c>
      <c r="F260" s="172">
        <v>0</v>
      </c>
      <c r="G260" s="172">
        <f t="shared" si="7"/>
        <v>3</v>
      </c>
      <c r="H260" s="173">
        <v>45000</v>
      </c>
      <c r="I260" s="173">
        <v>60000</v>
      </c>
      <c r="J260" s="173">
        <f t="shared" si="8"/>
        <v>135000</v>
      </c>
    </row>
    <row r="261" spans="2:10" x14ac:dyDescent="0.3">
      <c r="B261" s="171" t="s">
        <v>463</v>
      </c>
      <c r="C261" s="174" t="s">
        <v>841</v>
      </c>
      <c r="D261" s="172" t="s">
        <v>65</v>
      </c>
      <c r="E261" s="172">
        <v>8</v>
      </c>
      <c r="F261" s="172">
        <v>0</v>
      </c>
      <c r="G261" s="172">
        <f t="shared" ref="G261:G324" si="9">IF(E261&lt;&gt;"",E261-F261,G261="")</f>
        <v>8</v>
      </c>
      <c r="H261" s="173">
        <v>55000</v>
      </c>
      <c r="I261" s="173">
        <v>65000</v>
      </c>
      <c r="J261" s="173">
        <f t="shared" ref="J261:J324" si="10">IF(E261&lt;&gt;"",E261*H261,"")</f>
        <v>440000</v>
      </c>
    </row>
    <row r="262" spans="2:10" x14ac:dyDescent="0.3">
      <c r="B262" s="171" t="s">
        <v>464</v>
      </c>
      <c r="C262" s="174" t="s">
        <v>842</v>
      </c>
      <c r="D262" s="172" t="s">
        <v>65</v>
      </c>
      <c r="E262" s="172" t="s">
        <v>976</v>
      </c>
      <c r="F262" s="172">
        <v>0</v>
      </c>
      <c r="G262" s="172">
        <f t="shared" si="9"/>
        <v>7</v>
      </c>
      <c r="H262" s="173">
        <v>35000</v>
      </c>
      <c r="I262" s="173">
        <v>55000</v>
      </c>
      <c r="J262" s="173">
        <f t="shared" si="10"/>
        <v>245000</v>
      </c>
    </row>
    <row r="263" spans="2:10" x14ac:dyDescent="0.3">
      <c r="B263" s="171" t="s">
        <v>465</v>
      </c>
      <c r="C263" s="174" t="s">
        <v>600</v>
      </c>
      <c r="D263" s="172" t="s">
        <v>65</v>
      </c>
      <c r="E263" s="172">
        <v>5</v>
      </c>
      <c r="F263" s="172">
        <v>0</v>
      </c>
      <c r="G263" s="172">
        <f t="shared" si="9"/>
        <v>5</v>
      </c>
      <c r="H263" s="173">
        <v>45000</v>
      </c>
      <c r="I263" s="173">
        <v>60000</v>
      </c>
      <c r="J263" s="173">
        <f t="shared" si="10"/>
        <v>225000</v>
      </c>
    </row>
    <row r="264" spans="2:10" x14ac:dyDescent="0.3">
      <c r="B264" s="171" t="s">
        <v>466</v>
      </c>
      <c r="C264" s="174" t="s">
        <v>843</v>
      </c>
      <c r="D264" s="172" t="s">
        <v>65</v>
      </c>
      <c r="E264" s="172">
        <v>2</v>
      </c>
      <c r="F264" s="172">
        <v>0</v>
      </c>
      <c r="G264" s="172">
        <f t="shared" si="9"/>
        <v>2</v>
      </c>
      <c r="H264" s="173">
        <v>50000</v>
      </c>
      <c r="I264" s="173">
        <v>75000</v>
      </c>
      <c r="J264" s="173">
        <f t="shared" si="10"/>
        <v>100000</v>
      </c>
    </row>
    <row r="265" spans="2:10" x14ac:dyDescent="0.3">
      <c r="B265" s="171" t="s">
        <v>467</v>
      </c>
      <c r="C265" s="174" t="s">
        <v>844</v>
      </c>
      <c r="D265" s="172" t="s">
        <v>65</v>
      </c>
      <c r="E265" s="172">
        <v>1</v>
      </c>
      <c r="F265" s="172">
        <v>0</v>
      </c>
      <c r="G265" s="172">
        <f t="shared" si="9"/>
        <v>1</v>
      </c>
      <c r="H265" s="173">
        <v>60000</v>
      </c>
      <c r="I265" s="173">
        <v>80000</v>
      </c>
      <c r="J265" s="173">
        <f t="shared" si="10"/>
        <v>60000</v>
      </c>
    </row>
    <row r="266" spans="2:10" x14ac:dyDescent="0.3">
      <c r="B266" s="171" t="s">
        <v>468</v>
      </c>
      <c r="C266" s="174" t="s">
        <v>845</v>
      </c>
      <c r="D266" s="172" t="s">
        <v>65</v>
      </c>
      <c r="E266" s="172" t="s">
        <v>973</v>
      </c>
      <c r="F266" s="172">
        <v>0</v>
      </c>
      <c r="G266" s="172">
        <f t="shared" si="9"/>
        <v>3</v>
      </c>
      <c r="H266" s="173">
        <v>65000</v>
      </c>
      <c r="I266" s="173">
        <v>85000</v>
      </c>
      <c r="J266" s="173">
        <f t="shared" si="10"/>
        <v>195000</v>
      </c>
    </row>
    <row r="267" spans="2:10" x14ac:dyDescent="0.3">
      <c r="B267" s="171" t="s">
        <v>469</v>
      </c>
      <c r="C267" s="174" t="s">
        <v>846</v>
      </c>
      <c r="D267" s="172" t="s">
        <v>65</v>
      </c>
      <c r="E267" s="172" t="s">
        <v>214</v>
      </c>
      <c r="F267" s="172">
        <v>0</v>
      </c>
      <c r="G267" s="172">
        <f t="shared" si="9"/>
        <v>5</v>
      </c>
      <c r="H267" s="173">
        <v>55000</v>
      </c>
      <c r="I267" s="173">
        <v>75000</v>
      </c>
      <c r="J267" s="173">
        <f t="shared" si="10"/>
        <v>275000</v>
      </c>
    </row>
    <row r="268" spans="2:10" x14ac:dyDescent="0.3">
      <c r="B268" s="171" t="s">
        <v>470</v>
      </c>
      <c r="C268" s="174" t="s">
        <v>847</v>
      </c>
      <c r="D268" s="172" t="s">
        <v>65</v>
      </c>
      <c r="E268" s="172">
        <v>4</v>
      </c>
      <c r="F268" s="172">
        <v>0</v>
      </c>
      <c r="G268" s="172">
        <f t="shared" si="9"/>
        <v>4</v>
      </c>
      <c r="H268" s="173">
        <v>75000</v>
      </c>
      <c r="I268" s="173">
        <v>90000</v>
      </c>
      <c r="J268" s="173">
        <f t="shared" si="10"/>
        <v>300000</v>
      </c>
    </row>
    <row r="269" spans="2:10" x14ac:dyDescent="0.3">
      <c r="B269" s="171" t="s">
        <v>471</v>
      </c>
      <c r="C269" s="174" t="s">
        <v>848</v>
      </c>
      <c r="D269" s="172" t="s">
        <v>65</v>
      </c>
      <c r="E269" s="172">
        <v>2</v>
      </c>
      <c r="F269" s="172">
        <v>0</v>
      </c>
      <c r="G269" s="172">
        <f t="shared" si="9"/>
        <v>2</v>
      </c>
      <c r="H269" s="173">
        <v>11000</v>
      </c>
      <c r="I269" s="173">
        <v>13000</v>
      </c>
      <c r="J269" s="173">
        <f t="shared" si="10"/>
        <v>22000</v>
      </c>
    </row>
    <row r="270" spans="2:10" x14ac:dyDescent="0.3">
      <c r="B270" s="171" t="s">
        <v>472</v>
      </c>
      <c r="C270" s="174" t="s">
        <v>849</v>
      </c>
      <c r="D270" s="172" t="s">
        <v>65</v>
      </c>
      <c r="E270" s="172">
        <v>4</v>
      </c>
      <c r="F270" s="172">
        <v>0</v>
      </c>
      <c r="G270" s="172">
        <f t="shared" si="9"/>
        <v>4</v>
      </c>
      <c r="H270" s="173">
        <v>100000</v>
      </c>
      <c r="I270" s="173">
        <v>120000</v>
      </c>
      <c r="J270" s="173">
        <f t="shared" si="10"/>
        <v>400000</v>
      </c>
    </row>
    <row r="271" spans="2:10" x14ac:dyDescent="0.3">
      <c r="B271" s="171" t="s">
        <v>473</v>
      </c>
      <c r="C271" s="174" t="s">
        <v>850</v>
      </c>
      <c r="D271" s="172" t="s">
        <v>65</v>
      </c>
      <c r="E271" s="172">
        <v>2</v>
      </c>
      <c r="F271" s="172">
        <v>0</v>
      </c>
      <c r="G271" s="172">
        <f t="shared" si="9"/>
        <v>2</v>
      </c>
      <c r="H271" s="173">
        <v>125000</v>
      </c>
      <c r="I271" s="173">
        <v>150000</v>
      </c>
      <c r="J271" s="173">
        <f t="shared" si="10"/>
        <v>250000</v>
      </c>
    </row>
    <row r="272" spans="2:10" x14ac:dyDescent="0.3">
      <c r="B272" s="171" t="s">
        <v>474</v>
      </c>
      <c r="C272" s="174" t="s">
        <v>851</v>
      </c>
      <c r="D272" s="172" t="s">
        <v>65</v>
      </c>
      <c r="E272" s="172">
        <v>1</v>
      </c>
      <c r="F272" s="172">
        <v>0</v>
      </c>
      <c r="G272" s="172">
        <f t="shared" si="9"/>
        <v>1</v>
      </c>
      <c r="H272" s="173">
        <v>95000</v>
      </c>
      <c r="I272" s="173">
        <v>110000</v>
      </c>
      <c r="J272" s="173">
        <f t="shared" si="10"/>
        <v>95000</v>
      </c>
    </row>
    <row r="273" spans="2:10" x14ac:dyDescent="0.3">
      <c r="B273" s="171" t="s">
        <v>475</v>
      </c>
      <c r="C273" s="174" t="s">
        <v>852</v>
      </c>
      <c r="D273" s="172" t="s">
        <v>65</v>
      </c>
      <c r="E273" s="172">
        <v>3</v>
      </c>
      <c r="F273" s="172">
        <v>0</v>
      </c>
      <c r="G273" s="172">
        <f t="shared" si="9"/>
        <v>3</v>
      </c>
      <c r="H273" s="173">
        <v>45000</v>
      </c>
      <c r="I273" s="173">
        <v>60000</v>
      </c>
      <c r="J273" s="173">
        <f t="shared" si="10"/>
        <v>135000</v>
      </c>
    </row>
    <row r="274" spans="2:10" x14ac:dyDescent="0.3">
      <c r="B274" s="171" t="s">
        <v>476</v>
      </c>
      <c r="C274" s="174" t="s">
        <v>853</v>
      </c>
      <c r="D274" s="172" t="s">
        <v>65</v>
      </c>
      <c r="E274" s="172">
        <v>3</v>
      </c>
      <c r="F274" s="172">
        <v>0</v>
      </c>
      <c r="G274" s="172">
        <f t="shared" si="9"/>
        <v>3</v>
      </c>
      <c r="H274" s="173">
        <v>55000</v>
      </c>
      <c r="I274" s="173">
        <v>70000</v>
      </c>
      <c r="J274" s="173">
        <f t="shared" si="10"/>
        <v>165000</v>
      </c>
    </row>
    <row r="275" spans="2:10" x14ac:dyDescent="0.3">
      <c r="B275" s="171" t="s">
        <v>477</v>
      </c>
      <c r="C275" s="174" t="s">
        <v>854</v>
      </c>
      <c r="D275" s="172" t="s">
        <v>65</v>
      </c>
      <c r="E275" s="172">
        <v>1</v>
      </c>
      <c r="F275" s="172">
        <v>0</v>
      </c>
      <c r="G275" s="172">
        <f t="shared" si="9"/>
        <v>1</v>
      </c>
      <c r="H275" s="173">
        <v>115000</v>
      </c>
      <c r="I275" s="173">
        <v>130000</v>
      </c>
      <c r="J275" s="173">
        <f t="shared" si="10"/>
        <v>115000</v>
      </c>
    </row>
    <row r="276" spans="2:10" x14ac:dyDescent="0.3">
      <c r="B276" s="171" t="s">
        <v>478</v>
      </c>
      <c r="C276" s="174" t="s">
        <v>855</v>
      </c>
      <c r="D276" s="172" t="s">
        <v>65</v>
      </c>
      <c r="E276" s="172">
        <v>10</v>
      </c>
      <c r="F276" s="172">
        <v>0</v>
      </c>
      <c r="G276" s="172">
        <f t="shared" si="9"/>
        <v>10</v>
      </c>
      <c r="H276" s="173">
        <v>60000</v>
      </c>
      <c r="I276" s="173">
        <v>80000</v>
      </c>
      <c r="J276" s="173">
        <f t="shared" si="10"/>
        <v>600000</v>
      </c>
    </row>
    <row r="277" spans="2:10" x14ac:dyDescent="0.3">
      <c r="B277" s="171" t="s">
        <v>479</v>
      </c>
      <c r="C277" s="174" t="s">
        <v>856</v>
      </c>
      <c r="D277" s="172" t="s">
        <v>65</v>
      </c>
      <c r="E277" s="172">
        <v>3</v>
      </c>
      <c r="F277" s="172">
        <v>0</v>
      </c>
      <c r="G277" s="172">
        <f t="shared" si="9"/>
        <v>3</v>
      </c>
      <c r="H277" s="173">
        <v>100000</v>
      </c>
      <c r="I277" s="173">
        <v>120000</v>
      </c>
      <c r="J277" s="173">
        <f t="shared" si="10"/>
        <v>300000</v>
      </c>
    </row>
    <row r="278" spans="2:10" x14ac:dyDescent="0.3">
      <c r="B278" s="171" t="s">
        <v>480</v>
      </c>
      <c r="C278" s="174" t="s">
        <v>857</v>
      </c>
      <c r="D278" s="172" t="s">
        <v>65</v>
      </c>
      <c r="E278" s="172">
        <v>0</v>
      </c>
      <c r="F278" s="172">
        <v>0</v>
      </c>
      <c r="G278" s="172">
        <f t="shared" si="9"/>
        <v>0</v>
      </c>
      <c r="H278" s="173">
        <v>30000</v>
      </c>
      <c r="I278" s="173">
        <v>40000</v>
      </c>
      <c r="J278" s="173">
        <f t="shared" si="10"/>
        <v>0</v>
      </c>
    </row>
    <row r="279" spans="2:10" x14ac:dyDescent="0.3">
      <c r="B279" s="171" t="s">
        <v>480</v>
      </c>
      <c r="C279" s="174" t="s">
        <v>858</v>
      </c>
      <c r="D279" s="172" t="s">
        <v>65</v>
      </c>
      <c r="E279" s="172">
        <v>2</v>
      </c>
      <c r="F279" s="172">
        <v>0</v>
      </c>
      <c r="G279" s="172">
        <f t="shared" si="9"/>
        <v>2</v>
      </c>
      <c r="H279" s="173">
        <v>65000</v>
      </c>
      <c r="I279" s="173">
        <v>75000</v>
      </c>
      <c r="J279" s="173">
        <f t="shared" si="10"/>
        <v>130000</v>
      </c>
    </row>
    <row r="280" spans="2:10" x14ac:dyDescent="0.3">
      <c r="B280" s="171" t="s">
        <v>480</v>
      </c>
      <c r="C280" s="174" t="s">
        <v>859</v>
      </c>
      <c r="D280" s="172" t="s">
        <v>65</v>
      </c>
      <c r="E280" s="172">
        <v>4</v>
      </c>
      <c r="F280" s="172">
        <v>0</v>
      </c>
      <c r="G280" s="172">
        <f t="shared" si="9"/>
        <v>4</v>
      </c>
      <c r="H280" s="173">
        <v>30000</v>
      </c>
      <c r="I280" s="173">
        <v>45000</v>
      </c>
      <c r="J280" s="173">
        <f t="shared" si="10"/>
        <v>120000</v>
      </c>
    </row>
    <row r="281" spans="2:10" x14ac:dyDescent="0.3">
      <c r="B281" s="171" t="s">
        <v>481</v>
      </c>
      <c r="C281" s="174" t="s">
        <v>860</v>
      </c>
      <c r="D281" s="172" t="s">
        <v>65</v>
      </c>
      <c r="E281" s="172" t="s">
        <v>974</v>
      </c>
      <c r="F281" s="172">
        <v>0</v>
      </c>
      <c r="G281" s="172">
        <f t="shared" si="9"/>
        <v>2</v>
      </c>
      <c r="H281" s="173">
        <v>10000</v>
      </c>
      <c r="I281" s="173">
        <v>15000</v>
      </c>
      <c r="J281" s="173">
        <f t="shared" si="10"/>
        <v>20000</v>
      </c>
    </row>
    <row r="282" spans="2:10" x14ac:dyDescent="0.3">
      <c r="B282" s="171" t="s">
        <v>482</v>
      </c>
      <c r="C282" s="174" t="s">
        <v>861</v>
      </c>
      <c r="D282" s="172" t="s">
        <v>65</v>
      </c>
      <c r="E282" s="172">
        <v>4</v>
      </c>
      <c r="F282" s="172">
        <v>0</v>
      </c>
      <c r="G282" s="172">
        <f t="shared" si="9"/>
        <v>4</v>
      </c>
      <c r="H282" s="173">
        <v>15000</v>
      </c>
      <c r="I282" s="173">
        <v>23000</v>
      </c>
      <c r="J282" s="173">
        <f t="shared" si="10"/>
        <v>60000</v>
      </c>
    </row>
    <row r="283" spans="2:10" x14ac:dyDescent="0.3">
      <c r="B283" s="171" t="s">
        <v>483</v>
      </c>
      <c r="C283" s="174" t="s">
        <v>862</v>
      </c>
      <c r="D283" s="172" t="s">
        <v>65</v>
      </c>
      <c r="E283" s="172">
        <v>4</v>
      </c>
      <c r="F283" s="172">
        <v>0</v>
      </c>
      <c r="G283" s="172">
        <f t="shared" si="9"/>
        <v>4</v>
      </c>
      <c r="H283" s="173">
        <v>12000</v>
      </c>
      <c r="I283" s="173">
        <v>18000</v>
      </c>
      <c r="J283" s="173">
        <f t="shared" si="10"/>
        <v>48000</v>
      </c>
    </row>
    <row r="284" spans="2:10" x14ac:dyDescent="0.3">
      <c r="B284" s="171" t="s">
        <v>484</v>
      </c>
      <c r="C284" s="174" t="s">
        <v>863</v>
      </c>
      <c r="D284" s="172" t="s">
        <v>65</v>
      </c>
      <c r="E284" s="172">
        <v>1</v>
      </c>
      <c r="F284" s="172">
        <v>0</v>
      </c>
      <c r="G284" s="172">
        <f t="shared" si="9"/>
        <v>1</v>
      </c>
      <c r="H284" s="173">
        <v>55000</v>
      </c>
      <c r="I284" s="173">
        <v>65000</v>
      </c>
      <c r="J284" s="173">
        <f t="shared" si="10"/>
        <v>55000</v>
      </c>
    </row>
    <row r="285" spans="2:10" x14ac:dyDescent="0.3">
      <c r="B285" s="171" t="s">
        <v>485</v>
      </c>
      <c r="C285" s="174" t="s">
        <v>864</v>
      </c>
      <c r="D285" s="172" t="s">
        <v>65</v>
      </c>
      <c r="E285" s="172">
        <v>3</v>
      </c>
      <c r="F285" s="172">
        <v>0</v>
      </c>
      <c r="G285" s="172">
        <f t="shared" si="9"/>
        <v>3</v>
      </c>
      <c r="H285" s="173">
        <v>12000</v>
      </c>
      <c r="I285" s="173">
        <v>20000</v>
      </c>
      <c r="J285" s="173">
        <f t="shared" si="10"/>
        <v>36000</v>
      </c>
    </row>
    <row r="286" spans="2:10" x14ac:dyDescent="0.3">
      <c r="B286" s="171" t="s">
        <v>486</v>
      </c>
      <c r="C286" s="174" t="s">
        <v>865</v>
      </c>
      <c r="D286" s="172" t="s">
        <v>65</v>
      </c>
      <c r="E286" s="172">
        <v>2</v>
      </c>
      <c r="F286" s="172">
        <v>0</v>
      </c>
      <c r="G286" s="172">
        <f t="shared" si="9"/>
        <v>2</v>
      </c>
      <c r="H286" s="173">
        <v>10000</v>
      </c>
      <c r="I286" s="173">
        <v>20000</v>
      </c>
      <c r="J286" s="173">
        <f t="shared" si="10"/>
        <v>20000</v>
      </c>
    </row>
    <row r="287" spans="2:10" x14ac:dyDescent="0.3">
      <c r="B287" s="171" t="s">
        <v>487</v>
      </c>
      <c r="C287" s="174" t="s">
        <v>866</v>
      </c>
      <c r="D287" s="172" t="s">
        <v>65</v>
      </c>
      <c r="E287" s="172">
        <v>2</v>
      </c>
      <c r="F287" s="172">
        <v>0</v>
      </c>
      <c r="G287" s="172">
        <f t="shared" si="9"/>
        <v>2</v>
      </c>
      <c r="H287" s="173">
        <v>12000</v>
      </c>
      <c r="I287" s="173">
        <v>20000</v>
      </c>
      <c r="J287" s="173">
        <f t="shared" si="10"/>
        <v>24000</v>
      </c>
    </row>
    <row r="288" spans="2:10" x14ac:dyDescent="0.3">
      <c r="B288" s="171" t="s">
        <v>488</v>
      </c>
      <c r="C288" s="174" t="s">
        <v>867</v>
      </c>
      <c r="D288" s="172" t="s">
        <v>65</v>
      </c>
      <c r="E288" s="172">
        <v>4</v>
      </c>
      <c r="F288" s="172">
        <v>0</v>
      </c>
      <c r="G288" s="172">
        <f t="shared" si="9"/>
        <v>4</v>
      </c>
      <c r="H288" s="173">
        <v>19500</v>
      </c>
      <c r="I288" s="173">
        <v>28000</v>
      </c>
      <c r="J288" s="173">
        <f t="shared" si="10"/>
        <v>78000</v>
      </c>
    </row>
    <row r="289" spans="2:10" x14ac:dyDescent="0.3">
      <c r="B289" s="171" t="s">
        <v>489</v>
      </c>
      <c r="C289" s="174" t="s">
        <v>868</v>
      </c>
      <c r="D289" s="172" t="s">
        <v>65</v>
      </c>
      <c r="E289" s="172">
        <v>1</v>
      </c>
      <c r="F289" s="172">
        <v>0</v>
      </c>
      <c r="G289" s="172">
        <f t="shared" si="9"/>
        <v>1</v>
      </c>
      <c r="H289" s="173">
        <v>35000</v>
      </c>
      <c r="I289" s="173">
        <v>50000</v>
      </c>
      <c r="J289" s="173">
        <f t="shared" si="10"/>
        <v>35000</v>
      </c>
    </row>
    <row r="290" spans="2:10" x14ac:dyDescent="0.3">
      <c r="B290" s="171" t="s">
        <v>490</v>
      </c>
      <c r="C290" s="174" t="s">
        <v>869</v>
      </c>
      <c r="D290" s="172" t="s">
        <v>65</v>
      </c>
      <c r="E290" s="172">
        <v>2</v>
      </c>
      <c r="F290" s="172">
        <v>0</v>
      </c>
      <c r="G290" s="172">
        <f t="shared" si="9"/>
        <v>2</v>
      </c>
      <c r="H290" s="173">
        <v>35000</v>
      </c>
      <c r="I290" s="173">
        <v>50000</v>
      </c>
      <c r="J290" s="173">
        <f t="shared" si="10"/>
        <v>70000</v>
      </c>
    </row>
    <row r="291" spans="2:10" x14ac:dyDescent="0.3">
      <c r="B291" s="171" t="s">
        <v>491</v>
      </c>
      <c r="C291" s="174" t="s">
        <v>870</v>
      </c>
      <c r="D291" s="172" t="s">
        <v>65</v>
      </c>
      <c r="E291" s="172">
        <v>1</v>
      </c>
      <c r="F291" s="172">
        <v>0</v>
      </c>
      <c r="G291" s="172">
        <f t="shared" si="9"/>
        <v>1</v>
      </c>
      <c r="H291" s="173">
        <v>30000</v>
      </c>
      <c r="I291" s="173">
        <v>45000</v>
      </c>
      <c r="J291" s="173">
        <f t="shared" si="10"/>
        <v>30000</v>
      </c>
    </row>
    <row r="292" spans="2:10" x14ac:dyDescent="0.3">
      <c r="B292" s="171" t="s">
        <v>492</v>
      </c>
      <c r="C292" s="174" t="s">
        <v>871</v>
      </c>
      <c r="D292" s="172" t="s">
        <v>65</v>
      </c>
      <c r="E292" s="172">
        <v>2</v>
      </c>
      <c r="F292" s="172">
        <v>0</v>
      </c>
      <c r="G292" s="172">
        <f t="shared" si="9"/>
        <v>2</v>
      </c>
      <c r="H292" s="173">
        <v>18000</v>
      </c>
      <c r="I292" s="173">
        <v>28000</v>
      </c>
      <c r="J292" s="173">
        <f t="shared" si="10"/>
        <v>36000</v>
      </c>
    </row>
    <row r="293" spans="2:10" x14ac:dyDescent="0.3">
      <c r="B293" s="171" t="s">
        <v>493</v>
      </c>
      <c r="C293" s="174" t="s">
        <v>872</v>
      </c>
      <c r="D293" s="172" t="s">
        <v>65</v>
      </c>
      <c r="E293" s="172" t="s">
        <v>973</v>
      </c>
      <c r="F293" s="172">
        <v>0</v>
      </c>
      <c r="G293" s="172">
        <f t="shared" si="9"/>
        <v>3</v>
      </c>
      <c r="H293" s="173">
        <v>15000</v>
      </c>
      <c r="I293" s="173">
        <v>23000</v>
      </c>
      <c r="J293" s="173">
        <f t="shared" si="10"/>
        <v>45000</v>
      </c>
    </row>
    <row r="294" spans="2:10" x14ac:dyDescent="0.3">
      <c r="B294" s="171" t="s">
        <v>494</v>
      </c>
      <c r="C294" s="174" t="s">
        <v>873</v>
      </c>
      <c r="D294" s="172" t="s">
        <v>65</v>
      </c>
      <c r="E294" s="172">
        <v>3</v>
      </c>
      <c r="F294" s="172">
        <v>0</v>
      </c>
      <c r="G294" s="172">
        <f t="shared" si="9"/>
        <v>3</v>
      </c>
      <c r="H294" s="173">
        <v>35000</v>
      </c>
      <c r="I294" s="173">
        <v>45000</v>
      </c>
      <c r="J294" s="173">
        <f t="shared" si="10"/>
        <v>105000</v>
      </c>
    </row>
    <row r="295" spans="2:10" x14ac:dyDescent="0.3">
      <c r="B295" s="171" t="s">
        <v>495</v>
      </c>
      <c r="C295" s="174" t="s">
        <v>874</v>
      </c>
      <c r="D295" s="172" t="s">
        <v>65</v>
      </c>
      <c r="E295" s="172">
        <v>3</v>
      </c>
      <c r="F295" s="172">
        <v>0</v>
      </c>
      <c r="G295" s="172">
        <f t="shared" si="9"/>
        <v>3</v>
      </c>
      <c r="H295" s="173">
        <v>65000</v>
      </c>
      <c r="I295" s="173">
        <v>75000</v>
      </c>
      <c r="J295" s="173">
        <f t="shared" si="10"/>
        <v>195000</v>
      </c>
    </row>
    <row r="296" spans="2:10" x14ac:dyDescent="0.3">
      <c r="B296" s="171" t="s">
        <v>496</v>
      </c>
      <c r="C296" s="174" t="s">
        <v>875</v>
      </c>
      <c r="D296" s="172" t="s">
        <v>65</v>
      </c>
      <c r="E296" s="172">
        <v>4</v>
      </c>
      <c r="F296" s="172">
        <v>0</v>
      </c>
      <c r="G296" s="172">
        <f t="shared" si="9"/>
        <v>4</v>
      </c>
      <c r="H296" s="173">
        <v>30000</v>
      </c>
      <c r="I296" s="173">
        <v>48000</v>
      </c>
      <c r="J296" s="173">
        <f t="shared" si="10"/>
        <v>120000</v>
      </c>
    </row>
    <row r="297" spans="2:10" x14ac:dyDescent="0.3">
      <c r="B297" s="171" t="s">
        <v>497</v>
      </c>
      <c r="C297" s="174" t="s">
        <v>876</v>
      </c>
      <c r="D297" s="172" t="s">
        <v>65</v>
      </c>
      <c r="E297" s="172" t="s">
        <v>218</v>
      </c>
      <c r="F297" s="172">
        <v>0</v>
      </c>
      <c r="G297" s="172">
        <f t="shared" si="9"/>
        <v>4</v>
      </c>
      <c r="H297" s="173">
        <v>18000</v>
      </c>
      <c r="I297" s="173">
        <v>28000</v>
      </c>
      <c r="J297" s="173">
        <f t="shared" si="10"/>
        <v>72000</v>
      </c>
    </row>
    <row r="298" spans="2:10" x14ac:dyDescent="0.3">
      <c r="B298" s="171" t="s">
        <v>498</v>
      </c>
      <c r="C298" s="174" t="s">
        <v>877</v>
      </c>
      <c r="D298" s="172" t="s">
        <v>65</v>
      </c>
      <c r="E298" s="172">
        <v>2</v>
      </c>
      <c r="F298" s="172">
        <v>0</v>
      </c>
      <c r="G298" s="172">
        <f t="shared" si="9"/>
        <v>2</v>
      </c>
      <c r="H298" s="173">
        <v>70000</v>
      </c>
      <c r="I298" s="173">
        <v>95000</v>
      </c>
      <c r="J298" s="173">
        <f t="shared" si="10"/>
        <v>140000</v>
      </c>
    </row>
    <row r="299" spans="2:10" x14ac:dyDescent="0.3">
      <c r="B299" s="171" t="s">
        <v>499</v>
      </c>
      <c r="C299" s="174" t="s">
        <v>878</v>
      </c>
      <c r="D299" s="172" t="s">
        <v>65</v>
      </c>
      <c r="E299" s="172">
        <v>2</v>
      </c>
      <c r="F299" s="172">
        <v>0</v>
      </c>
      <c r="G299" s="172">
        <f t="shared" si="9"/>
        <v>2</v>
      </c>
      <c r="H299" s="173">
        <v>62000</v>
      </c>
      <c r="I299" s="173">
        <v>80000</v>
      </c>
      <c r="J299" s="173">
        <f t="shared" si="10"/>
        <v>124000</v>
      </c>
    </row>
    <row r="300" spans="2:10" x14ac:dyDescent="0.3">
      <c r="B300" s="171" t="s">
        <v>500</v>
      </c>
      <c r="C300" s="174" t="s">
        <v>879</v>
      </c>
      <c r="D300" s="172" t="s">
        <v>65</v>
      </c>
      <c r="E300" s="172">
        <v>3</v>
      </c>
      <c r="F300" s="172">
        <v>0</v>
      </c>
      <c r="G300" s="172">
        <f t="shared" si="9"/>
        <v>3</v>
      </c>
      <c r="H300" s="173">
        <v>30000</v>
      </c>
      <c r="I300" s="173">
        <v>45000</v>
      </c>
      <c r="J300" s="173">
        <f t="shared" si="10"/>
        <v>90000</v>
      </c>
    </row>
    <row r="301" spans="2:10" x14ac:dyDescent="0.3">
      <c r="B301" s="171" t="s">
        <v>501</v>
      </c>
      <c r="C301" s="174" t="s">
        <v>880</v>
      </c>
      <c r="D301" s="172" t="s">
        <v>65</v>
      </c>
      <c r="E301" s="172">
        <v>1</v>
      </c>
      <c r="F301" s="172">
        <v>0</v>
      </c>
      <c r="G301" s="172">
        <f t="shared" si="9"/>
        <v>1</v>
      </c>
      <c r="H301" s="173">
        <v>45000</v>
      </c>
      <c r="I301" s="173">
        <v>60000</v>
      </c>
      <c r="J301" s="173">
        <f t="shared" si="10"/>
        <v>45000</v>
      </c>
    </row>
    <row r="302" spans="2:10" x14ac:dyDescent="0.3">
      <c r="B302" s="171" t="s">
        <v>502</v>
      </c>
      <c r="C302" s="174" t="s">
        <v>881</v>
      </c>
      <c r="D302" s="172" t="s">
        <v>65</v>
      </c>
      <c r="E302" s="172">
        <v>2</v>
      </c>
      <c r="F302" s="172">
        <v>0</v>
      </c>
      <c r="G302" s="172">
        <f t="shared" si="9"/>
        <v>2</v>
      </c>
      <c r="H302" s="173">
        <v>35000</v>
      </c>
      <c r="I302" s="173">
        <v>50000</v>
      </c>
      <c r="J302" s="173">
        <f t="shared" si="10"/>
        <v>70000</v>
      </c>
    </row>
    <row r="303" spans="2:10" x14ac:dyDescent="0.3">
      <c r="B303" s="171" t="s">
        <v>503</v>
      </c>
      <c r="C303" s="174" t="s">
        <v>882</v>
      </c>
      <c r="D303" s="172" t="s">
        <v>65</v>
      </c>
      <c r="E303" s="172" t="s">
        <v>975</v>
      </c>
      <c r="F303" s="172">
        <v>0</v>
      </c>
      <c r="G303" s="172">
        <f t="shared" si="9"/>
        <v>6</v>
      </c>
      <c r="H303" s="173">
        <v>35000</v>
      </c>
      <c r="I303" s="173">
        <v>48000</v>
      </c>
      <c r="J303" s="173">
        <f t="shared" si="10"/>
        <v>210000</v>
      </c>
    </row>
    <row r="304" spans="2:10" x14ac:dyDescent="0.3">
      <c r="B304" s="171" t="s">
        <v>504</v>
      </c>
      <c r="C304" s="174" t="s">
        <v>883</v>
      </c>
      <c r="D304" s="172" t="s">
        <v>65</v>
      </c>
      <c r="E304" s="172">
        <v>2</v>
      </c>
      <c r="F304" s="172">
        <v>0</v>
      </c>
      <c r="G304" s="172">
        <f t="shared" si="9"/>
        <v>2</v>
      </c>
      <c r="H304" s="173">
        <v>35000</v>
      </c>
      <c r="I304" s="173">
        <v>50000</v>
      </c>
      <c r="J304" s="173">
        <f t="shared" si="10"/>
        <v>70000</v>
      </c>
    </row>
    <row r="305" spans="2:10" x14ac:dyDescent="0.3">
      <c r="B305" s="171" t="s">
        <v>505</v>
      </c>
      <c r="C305" s="174" t="s">
        <v>884</v>
      </c>
      <c r="D305" s="172" t="s">
        <v>65</v>
      </c>
      <c r="E305" s="172">
        <v>34</v>
      </c>
      <c r="F305" s="172">
        <v>0</v>
      </c>
      <c r="G305" s="172">
        <f t="shared" si="9"/>
        <v>34</v>
      </c>
      <c r="H305" s="173">
        <v>10000</v>
      </c>
      <c r="I305" s="173">
        <v>15000</v>
      </c>
      <c r="J305" s="173">
        <f t="shared" si="10"/>
        <v>340000</v>
      </c>
    </row>
    <row r="306" spans="2:10" x14ac:dyDescent="0.3">
      <c r="B306" s="171" t="s">
        <v>506</v>
      </c>
      <c r="C306" s="174" t="s">
        <v>885</v>
      </c>
      <c r="D306" s="172" t="s">
        <v>65</v>
      </c>
      <c r="E306" s="172">
        <v>24</v>
      </c>
      <c r="F306" s="172">
        <v>0</v>
      </c>
      <c r="G306" s="172">
        <f t="shared" si="9"/>
        <v>24</v>
      </c>
      <c r="H306" s="173">
        <v>15000</v>
      </c>
      <c r="I306" s="173">
        <v>20000</v>
      </c>
      <c r="J306" s="173">
        <f t="shared" si="10"/>
        <v>360000</v>
      </c>
    </row>
    <row r="307" spans="2:10" x14ac:dyDescent="0.3">
      <c r="B307" s="171" t="s">
        <v>507</v>
      </c>
      <c r="C307" s="174" t="s">
        <v>886</v>
      </c>
      <c r="D307" s="172" t="s">
        <v>65</v>
      </c>
      <c r="E307" s="172">
        <v>1</v>
      </c>
      <c r="F307" s="172">
        <v>0</v>
      </c>
      <c r="G307" s="172">
        <f t="shared" si="9"/>
        <v>1</v>
      </c>
      <c r="H307" s="173">
        <v>45000</v>
      </c>
      <c r="I307" s="173">
        <v>60000</v>
      </c>
      <c r="J307" s="173">
        <f t="shared" si="10"/>
        <v>45000</v>
      </c>
    </row>
    <row r="308" spans="2:10" x14ac:dyDescent="0.3">
      <c r="B308" s="171" t="s">
        <v>508</v>
      </c>
      <c r="C308" s="174" t="s">
        <v>887</v>
      </c>
      <c r="D308" s="172" t="s">
        <v>65</v>
      </c>
      <c r="E308" s="172">
        <v>2</v>
      </c>
      <c r="F308" s="172">
        <v>0</v>
      </c>
      <c r="G308" s="172">
        <f t="shared" si="9"/>
        <v>2</v>
      </c>
      <c r="H308" s="173">
        <v>35000</v>
      </c>
      <c r="I308" s="173">
        <v>45000</v>
      </c>
      <c r="J308" s="173">
        <f t="shared" si="10"/>
        <v>70000</v>
      </c>
    </row>
    <row r="309" spans="2:10" x14ac:dyDescent="0.3">
      <c r="B309" s="171" t="s">
        <v>509</v>
      </c>
      <c r="C309" s="174" t="s">
        <v>888</v>
      </c>
      <c r="D309" s="172" t="s">
        <v>65</v>
      </c>
      <c r="E309" s="172">
        <v>3</v>
      </c>
      <c r="F309" s="172">
        <v>0</v>
      </c>
      <c r="G309" s="172">
        <f t="shared" si="9"/>
        <v>3</v>
      </c>
      <c r="H309" s="173">
        <v>35000</v>
      </c>
      <c r="I309" s="173">
        <v>50000</v>
      </c>
      <c r="J309" s="173">
        <f t="shared" si="10"/>
        <v>105000</v>
      </c>
    </row>
    <row r="310" spans="2:10" x14ac:dyDescent="0.3">
      <c r="B310" s="171" t="s">
        <v>510</v>
      </c>
      <c r="C310" s="174" t="s">
        <v>889</v>
      </c>
      <c r="D310" s="172" t="s">
        <v>65</v>
      </c>
      <c r="E310" s="172">
        <v>2</v>
      </c>
      <c r="F310" s="172">
        <v>0</v>
      </c>
      <c r="G310" s="172">
        <f t="shared" si="9"/>
        <v>2</v>
      </c>
      <c r="H310" s="173">
        <v>55000</v>
      </c>
      <c r="I310" s="173">
        <v>75000</v>
      </c>
      <c r="J310" s="173">
        <f t="shared" si="10"/>
        <v>110000</v>
      </c>
    </row>
    <row r="311" spans="2:10" x14ac:dyDescent="0.3">
      <c r="B311" s="171" t="s">
        <v>511</v>
      </c>
      <c r="C311" s="174" t="s">
        <v>890</v>
      </c>
      <c r="D311" s="172" t="s">
        <v>65</v>
      </c>
      <c r="E311" s="172">
        <v>1</v>
      </c>
      <c r="F311" s="172">
        <v>0</v>
      </c>
      <c r="G311" s="172">
        <f t="shared" si="9"/>
        <v>1</v>
      </c>
      <c r="H311" s="173">
        <v>150000</v>
      </c>
      <c r="I311" s="173">
        <v>185000</v>
      </c>
      <c r="J311" s="173">
        <f t="shared" si="10"/>
        <v>150000</v>
      </c>
    </row>
    <row r="312" spans="2:10" x14ac:dyDescent="0.3">
      <c r="B312" s="171" t="s">
        <v>512</v>
      </c>
      <c r="C312" s="174" t="s">
        <v>891</v>
      </c>
      <c r="D312" s="172" t="s">
        <v>65</v>
      </c>
      <c r="E312" s="172">
        <v>1</v>
      </c>
      <c r="F312" s="172">
        <v>0</v>
      </c>
      <c r="G312" s="172">
        <f t="shared" si="9"/>
        <v>1</v>
      </c>
      <c r="H312" s="173">
        <v>50000</v>
      </c>
      <c r="I312" s="173">
        <v>70000</v>
      </c>
      <c r="J312" s="173">
        <f t="shared" si="10"/>
        <v>50000</v>
      </c>
    </row>
    <row r="313" spans="2:10" x14ac:dyDescent="0.3">
      <c r="B313" s="171" t="s">
        <v>513</v>
      </c>
      <c r="C313" s="174" t="s">
        <v>892</v>
      </c>
      <c r="D313" s="172" t="s">
        <v>65</v>
      </c>
      <c r="E313" s="172">
        <v>0</v>
      </c>
      <c r="F313" s="172">
        <v>0</v>
      </c>
      <c r="G313" s="172">
        <f t="shared" si="9"/>
        <v>0</v>
      </c>
      <c r="H313" s="173">
        <v>130000</v>
      </c>
      <c r="I313" s="173">
        <v>150000</v>
      </c>
      <c r="J313" s="173">
        <f t="shared" si="10"/>
        <v>0</v>
      </c>
    </row>
    <row r="314" spans="2:10" x14ac:dyDescent="0.3">
      <c r="B314" s="171" t="s">
        <v>514</v>
      </c>
      <c r="C314" s="174" t="s">
        <v>893</v>
      </c>
      <c r="D314" s="172" t="s">
        <v>65</v>
      </c>
      <c r="E314" s="172">
        <v>2</v>
      </c>
      <c r="F314" s="172">
        <v>0</v>
      </c>
      <c r="G314" s="172">
        <f t="shared" si="9"/>
        <v>2</v>
      </c>
      <c r="H314" s="173">
        <v>20000</v>
      </c>
      <c r="I314" s="173">
        <v>30000</v>
      </c>
      <c r="J314" s="173">
        <f t="shared" si="10"/>
        <v>40000</v>
      </c>
    </row>
    <row r="315" spans="2:10" x14ac:dyDescent="0.3">
      <c r="B315" s="171" t="s">
        <v>515</v>
      </c>
      <c r="C315" s="174" t="s">
        <v>894</v>
      </c>
      <c r="D315" s="172" t="s">
        <v>65</v>
      </c>
      <c r="E315" s="172">
        <v>0</v>
      </c>
      <c r="F315" s="172">
        <v>0</v>
      </c>
      <c r="G315" s="172">
        <f t="shared" si="9"/>
        <v>0</v>
      </c>
      <c r="H315" s="173">
        <v>35000</v>
      </c>
      <c r="I315" s="173">
        <v>45000</v>
      </c>
      <c r="J315" s="173">
        <f t="shared" si="10"/>
        <v>0</v>
      </c>
    </row>
    <row r="316" spans="2:10" x14ac:dyDescent="0.3">
      <c r="B316" s="171" t="s">
        <v>516</v>
      </c>
      <c r="C316" s="174" t="s">
        <v>895</v>
      </c>
      <c r="D316" s="172" t="s">
        <v>65</v>
      </c>
      <c r="E316" s="172">
        <v>1</v>
      </c>
      <c r="F316" s="172">
        <v>0</v>
      </c>
      <c r="G316" s="172">
        <f t="shared" si="9"/>
        <v>1</v>
      </c>
      <c r="H316" s="173">
        <v>190000</v>
      </c>
      <c r="I316" s="173">
        <v>210000</v>
      </c>
      <c r="J316" s="173">
        <f t="shared" si="10"/>
        <v>190000</v>
      </c>
    </row>
    <row r="317" spans="2:10" x14ac:dyDescent="0.3">
      <c r="B317" s="171" t="s">
        <v>517</v>
      </c>
      <c r="C317" s="174" t="s">
        <v>896</v>
      </c>
      <c r="D317" s="172" t="s">
        <v>65</v>
      </c>
      <c r="E317" s="172">
        <v>1</v>
      </c>
      <c r="F317" s="172">
        <v>0</v>
      </c>
      <c r="G317" s="172">
        <f t="shared" si="9"/>
        <v>1</v>
      </c>
      <c r="H317" s="173">
        <v>200000</v>
      </c>
      <c r="I317" s="173">
        <v>220000</v>
      </c>
      <c r="J317" s="173">
        <f t="shared" si="10"/>
        <v>200000</v>
      </c>
    </row>
    <row r="318" spans="2:10" x14ac:dyDescent="0.3">
      <c r="B318" s="171" t="s">
        <v>518</v>
      </c>
      <c r="C318" s="174" t="s">
        <v>897</v>
      </c>
      <c r="D318" s="172" t="s">
        <v>65</v>
      </c>
      <c r="E318" s="172">
        <v>1</v>
      </c>
      <c r="F318" s="172">
        <v>0</v>
      </c>
      <c r="G318" s="172">
        <f t="shared" si="9"/>
        <v>1</v>
      </c>
      <c r="H318" s="173">
        <v>55000</v>
      </c>
      <c r="I318" s="173">
        <v>75000</v>
      </c>
      <c r="J318" s="173">
        <f t="shared" si="10"/>
        <v>55000</v>
      </c>
    </row>
    <row r="319" spans="2:10" x14ac:dyDescent="0.3">
      <c r="B319" s="171" t="s">
        <v>519</v>
      </c>
      <c r="C319" s="174" t="s">
        <v>898</v>
      </c>
      <c r="D319" s="172" t="s">
        <v>65</v>
      </c>
      <c r="E319" s="172">
        <v>0</v>
      </c>
      <c r="F319" s="172">
        <v>0</v>
      </c>
      <c r="G319" s="172">
        <f t="shared" si="9"/>
        <v>0</v>
      </c>
      <c r="H319" s="173">
        <v>15000</v>
      </c>
      <c r="I319" s="173">
        <v>25000</v>
      </c>
      <c r="J319" s="173">
        <f t="shared" si="10"/>
        <v>0</v>
      </c>
    </row>
    <row r="320" spans="2:10" x14ac:dyDescent="0.3">
      <c r="B320" s="171" t="s">
        <v>520</v>
      </c>
      <c r="C320" s="174" t="s">
        <v>899</v>
      </c>
      <c r="D320" s="172" t="s">
        <v>65</v>
      </c>
      <c r="E320" s="172">
        <v>0</v>
      </c>
      <c r="F320" s="172">
        <v>0</v>
      </c>
      <c r="G320" s="172">
        <f t="shared" si="9"/>
        <v>0</v>
      </c>
      <c r="H320" s="173">
        <v>23000</v>
      </c>
      <c r="I320" s="173">
        <v>25000</v>
      </c>
      <c r="J320" s="173">
        <f t="shared" si="10"/>
        <v>0</v>
      </c>
    </row>
    <row r="321" spans="2:10" x14ac:dyDescent="0.3">
      <c r="B321" s="171" t="s">
        <v>521</v>
      </c>
      <c r="C321" s="174" t="s">
        <v>900</v>
      </c>
      <c r="D321" s="172" t="s">
        <v>65</v>
      </c>
      <c r="E321" s="172">
        <v>1</v>
      </c>
      <c r="F321" s="172">
        <v>0</v>
      </c>
      <c r="G321" s="172">
        <f t="shared" si="9"/>
        <v>1</v>
      </c>
      <c r="H321" s="173">
        <v>115000</v>
      </c>
      <c r="I321" s="173">
        <v>135000</v>
      </c>
      <c r="J321" s="173">
        <f t="shared" si="10"/>
        <v>115000</v>
      </c>
    </row>
    <row r="322" spans="2:10" x14ac:dyDescent="0.3">
      <c r="B322" s="171" t="s">
        <v>522</v>
      </c>
      <c r="C322" s="174" t="s">
        <v>901</v>
      </c>
      <c r="D322" s="172" t="s">
        <v>65</v>
      </c>
      <c r="E322" s="172">
        <v>16</v>
      </c>
      <c r="F322" s="172">
        <v>0</v>
      </c>
      <c r="G322" s="172">
        <f t="shared" si="9"/>
        <v>16</v>
      </c>
      <c r="H322" s="173">
        <v>20000</v>
      </c>
      <c r="I322" s="173">
        <v>23000</v>
      </c>
      <c r="J322" s="173">
        <f t="shared" si="10"/>
        <v>320000</v>
      </c>
    </row>
    <row r="323" spans="2:10" x14ac:dyDescent="0.3">
      <c r="B323" s="171" t="s">
        <v>523</v>
      </c>
      <c r="C323" s="174" t="s">
        <v>902</v>
      </c>
      <c r="D323" s="172" t="s">
        <v>65</v>
      </c>
      <c r="E323" s="172">
        <v>9</v>
      </c>
      <c r="F323" s="172">
        <v>0</v>
      </c>
      <c r="G323" s="172">
        <f t="shared" si="9"/>
        <v>9</v>
      </c>
      <c r="H323" s="173">
        <v>20000</v>
      </c>
      <c r="I323" s="173">
        <v>25000</v>
      </c>
      <c r="J323" s="173">
        <f t="shared" si="10"/>
        <v>180000</v>
      </c>
    </row>
    <row r="324" spans="2:10" x14ac:dyDescent="0.3">
      <c r="B324" s="171" t="s">
        <v>524</v>
      </c>
      <c r="C324" s="174" t="s">
        <v>903</v>
      </c>
      <c r="D324" s="172" t="s">
        <v>65</v>
      </c>
      <c r="E324" s="172">
        <v>1</v>
      </c>
      <c r="F324" s="172">
        <v>0</v>
      </c>
      <c r="G324" s="172">
        <f t="shared" si="9"/>
        <v>1</v>
      </c>
      <c r="H324" s="173">
        <v>120000</v>
      </c>
      <c r="I324" s="173">
        <v>145000</v>
      </c>
      <c r="J324" s="173">
        <f t="shared" si="10"/>
        <v>120000</v>
      </c>
    </row>
    <row r="325" spans="2:10" x14ac:dyDescent="0.3">
      <c r="B325" s="171" t="s">
        <v>525</v>
      </c>
      <c r="C325" s="174" t="s">
        <v>904</v>
      </c>
      <c r="D325" s="172" t="s">
        <v>65</v>
      </c>
      <c r="E325" s="172">
        <v>2</v>
      </c>
      <c r="F325" s="172">
        <v>0</v>
      </c>
      <c r="G325" s="172">
        <f t="shared" ref="G325:G388" si="11">IF(E325&lt;&gt;"",E325-F325,G325="")</f>
        <v>2</v>
      </c>
      <c r="H325" s="173">
        <v>35000</v>
      </c>
      <c r="I325" s="173">
        <v>50000</v>
      </c>
      <c r="J325" s="173">
        <f t="shared" ref="J325:J388" si="12">IF(E325&lt;&gt;"",E325*H325,"")</f>
        <v>70000</v>
      </c>
    </row>
    <row r="326" spans="2:10" x14ac:dyDescent="0.3">
      <c r="B326" s="171" t="s">
        <v>526</v>
      </c>
      <c r="C326" s="174" t="s">
        <v>905</v>
      </c>
      <c r="D326" s="172" t="s">
        <v>65</v>
      </c>
      <c r="E326" s="172">
        <v>3</v>
      </c>
      <c r="F326" s="172">
        <v>0</v>
      </c>
      <c r="G326" s="172">
        <f t="shared" si="11"/>
        <v>3</v>
      </c>
      <c r="H326" s="173">
        <v>65000</v>
      </c>
      <c r="I326" s="173">
        <v>80000</v>
      </c>
      <c r="J326" s="173">
        <f t="shared" si="12"/>
        <v>195000</v>
      </c>
    </row>
    <row r="327" spans="2:10" x14ac:dyDescent="0.3">
      <c r="B327" s="171" t="s">
        <v>527</v>
      </c>
      <c r="C327" s="174" t="s">
        <v>906</v>
      </c>
      <c r="D327" s="172" t="s">
        <v>65</v>
      </c>
      <c r="E327" s="172">
        <v>1</v>
      </c>
      <c r="F327" s="172">
        <v>0</v>
      </c>
      <c r="G327" s="172">
        <f t="shared" si="11"/>
        <v>1</v>
      </c>
      <c r="H327" s="173">
        <v>65000</v>
      </c>
      <c r="I327" s="173">
        <v>80000</v>
      </c>
      <c r="J327" s="173">
        <f t="shared" si="12"/>
        <v>65000</v>
      </c>
    </row>
    <row r="328" spans="2:10" x14ac:dyDescent="0.3">
      <c r="B328" s="171" t="s">
        <v>528</v>
      </c>
      <c r="C328" s="174" t="s">
        <v>907</v>
      </c>
      <c r="D328" s="172" t="s">
        <v>65</v>
      </c>
      <c r="E328" s="172">
        <v>1</v>
      </c>
      <c r="F328" s="172">
        <v>0</v>
      </c>
      <c r="G328" s="172">
        <f t="shared" si="11"/>
        <v>1</v>
      </c>
      <c r="H328" s="173">
        <v>10000</v>
      </c>
      <c r="I328" s="173">
        <v>20000</v>
      </c>
      <c r="J328" s="173">
        <f t="shared" si="12"/>
        <v>10000</v>
      </c>
    </row>
    <row r="329" spans="2:10" x14ac:dyDescent="0.3">
      <c r="B329" s="171" t="s">
        <v>529</v>
      </c>
      <c r="C329" s="174" t="s">
        <v>908</v>
      </c>
      <c r="D329" s="172" t="s">
        <v>65</v>
      </c>
      <c r="E329" s="172">
        <v>10</v>
      </c>
      <c r="F329" s="172">
        <v>0</v>
      </c>
      <c r="G329" s="172">
        <f t="shared" si="11"/>
        <v>10</v>
      </c>
      <c r="H329" s="173">
        <v>12000</v>
      </c>
      <c r="I329" s="173">
        <v>20000</v>
      </c>
      <c r="J329" s="173">
        <f t="shared" si="12"/>
        <v>120000</v>
      </c>
    </row>
    <row r="330" spans="2:10" x14ac:dyDescent="0.3">
      <c r="B330" s="171" t="s">
        <v>530</v>
      </c>
      <c r="C330" s="174" t="s">
        <v>909</v>
      </c>
      <c r="D330" s="172" t="s">
        <v>65</v>
      </c>
      <c r="E330" s="172">
        <v>1</v>
      </c>
      <c r="F330" s="172">
        <v>0</v>
      </c>
      <c r="G330" s="172">
        <f t="shared" si="11"/>
        <v>1</v>
      </c>
      <c r="H330" s="173">
        <v>125000</v>
      </c>
      <c r="I330" s="173">
        <v>150000</v>
      </c>
      <c r="J330" s="173">
        <f t="shared" si="12"/>
        <v>125000</v>
      </c>
    </row>
    <row r="331" spans="2:10" x14ac:dyDescent="0.3">
      <c r="B331" s="171" t="s">
        <v>531</v>
      </c>
      <c r="C331" s="174" t="s">
        <v>910</v>
      </c>
      <c r="D331" s="172" t="s">
        <v>65</v>
      </c>
      <c r="E331" s="172" t="s">
        <v>212</v>
      </c>
      <c r="F331" s="172">
        <v>0</v>
      </c>
      <c r="G331" s="172">
        <f t="shared" si="11"/>
        <v>10</v>
      </c>
      <c r="H331" s="173">
        <v>7000</v>
      </c>
      <c r="I331" s="173">
        <v>10000</v>
      </c>
      <c r="J331" s="173">
        <f t="shared" si="12"/>
        <v>70000</v>
      </c>
    </row>
    <row r="332" spans="2:10" x14ac:dyDescent="0.3">
      <c r="B332" s="171" t="s">
        <v>532</v>
      </c>
      <c r="C332" s="174" t="s">
        <v>911</v>
      </c>
      <c r="D332" s="172" t="s">
        <v>65</v>
      </c>
      <c r="E332" s="172">
        <v>1</v>
      </c>
      <c r="F332" s="172">
        <v>0</v>
      </c>
      <c r="G332" s="172">
        <f t="shared" si="11"/>
        <v>1</v>
      </c>
      <c r="H332" s="173">
        <v>8000</v>
      </c>
      <c r="I332" s="173">
        <v>15000</v>
      </c>
      <c r="J332" s="173">
        <f t="shared" si="12"/>
        <v>8000</v>
      </c>
    </row>
    <row r="333" spans="2:10" x14ac:dyDescent="0.3">
      <c r="B333" s="171" t="s">
        <v>533</v>
      </c>
      <c r="C333" s="174" t="s">
        <v>912</v>
      </c>
      <c r="D333" s="172" t="s">
        <v>65</v>
      </c>
      <c r="E333" s="172">
        <v>3</v>
      </c>
      <c r="F333" s="172">
        <v>0</v>
      </c>
      <c r="G333" s="172">
        <f t="shared" si="11"/>
        <v>3</v>
      </c>
      <c r="H333" s="173">
        <v>60000</v>
      </c>
      <c r="I333" s="173">
        <v>70000</v>
      </c>
      <c r="J333" s="173">
        <f t="shared" si="12"/>
        <v>180000</v>
      </c>
    </row>
    <row r="334" spans="2:10" x14ac:dyDescent="0.3">
      <c r="B334" s="171" t="s">
        <v>534</v>
      </c>
      <c r="C334" s="174" t="s">
        <v>913</v>
      </c>
      <c r="D334" s="172" t="s">
        <v>65</v>
      </c>
      <c r="E334" s="172">
        <v>2</v>
      </c>
      <c r="F334" s="172">
        <v>0</v>
      </c>
      <c r="G334" s="172">
        <f t="shared" si="11"/>
        <v>2</v>
      </c>
      <c r="H334" s="173">
        <v>7000</v>
      </c>
      <c r="I334" s="173">
        <v>12000</v>
      </c>
      <c r="J334" s="173">
        <f t="shared" si="12"/>
        <v>14000</v>
      </c>
    </row>
    <row r="335" spans="2:10" x14ac:dyDescent="0.3">
      <c r="B335" s="171" t="s">
        <v>535</v>
      </c>
      <c r="C335" s="174" t="s">
        <v>914</v>
      </c>
      <c r="D335" s="172" t="s">
        <v>65</v>
      </c>
      <c r="E335" s="172" t="s">
        <v>974</v>
      </c>
      <c r="F335" s="172">
        <v>0</v>
      </c>
      <c r="G335" s="172">
        <f t="shared" si="11"/>
        <v>2</v>
      </c>
      <c r="H335" s="173">
        <v>45000</v>
      </c>
      <c r="I335" s="173">
        <v>60000</v>
      </c>
      <c r="J335" s="173">
        <f t="shared" si="12"/>
        <v>90000</v>
      </c>
    </row>
    <row r="336" spans="2:10" x14ac:dyDescent="0.3">
      <c r="B336" s="171" t="s">
        <v>536</v>
      </c>
      <c r="C336" s="174" t="s">
        <v>915</v>
      </c>
      <c r="D336" s="172" t="s">
        <v>65</v>
      </c>
      <c r="E336" s="172">
        <v>1</v>
      </c>
      <c r="F336" s="172">
        <v>0</v>
      </c>
      <c r="G336" s="172">
        <f t="shared" si="11"/>
        <v>1</v>
      </c>
      <c r="H336" s="173">
        <v>15000</v>
      </c>
      <c r="I336" s="173">
        <v>25000</v>
      </c>
      <c r="J336" s="173">
        <f t="shared" si="12"/>
        <v>15000</v>
      </c>
    </row>
    <row r="337" spans="2:10" x14ac:dyDescent="0.3">
      <c r="B337" s="171" t="s">
        <v>537</v>
      </c>
      <c r="C337" s="174" t="s">
        <v>916</v>
      </c>
      <c r="D337" s="172" t="s">
        <v>65</v>
      </c>
      <c r="E337" s="172">
        <v>2</v>
      </c>
      <c r="F337" s="172">
        <v>0</v>
      </c>
      <c r="G337" s="172">
        <f t="shared" si="11"/>
        <v>2</v>
      </c>
      <c r="H337" s="173">
        <v>60000</v>
      </c>
      <c r="I337" s="173">
        <v>85000</v>
      </c>
      <c r="J337" s="173">
        <f t="shared" si="12"/>
        <v>120000</v>
      </c>
    </row>
    <row r="338" spans="2:10" x14ac:dyDescent="0.3">
      <c r="B338" s="171" t="s">
        <v>538</v>
      </c>
      <c r="C338" s="174" t="s">
        <v>917</v>
      </c>
      <c r="D338" s="172" t="s">
        <v>65</v>
      </c>
      <c r="E338" s="172">
        <v>1</v>
      </c>
      <c r="F338" s="172">
        <v>0</v>
      </c>
      <c r="G338" s="172">
        <f t="shared" si="11"/>
        <v>1</v>
      </c>
      <c r="H338" s="173">
        <v>40000</v>
      </c>
      <c r="I338" s="173">
        <v>50000</v>
      </c>
      <c r="J338" s="173">
        <f t="shared" si="12"/>
        <v>40000</v>
      </c>
    </row>
    <row r="339" spans="2:10" x14ac:dyDescent="0.3">
      <c r="B339" s="171" t="s">
        <v>539</v>
      </c>
      <c r="C339" s="174" t="s">
        <v>918</v>
      </c>
      <c r="D339" s="172" t="s">
        <v>65</v>
      </c>
      <c r="E339" s="172">
        <v>2</v>
      </c>
      <c r="F339" s="172">
        <v>0</v>
      </c>
      <c r="G339" s="172">
        <f t="shared" si="11"/>
        <v>2</v>
      </c>
      <c r="H339" s="173">
        <v>60000</v>
      </c>
      <c r="I339" s="173">
        <v>80000</v>
      </c>
      <c r="J339" s="173">
        <f t="shared" si="12"/>
        <v>120000</v>
      </c>
    </row>
    <row r="340" spans="2:10" x14ac:dyDescent="0.3">
      <c r="B340" s="171" t="s">
        <v>540</v>
      </c>
      <c r="C340" s="174" t="s">
        <v>919</v>
      </c>
      <c r="D340" s="172" t="s">
        <v>65</v>
      </c>
      <c r="E340" s="172" t="s">
        <v>214</v>
      </c>
      <c r="F340" s="172">
        <v>0</v>
      </c>
      <c r="G340" s="172">
        <f t="shared" si="11"/>
        <v>5</v>
      </c>
      <c r="H340" s="173">
        <v>45000</v>
      </c>
      <c r="I340" s="173">
        <v>60000</v>
      </c>
      <c r="J340" s="173">
        <f t="shared" si="12"/>
        <v>225000</v>
      </c>
    </row>
    <row r="341" spans="2:10" x14ac:dyDescent="0.3">
      <c r="B341" s="171" t="s">
        <v>541</v>
      </c>
      <c r="C341" s="174" t="s">
        <v>920</v>
      </c>
      <c r="D341" s="172" t="s">
        <v>65</v>
      </c>
      <c r="E341" s="172">
        <v>3</v>
      </c>
      <c r="F341" s="172">
        <v>0</v>
      </c>
      <c r="G341" s="172">
        <f t="shared" si="11"/>
        <v>3</v>
      </c>
      <c r="H341" s="173">
        <v>60000</v>
      </c>
      <c r="I341" s="173">
        <v>80000</v>
      </c>
      <c r="J341" s="173">
        <f t="shared" si="12"/>
        <v>180000</v>
      </c>
    </row>
    <row r="342" spans="2:10" x14ac:dyDescent="0.3">
      <c r="B342" s="171" t="s">
        <v>542</v>
      </c>
      <c r="C342" s="174" t="s">
        <v>921</v>
      </c>
      <c r="D342" s="172" t="s">
        <v>65</v>
      </c>
      <c r="E342" s="172" t="s">
        <v>974</v>
      </c>
      <c r="F342" s="172">
        <v>0</v>
      </c>
      <c r="G342" s="172">
        <f t="shared" si="11"/>
        <v>2</v>
      </c>
      <c r="H342" s="173">
        <v>110000</v>
      </c>
      <c r="I342" s="173">
        <v>125000</v>
      </c>
      <c r="J342" s="173">
        <f t="shared" si="12"/>
        <v>220000</v>
      </c>
    </row>
    <row r="343" spans="2:10" x14ac:dyDescent="0.3">
      <c r="B343" s="171" t="s">
        <v>543</v>
      </c>
      <c r="C343" s="174" t="s">
        <v>922</v>
      </c>
      <c r="D343" s="172" t="s">
        <v>65</v>
      </c>
      <c r="E343" s="172">
        <v>4</v>
      </c>
      <c r="F343" s="172">
        <v>0</v>
      </c>
      <c r="G343" s="172">
        <f t="shared" si="11"/>
        <v>4</v>
      </c>
      <c r="H343" s="173">
        <v>5000</v>
      </c>
      <c r="I343" s="173">
        <v>10000</v>
      </c>
      <c r="J343" s="173">
        <f t="shared" si="12"/>
        <v>20000</v>
      </c>
    </row>
    <row r="344" spans="2:10" x14ac:dyDescent="0.3">
      <c r="B344" s="171" t="s">
        <v>544</v>
      </c>
      <c r="C344" s="174" t="s">
        <v>668</v>
      </c>
      <c r="D344" s="172" t="s">
        <v>65</v>
      </c>
      <c r="E344" s="172">
        <v>1</v>
      </c>
      <c r="F344" s="172">
        <v>0</v>
      </c>
      <c r="G344" s="172">
        <f t="shared" si="11"/>
        <v>1</v>
      </c>
      <c r="H344" s="173">
        <v>7500</v>
      </c>
      <c r="I344" s="173">
        <v>15000</v>
      </c>
      <c r="J344" s="173">
        <f t="shared" si="12"/>
        <v>7500</v>
      </c>
    </row>
    <row r="345" spans="2:10" x14ac:dyDescent="0.3">
      <c r="B345" s="171" t="s">
        <v>545</v>
      </c>
      <c r="C345" s="174" t="s">
        <v>923</v>
      </c>
      <c r="D345" s="172" t="s">
        <v>65</v>
      </c>
      <c r="E345" s="172">
        <v>9</v>
      </c>
      <c r="F345" s="172">
        <v>0</v>
      </c>
      <c r="G345" s="172">
        <f t="shared" si="11"/>
        <v>9</v>
      </c>
      <c r="H345" s="173">
        <v>7500</v>
      </c>
      <c r="I345" s="173">
        <v>15000</v>
      </c>
      <c r="J345" s="173">
        <f t="shared" si="12"/>
        <v>67500</v>
      </c>
    </row>
    <row r="346" spans="2:10" x14ac:dyDescent="0.3">
      <c r="B346" s="171" t="s">
        <v>546</v>
      </c>
      <c r="C346" s="174" t="s">
        <v>924</v>
      </c>
      <c r="D346" s="172" t="s">
        <v>65</v>
      </c>
      <c r="E346" s="172">
        <v>2</v>
      </c>
      <c r="F346" s="172">
        <v>0</v>
      </c>
      <c r="G346" s="172">
        <f t="shared" si="11"/>
        <v>2</v>
      </c>
      <c r="H346" s="173">
        <v>7500</v>
      </c>
      <c r="I346" s="173">
        <v>15000</v>
      </c>
      <c r="J346" s="173">
        <f t="shared" si="12"/>
        <v>15000</v>
      </c>
    </row>
    <row r="347" spans="2:10" x14ac:dyDescent="0.3">
      <c r="B347" s="171" t="s">
        <v>547</v>
      </c>
      <c r="C347" s="174" t="s">
        <v>702</v>
      </c>
      <c r="D347" s="172" t="s">
        <v>65</v>
      </c>
      <c r="E347" s="172">
        <v>0</v>
      </c>
      <c r="F347" s="172">
        <v>0</v>
      </c>
      <c r="G347" s="172">
        <f t="shared" si="11"/>
        <v>0</v>
      </c>
      <c r="H347" s="173">
        <v>7500</v>
      </c>
      <c r="I347" s="173">
        <v>15000</v>
      </c>
      <c r="J347" s="173">
        <f t="shared" si="12"/>
        <v>0</v>
      </c>
    </row>
    <row r="348" spans="2:10" x14ac:dyDescent="0.3">
      <c r="B348" s="171" t="s">
        <v>548</v>
      </c>
      <c r="C348" s="174" t="s">
        <v>925</v>
      </c>
      <c r="D348" s="172" t="s">
        <v>65</v>
      </c>
      <c r="E348" s="172">
        <v>3</v>
      </c>
      <c r="F348" s="172">
        <v>0</v>
      </c>
      <c r="G348" s="172">
        <f t="shared" si="11"/>
        <v>3</v>
      </c>
      <c r="H348" s="173">
        <v>7500</v>
      </c>
      <c r="I348" s="173">
        <v>15000</v>
      </c>
      <c r="J348" s="173">
        <f t="shared" si="12"/>
        <v>22500</v>
      </c>
    </row>
    <row r="349" spans="2:10" x14ac:dyDescent="0.3">
      <c r="B349" s="171" t="s">
        <v>549</v>
      </c>
      <c r="C349" s="174" t="s">
        <v>926</v>
      </c>
      <c r="D349" s="172" t="s">
        <v>65</v>
      </c>
      <c r="E349" s="172">
        <v>4</v>
      </c>
      <c r="F349" s="172">
        <v>0</v>
      </c>
      <c r="G349" s="172">
        <f t="shared" si="11"/>
        <v>4</v>
      </c>
      <c r="H349" s="173">
        <v>5000</v>
      </c>
      <c r="I349" s="173">
        <v>10000</v>
      </c>
      <c r="J349" s="173">
        <f t="shared" si="12"/>
        <v>20000</v>
      </c>
    </row>
    <row r="350" spans="2:10" x14ac:dyDescent="0.3">
      <c r="B350" s="171" t="s">
        <v>550</v>
      </c>
      <c r="C350" s="174" t="s">
        <v>927</v>
      </c>
      <c r="D350" s="172" t="s">
        <v>65</v>
      </c>
      <c r="E350" s="172">
        <v>2</v>
      </c>
      <c r="F350" s="172">
        <v>0</v>
      </c>
      <c r="G350" s="172">
        <f t="shared" si="11"/>
        <v>2</v>
      </c>
      <c r="H350" s="173">
        <v>7500</v>
      </c>
      <c r="I350" s="173">
        <v>15000</v>
      </c>
      <c r="J350" s="173">
        <f t="shared" si="12"/>
        <v>15000</v>
      </c>
    </row>
    <row r="351" spans="2:10" x14ac:dyDescent="0.3">
      <c r="B351" s="171" t="s">
        <v>551</v>
      </c>
      <c r="C351" s="174" t="s">
        <v>928</v>
      </c>
      <c r="D351" s="172" t="s">
        <v>65</v>
      </c>
      <c r="E351" s="172">
        <v>2</v>
      </c>
      <c r="F351" s="172">
        <v>0</v>
      </c>
      <c r="G351" s="172">
        <f t="shared" si="11"/>
        <v>2</v>
      </c>
      <c r="H351" s="173">
        <v>5000</v>
      </c>
      <c r="I351" s="173">
        <v>10000</v>
      </c>
      <c r="J351" s="173">
        <f t="shared" si="12"/>
        <v>10000</v>
      </c>
    </row>
    <row r="352" spans="2:10" x14ac:dyDescent="0.3">
      <c r="B352" s="171" t="s">
        <v>552</v>
      </c>
      <c r="C352" s="174" t="s">
        <v>929</v>
      </c>
      <c r="D352" s="172" t="s">
        <v>65</v>
      </c>
      <c r="E352" s="172">
        <v>2</v>
      </c>
      <c r="F352" s="172">
        <v>0</v>
      </c>
      <c r="G352" s="172">
        <f t="shared" si="11"/>
        <v>2</v>
      </c>
      <c r="H352" s="173">
        <v>7500</v>
      </c>
      <c r="I352" s="173">
        <v>15000</v>
      </c>
      <c r="J352" s="173">
        <f t="shared" si="12"/>
        <v>15000</v>
      </c>
    </row>
    <row r="353" spans="2:10" x14ac:dyDescent="0.3">
      <c r="B353" s="171" t="s">
        <v>553</v>
      </c>
      <c r="C353" s="174" t="s">
        <v>930</v>
      </c>
      <c r="D353" s="172" t="s">
        <v>65</v>
      </c>
      <c r="E353" s="172">
        <v>2</v>
      </c>
      <c r="F353" s="172">
        <v>0</v>
      </c>
      <c r="G353" s="172">
        <f t="shared" si="11"/>
        <v>2</v>
      </c>
      <c r="H353" s="173">
        <v>7500</v>
      </c>
      <c r="I353" s="173">
        <v>15000</v>
      </c>
      <c r="J353" s="173">
        <f t="shared" si="12"/>
        <v>15000</v>
      </c>
    </row>
    <row r="354" spans="2:10" x14ac:dyDescent="0.3">
      <c r="B354" s="171" t="s">
        <v>554</v>
      </c>
      <c r="C354" s="174" t="s">
        <v>931</v>
      </c>
      <c r="D354" s="172" t="s">
        <v>65</v>
      </c>
      <c r="E354" s="172">
        <v>2</v>
      </c>
      <c r="F354" s="172">
        <v>0</v>
      </c>
      <c r="G354" s="172">
        <f t="shared" si="11"/>
        <v>2</v>
      </c>
      <c r="H354" s="173">
        <v>7500</v>
      </c>
      <c r="I354" s="173">
        <v>15000</v>
      </c>
      <c r="J354" s="173">
        <f t="shared" si="12"/>
        <v>15000</v>
      </c>
    </row>
    <row r="355" spans="2:10" x14ac:dyDescent="0.3">
      <c r="B355" s="171" t="s">
        <v>555</v>
      </c>
      <c r="C355" s="174" t="s">
        <v>932</v>
      </c>
      <c r="D355" s="172" t="s">
        <v>65</v>
      </c>
      <c r="E355" s="172">
        <v>5</v>
      </c>
      <c r="F355" s="172">
        <v>0</v>
      </c>
      <c r="G355" s="172">
        <f t="shared" si="11"/>
        <v>5</v>
      </c>
      <c r="H355" s="173">
        <v>5000</v>
      </c>
      <c r="I355" s="173">
        <v>10000</v>
      </c>
      <c r="J355" s="173">
        <f t="shared" si="12"/>
        <v>25000</v>
      </c>
    </row>
    <row r="356" spans="2:10" x14ac:dyDescent="0.3">
      <c r="B356" s="171" t="s">
        <v>556</v>
      </c>
      <c r="C356" s="174" t="s">
        <v>933</v>
      </c>
      <c r="D356" s="172" t="s">
        <v>65</v>
      </c>
      <c r="E356" s="172">
        <v>6</v>
      </c>
      <c r="F356" s="172">
        <v>0</v>
      </c>
      <c r="G356" s="172">
        <f t="shared" si="11"/>
        <v>6</v>
      </c>
      <c r="H356" s="173">
        <v>5000</v>
      </c>
      <c r="I356" s="173">
        <v>10000</v>
      </c>
      <c r="J356" s="173">
        <f t="shared" si="12"/>
        <v>30000</v>
      </c>
    </row>
    <row r="357" spans="2:10" x14ac:dyDescent="0.3">
      <c r="B357" s="171" t="s">
        <v>557</v>
      </c>
      <c r="C357" s="174" t="s">
        <v>934</v>
      </c>
      <c r="D357" s="172" t="s">
        <v>65</v>
      </c>
      <c r="E357" s="172">
        <v>3</v>
      </c>
      <c r="F357" s="172">
        <v>0</v>
      </c>
      <c r="G357" s="172">
        <f t="shared" si="11"/>
        <v>3</v>
      </c>
      <c r="H357" s="173">
        <v>7500</v>
      </c>
      <c r="I357" s="173">
        <v>15000</v>
      </c>
      <c r="J357" s="173">
        <f t="shared" si="12"/>
        <v>22500</v>
      </c>
    </row>
    <row r="358" spans="2:10" x14ac:dyDescent="0.3">
      <c r="B358" s="171" t="s">
        <v>558</v>
      </c>
      <c r="C358" s="174" t="s">
        <v>935</v>
      </c>
      <c r="D358" s="172" t="s">
        <v>65</v>
      </c>
      <c r="E358" s="172">
        <v>6</v>
      </c>
      <c r="F358" s="172">
        <v>0</v>
      </c>
      <c r="G358" s="172">
        <f t="shared" si="11"/>
        <v>6</v>
      </c>
      <c r="H358" s="173">
        <v>7500</v>
      </c>
      <c r="I358" s="173">
        <v>15000</v>
      </c>
      <c r="J358" s="173">
        <f t="shared" si="12"/>
        <v>45000</v>
      </c>
    </row>
    <row r="359" spans="2:10" x14ac:dyDescent="0.3">
      <c r="B359" s="171" t="s">
        <v>559</v>
      </c>
      <c r="C359" s="174" t="s">
        <v>825</v>
      </c>
      <c r="D359" s="172" t="s">
        <v>65</v>
      </c>
      <c r="E359" s="172">
        <v>2</v>
      </c>
      <c r="F359" s="172">
        <v>0</v>
      </c>
      <c r="G359" s="172">
        <f t="shared" si="11"/>
        <v>2</v>
      </c>
      <c r="H359" s="173">
        <v>7500</v>
      </c>
      <c r="I359" s="173">
        <v>15000</v>
      </c>
      <c r="J359" s="173">
        <f t="shared" si="12"/>
        <v>15000</v>
      </c>
    </row>
    <row r="360" spans="2:10" x14ac:dyDescent="0.3">
      <c r="B360" s="171" t="s">
        <v>560</v>
      </c>
      <c r="C360" s="174" t="s">
        <v>936</v>
      </c>
      <c r="D360" s="172" t="s">
        <v>65</v>
      </c>
      <c r="E360" s="172">
        <v>2</v>
      </c>
      <c r="F360" s="172">
        <v>0</v>
      </c>
      <c r="G360" s="172">
        <f t="shared" si="11"/>
        <v>2</v>
      </c>
      <c r="H360" s="173">
        <v>7500</v>
      </c>
      <c r="I360" s="173">
        <v>15000</v>
      </c>
      <c r="J360" s="173">
        <f t="shared" si="12"/>
        <v>15000</v>
      </c>
    </row>
    <row r="361" spans="2:10" x14ac:dyDescent="0.3">
      <c r="B361" s="171" t="s">
        <v>561</v>
      </c>
      <c r="C361" s="174" t="s">
        <v>937</v>
      </c>
      <c r="D361" s="172" t="s">
        <v>65</v>
      </c>
      <c r="E361" s="172">
        <v>6</v>
      </c>
      <c r="F361" s="172">
        <v>0</v>
      </c>
      <c r="G361" s="172">
        <f t="shared" si="11"/>
        <v>6</v>
      </c>
      <c r="H361" s="173">
        <v>50000</v>
      </c>
      <c r="I361" s="173">
        <v>70000</v>
      </c>
      <c r="J361" s="173">
        <f t="shared" si="12"/>
        <v>300000</v>
      </c>
    </row>
    <row r="362" spans="2:10" x14ac:dyDescent="0.3">
      <c r="B362" s="171" t="s">
        <v>562</v>
      </c>
      <c r="C362" s="174" t="s">
        <v>938</v>
      </c>
      <c r="D362" s="172" t="s">
        <v>65</v>
      </c>
      <c r="E362" s="172">
        <v>8</v>
      </c>
      <c r="F362" s="172">
        <v>0</v>
      </c>
      <c r="G362" s="172">
        <f t="shared" si="11"/>
        <v>8</v>
      </c>
      <c r="H362" s="173">
        <v>38000</v>
      </c>
      <c r="I362" s="173">
        <v>58000</v>
      </c>
      <c r="J362" s="173">
        <f t="shared" si="12"/>
        <v>304000</v>
      </c>
    </row>
    <row r="363" spans="2:10" x14ac:dyDescent="0.3">
      <c r="B363" s="171" t="s">
        <v>563</v>
      </c>
      <c r="C363" s="174" t="s">
        <v>939</v>
      </c>
      <c r="D363" s="172" t="s">
        <v>65</v>
      </c>
      <c r="E363" s="172">
        <v>5</v>
      </c>
      <c r="F363" s="172">
        <v>0</v>
      </c>
      <c r="G363" s="172">
        <f t="shared" si="11"/>
        <v>5</v>
      </c>
      <c r="H363" s="173">
        <v>25000</v>
      </c>
      <c r="I363" s="173">
        <v>38000</v>
      </c>
      <c r="J363" s="173">
        <f t="shared" si="12"/>
        <v>125000</v>
      </c>
    </row>
    <row r="364" spans="2:10" x14ac:dyDescent="0.3">
      <c r="B364" s="171" t="s">
        <v>564</v>
      </c>
      <c r="C364" s="174" t="s">
        <v>940</v>
      </c>
      <c r="D364" s="172" t="s">
        <v>65</v>
      </c>
      <c r="E364" s="172">
        <v>1</v>
      </c>
      <c r="F364" s="172">
        <v>0</v>
      </c>
      <c r="G364" s="172">
        <f t="shared" si="11"/>
        <v>1</v>
      </c>
      <c r="H364" s="173">
        <v>40000</v>
      </c>
      <c r="I364" s="173">
        <v>55000</v>
      </c>
      <c r="J364" s="173">
        <f t="shared" si="12"/>
        <v>40000</v>
      </c>
    </row>
    <row r="365" spans="2:10" x14ac:dyDescent="0.3">
      <c r="B365" s="171" t="s">
        <v>565</v>
      </c>
      <c r="C365" s="174" t="s">
        <v>941</v>
      </c>
      <c r="D365" s="172" t="s">
        <v>65</v>
      </c>
      <c r="E365" s="172">
        <v>5</v>
      </c>
      <c r="F365" s="172">
        <v>0</v>
      </c>
      <c r="G365" s="172">
        <f t="shared" si="11"/>
        <v>5</v>
      </c>
      <c r="H365" s="173">
        <v>15000</v>
      </c>
      <c r="I365" s="173">
        <v>25000</v>
      </c>
      <c r="J365" s="173">
        <f t="shared" si="12"/>
        <v>75000</v>
      </c>
    </row>
    <row r="366" spans="2:10" x14ac:dyDescent="0.3">
      <c r="B366" s="171" t="s">
        <v>566</v>
      </c>
      <c r="C366" s="174" t="s">
        <v>942</v>
      </c>
      <c r="D366" s="172" t="s">
        <v>65</v>
      </c>
      <c r="E366" s="172">
        <v>5</v>
      </c>
      <c r="F366" s="172">
        <v>0</v>
      </c>
      <c r="G366" s="172">
        <f t="shared" si="11"/>
        <v>5</v>
      </c>
      <c r="H366" s="173">
        <v>15000</v>
      </c>
      <c r="I366" s="173">
        <v>25000</v>
      </c>
      <c r="J366" s="173">
        <f t="shared" si="12"/>
        <v>75000</v>
      </c>
    </row>
    <row r="367" spans="2:10" x14ac:dyDescent="0.3">
      <c r="B367" s="171" t="s">
        <v>567</v>
      </c>
      <c r="C367" s="174" t="s">
        <v>943</v>
      </c>
      <c r="D367" s="172" t="s">
        <v>65</v>
      </c>
      <c r="E367" s="172">
        <v>1</v>
      </c>
      <c r="F367" s="172">
        <v>0</v>
      </c>
      <c r="G367" s="172">
        <f t="shared" si="11"/>
        <v>1</v>
      </c>
      <c r="H367" s="173">
        <v>20000</v>
      </c>
      <c r="I367" s="173">
        <v>30000</v>
      </c>
      <c r="J367" s="173">
        <f t="shared" si="12"/>
        <v>20000</v>
      </c>
    </row>
    <row r="368" spans="2:10" x14ac:dyDescent="0.3">
      <c r="B368" s="171" t="s">
        <v>568</v>
      </c>
      <c r="C368" s="174" t="s">
        <v>944</v>
      </c>
      <c r="D368" s="172" t="s">
        <v>65</v>
      </c>
      <c r="E368" s="172">
        <v>2</v>
      </c>
      <c r="F368" s="172">
        <v>0</v>
      </c>
      <c r="G368" s="172">
        <f t="shared" si="11"/>
        <v>2</v>
      </c>
      <c r="H368" s="173">
        <v>25000</v>
      </c>
      <c r="I368" s="173">
        <v>33000</v>
      </c>
      <c r="J368" s="173">
        <f t="shared" si="12"/>
        <v>50000</v>
      </c>
    </row>
    <row r="369" spans="2:10" x14ac:dyDescent="0.3">
      <c r="B369" s="171" t="s">
        <v>569</v>
      </c>
      <c r="C369" s="174" t="s">
        <v>945</v>
      </c>
      <c r="D369" s="172" t="s">
        <v>65</v>
      </c>
      <c r="E369" s="172">
        <v>2</v>
      </c>
      <c r="F369" s="172">
        <v>0</v>
      </c>
      <c r="G369" s="172">
        <f t="shared" si="11"/>
        <v>2</v>
      </c>
      <c r="H369" s="173">
        <v>10000</v>
      </c>
      <c r="I369" s="173">
        <v>15000</v>
      </c>
      <c r="J369" s="173">
        <f t="shared" si="12"/>
        <v>20000</v>
      </c>
    </row>
    <row r="370" spans="2:10" x14ac:dyDescent="0.3">
      <c r="B370" s="171" t="s">
        <v>570</v>
      </c>
      <c r="C370" s="174" t="s">
        <v>946</v>
      </c>
      <c r="D370" s="172" t="s">
        <v>65</v>
      </c>
      <c r="E370" s="172">
        <v>1</v>
      </c>
      <c r="F370" s="172">
        <v>0</v>
      </c>
      <c r="G370" s="172">
        <f t="shared" si="11"/>
        <v>1</v>
      </c>
      <c r="H370" s="173">
        <v>30000</v>
      </c>
      <c r="I370" s="173">
        <v>48000</v>
      </c>
      <c r="J370" s="173">
        <f t="shared" si="12"/>
        <v>30000</v>
      </c>
    </row>
    <row r="371" spans="2:10" x14ac:dyDescent="0.3">
      <c r="B371" s="171" t="s">
        <v>571</v>
      </c>
      <c r="C371" s="174" t="s">
        <v>947</v>
      </c>
      <c r="D371" s="172" t="s">
        <v>65</v>
      </c>
      <c r="E371" s="172">
        <v>3</v>
      </c>
      <c r="F371" s="172">
        <v>0</v>
      </c>
      <c r="G371" s="172">
        <f t="shared" si="11"/>
        <v>3</v>
      </c>
      <c r="H371" s="173">
        <v>44000</v>
      </c>
      <c r="I371" s="173">
        <v>60000</v>
      </c>
      <c r="J371" s="173">
        <f t="shared" si="12"/>
        <v>132000</v>
      </c>
    </row>
    <row r="372" spans="2:10" x14ac:dyDescent="0.3">
      <c r="B372" s="171" t="s">
        <v>572</v>
      </c>
      <c r="C372" s="174" t="s">
        <v>948</v>
      </c>
      <c r="D372" s="172" t="s">
        <v>65</v>
      </c>
      <c r="E372" s="172">
        <v>3</v>
      </c>
      <c r="F372" s="172">
        <v>0</v>
      </c>
      <c r="G372" s="172">
        <f t="shared" si="11"/>
        <v>3</v>
      </c>
      <c r="H372" s="173">
        <v>18000</v>
      </c>
      <c r="I372" s="173">
        <v>25000</v>
      </c>
      <c r="J372" s="173">
        <f t="shared" si="12"/>
        <v>54000</v>
      </c>
    </row>
    <row r="373" spans="2:10" x14ac:dyDescent="0.3">
      <c r="B373" s="171" t="s">
        <v>573</v>
      </c>
      <c r="C373" s="174" t="s">
        <v>949</v>
      </c>
      <c r="D373" s="172" t="s">
        <v>65</v>
      </c>
      <c r="E373" s="172">
        <v>3</v>
      </c>
      <c r="F373" s="172">
        <v>0</v>
      </c>
      <c r="G373" s="172">
        <f t="shared" si="11"/>
        <v>3</v>
      </c>
      <c r="H373" s="173">
        <v>10000</v>
      </c>
      <c r="I373" s="173">
        <v>20000</v>
      </c>
      <c r="J373" s="173">
        <f t="shared" si="12"/>
        <v>30000</v>
      </c>
    </row>
    <row r="374" spans="2:10" x14ac:dyDescent="0.3">
      <c r="B374" s="171" t="s">
        <v>574</v>
      </c>
      <c r="C374" s="174" t="s">
        <v>950</v>
      </c>
      <c r="D374" s="172" t="s">
        <v>65</v>
      </c>
      <c r="E374" s="172" t="s">
        <v>218</v>
      </c>
      <c r="F374" s="172">
        <v>0</v>
      </c>
      <c r="G374" s="172">
        <f t="shared" si="11"/>
        <v>4</v>
      </c>
      <c r="H374" s="173">
        <v>15000</v>
      </c>
      <c r="I374" s="173">
        <v>25000</v>
      </c>
      <c r="J374" s="173">
        <f t="shared" si="12"/>
        <v>60000</v>
      </c>
    </row>
    <row r="375" spans="2:10" x14ac:dyDescent="0.3">
      <c r="B375" s="171" t="s">
        <v>575</v>
      </c>
      <c r="C375" s="174" t="s">
        <v>951</v>
      </c>
      <c r="D375" s="172" t="s">
        <v>65</v>
      </c>
      <c r="E375" s="172">
        <v>9</v>
      </c>
      <c r="F375" s="172">
        <v>0</v>
      </c>
      <c r="G375" s="172">
        <f t="shared" si="11"/>
        <v>9</v>
      </c>
      <c r="H375" s="173">
        <v>6000</v>
      </c>
      <c r="I375" s="173">
        <v>10000</v>
      </c>
      <c r="J375" s="173">
        <f t="shared" si="12"/>
        <v>54000</v>
      </c>
    </row>
    <row r="376" spans="2:10" x14ac:dyDescent="0.3">
      <c r="B376" s="171" t="s">
        <v>576</v>
      </c>
      <c r="C376" s="174" t="s">
        <v>952</v>
      </c>
      <c r="D376" s="172" t="s">
        <v>65</v>
      </c>
      <c r="E376" s="172">
        <v>2</v>
      </c>
      <c r="F376" s="172">
        <v>0</v>
      </c>
      <c r="G376" s="172">
        <f t="shared" si="11"/>
        <v>2</v>
      </c>
      <c r="H376" s="173">
        <v>40000</v>
      </c>
      <c r="I376" s="173">
        <v>50000</v>
      </c>
      <c r="J376" s="173">
        <f t="shared" si="12"/>
        <v>80000</v>
      </c>
    </row>
    <row r="377" spans="2:10" x14ac:dyDescent="0.3">
      <c r="B377" s="171" t="s">
        <v>577</v>
      </c>
      <c r="C377" s="174" t="s">
        <v>953</v>
      </c>
      <c r="D377" s="172" t="s">
        <v>65</v>
      </c>
      <c r="E377" s="172">
        <v>2</v>
      </c>
      <c r="F377" s="172">
        <v>0</v>
      </c>
      <c r="G377" s="172">
        <f t="shared" si="11"/>
        <v>2</v>
      </c>
      <c r="H377" s="173">
        <v>90000</v>
      </c>
      <c r="I377" s="173">
        <v>100000</v>
      </c>
      <c r="J377" s="173">
        <f t="shared" si="12"/>
        <v>180000</v>
      </c>
    </row>
    <row r="378" spans="2:10" x14ac:dyDescent="0.3">
      <c r="B378" s="171" t="s">
        <v>578</v>
      </c>
      <c r="C378" s="174" t="s">
        <v>954</v>
      </c>
      <c r="D378" s="172" t="s">
        <v>65</v>
      </c>
      <c r="E378" s="172">
        <v>4</v>
      </c>
      <c r="F378" s="172">
        <v>0</v>
      </c>
      <c r="G378" s="172">
        <f t="shared" si="11"/>
        <v>4</v>
      </c>
      <c r="H378" s="173">
        <v>60000</v>
      </c>
      <c r="I378" s="173">
        <v>70000</v>
      </c>
      <c r="J378" s="173">
        <f t="shared" si="12"/>
        <v>240000</v>
      </c>
    </row>
    <row r="379" spans="2:10" x14ac:dyDescent="0.3">
      <c r="B379" s="171" t="s">
        <v>579</v>
      </c>
      <c r="C379" s="174" t="s">
        <v>955</v>
      </c>
      <c r="D379" s="172" t="s">
        <v>65</v>
      </c>
      <c r="E379" s="172">
        <v>1</v>
      </c>
      <c r="F379" s="172">
        <v>0</v>
      </c>
      <c r="G379" s="172">
        <f t="shared" si="11"/>
        <v>1</v>
      </c>
      <c r="H379" s="173">
        <v>55000</v>
      </c>
      <c r="I379" s="173">
        <v>65000</v>
      </c>
      <c r="J379" s="173">
        <f t="shared" si="12"/>
        <v>55000</v>
      </c>
    </row>
    <row r="380" spans="2:10" x14ac:dyDescent="0.3">
      <c r="B380" s="171" t="s">
        <v>580</v>
      </c>
      <c r="C380" s="174" t="s">
        <v>956</v>
      </c>
      <c r="D380" s="172" t="s">
        <v>65</v>
      </c>
      <c r="E380" s="172">
        <v>4</v>
      </c>
      <c r="F380" s="172">
        <v>0</v>
      </c>
      <c r="G380" s="172">
        <f t="shared" si="11"/>
        <v>4</v>
      </c>
      <c r="H380" s="173">
        <v>50000</v>
      </c>
      <c r="I380" s="173">
        <v>60000</v>
      </c>
      <c r="J380" s="173">
        <f t="shared" si="12"/>
        <v>200000</v>
      </c>
    </row>
    <row r="381" spans="2:10" x14ac:dyDescent="0.3">
      <c r="B381" s="171" t="s">
        <v>581</v>
      </c>
      <c r="C381" s="174" t="s">
        <v>957</v>
      </c>
      <c r="D381" s="172" t="s">
        <v>65</v>
      </c>
      <c r="E381" s="172">
        <v>18</v>
      </c>
      <c r="F381" s="172">
        <v>0</v>
      </c>
      <c r="G381" s="172">
        <f t="shared" si="11"/>
        <v>18</v>
      </c>
      <c r="H381" s="173">
        <v>10000</v>
      </c>
      <c r="I381" s="173">
        <v>15000</v>
      </c>
      <c r="J381" s="173">
        <f t="shared" si="12"/>
        <v>180000</v>
      </c>
    </row>
    <row r="382" spans="2:10" x14ac:dyDescent="0.3">
      <c r="B382" s="171" t="s">
        <v>582</v>
      </c>
      <c r="C382" s="174" t="s">
        <v>958</v>
      </c>
      <c r="D382" s="172" t="s">
        <v>65</v>
      </c>
      <c r="E382" s="172">
        <v>28</v>
      </c>
      <c r="F382" s="172">
        <v>0</v>
      </c>
      <c r="G382" s="172">
        <f t="shared" si="11"/>
        <v>28</v>
      </c>
      <c r="H382" s="173">
        <v>15000</v>
      </c>
      <c r="I382" s="173">
        <v>20000</v>
      </c>
      <c r="J382" s="173">
        <f t="shared" si="12"/>
        <v>420000</v>
      </c>
    </row>
    <row r="383" spans="2:10" x14ac:dyDescent="0.3">
      <c r="B383" s="171" t="s">
        <v>583</v>
      </c>
      <c r="C383" s="174" t="s">
        <v>959</v>
      </c>
      <c r="D383" s="172" t="s">
        <v>65</v>
      </c>
      <c r="E383" s="172">
        <v>35</v>
      </c>
      <c r="F383" s="172">
        <v>0</v>
      </c>
      <c r="G383" s="172">
        <f t="shared" si="11"/>
        <v>35</v>
      </c>
      <c r="H383" s="173">
        <v>8000</v>
      </c>
      <c r="I383" s="173">
        <v>13000</v>
      </c>
      <c r="J383" s="173">
        <f t="shared" si="12"/>
        <v>280000</v>
      </c>
    </row>
    <row r="384" spans="2:10" x14ac:dyDescent="0.3">
      <c r="B384" s="171" t="s">
        <v>584</v>
      </c>
      <c r="C384" s="174" t="s">
        <v>960</v>
      </c>
      <c r="D384" s="172" t="s">
        <v>65</v>
      </c>
      <c r="E384" s="172">
        <v>1</v>
      </c>
      <c r="F384" s="172">
        <v>0</v>
      </c>
      <c r="G384" s="172">
        <f t="shared" si="11"/>
        <v>1</v>
      </c>
      <c r="H384" s="173">
        <v>30000</v>
      </c>
      <c r="I384" s="173">
        <v>45000</v>
      </c>
      <c r="J384" s="173">
        <f t="shared" si="12"/>
        <v>30000</v>
      </c>
    </row>
    <row r="385" spans="2:10" x14ac:dyDescent="0.3">
      <c r="B385" s="171" t="s">
        <v>585</v>
      </c>
      <c r="C385" s="174" t="s">
        <v>961</v>
      </c>
      <c r="D385" s="172" t="s">
        <v>65</v>
      </c>
      <c r="E385" s="172">
        <v>1</v>
      </c>
      <c r="F385" s="172">
        <v>0</v>
      </c>
      <c r="G385" s="172">
        <f t="shared" si="11"/>
        <v>1</v>
      </c>
      <c r="H385" s="173">
        <v>35000</v>
      </c>
      <c r="I385" s="173">
        <v>45000</v>
      </c>
      <c r="J385" s="173">
        <f t="shared" si="12"/>
        <v>35000</v>
      </c>
    </row>
    <row r="386" spans="2:10" x14ac:dyDescent="0.3">
      <c r="B386" s="171" t="s">
        <v>586</v>
      </c>
      <c r="C386" s="174" t="s">
        <v>962</v>
      </c>
      <c r="D386" s="172" t="s">
        <v>65</v>
      </c>
      <c r="E386" s="172">
        <v>1</v>
      </c>
      <c r="F386" s="172">
        <v>0</v>
      </c>
      <c r="G386" s="172">
        <f t="shared" si="11"/>
        <v>1</v>
      </c>
      <c r="H386" s="173">
        <v>75000</v>
      </c>
      <c r="I386" s="173">
        <v>85000</v>
      </c>
      <c r="J386" s="173">
        <f t="shared" si="12"/>
        <v>75000</v>
      </c>
    </row>
    <row r="387" spans="2:10" x14ac:dyDescent="0.3">
      <c r="B387" s="171" t="s">
        <v>587</v>
      </c>
      <c r="C387" s="174" t="s">
        <v>963</v>
      </c>
      <c r="D387" s="172" t="s">
        <v>65</v>
      </c>
      <c r="E387" s="172">
        <v>2</v>
      </c>
      <c r="F387" s="172">
        <v>0</v>
      </c>
      <c r="G387" s="172">
        <f t="shared" si="11"/>
        <v>2</v>
      </c>
      <c r="H387" s="173">
        <v>85000</v>
      </c>
      <c r="I387" s="173">
        <v>95000</v>
      </c>
      <c r="J387" s="173">
        <f t="shared" si="12"/>
        <v>170000</v>
      </c>
    </row>
    <row r="388" spans="2:10" x14ac:dyDescent="0.3">
      <c r="B388" s="171" t="s">
        <v>588</v>
      </c>
      <c r="C388" s="174" t="s">
        <v>964</v>
      </c>
      <c r="D388" s="172" t="s">
        <v>65</v>
      </c>
      <c r="E388" s="172">
        <v>26</v>
      </c>
      <c r="F388" s="172">
        <v>0</v>
      </c>
      <c r="G388" s="172">
        <f t="shared" si="11"/>
        <v>26</v>
      </c>
      <c r="H388" s="173">
        <v>12000</v>
      </c>
      <c r="I388" s="173">
        <v>18000</v>
      </c>
      <c r="J388" s="173">
        <f t="shared" si="12"/>
        <v>312000</v>
      </c>
    </row>
    <row r="389" spans="2:10" x14ac:dyDescent="0.3">
      <c r="B389" s="171" t="s">
        <v>589</v>
      </c>
      <c r="C389" s="174" t="s">
        <v>965</v>
      </c>
      <c r="D389" s="172" t="s">
        <v>65</v>
      </c>
      <c r="E389" s="172">
        <v>38</v>
      </c>
      <c r="F389" s="172">
        <v>0</v>
      </c>
      <c r="G389" s="172">
        <f t="shared" ref="G389:G396" si="13">IF(E389&lt;&gt;"",E389-F389,G389="")</f>
        <v>38</v>
      </c>
      <c r="H389" s="173">
        <v>5000</v>
      </c>
      <c r="I389" s="173">
        <v>7000</v>
      </c>
      <c r="J389" s="173">
        <f t="shared" ref="J389:J452" si="14">IF(E389&lt;&gt;"",E389*H389,"")</f>
        <v>190000</v>
      </c>
    </row>
    <row r="390" spans="2:10" x14ac:dyDescent="0.3">
      <c r="B390" s="171" t="s">
        <v>590</v>
      </c>
      <c r="C390" s="174" t="s">
        <v>966</v>
      </c>
      <c r="D390" s="172" t="s">
        <v>65</v>
      </c>
      <c r="E390" s="172">
        <v>5</v>
      </c>
      <c r="F390" s="172">
        <v>0</v>
      </c>
      <c r="G390" s="172">
        <f t="shared" si="13"/>
        <v>5</v>
      </c>
      <c r="H390" s="173">
        <v>63000</v>
      </c>
      <c r="I390" s="173">
        <v>78000</v>
      </c>
      <c r="J390" s="173">
        <f t="shared" si="14"/>
        <v>315000</v>
      </c>
    </row>
    <row r="391" spans="2:10" x14ac:dyDescent="0.3">
      <c r="B391" s="171" t="s">
        <v>591</v>
      </c>
      <c r="C391" s="174" t="s">
        <v>967</v>
      </c>
      <c r="D391" s="172" t="s">
        <v>65</v>
      </c>
      <c r="E391" s="172">
        <v>6</v>
      </c>
      <c r="F391" s="172">
        <v>0</v>
      </c>
      <c r="G391" s="172">
        <f t="shared" si="13"/>
        <v>6</v>
      </c>
      <c r="H391" s="173">
        <v>45000</v>
      </c>
      <c r="I391" s="173">
        <v>60000</v>
      </c>
      <c r="J391" s="173">
        <f t="shared" si="14"/>
        <v>270000</v>
      </c>
    </row>
    <row r="392" spans="2:10" x14ac:dyDescent="0.3">
      <c r="B392" s="171" t="s">
        <v>592</v>
      </c>
      <c r="C392" s="174" t="s">
        <v>968</v>
      </c>
      <c r="D392" s="172" t="s">
        <v>65</v>
      </c>
      <c r="E392" s="172">
        <v>3</v>
      </c>
      <c r="F392" s="172">
        <v>0</v>
      </c>
      <c r="G392" s="172">
        <f>IF(E392&lt;&gt;"",E392-F392,G392="")</f>
        <v>3</v>
      </c>
      <c r="H392" s="173">
        <v>35000</v>
      </c>
      <c r="I392" s="173">
        <v>50000</v>
      </c>
      <c r="J392" s="173">
        <f t="shared" si="14"/>
        <v>105000</v>
      </c>
    </row>
    <row r="393" spans="2:10" x14ac:dyDescent="0.3">
      <c r="B393" s="171" t="s">
        <v>593</v>
      </c>
      <c r="C393" s="174" t="s">
        <v>969</v>
      </c>
      <c r="D393" s="172" t="s">
        <v>65</v>
      </c>
      <c r="E393" s="172">
        <v>9</v>
      </c>
      <c r="F393" s="172">
        <v>0</v>
      </c>
      <c r="G393" s="172">
        <f t="shared" si="13"/>
        <v>9</v>
      </c>
      <c r="H393" s="173">
        <v>12000</v>
      </c>
      <c r="I393" s="173">
        <v>16000</v>
      </c>
      <c r="J393" s="173">
        <f t="shared" si="14"/>
        <v>108000</v>
      </c>
    </row>
    <row r="394" spans="2:10" x14ac:dyDescent="0.3">
      <c r="B394" s="171" t="s">
        <v>594</v>
      </c>
      <c r="C394" s="174" t="s">
        <v>970</v>
      </c>
      <c r="D394" s="172" t="s">
        <v>65</v>
      </c>
      <c r="E394" s="172">
        <v>28</v>
      </c>
      <c r="F394" s="172">
        <v>0</v>
      </c>
      <c r="G394" s="172">
        <f t="shared" si="13"/>
        <v>28</v>
      </c>
      <c r="H394" s="173">
        <v>25000</v>
      </c>
      <c r="I394" s="173">
        <v>30000</v>
      </c>
      <c r="J394" s="173">
        <f t="shared" si="14"/>
        <v>700000</v>
      </c>
    </row>
    <row r="395" spans="2:10" x14ac:dyDescent="0.3">
      <c r="B395" s="171" t="s">
        <v>595</v>
      </c>
      <c r="C395" s="174" t="s">
        <v>971</v>
      </c>
      <c r="D395" s="172" t="s">
        <v>65</v>
      </c>
      <c r="E395" s="172">
        <v>40</v>
      </c>
      <c r="F395" s="172">
        <v>0</v>
      </c>
      <c r="G395" s="172">
        <f t="shared" si="13"/>
        <v>40</v>
      </c>
      <c r="H395" s="173">
        <v>15000</v>
      </c>
      <c r="I395" s="173">
        <v>18000</v>
      </c>
      <c r="J395" s="173">
        <f t="shared" si="14"/>
        <v>600000</v>
      </c>
    </row>
    <row r="396" spans="2:10" x14ac:dyDescent="0.3">
      <c r="B396" s="171" t="s">
        <v>596</v>
      </c>
      <c r="C396" s="174" t="s">
        <v>972</v>
      </c>
      <c r="D396" s="172" t="s">
        <v>65</v>
      </c>
      <c r="E396" s="172">
        <v>4</v>
      </c>
      <c r="F396" s="172">
        <v>0</v>
      </c>
      <c r="G396" s="172">
        <f t="shared" si="13"/>
        <v>4</v>
      </c>
      <c r="H396" s="173">
        <v>30000</v>
      </c>
      <c r="I396" s="173">
        <v>33000</v>
      </c>
      <c r="J396" s="173">
        <f t="shared" si="14"/>
        <v>120000</v>
      </c>
    </row>
    <row r="397" spans="2:10" x14ac:dyDescent="0.3">
      <c r="B397" s="1" t="s">
        <v>981</v>
      </c>
      <c r="C397" t="s">
        <v>982</v>
      </c>
      <c r="D397" t="s">
        <v>65</v>
      </c>
      <c r="E397" s="2">
        <v>10</v>
      </c>
      <c r="F397" s="3">
        <v>0</v>
      </c>
      <c r="H397">
        <v>20000</v>
      </c>
      <c r="I397">
        <v>25000</v>
      </c>
      <c r="J397" s="173">
        <f t="shared" si="14"/>
        <v>200000</v>
      </c>
    </row>
    <row r="398" spans="2:10" x14ac:dyDescent="0.3">
      <c r="J398" s="173" t="str">
        <f t="shared" si="14"/>
        <v/>
      </c>
    </row>
    <row r="399" spans="2:10" x14ac:dyDescent="0.3">
      <c r="J399" s="173" t="str">
        <f t="shared" si="14"/>
        <v/>
      </c>
    </row>
    <row r="400" spans="2:10" x14ac:dyDescent="0.3">
      <c r="J400" s="173" t="str">
        <f t="shared" si="14"/>
        <v/>
      </c>
    </row>
    <row r="401" spans="10:10" x14ac:dyDescent="0.3">
      <c r="J401" s="173" t="str">
        <f t="shared" si="14"/>
        <v/>
      </c>
    </row>
    <row r="402" spans="10:10" x14ac:dyDescent="0.3">
      <c r="J402" s="173" t="str">
        <f t="shared" si="14"/>
        <v/>
      </c>
    </row>
    <row r="403" spans="10:10" x14ac:dyDescent="0.3">
      <c r="J403" s="173" t="str">
        <f t="shared" si="14"/>
        <v/>
      </c>
    </row>
    <row r="404" spans="10:10" x14ac:dyDescent="0.3">
      <c r="J404" s="173" t="str">
        <f t="shared" si="14"/>
        <v/>
      </c>
    </row>
    <row r="405" spans="10:10" x14ac:dyDescent="0.3">
      <c r="J405" s="173" t="str">
        <f t="shared" si="14"/>
        <v/>
      </c>
    </row>
    <row r="406" spans="10:10" x14ac:dyDescent="0.3">
      <c r="J406" s="173" t="str">
        <f t="shared" si="14"/>
        <v/>
      </c>
    </row>
    <row r="407" spans="10:10" x14ac:dyDescent="0.3">
      <c r="J407" s="173" t="str">
        <f t="shared" si="14"/>
        <v/>
      </c>
    </row>
    <row r="408" spans="10:10" x14ac:dyDescent="0.3">
      <c r="J408" s="173" t="str">
        <f t="shared" si="14"/>
        <v/>
      </c>
    </row>
    <row r="409" spans="10:10" x14ac:dyDescent="0.3">
      <c r="J409" s="173" t="str">
        <f t="shared" si="14"/>
        <v/>
      </c>
    </row>
    <row r="410" spans="10:10" x14ac:dyDescent="0.3">
      <c r="J410" s="173" t="str">
        <f t="shared" si="14"/>
        <v/>
      </c>
    </row>
    <row r="411" spans="10:10" x14ac:dyDescent="0.3">
      <c r="J411" s="173" t="str">
        <f t="shared" si="14"/>
        <v/>
      </c>
    </row>
    <row r="412" spans="10:10" x14ac:dyDescent="0.3">
      <c r="J412" s="173" t="str">
        <f t="shared" si="14"/>
        <v/>
      </c>
    </row>
    <row r="413" spans="10:10" x14ac:dyDescent="0.3">
      <c r="J413" s="173" t="str">
        <f t="shared" si="14"/>
        <v/>
      </c>
    </row>
    <row r="414" spans="10:10" x14ac:dyDescent="0.3">
      <c r="J414" s="173" t="str">
        <f t="shared" si="14"/>
        <v/>
      </c>
    </row>
    <row r="415" spans="10:10" x14ac:dyDescent="0.3">
      <c r="J415" s="173" t="str">
        <f t="shared" si="14"/>
        <v/>
      </c>
    </row>
    <row r="416" spans="10:10" x14ac:dyDescent="0.3">
      <c r="J416" s="173" t="str">
        <f t="shared" si="14"/>
        <v/>
      </c>
    </row>
    <row r="417" spans="10:10" x14ac:dyDescent="0.3">
      <c r="J417" s="173" t="str">
        <f t="shared" si="14"/>
        <v/>
      </c>
    </row>
    <row r="418" spans="10:10" x14ac:dyDescent="0.3">
      <c r="J418" s="173" t="str">
        <f t="shared" si="14"/>
        <v/>
      </c>
    </row>
    <row r="419" spans="10:10" x14ac:dyDescent="0.3">
      <c r="J419" s="173" t="str">
        <f t="shared" si="14"/>
        <v/>
      </c>
    </row>
    <row r="420" spans="10:10" x14ac:dyDescent="0.3">
      <c r="J420" s="173" t="str">
        <f t="shared" si="14"/>
        <v/>
      </c>
    </row>
    <row r="421" spans="10:10" x14ac:dyDescent="0.3">
      <c r="J421" s="173" t="str">
        <f t="shared" si="14"/>
        <v/>
      </c>
    </row>
    <row r="422" spans="10:10" x14ac:dyDescent="0.3">
      <c r="J422" s="173" t="str">
        <f t="shared" si="14"/>
        <v/>
      </c>
    </row>
    <row r="423" spans="10:10" x14ac:dyDescent="0.3">
      <c r="J423" s="173" t="str">
        <f t="shared" si="14"/>
        <v/>
      </c>
    </row>
    <row r="424" spans="10:10" x14ac:dyDescent="0.3">
      <c r="J424" s="173" t="str">
        <f t="shared" si="14"/>
        <v/>
      </c>
    </row>
    <row r="425" spans="10:10" x14ac:dyDescent="0.3">
      <c r="J425" s="173" t="str">
        <f t="shared" si="14"/>
        <v/>
      </c>
    </row>
    <row r="426" spans="10:10" x14ac:dyDescent="0.3">
      <c r="J426" s="173" t="str">
        <f t="shared" si="14"/>
        <v/>
      </c>
    </row>
    <row r="427" spans="10:10" x14ac:dyDescent="0.3">
      <c r="J427" s="173" t="str">
        <f t="shared" si="14"/>
        <v/>
      </c>
    </row>
    <row r="428" spans="10:10" x14ac:dyDescent="0.3">
      <c r="J428" s="173" t="str">
        <f t="shared" si="14"/>
        <v/>
      </c>
    </row>
    <row r="429" spans="10:10" x14ac:dyDescent="0.3">
      <c r="J429" s="173" t="str">
        <f t="shared" si="14"/>
        <v/>
      </c>
    </row>
    <row r="430" spans="10:10" x14ac:dyDescent="0.3">
      <c r="J430" s="173" t="str">
        <f t="shared" si="14"/>
        <v/>
      </c>
    </row>
    <row r="431" spans="10:10" x14ac:dyDescent="0.3">
      <c r="J431" s="173" t="str">
        <f t="shared" si="14"/>
        <v/>
      </c>
    </row>
    <row r="432" spans="10:10" x14ac:dyDescent="0.3">
      <c r="J432" s="173" t="str">
        <f t="shared" si="14"/>
        <v/>
      </c>
    </row>
    <row r="433" spans="10:10" x14ac:dyDescent="0.3">
      <c r="J433" s="173" t="str">
        <f t="shared" si="14"/>
        <v/>
      </c>
    </row>
    <row r="434" spans="10:10" x14ac:dyDescent="0.3">
      <c r="J434" s="173" t="str">
        <f t="shared" si="14"/>
        <v/>
      </c>
    </row>
    <row r="435" spans="10:10" x14ac:dyDescent="0.3">
      <c r="J435" s="173" t="str">
        <f t="shared" si="14"/>
        <v/>
      </c>
    </row>
    <row r="436" spans="10:10" x14ac:dyDescent="0.3">
      <c r="J436" s="173" t="str">
        <f t="shared" si="14"/>
        <v/>
      </c>
    </row>
    <row r="437" spans="10:10" x14ac:dyDescent="0.3">
      <c r="J437" s="173" t="str">
        <f t="shared" si="14"/>
        <v/>
      </c>
    </row>
    <row r="438" spans="10:10" x14ac:dyDescent="0.3">
      <c r="J438" s="173" t="str">
        <f t="shared" si="14"/>
        <v/>
      </c>
    </row>
    <row r="439" spans="10:10" x14ac:dyDescent="0.3">
      <c r="J439" s="173" t="str">
        <f t="shared" si="14"/>
        <v/>
      </c>
    </row>
    <row r="440" spans="10:10" x14ac:dyDescent="0.3">
      <c r="J440" s="173" t="str">
        <f t="shared" si="14"/>
        <v/>
      </c>
    </row>
    <row r="441" spans="10:10" x14ac:dyDescent="0.3">
      <c r="J441" s="173" t="str">
        <f t="shared" si="14"/>
        <v/>
      </c>
    </row>
    <row r="442" spans="10:10" x14ac:dyDescent="0.3">
      <c r="J442" s="173" t="str">
        <f t="shared" si="14"/>
        <v/>
      </c>
    </row>
    <row r="443" spans="10:10" x14ac:dyDescent="0.3">
      <c r="J443" s="173" t="str">
        <f t="shared" si="14"/>
        <v/>
      </c>
    </row>
    <row r="444" spans="10:10" x14ac:dyDescent="0.3">
      <c r="J444" s="173" t="str">
        <f t="shared" si="14"/>
        <v/>
      </c>
    </row>
    <row r="445" spans="10:10" x14ac:dyDescent="0.3">
      <c r="J445" s="173" t="str">
        <f t="shared" si="14"/>
        <v/>
      </c>
    </row>
    <row r="446" spans="10:10" x14ac:dyDescent="0.3">
      <c r="J446" s="173" t="str">
        <f t="shared" si="14"/>
        <v/>
      </c>
    </row>
    <row r="447" spans="10:10" x14ac:dyDescent="0.3">
      <c r="J447" s="173" t="str">
        <f t="shared" si="14"/>
        <v/>
      </c>
    </row>
    <row r="448" spans="10:10" x14ac:dyDescent="0.3">
      <c r="J448" s="173" t="str">
        <f t="shared" si="14"/>
        <v/>
      </c>
    </row>
    <row r="449" spans="10:10" x14ac:dyDescent="0.3">
      <c r="J449" s="173" t="str">
        <f t="shared" si="14"/>
        <v/>
      </c>
    </row>
    <row r="450" spans="10:10" x14ac:dyDescent="0.3">
      <c r="J450" s="173" t="str">
        <f t="shared" si="14"/>
        <v/>
      </c>
    </row>
    <row r="451" spans="10:10" x14ac:dyDescent="0.3">
      <c r="J451" s="173" t="str">
        <f t="shared" si="14"/>
        <v/>
      </c>
    </row>
    <row r="452" spans="10:10" x14ac:dyDescent="0.3">
      <c r="J452" s="173" t="str">
        <f t="shared" si="14"/>
        <v/>
      </c>
    </row>
    <row r="453" spans="10:10" x14ac:dyDescent="0.3">
      <c r="J453" s="173" t="str">
        <f t="shared" ref="J453:J473" si="15">IF(E453&lt;&gt;"",E453*H453,"")</f>
        <v/>
      </c>
    </row>
    <row r="454" spans="10:10" x14ac:dyDescent="0.3">
      <c r="J454" s="173" t="str">
        <f t="shared" si="15"/>
        <v/>
      </c>
    </row>
    <row r="455" spans="10:10" x14ac:dyDescent="0.3">
      <c r="J455" s="173" t="str">
        <f t="shared" si="15"/>
        <v/>
      </c>
    </row>
    <row r="456" spans="10:10" x14ac:dyDescent="0.3">
      <c r="J456" s="173" t="str">
        <f t="shared" si="15"/>
        <v/>
      </c>
    </row>
    <row r="457" spans="10:10" x14ac:dyDescent="0.3">
      <c r="J457" s="173" t="str">
        <f t="shared" si="15"/>
        <v/>
      </c>
    </row>
    <row r="458" spans="10:10" x14ac:dyDescent="0.3">
      <c r="J458" s="173" t="str">
        <f t="shared" si="15"/>
        <v/>
      </c>
    </row>
    <row r="459" spans="10:10" x14ac:dyDescent="0.3">
      <c r="J459" s="173" t="str">
        <f t="shared" si="15"/>
        <v/>
      </c>
    </row>
    <row r="460" spans="10:10" x14ac:dyDescent="0.3">
      <c r="J460" s="173" t="str">
        <f t="shared" si="15"/>
        <v/>
      </c>
    </row>
    <row r="461" spans="10:10" x14ac:dyDescent="0.3">
      <c r="J461" s="173" t="str">
        <f t="shared" si="15"/>
        <v/>
      </c>
    </row>
    <row r="462" spans="10:10" x14ac:dyDescent="0.3">
      <c r="J462" s="173" t="str">
        <f t="shared" si="15"/>
        <v/>
      </c>
    </row>
    <row r="463" spans="10:10" x14ac:dyDescent="0.3">
      <c r="J463" s="173" t="str">
        <f t="shared" si="15"/>
        <v/>
      </c>
    </row>
    <row r="464" spans="10:10" x14ac:dyDescent="0.3">
      <c r="J464" s="173" t="str">
        <f t="shared" si="15"/>
        <v/>
      </c>
    </row>
    <row r="465" spans="10:10" x14ac:dyDescent="0.3">
      <c r="J465" s="173" t="str">
        <f t="shared" si="15"/>
        <v/>
      </c>
    </row>
    <row r="466" spans="10:10" x14ac:dyDescent="0.3">
      <c r="J466" s="173" t="str">
        <f t="shared" si="15"/>
        <v/>
      </c>
    </row>
    <row r="467" spans="10:10" x14ac:dyDescent="0.3">
      <c r="J467" s="173" t="str">
        <f t="shared" si="15"/>
        <v/>
      </c>
    </row>
    <row r="468" spans="10:10" x14ac:dyDescent="0.3">
      <c r="J468" s="173" t="str">
        <f t="shared" si="15"/>
        <v/>
      </c>
    </row>
    <row r="469" spans="10:10" x14ac:dyDescent="0.3">
      <c r="J469" s="173" t="str">
        <f t="shared" si="15"/>
        <v/>
      </c>
    </row>
    <row r="470" spans="10:10" x14ac:dyDescent="0.3">
      <c r="J470" s="173" t="str">
        <f t="shared" si="15"/>
        <v/>
      </c>
    </row>
    <row r="471" spans="10:10" x14ac:dyDescent="0.3">
      <c r="J471" s="173" t="str">
        <f t="shared" si="15"/>
        <v/>
      </c>
    </row>
    <row r="472" spans="10:10" x14ac:dyDescent="0.3">
      <c r="J472" s="173" t="str">
        <f t="shared" si="15"/>
        <v/>
      </c>
    </row>
    <row r="473" spans="10:10" x14ac:dyDescent="0.3">
      <c r="J473" s="173" t="str">
        <f t="shared" si="15"/>
        <v/>
      </c>
    </row>
  </sheetData>
  <sortState xmlns:xlrd2="http://schemas.microsoft.com/office/spreadsheetml/2017/richdata2" ref="B4:G461">
    <sortCondition ref="B3"/>
  </sortState>
  <phoneticPr fontId="11" type="noConversion"/>
  <conditionalFormatting sqref="B4:B372">
    <cfRule type="duplicateValues" dxfId="20" priority="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7F04-F63D-4794-B4F1-B967C4AF7386}">
  <sheetPr codeName="Sheet8"/>
  <dimension ref="A1:S88"/>
  <sheetViews>
    <sheetView topLeftCell="A25" zoomScale="92" workbookViewId="0">
      <selection activeCell="B41" sqref="B41"/>
    </sheetView>
  </sheetViews>
  <sheetFormatPr defaultRowHeight="14.4" x14ac:dyDescent="0.3"/>
  <cols>
    <col min="1" max="1" width="8.88671875" style="136"/>
    <col min="2" max="2" width="27" style="136" customWidth="1"/>
    <col min="3" max="3" width="70.109375" style="136" customWidth="1"/>
    <col min="4" max="4" width="11" style="136" customWidth="1"/>
    <col min="5" max="5" width="10.77734375" style="136" customWidth="1"/>
    <col min="6" max="6" width="9.33203125" style="136" customWidth="1"/>
    <col min="7" max="7" width="8.44140625" style="136" customWidth="1"/>
    <col min="8" max="8" width="11.77734375" style="136" customWidth="1"/>
    <col min="9" max="9" width="12.33203125" style="136" customWidth="1"/>
    <col min="10" max="10" width="17.77734375" style="136" customWidth="1"/>
    <col min="11" max="16384" width="8.88671875" style="136"/>
  </cols>
  <sheetData>
    <row r="1" spans="1:19" x14ac:dyDescent="0.3">
      <c r="A1" s="135"/>
      <c r="B1" s="137"/>
      <c r="C1" s="135"/>
      <c r="D1" s="135"/>
      <c r="E1" s="138"/>
      <c r="F1" s="139"/>
      <c r="G1" s="139"/>
      <c r="H1" s="135"/>
      <c r="I1" s="135"/>
      <c r="J1" s="135"/>
      <c r="K1" s="135"/>
      <c r="L1" s="135"/>
      <c r="M1" s="135"/>
    </row>
    <row r="2" spans="1:19" x14ac:dyDescent="0.3">
      <c r="A2" s="135"/>
      <c r="B2" s="137"/>
      <c r="C2" s="135"/>
      <c r="D2" s="135"/>
      <c r="E2" s="138"/>
      <c r="F2" s="139"/>
      <c r="G2" s="139"/>
      <c r="H2" s="135"/>
      <c r="I2" s="135"/>
      <c r="J2" s="135"/>
      <c r="K2" s="135"/>
      <c r="L2" s="135"/>
      <c r="M2" s="135"/>
    </row>
    <row r="3" spans="1:19" x14ac:dyDescent="0.3">
      <c r="A3" s="140"/>
      <c r="B3" s="141" t="s">
        <v>0</v>
      </c>
      <c r="C3" s="140" t="s">
        <v>1</v>
      </c>
      <c r="D3" s="140" t="s">
        <v>60</v>
      </c>
      <c r="E3" s="142" t="s">
        <v>62</v>
      </c>
      <c r="F3" s="142" t="s">
        <v>63</v>
      </c>
      <c r="G3" s="143" t="s">
        <v>61</v>
      </c>
      <c r="H3" s="144" t="s">
        <v>5</v>
      </c>
      <c r="I3" s="144" t="s">
        <v>6</v>
      </c>
      <c r="J3" s="142" t="s">
        <v>64</v>
      </c>
      <c r="K3" s="140"/>
      <c r="L3" s="140"/>
      <c r="M3" s="140"/>
    </row>
    <row r="4" spans="1:19" ht="15" thickBot="1" x14ac:dyDescent="0.35">
      <c r="A4" s="135"/>
      <c r="B4" s="145"/>
      <c r="C4" s="138"/>
      <c r="D4" s="138"/>
      <c r="E4" s="138"/>
      <c r="F4" s="138"/>
      <c r="G4" s="138"/>
      <c r="H4" s="139"/>
      <c r="I4" s="139"/>
      <c r="J4" s="139"/>
      <c r="K4" s="138"/>
      <c r="L4" s="135"/>
      <c r="M4" s="135"/>
    </row>
    <row r="5" spans="1:19" ht="15" thickBot="1" x14ac:dyDescent="0.35">
      <c r="A5" s="135"/>
      <c r="B5" s="146" t="s">
        <v>0</v>
      </c>
      <c r="C5" s="34" t="s">
        <v>1</v>
      </c>
      <c r="D5" s="34" t="s">
        <v>60</v>
      </c>
      <c r="E5" s="34" t="s">
        <v>62</v>
      </c>
      <c r="F5" s="34" t="s">
        <v>63</v>
      </c>
      <c r="G5" s="34" t="s">
        <v>61</v>
      </c>
      <c r="H5" s="35" t="s">
        <v>5</v>
      </c>
      <c r="I5" s="35" t="s">
        <v>6</v>
      </c>
      <c r="J5" s="34" t="s">
        <v>64</v>
      </c>
      <c r="K5" s="135"/>
      <c r="L5" s="135"/>
      <c r="M5" s="135"/>
      <c r="R5" s="153" t="s">
        <v>45</v>
      </c>
      <c r="S5" s="154" t="s">
        <v>111</v>
      </c>
    </row>
    <row r="6" spans="1:19" x14ac:dyDescent="0.3">
      <c r="A6" s="135"/>
      <c r="B6" s="177" t="s">
        <v>76</v>
      </c>
      <c r="C6" s="136" t="s">
        <v>144</v>
      </c>
      <c r="D6" s="136" t="s">
        <v>66</v>
      </c>
      <c r="E6" s="175">
        <v>5</v>
      </c>
      <c r="F6" s="175">
        <v>1</v>
      </c>
      <c r="G6" s="175">
        <f>IF(E6&lt;&gt;"",E6-F6,"")</f>
        <v>4</v>
      </c>
      <c r="H6" s="178">
        <v>10000</v>
      </c>
      <c r="I6" s="178">
        <v>13000</v>
      </c>
      <c r="J6" s="176">
        <f>IF(E6&lt;&gt;"",E6*H6,"")</f>
        <v>50000</v>
      </c>
      <c r="K6" s="135"/>
      <c r="L6" s="135"/>
      <c r="M6" s="135"/>
    </row>
    <row r="7" spans="1:19" x14ac:dyDescent="0.3">
      <c r="A7" s="135"/>
      <c r="B7" s="177" t="s">
        <v>77</v>
      </c>
      <c r="C7" s="136" t="s">
        <v>145</v>
      </c>
      <c r="D7" s="136" t="s">
        <v>66</v>
      </c>
      <c r="E7" s="175" t="s">
        <v>212</v>
      </c>
      <c r="F7" s="175">
        <v>0</v>
      </c>
      <c r="G7" s="175">
        <f t="shared" ref="G7:G70" si="0">IF(E7&lt;&gt;"",E7-F7,"")</f>
        <v>10</v>
      </c>
      <c r="H7" s="178">
        <v>23000</v>
      </c>
      <c r="I7" s="178">
        <v>25000</v>
      </c>
      <c r="J7" s="176">
        <f t="shared" ref="J7:J70" si="1">IF(E7&lt;&gt;"",E7*H7,"")</f>
        <v>230000</v>
      </c>
      <c r="K7" s="135"/>
      <c r="L7" s="135"/>
      <c r="M7" s="135"/>
    </row>
    <row r="8" spans="1:19" x14ac:dyDescent="0.3">
      <c r="A8" s="135"/>
      <c r="B8" s="177" t="s">
        <v>78</v>
      </c>
      <c r="C8" s="136" t="s">
        <v>146</v>
      </c>
      <c r="D8" s="136" t="s">
        <v>66</v>
      </c>
      <c r="E8" s="175" t="s">
        <v>213</v>
      </c>
      <c r="F8" s="175">
        <v>0</v>
      </c>
      <c r="G8" s="175">
        <f t="shared" si="0"/>
        <v>8</v>
      </c>
      <c r="H8" s="178">
        <v>28000</v>
      </c>
      <c r="I8" s="178">
        <v>30000</v>
      </c>
      <c r="J8" s="176">
        <f t="shared" si="1"/>
        <v>224000</v>
      </c>
      <c r="K8" s="135"/>
      <c r="L8" s="135"/>
      <c r="M8" s="135"/>
    </row>
    <row r="9" spans="1:19" x14ac:dyDescent="0.3">
      <c r="A9" s="135"/>
      <c r="B9" s="177" t="s">
        <v>79</v>
      </c>
      <c r="C9" s="136" t="s">
        <v>147</v>
      </c>
      <c r="D9" s="136" t="s">
        <v>66</v>
      </c>
      <c r="E9" s="175">
        <v>2</v>
      </c>
      <c r="F9" s="175">
        <v>0</v>
      </c>
      <c r="G9" s="175">
        <f t="shared" si="0"/>
        <v>2</v>
      </c>
      <c r="H9" s="178">
        <v>10000</v>
      </c>
      <c r="I9" s="178">
        <v>12000</v>
      </c>
      <c r="J9" s="176">
        <f t="shared" si="1"/>
        <v>20000</v>
      </c>
      <c r="K9" s="135"/>
      <c r="L9" s="135"/>
      <c r="M9" s="135"/>
    </row>
    <row r="10" spans="1:19" x14ac:dyDescent="0.3">
      <c r="A10" s="135"/>
      <c r="B10" s="177" t="s">
        <v>80</v>
      </c>
      <c r="C10" s="136" t="s">
        <v>148</v>
      </c>
      <c r="D10" s="136" t="s">
        <v>66</v>
      </c>
      <c r="E10" s="175">
        <v>4</v>
      </c>
      <c r="F10" s="175">
        <v>0</v>
      </c>
      <c r="G10" s="175">
        <f t="shared" si="0"/>
        <v>4</v>
      </c>
      <c r="H10" s="178">
        <v>33000</v>
      </c>
      <c r="I10" s="178">
        <v>35000</v>
      </c>
      <c r="J10" s="176">
        <f t="shared" si="1"/>
        <v>132000</v>
      </c>
      <c r="K10" s="135"/>
      <c r="L10" s="135"/>
      <c r="M10" s="135"/>
    </row>
    <row r="11" spans="1:19" x14ac:dyDescent="0.3">
      <c r="A11" s="135"/>
      <c r="B11" s="177" t="s">
        <v>81</v>
      </c>
      <c r="C11" s="136" t="s">
        <v>149</v>
      </c>
      <c r="D11" s="136" t="s">
        <v>66</v>
      </c>
      <c r="E11" s="175">
        <v>0</v>
      </c>
      <c r="F11" s="175">
        <v>0</v>
      </c>
      <c r="G11" s="175">
        <f t="shared" si="0"/>
        <v>0</v>
      </c>
      <c r="H11" s="178">
        <v>48000</v>
      </c>
      <c r="I11" s="178">
        <v>50000</v>
      </c>
      <c r="J11" s="176">
        <f t="shared" si="1"/>
        <v>0</v>
      </c>
      <c r="K11" s="135"/>
      <c r="L11" s="135"/>
      <c r="M11" s="135"/>
    </row>
    <row r="12" spans="1:19" x14ac:dyDescent="0.3">
      <c r="A12" s="135"/>
      <c r="B12" s="177" t="s">
        <v>82</v>
      </c>
      <c r="C12" s="136" t="s">
        <v>150</v>
      </c>
      <c r="D12" s="136" t="s">
        <v>66</v>
      </c>
      <c r="E12" s="175" t="s">
        <v>214</v>
      </c>
      <c r="F12" s="175">
        <v>0</v>
      </c>
      <c r="G12" s="175">
        <f t="shared" si="0"/>
        <v>5</v>
      </c>
      <c r="H12" s="178">
        <v>58000</v>
      </c>
      <c r="I12" s="178">
        <v>60000</v>
      </c>
      <c r="J12" s="176">
        <f t="shared" si="1"/>
        <v>290000</v>
      </c>
      <c r="K12" s="135"/>
      <c r="L12" s="135"/>
      <c r="M12" s="135"/>
    </row>
    <row r="13" spans="1:19" x14ac:dyDescent="0.3">
      <c r="A13" s="135"/>
      <c r="B13" s="177" t="s">
        <v>83</v>
      </c>
      <c r="C13" s="136" t="s">
        <v>151</v>
      </c>
      <c r="D13" s="136" t="s">
        <v>66</v>
      </c>
      <c r="E13" s="175">
        <v>8</v>
      </c>
      <c r="F13" s="175">
        <v>0</v>
      </c>
      <c r="G13" s="175">
        <f t="shared" si="0"/>
        <v>8</v>
      </c>
      <c r="H13" s="178">
        <v>53000</v>
      </c>
      <c r="I13" s="178">
        <v>55000</v>
      </c>
      <c r="J13" s="176">
        <f t="shared" si="1"/>
        <v>424000</v>
      </c>
      <c r="K13" s="135"/>
      <c r="L13" s="135"/>
      <c r="M13" s="135"/>
    </row>
    <row r="14" spans="1:19" x14ac:dyDescent="0.3">
      <c r="B14" s="177" t="s">
        <v>84</v>
      </c>
      <c r="C14" s="136" t="s">
        <v>152</v>
      </c>
      <c r="D14" s="136" t="s">
        <v>66</v>
      </c>
      <c r="E14" s="175">
        <v>8</v>
      </c>
      <c r="F14" s="175">
        <v>0</v>
      </c>
      <c r="G14" s="175">
        <f t="shared" si="0"/>
        <v>8</v>
      </c>
      <c r="H14" s="178">
        <v>78000</v>
      </c>
      <c r="I14" s="178">
        <v>80000</v>
      </c>
      <c r="J14" s="176">
        <f t="shared" si="1"/>
        <v>624000</v>
      </c>
    </row>
    <row r="15" spans="1:19" x14ac:dyDescent="0.3">
      <c r="B15" s="177" t="s">
        <v>85</v>
      </c>
      <c r="C15" s="136" t="s">
        <v>153</v>
      </c>
      <c r="D15" s="136" t="s">
        <v>66</v>
      </c>
      <c r="E15" s="175">
        <v>21</v>
      </c>
      <c r="F15" s="175">
        <v>-4</v>
      </c>
      <c r="G15" s="175">
        <f t="shared" si="0"/>
        <v>25</v>
      </c>
      <c r="H15" s="178">
        <v>58000</v>
      </c>
      <c r="I15" s="178">
        <v>60000</v>
      </c>
      <c r="J15" s="176">
        <f t="shared" si="1"/>
        <v>1218000</v>
      </c>
    </row>
    <row r="16" spans="1:19" x14ac:dyDescent="0.3">
      <c r="B16" s="177" t="s">
        <v>86</v>
      </c>
      <c r="C16" s="136" t="s">
        <v>154</v>
      </c>
      <c r="D16" s="136" t="s">
        <v>66</v>
      </c>
      <c r="E16" s="175">
        <v>1</v>
      </c>
      <c r="F16" s="175">
        <v>0</v>
      </c>
      <c r="G16" s="175">
        <f t="shared" si="0"/>
        <v>1</v>
      </c>
      <c r="H16" s="178">
        <v>63000</v>
      </c>
      <c r="I16" s="178">
        <v>65000</v>
      </c>
      <c r="J16" s="176">
        <f t="shared" si="1"/>
        <v>63000</v>
      </c>
    </row>
    <row r="17" spans="2:10" x14ac:dyDescent="0.3">
      <c r="B17" s="177" t="s">
        <v>87</v>
      </c>
      <c r="C17" s="136" t="s">
        <v>155</v>
      </c>
      <c r="D17" s="136" t="s">
        <v>66</v>
      </c>
      <c r="E17" s="175">
        <v>2</v>
      </c>
      <c r="F17" s="175">
        <v>0</v>
      </c>
      <c r="G17" s="175">
        <f t="shared" si="0"/>
        <v>2</v>
      </c>
      <c r="H17" s="178">
        <v>98000</v>
      </c>
      <c r="I17" s="178">
        <v>100000</v>
      </c>
      <c r="J17" s="176">
        <f t="shared" si="1"/>
        <v>196000</v>
      </c>
    </row>
    <row r="18" spans="2:10" x14ac:dyDescent="0.3">
      <c r="B18" s="177" t="s">
        <v>88</v>
      </c>
      <c r="C18" s="136" t="s">
        <v>156</v>
      </c>
      <c r="D18" s="136" t="s">
        <v>66</v>
      </c>
      <c r="E18" s="175">
        <v>18</v>
      </c>
      <c r="F18" s="175">
        <v>0</v>
      </c>
      <c r="G18" s="175">
        <f t="shared" si="0"/>
        <v>18</v>
      </c>
      <c r="H18" s="178">
        <v>78000</v>
      </c>
      <c r="I18" s="178">
        <v>80000</v>
      </c>
      <c r="J18" s="176">
        <f t="shared" si="1"/>
        <v>1404000</v>
      </c>
    </row>
    <row r="19" spans="2:10" x14ac:dyDescent="0.3">
      <c r="B19" s="177" t="s">
        <v>89</v>
      </c>
      <c r="C19" s="136" t="s">
        <v>157</v>
      </c>
      <c r="D19" s="136" t="s">
        <v>66</v>
      </c>
      <c r="E19" s="175">
        <v>9</v>
      </c>
      <c r="F19" s="175">
        <v>0</v>
      </c>
      <c r="G19" s="175">
        <f t="shared" si="0"/>
        <v>9</v>
      </c>
      <c r="H19" s="178">
        <v>23000</v>
      </c>
      <c r="I19" s="178">
        <v>25000</v>
      </c>
      <c r="J19" s="176">
        <f t="shared" si="1"/>
        <v>207000</v>
      </c>
    </row>
    <row r="20" spans="2:10" x14ac:dyDescent="0.3">
      <c r="B20" s="177" t="s">
        <v>90</v>
      </c>
      <c r="C20" s="136" t="s">
        <v>158</v>
      </c>
      <c r="D20" s="136" t="s">
        <v>66</v>
      </c>
      <c r="E20" s="175">
        <v>10</v>
      </c>
      <c r="F20" s="175">
        <v>0</v>
      </c>
      <c r="G20" s="175">
        <f t="shared" si="0"/>
        <v>10</v>
      </c>
      <c r="H20" s="178">
        <v>18000</v>
      </c>
      <c r="I20" s="178">
        <v>20000</v>
      </c>
      <c r="J20" s="176">
        <f t="shared" si="1"/>
        <v>180000</v>
      </c>
    </row>
    <row r="21" spans="2:10" x14ac:dyDescent="0.3">
      <c r="B21" s="177" t="s">
        <v>91</v>
      </c>
      <c r="C21" s="136" t="s">
        <v>159</v>
      </c>
      <c r="D21" s="136" t="s">
        <v>66</v>
      </c>
      <c r="E21" s="175">
        <v>8</v>
      </c>
      <c r="F21" s="175">
        <v>0</v>
      </c>
      <c r="G21" s="175">
        <f t="shared" si="0"/>
        <v>8</v>
      </c>
      <c r="H21" s="178">
        <v>30000</v>
      </c>
      <c r="I21" s="178">
        <v>32000</v>
      </c>
      <c r="J21" s="176">
        <f t="shared" si="1"/>
        <v>240000</v>
      </c>
    </row>
    <row r="22" spans="2:10" x14ac:dyDescent="0.3">
      <c r="B22" s="177" t="s">
        <v>92</v>
      </c>
      <c r="C22" s="136" t="s">
        <v>160</v>
      </c>
      <c r="D22" s="136" t="s">
        <v>66</v>
      </c>
      <c r="E22" s="175">
        <v>8</v>
      </c>
      <c r="F22" s="175">
        <v>0</v>
      </c>
      <c r="G22" s="175">
        <f t="shared" si="0"/>
        <v>8</v>
      </c>
      <c r="H22" s="178">
        <v>53000</v>
      </c>
      <c r="I22" s="178">
        <v>55000</v>
      </c>
      <c r="J22" s="176">
        <f t="shared" si="1"/>
        <v>424000</v>
      </c>
    </row>
    <row r="23" spans="2:10" x14ac:dyDescent="0.3">
      <c r="B23" s="177" t="s">
        <v>93</v>
      </c>
      <c r="C23" s="136" t="s">
        <v>161</v>
      </c>
      <c r="D23" s="136" t="s">
        <v>66</v>
      </c>
      <c r="E23" s="175">
        <v>2</v>
      </c>
      <c r="F23" s="175">
        <v>0</v>
      </c>
      <c r="G23" s="175">
        <f t="shared" si="0"/>
        <v>2</v>
      </c>
      <c r="H23" s="178">
        <v>70000</v>
      </c>
      <c r="I23" s="178">
        <v>72000</v>
      </c>
      <c r="J23" s="176">
        <f t="shared" si="1"/>
        <v>140000</v>
      </c>
    </row>
    <row r="24" spans="2:10" x14ac:dyDescent="0.3">
      <c r="B24" s="177" t="s">
        <v>94</v>
      </c>
      <c r="C24" s="136" t="s">
        <v>162</v>
      </c>
      <c r="D24" s="136" t="s">
        <v>66</v>
      </c>
      <c r="E24" s="175">
        <v>0</v>
      </c>
      <c r="F24" s="175">
        <v>0</v>
      </c>
      <c r="G24" s="175">
        <f t="shared" si="0"/>
        <v>0</v>
      </c>
      <c r="H24" s="178">
        <v>28000</v>
      </c>
      <c r="I24" s="178">
        <v>30000</v>
      </c>
      <c r="J24" s="176">
        <f t="shared" si="1"/>
        <v>0</v>
      </c>
    </row>
    <row r="25" spans="2:10" x14ac:dyDescent="0.3">
      <c r="B25" s="177" t="s">
        <v>95</v>
      </c>
      <c r="C25" s="136" t="s">
        <v>163</v>
      </c>
      <c r="D25" s="136" t="s">
        <v>66</v>
      </c>
      <c r="E25" s="175">
        <v>2</v>
      </c>
      <c r="F25" s="175">
        <v>0</v>
      </c>
      <c r="G25" s="175">
        <f t="shared" si="0"/>
        <v>2</v>
      </c>
      <c r="H25" s="178">
        <v>45000</v>
      </c>
      <c r="I25" s="178">
        <v>48000</v>
      </c>
      <c r="J25" s="176">
        <f t="shared" si="1"/>
        <v>90000</v>
      </c>
    </row>
    <row r="26" spans="2:10" x14ac:dyDescent="0.3">
      <c r="B26" s="177" t="s">
        <v>96</v>
      </c>
      <c r="C26" s="136" t="s">
        <v>164</v>
      </c>
      <c r="D26" s="136" t="s">
        <v>66</v>
      </c>
      <c r="E26" s="175">
        <v>9</v>
      </c>
      <c r="F26" s="175">
        <v>0</v>
      </c>
      <c r="G26" s="175">
        <f t="shared" si="0"/>
        <v>9</v>
      </c>
      <c r="H26" s="178">
        <v>23000</v>
      </c>
      <c r="I26" s="178">
        <v>25000</v>
      </c>
      <c r="J26" s="176">
        <f t="shared" si="1"/>
        <v>207000</v>
      </c>
    </row>
    <row r="27" spans="2:10" x14ac:dyDescent="0.3">
      <c r="B27" s="177" t="s">
        <v>97</v>
      </c>
      <c r="C27" s="136" t="s">
        <v>165</v>
      </c>
      <c r="D27" s="136" t="s">
        <v>66</v>
      </c>
      <c r="E27" s="175" t="s">
        <v>75</v>
      </c>
      <c r="F27" s="175">
        <v>0</v>
      </c>
      <c r="G27" s="175">
        <f t="shared" si="0"/>
        <v>12</v>
      </c>
      <c r="H27" s="178">
        <v>33000</v>
      </c>
      <c r="I27" s="178">
        <v>35000</v>
      </c>
      <c r="J27" s="176">
        <f t="shared" si="1"/>
        <v>396000</v>
      </c>
    </row>
    <row r="28" spans="2:10" x14ac:dyDescent="0.3">
      <c r="B28" s="177" t="s">
        <v>98</v>
      </c>
      <c r="C28" s="136" t="s">
        <v>166</v>
      </c>
      <c r="D28" s="136" t="s">
        <v>66</v>
      </c>
      <c r="E28" s="175">
        <v>11</v>
      </c>
      <c r="F28" s="175">
        <v>0</v>
      </c>
      <c r="G28" s="175">
        <f t="shared" si="0"/>
        <v>11</v>
      </c>
      <c r="H28" s="178">
        <v>53000</v>
      </c>
      <c r="I28" s="178">
        <v>55000</v>
      </c>
      <c r="J28" s="176">
        <f t="shared" si="1"/>
        <v>583000</v>
      </c>
    </row>
    <row r="29" spans="2:10" x14ac:dyDescent="0.3">
      <c r="B29" s="177" t="s">
        <v>99</v>
      </c>
      <c r="C29" s="136" t="s">
        <v>167</v>
      </c>
      <c r="D29" s="136" t="s">
        <v>66</v>
      </c>
      <c r="E29" s="175">
        <v>4</v>
      </c>
      <c r="F29" s="175">
        <v>0</v>
      </c>
      <c r="G29" s="175">
        <f t="shared" si="0"/>
        <v>4</v>
      </c>
      <c r="H29" s="178">
        <v>73000</v>
      </c>
      <c r="I29" s="178">
        <v>75000</v>
      </c>
      <c r="J29" s="176">
        <f t="shared" si="1"/>
        <v>292000</v>
      </c>
    </row>
    <row r="30" spans="2:10" x14ac:dyDescent="0.3">
      <c r="B30" s="177" t="s">
        <v>100</v>
      </c>
      <c r="C30" s="136" t="s">
        <v>168</v>
      </c>
      <c r="D30" s="136" t="s">
        <v>66</v>
      </c>
      <c r="E30" s="175" t="s">
        <v>214</v>
      </c>
      <c r="F30" s="175">
        <v>0</v>
      </c>
      <c r="G30" s="175">
        <f t="shared" si="0"/>
        <v>5</v>
      </c>
      <c r="H30" s="178">
        <v>5000</v>
      </c>
      <c r="I30" s="178">
        <v>8000</v>
      </c>
      <c r="J30" s="176">
        <f t="shared" si="1"/>
        <v>25000</v>
      </c>
    </row>
    <row r="31" spans="2:10" x14ac:dyDescent="0.3">
      <c r="B31" s="177" t="s">
        <v>101</v>
      </c>
      <c r="C31" s="136" t="s">
        <v>169</v>
      </c>
      <c r="D31" s="136" t="s">
        <v>66</v>
      </c>
      <c r="E31" s="175">
        <v>6</v>
      </c>
      <c r="F31" s="175">
        <v>0</v>
      </c>
      <c r="G31" s="175">
        <f t="shared" si="0"/>
        <v>6</v>
      </c>
      <c r="H31" s="178">
        <v>16000</v>
      </c>
      <c r="I31" s="178">
        <v>20000</v>
      </c>
      <c r="J31" s="176">
        <f t="shared" si="1"/>
        <v>96000</v>
      </c>
    </row>
    <row r="32" spans="2:10" x14ac:dyDescent="0.3">
      <c r="B32" s="177" t="s">
        <v>102</v>
      </c>
      <c r="C32" s="136" t="s">
        <v>170</v>
      </c>
      <c r="D32" s="136" t="s">
        <v>66</v>
      </c>
      <c r="E32" s="175">
        <v>3</v>
      </c>
      <c r="F32" s="175">
        <v>0</v>
      </c>
      <c r="G32" s="175">
        <f t="shared" si="0"/>
        <v>3</v>
      </c>
      <c r="H32" s="178">
        <v>28000</v>
      </c>
      <c r="I32" s="178">
        <v>30000</v>
      </c>
      <c r="J32" s="176">
        <f t="shared" si="1"/>
        <v>84000</v>
      </c>
    </row>
    <row r="33" spans="2:10" x14ac:dyDescent="0.3">
      <c r="B33" s="177" t="s">
        <v>103</v>
      </c>
      <c r="C33" s="136" t="s">
        <v>171</v>
      </c>
      <c r="D33" s="136" t="s">
        <v>66</v>
      </c>
      <c r="E33" s="175">
        <v>0</v>
      </c>
      <c r="F33" s="175">
        <v>0</v>
      </c>
      <c r="G33" s="175">
        <f t="shared" si="0"/>
        <v>0</v>
      </c>
      <c r="H33" s="178">
        <v>63000</v>
      </c>
      <c r="I33" s="178">
        <v>65000</v>
      </c>
      <c r="J33" s="176">
        <f t="shared" si="1"/>
        <v>0</v>
      </c>
    </row>
    <row r="34" spans="2:10" x14ac:dyDescent="0.3">
      <c r="B34" s="177" t="s">
        <v>104</v>
      </c>
      <c r="C34" s="136" t="s">
        <v>172</v>
      </c>
      <c r="D34" s="136" t="s">
        <v>66</v>
      </c>
      <c r="E34" s="175">
        <v>9</v>
      </c>
      <c r="F34" s="175">
        <v>0</v>
      </c>
      <c r="G34" s="175">
        <f t="shared" si="0"/>
        <v>9</v>
      </c>
      <c r="H34" s="178">
        <v>30000</v>
      </c>
      <c r="I34" s="178">
        <v>40000</v>
      </c>
      <c r="J34" s="176">
        <f t="shared" si="1"/>
        <v>270000</v>
      </c>
    </row>
    <row r="35" spans="2:10" x14ac:dyDescent="0.3">
      <c r="B35" s="177" t="s">
        <v>105</v>
      </c>
      <c r="C35" s="136" t="s">
        <v>173</v>
      </c>
      <c r="D35" s="136" t="s">
        <v>66</v>
      </c>
      <c r="E35" s="175">
        <v>2</v>
      </c>
      <c r="F35" s="175">
        <v>0</v>
      </c>
      <c r="G35" s="175">
        <f t="shared" si="0"/>
        <v>2</v>
      </c>
      <c r="H35" s="178">
        <v>40000</v>
      </c>
      <c r="I35" s="178">
        <v>45000</v>
      </c>
      <c r="J35" s="176">
        <f t="shared" si="1"/>
        <v>80000</v>
      </c>
    </row>
    <row r="36" spans="2:10" x14ac:dyDescent="0.3">
      <c r="B36" s="177" t="s">
        <v>106</v>
      </c>
      <c r="C36" s="136" t="s">
        <v>174</v>
      </c>
      <c r="D36" s="136" t="s">
        <v>66</v>
      </c>
      <c r="E36" s="175">
        <v>2</v>
      </c>
      <c r="F36" s="175">
        <v>0</v>
      </c>
      <c r="G36" s="175">
        <f t="shared" si="0"/>
        <v>2</v>
      </c>
      <c r="H36" s="178">
        <v>23000</v>
      </c>
      <c r="I36" s="178">
        <v>25000</v>
      </c>
      <c r="J36" s="176">
        <f t="shared" si="1"/>
        <v>46000</v>
      </c>
    </row>
    <row r="37" spans="2:10" x14ac:dyDescent="0.3">
      <c r="B37" s="177" t="s">
        <v>107</v>
      </c>
      <c r="C37" s="136" t="s">
        <v>175</v>
      </c>
      <c r="D37" s="136" t="s">
        <v>66</v>
      </c>
      <c r="E37" s="175">
        <v>0</v>
      </c>
      <c r="F37" s="175">
        <v>0</v>
      </c>
      <c r="G37" s="175">
        <f t="shared" si="0"/>
        <v>0</v>
      </c>
      <c r="H37" s="178">
        <v>8000</v>
      </c>
      <c r="I37" s="178">
        <v>10000</v>
      </c>
      <c r="J37" s="176">
        <f t="shared" si="1"/>
        <v>0</v>
      </c>
    </row>
    <row r="38" spans="2:10" x14ac:dyDescent="0.3">
      <c r="B38" s="177" t="s">
        <v>108</v>
      </c>
      <c r="C38" s="136" t="s">
        <v>176</v>
      </c>
      <c r="D38" s="136" t="s">
        <v>66</v>
      </c>
      <c r="E38" s="175">
        <v>0</v>
      </c>
      <c r="F38" s="175">
        <v>1</v>
      </c>
      <c r="G38" s="175">
        <f t="shared" si="0"/>
        <v>-1</v>
      </c>
      <c r="H38" s="178">
        <v>10000</v>
      </c>
      <c r="I38" s="178">
        <v>13000</v>
      </c>
      <c r="J38" s="176">
        <f t="shared" si="1"/>
        <v>0</v>
      </c>
    </row>
    <row r="39" spans="2:10" x14ac:dyDescent="0.3">
      <c r="B39" s="177" t="s">
        <v>109</v>
      </c>
      <c r="C39" s="136" t="s">
        <v>177</v>
      </c>
      <c r="D39" s="136" t="s">
        <v>66</v>
      </c>
      <c r="E39" s="175">
        <v>4</v>
      </c>
      <c r="F39" s="175">
        <v>0</v>
      </c>
      <c r="G39" s="175">
        <f t="shared" si="0"/>
        <v>4</v>
      </c>
      <c r="H39" s="178">
        <v>28000</v>
      </c>
      <c r="I39" s="178">
        <v>30000</v>
      </c>
      <c r="J39" s="176">
        <f t="shared" si="1"/>
        <v>112000</v>
      </c>
    </row>
    <row r="40" spans="2:10" x14ac:dyDescent="0.3">
      <c r="B40" s="177" t="s">
        <v>110</v>
      </c>
      <c r="C40" s="136" t="s">
        <v>178</v>
      </c>
      <c r="D40" s="136" t="s">
        <v>66</v>
      </c>
      <c r="E40" s="175">
        <v>10</v>
      </c>
      <c r="F40" s="175">
        <v>0</v>
      </c>
      <c r="G40" s="175">
        <f t="shared" si="0"/>
        <v>10</v>
      </c>
      <c r="H40" s="178">
        <v>38000</v>
      </c>
      <c r="I40" s="178">
        <v>40000</v>
      </c>
      <c r="J40" s="176">
        <f t="shared" si="1"/>
        <v>380000</v>
      </c>
    </row>
    <row r="41" spans="2:10" x14ac:dyDescent="0.3">
      <c r="B41" s="177" t="s">
        <v>111</v>
      </c>
      <c r="C41" s="136" t="s">
        <v>179</v>
      </c>
      <c r="D41" s="136" t="s">
        <v>66</v>
      </c>
      <c r="E41" s="175">
        <v>20</v>
      </c>
      <c r="F41" s="175">
        <v>1</v>
      </c>
      <c r="G41" s="175">
        <f t="shared" si="0"/>
        <v>19</v>
      </c>
      <c r="H41" s="178">
        <v>62000</v>
      </c>
      <c r="I41" s="178">
        <v>63000</v>
      </c>
      <c r="J41" s="176">
        <f t="shared" si="1"/>
        <v>1240000</v>
      </c>
    </row>
    <row r="42" spans="2:10" x14ac:dyDescent="0.3">
      <c r="B42" s="177" t="s">
        <v>112</v>
      </c>
      <c r="C42" s="136" t="s">
        <v>180</v>
      </c>
      <c r="D42" s="136" t="s">
        <v>66</v>
      </c>
      <c r="E42" s="175">
        <v>9</v>
      </c>
      <c r="F42" s="175">
        <v>0</v>
      </c>
      <c r="G42" s="175">
        <f t="shared" si="0"/>
        <v>9</v>
      </c>
      <c r="H42" s="178">
        <v>98000</v>
      </c>
      <c r="I42" s="178">
        <v>100000</v>
      </c>
      <c r="J42" s="176">
        <f t="shared" si="1"/>
        <v>882000</v>
      </c>
    </row>
    <row r="43" spans="2:10" x14ac:dyDescent="0.3">
      <c r="B43" s="177" t="s">
        <v>113</v>
      </c>
      <c r="C43" s="136" t="s">
        <v>181</v>
      </c>
      <c r="D43" s="136" t="s">
        <v>66</v>
      </c>
      <c r="E43" s="175" t="s">
        <v>974</v>
      </c>
      <c r="F43" s="175">
        <v>0</v>
      </c>
      <c r="G43" s="175">
        <f t="shared" si="0"/>
        <v>2</v>
      </c>
      <c r="H43" s="178">
        <v>120000</v>
      </c>
      <c r="I43" s="178">
        <v>123000</v>
      </c>
      <c r="J43" s="176">
        <f t="shared" si="1"/>
        <v>240000</v>
      </c>
    </row>
    <row r="44" spans="2:10" x14ac:dyDescent="0.3">
      <c r="B44" s="177" t="s">
        <v>114</v>
      </c>
      <c r="C44" s="136" t="s">
        <v>182</v>
      </c>
      <c r="D44" s="136" t="s">
        <v>66</v>
      </c>
      <c r="E44" s="175">
        <v>6</v>
      </c>
      <c r="F44" s="175">
        <v>0</v>
      </c>
      <c r="G44" s="175">
        <f t="shared" si="0"/>
        <v>6</v>
      </c>
      <c r="H44" s="178">
        <v>2000</v>
      </c>
      <c r="I44" s="178">
        <v>3000</v>
      </c>
      <c r="J44" s="176">
        <f t="shared" si="1"/>
        <v>12000</v>
      </c>
    </row>
    <row r="45" spans="2:10" x14ac:dyDescent="0.3">
      <c r="B45" s="177" t="s">
        <v>115</v>
      </c>
      <c r="C45" s="136" t="s">
        <v>183</v>
      </c>
      <c r="D45" s="136" t="s">
        <v>66</v>
      </c>
      <c r="E45" s="175" t="s">
        <v>215</v>
      </c>
      <c r="F45" s="175">
        <v>0</v>
      </c>
      <c r="G45" s="175">
        <f t="shared" si="0"/>
        <v>20</v>
      </c>
      <c r="H45" s="178">
        <v>8000</v>
      </c>
      <c r="I45" s="178">
        <v>10000</v>
      </c>
      <c r="J45" s="176">
        <f t="shared" si="1"/>
        <v>160000</v>
      </c>
    </row>
    <row r="46" spans="2:10" x14ac:dyDescent="0.3">
      <c r="B46" s="177" t="s">
        <v>116</v>
      </c>
      <c r="C46" s="136" t="s">
        <v>184</v>
      </c>
      <c r="D46" s="136" t="s">
        <v>66</v>
      </c>
      <c r="E46" s="175">
        <v>5</v>
      </c>
      <c r="F46" s="175">
        <v>0</v>
      </c>
      <c r="G46" s="175">
        <f t="shared" si="0"/>
        <v>5</v>
      </c>
      <c r="H46" s="178">
        <v>14000</v>
      </c>
      <c r="I46" s="178">
        <v>16000</v>
      </c>
      <c r="J46" s="176">
        <f t="shared" si="1"/>
        <v>70000</v>
      </c>
    </row>
    <row r="47" spans="2:10" x14ac:dyDescent="0.3">
      <c r="B47" s="177" t="s">
        <v>117</v>
      </c>
      <c r="C47" s="136" t="s">
        <v>185</v>
      </c>
      <c r="D47" s="136" t="s">
        <v>66</v>
      </c>
      <c r="E47" s="175">
        <v>6</v>
      </c>
      <c r="F47" s="175">
        <v>0</v>
      </c>
      <c r="G47" s="175">
        <f t="shared" si="0"/>
        <v>6</v>
      </c>
      <c r="H47" s="178">
        <v>23000</v>
      </c>
      <c r="I47" s="178">
        <v>26000</v>
      </c>
      <c r="J47" s="176">
        <f t="shared" si="1"/>
        <v>138000</v>
      </c>
    </row>
    <row r="48" spans="2:10" x14ac:dyDescent="0.3">
      <c r="B48" s="177" t="s">
        <v>118</v>
      </c>
      <c r="C48" s="136" t="s">
        <v>186</v>
      </c>
      <c r="D48" s="136" t="s">
        <v>66</v>
      </c>
      <c r="E48" s="175">
        <v>2</v>
      </c>
      <c r="F48" s="175">
        <v>0</v>
      </c>
      <c r="G48" s="175">
        <f t="shared" si="0"/>
        <v>2</v>
      </c>
      <c r="H48" s="178">
        <v>33000</v>
      </c>
      <c r="I48" s="178">
        <v>35000</v>
      </c>
      <c r="J48" s="176">
        <f t="shared" si="1"/>
        <v>66000</v>
      </c>
    </row>
    <row r="49" spans="2:10" x14ac:dyDescent="0.3">
      <c r="B49" s="177" t="s">
        <v>119</v>
      </c>
      <c r="C49" s="136" t="s">
        <v>187</v>
      </c>
      <c r="D49" s="136" t="s">
        <v>66</v>
      </c>
      <c r="E49" s="175" t="s">
        <v>73</v>
      </c>
      <c r="F49" s="175">
        <v>0</v>
      </c>
      <c r="G49" s="175">
        <f t="shared" si="0"/>
        <v>9</v>
      </c>
      <c r="H49" s="178">
        <v>45000</v>
      </c>
      <c r="I49" s="178">
        <v>48000</v>
      </c>
      <c r="J49" s="176">
        <f t="shared" si="1"/>
        <v>405000</v>
      </c>
    </row>
    <row r="50" spans="2:10" x14ac:dyDescent="0.3">
      <c r="B50" s="177" t="s">
        <v>120</v>
      </c>
      <c r="C50" s="136" t="s">
        <v>188</v>
      </c>
      <c r="D50" s="136" t="s">
        <v>66</v>
      </c>
      <c r="E50" s="175">
        <v>7</v>
      </c>
      <c r="F50" s="175">
        <v>0</v>
      </c>
      <c r="G50" s="175">
        <f t="shared" si="0"/>
        <v>7</v>
      </c>
      <c r="H50" s="178">
        <v>58000</v>
      </c>
      <c r="I50" s="178">
        <v>60000</v>
      </c>
      <c r="J50" s="176">
        <f t="shared" si="1"/>
        <v>406000</v>
      </c>
    </row>
    <row r="51" spans="2:10" x14ac:dyDescent="0.3">
      <c r="B51" s="177" t="s">
        <v>121</v>
      </c>
      <c r="C51" s="136" t="s">
        <v>189</v>
      </c>
      <c r="D51" s="136" t="s">
        <v>66</v>
      </c>
      <c r="E51" s="175">
        <v>0</v>
      </c>
      <c r="F51" s="175">
        <v>0</v>
      </c>
      <c r="G51" s="175">
        <f t="shared" si="0"/>
        <v>0</v>
      </c>
      <c r="H51" s="178">
        <v>98000</v>
      </c>
      <c r="I51" s="178">
        <v>100000</v>
      </c>
      <c r="J51" s="176">
        <f t="shared" si="1"/>
        <v>0</v>
      </c>
    </row>
    <row r="52" spans="2:10" x14ac:dyDescent="0.3">
      <c r="B52" s="177" t="s">
        <v>122</v>
      </c>
      <c r="C52" s="136" t="s">
        <v>190</v>
      </c>
      <c r="D52" s="136" t="s">
        <v>66</v>
      </c>
      <c r="E52" s="175" t="s">
        <v>216</v>
      </c>
      <c r="F52" s="175">
        <v>0</v>
      </c>
      <c r="G52" s="175">
        <f t="shared" si="0"/>
        <v>13</v>
      </c>
      <c r="H52" s="178">
        <v>40000</v>
      </c>
      <c r="I52" s="178">
        <v>42000</v>
      </c>
      <c r="J52" s="176">
        <f t="shared" si="1"/>
        <v>520000</v>
      </c>
    </row>
    <row r="53" spans="2:10" x14ac:dyDescent="0.3">
      <c r="B53" s="177" t="s">
        <v>56</v>
      </c>
      <c r="C53" s="136" t="s">
        <v>57</v>
      </c>
      <c r="D53" s="136" t="s">
        <v>66</v>
      </c>
      <c r="E53" s="175">
        <v>15</v>
      </c>
      <c r="F53" s="175">
        <v>0</v>
      </c>
      <c r="G53" s="175">
        <f t="shared" si="0"/>
        <v>15</v>
      </c>
      <c r="H53" s="178">
        <v>58000</v>
      </c>
      <c r="I53" s="178">
        <v>60000</v>
      </c>
      <c r="J53" s="176">
        <f t="shared" si="1"/>
        <v>870000</v>
      </c>
    </row>
    <row r="54" spans="2:10" x14ac:dyDescent="0.3">
      <c r="B54" s="177" t="s">
        <v>123</v>
      </c>
      <c r="C54" s="136" t="s">
        <v>191</v>
      </c>
      <c r="D54" s="136" t="s">
        <v>66</v>
      </c>
      <c r="E54" s="175">
        <v>4</v>
      </c>
      <c r="F54" s="175">
        <v>0</v>
      </c>
      <c r="G54" s="175">
        <f t="shared" si="0"/>
        <v>4</v>
      </c>
      <c r="H54" s="178">
        <v>78000</v>
      </c>
      <c r="I54" s="178">
        <v>80000</v>
      </c>
      <c r="J54" s="176">
        <f t="shared" si="1"/>
        <v>312000</v>
      </c>
    </row>
    <row r="55" spans="2:10" x14ac:dyDescent="0.3">
      <c r="B55" s="177" t="s">
        <v>124</v>
      </c>
      <c r="C55" s="136" t="s">
        <v>192</v>
      </c>
      <c r="D55" s="136" t="s">
        <v>66</v>
      </c>
      <c r="E55" s="175">
        <v>0</v>
      </c>
      <c r="F55" s="175">
        <v>0</v>
      </c>
      <c r="G55" s="175">
        <f t="shared" si="0"/>
        <v>0</v>
      </c>
      <c r="H55" s="178">
        <v>98000</v>
      </c>
      <c r="I55" s="178">
        <v>100000</v>
      </c>
      <c r="J55" s="176">
        <f t="shared" si="1"/>
        <v>0</v>
      </c>
    </row>
    <row r="56" spans="2:10" x14ac:dyDescent="0.3">
      <c r="B56" s="177" t="s">
        <v>125</v>
      </c>
      <c r="C56" s="136" t="s">
        <v>193</v>
      </c>
      <c r="D56" s="136" t="s">
        <v>66</v>
      </c>
      <c r="E56" s="175">
        <v>0</v>
      </c>
      <c r="F56" s="175">
        <v>0</v>
      </c>
      <c r="G56" s="175">
        <f t="shared" si="0"/>
        <v>0</v>
      </c>
      <c r="H56" s="178">
        <v>58000</v>
      </c>
      <c r="I56" s="178">
        <v>60000</v>
      </c>
      <c r="J56" s="176">
        <f t="shared" si="1"/>
        <v>0</v>
      </c>
    </row>
    <row r="57" spans="2:10" x14ac:dyDescent="0.3">
      <c r="B57" s="177" t="s">
        <v>126</v>
      </c>
      <c r="C57" s="136" t="s">
        <v>194</v>
      </c>
      <c r="D57" s="136" t="s">
        <v>66</v>
      </c>
      <c r="E57" s="175">
        <v>5</v>
      </c>
      <c r="F57" s="175">
        <v>0</v>
      </c>
      <c r="G57" s="175">
        <f t="shared" si="0"/>
        <v>5</v>
      </c>
      <c r="H57" s="178">
        <v>78000</v>
      </c>
      <c r="I57" s="178">
        <v>80000</v>
      </c>
      <c r="J57" s="176">
        <f t="shared" si="1"/>
        <v>390000</v>
      </c>
    </row>
    <row r="58" spans="2:10" x14ac:dyDescent="0.3">
      <c r="B58" s="177" t="s">
        <v>127</v>
      </c>
      <c r="C58" s="136" t="s">
        <v>195</v>
      </c>
      <c r="D58" s="136" t="s">
        <v>66</v>
      </c>
      <c r="E58" s="175">
        <v>8</v>
      </c>
      <c r="F58" s="175">
        <v>0</v>
      </c>
      <c r="G58" s="175">
        <f t="shared" si="0"/>
        <v>8</v>
      </c>
      <c r="H58" s="178">
        <v>10000</v>
      </c>
      <c r="I58" s="178">
        <v>12000</v>
      </c>
      <c r="J58" s="176">
        <f t="shared" si="1"/>
        <v>80000</v>
      </c>
    </row>
    <row r="59" spans="2:10" x14ac:dyDescent="0.3">
      <c r="B59" s="177" t="s">
        <v>128</v>
      </c>
      <c r="C59" s="136" t="s">
        <v>196</v>
      </c>
      <c r="D59" s="136" t="s">
        <v>66</v>
      </c>
      <c r="E59" s="175">
        <v>6</v>
      </c>
      <c r="F59" s="175">
        <v>0</v>
      </c>
      <c r="G59" s="175">
        <f t="shared" si="0"/>
        <v>6</v>
      </c>
      <c r="H59" s="178">
        <v>28000</v>
      </c>
      <c r="I59" s="178">
        <v>30000</v>
      </c>
      <c r="J59" s="176">
        <f t="shared" si="1"/>
        <v>168000</v>
      </c>
    </row>
    <row r="60" spans="2:10" x14ac:dyDescent="0.3">
      <c r="B60" s="177" t="s">
        <v>129</v>
      </c>
      <c r="C60" s="136" t="s">
        <v>197</v>
      </c>
      <c r="D60" s="136" t="s">
        <v>66</v>
      </c>
      <c r="E60" s="175">
        <v>0</v>
      </c>
      <c r="F60" s="175">
        <v>0</v>
      </c>
      <c r="G60" s="175">
        <f t="shared" si="0"/>
        <v>0</v>
      </c>
      <c r="H60" s="178">
        <v>45000</v>
      </c>
      <c r="I60" s="178">
        <v>48000</v>
      </c>
      <c r="J60" s="176">
        <f t="shared" si="1"/>
        <v>0</v>
      </c>
    </row>
    <row r="61" spans="2:10" x14ac:dyDescent="0.3">
      <c r="B61" s="177" t="s">
        <v>130</v>
      </c>
      <c r="C61" s="136" t="s">
        <v>198</v>
      </c>
      <c r="D61" s="136" t="s">
        <v>66</v>
      </c>
      <c r="E61" s="175">
        <v>4</v>
      </c>
      <c r="F61" s="175">
        <v>0</v>
      </c>
      <c r="G61" s="175">
        <f t="shared" si="0"/>
        <v>4</v>
      </c>
      <c r="H61" s="178">
        <v>63000</v>
      </c>
      <c r="I61" s="178">
        <v>65000</v>
      </c>
      <c r="J61" s="176">
        <f t="shared" si="1"/>
        <v>252000</v>
      </c>
    </row>
    <row r="62" spans="2:10" x14ac:dyDescent="0.3">
      <c r="B62" s="177" t="s">
        <v>131</v>
      </c>
      <c r="C62" s="136" t="s">
        <v>199</v>
      </c>
      <c r="D62" s="136" t="s">
        <v>66</v>
      </c>
      <c r="E62" s="175">
        <v>4</v>
      </c>
      <c r="F62" s="175">
        <v>0</v>
      </c>
      <c r="G62" s="175">
        <f t="shared" si="0"/>
        <v>4</v>
      </c>
      <c r="H62" s="178">
        <v>22000</v>
      </c>
      <c r="I62" s="178">
        <v>25000</v>
      </c>
      <c r="J62" s="176">
        <f t="shared" si="1"/>
        <v>88000</v>
      </c>
    </row>
    <row r="63" spans="2:10" x14ac:dyDescent="0.3">
      <c r="B63" s="177" t="s">
        <v>132</v>
      </c>
      <c r="C63" s="136" t="s">
        <v>200</v>
      </c>
      <c r="D63" s="136" t="s">
        <v>66</v>
      </c>
      <c r="E63" s="175" t="s">
        <v>217</v>
      </c>
      <c r="F63" s="175">
        <v>0</v>
      </c>
      <c r="G63" s="175">
        <f t="shared" si="0"/>
        <v>1</v>
      </c>
      <c r="H63" s="178">
        <v>9000</v>
      </c>
      <c r="I63" s="178">
        <v>11000</v>
      </c>
      <c r="J63" s="176">
        <f t="shared" si="1"/>
        <v>9000</v>
      </c>
    </row>
    <row r="64" spans="2:10" x14ac:dyDescent="0.3">
      <c r="B64" s="177" t="s">
        <v>133</v>
      </c>
      <c r="C64" s="136" t="s">
        <v>201</v>
      </c>
      <c r="D64" s="136" t="s">
        <v>66</v>
      </c>
      <c r="E64" s="175">
        <v>9</v>
      </c>
      <c r="F64" s="175">
        <v>0</v>
      </c>
      <c r="G64" s="175">
        <f t="shared" si="0"/>
        <v>9</v>
      </c>
      <c r="H64" s="178">
        <v>33000</v>
      </c>
      <c r="I64" s="178">
        <v>35000</v>
      </c>
      <c r="J64" s="176">
        <f t="shared" si="1"/>
        <v>297000</v>
      </c>
    </row>
    <row r="65" spans="2:10" x14ac:dyDescent="0.3">
      <c r="B65" s="177" t="s">
        <v>134</v>
      </c>
      <c r="C65" s="136" t="s">
        <v>202</v>
      </c>
      <c r="D65" s="136" t="s">
        <v>66</v>
      </c>
      <c r="E65" s="175" t="s">
        <v>212</v>
      </c>
      <c r="F65" s="175">
        <v>0</v>
      </c>
      <c r="G65" s="175">
        <f t="shared" si="0"/>
        <v>10</v>
      </c>
      <c r="H65" s="178">
        <v>58000</v>
      </c>
      <c r="I65" s="178">
        <v>60000</v>
      </c>
      <c r="J65" s="176">
        <f t="shared" si="1"/>
        <v>580000</v>
      </c>
    </row>
    <row r="66" spans="2:10" x14ac:dyDescent="0.3">
      <c r="B66" s="177" t="s">
        <v>135</v>
      </c>
      <c r="C66" s="136" t="s">
        <v>203</v>
      </c>
      <c r="D66" s="136" t="s">
        <v>66</v>
      </c>
      <c r="E66" s="175">
        <v>5</v>
      </c>
      <c r="F66" s="175">
        <v>0</v>
      </c>
      <c r="G66" s="175">
        <f t="shared" si="0"/>
        <v>5</v>
      </c>
      <c r="H66" s="178">
        <v>70000</v>
      </c>
      <c r="I66" s="178">
        <v>72000</v>
      </c>
      <c r="J66" s="176">
        <f t="shared" si="1"/>
        <v>350000</v>
      </c>
    </row>
    <row r="67" spans="2:10" x14ac:dyDescent="0.3">
      <c r="B67" s="177" t="s">
        <v>136</v>
      </c>
      <c r="C67" s="136" t="s">
        <v>204</v>
      </c>
      <c r="D67" s="136" t="s">
        <v>66</v>
      </c>
      <c r="E67" s="175" t="s">
        <v>218</v>
      </c>
      <c r="F67" s="175">
        <v>0</v>
      </c>
      <c r="G67" s="175">
        <f t="shared" si="0"/>
        <v>4</v>
      </c>
      <c r="H67" s="178">
        <v>18000</v>
      </c>
      <c r="I67" s="178">
        <v>20000</v>
      </c>
      <c r="J67" s="176">
        <f t="shared" si="1"/>
        <v>72000</v>
      </c>
    </row>
    <row r="68" spans="2:10" x14ac:dyDescent="0.3">
      <c r="B68" s="177" t="s">
        <v>137</v>
      </c>
      <c r="C68" s="136" t="s">
        <v>205</v>
      </c>
      <c r="D68" s="136" t="s">
        <v>66</v>
      </c>
      <c r="E68" s="175">
        <v>7</v>
      </c>
      <c r="F68" s="175">
        <v>0</v>
      </c>
      <c r="G68" s="175">
        <f t="shared" si="0"/>
        <v>7</v>
      </c>
      <c r="H68" s="178">
        <v>28000</v>
      </c>
      <c r="I68" s="178">
        <v>30000</v>
      </c>
      <c r="J68" s="176">
        <f t="shared" si="1"/>
        <v>196000</v>
      </c>
    </row>
    <row r="69" spans="2:10" x14ac:dyDescent="0.3">
      <c r="B69" s="177" t="s">
        <v>138</v>
      </c>
      <c r="C69" s="136" t="s">
        <v>206</v>
      </c>
      <c r="D69" s="136" t="s">
        <v>66</v>
      </c>
      <c r="E69" s="175">
        <v>13</v>
      </c>
      <c r="F69" s="175">
        <v>0</v>
      </c>
      <c r="G69" s="175">
        <f t="shared" si="0"/>
        <v>13</v>
      </c>
      <c r="H69" s="178">
        <v>30000</v>
      </c>
      <c r="I69" s="178">
        <v>40000</v>
      </c>
      <c r="J69" s="176">
        <f t="shared" si="1"/>
        <v>390000</v>
      </c>
    </row>
    <row r="70" spans="2:10" x14ac:dyDescent="0.3">
      <c r="B70" s="177" t="s">
        <v>139</v>
      </c>
      <c r="C70" s="136" t="s">
        <v>207</v>
      </c>
      <c r="D70" s="136" t="s">
        <v>66</v>
      </c>
      <c r="E70" s="175">
        <v>4</v>
      </c>
      <c r="F70" s="175">
        <v>0</v>
      </c>
      <c r="G70" s="175">
        <f t="shared" si="0"/>
        <v>4</v>
      </c>
      <c r="H70" s="178">
        <v>63000</v>
      </c>
      <c r="I70" s="178">
        <v>65000</v>
      </c>
      <c r="J70" s="176">
        <f t="shared" si="1"/>
        <v>252000</v>
      </c>
    </row>
    <row r="71" spans="2:10" x14ac:dyDescent="0.3">
      <c r="B71" s="177" t="s">
        <v>140</v>
      </c>
      <c r="C71" s="136" t="s">
        <v>208</v>
      </c>
      <c r="D71" s="136" t="s">
        <v>66</v>
      </c>
      <c r="E71" s="175">
        <v>3</v>
      </c>
      <c r="F71" s="175">
        <v>0</v>
      </c>
      <c r="G71" s="175">
        <f t="shared" ref="G71:G79" si="2">IF(E71&lt;&gt;"",E71-F71,"")</f>
        <v>3</v>
      </c>
      <c r="H71" s="178">
        <v>9000</v>
      </c>
      <c r="I71" s="178">
        <v>11000</v>
      </c>
      <c r="J71" s="176">
        <f t="shared" ref="J71:J84" si="3">IF(E71&lt;&gt;"",E71*H71,"")</f>
        <v>27000</v>
      </c>
    </row>
    <row r="72" spans="2:10" x14ac:dyDescent="0.3">
      <c r="B72" s="177" t="s">
        <v>141</v>
      </c>
      <c r="C72" s="136" t="s">
        <v>209</v>
      </c>
      <c r="D72" s="136" t="s">
        <v>66</v>
      </c>
      <c r="E72" s="175" t="s">
        <v>216</v>
      </c>
      <c r="F72" s="175">
        <v>0</v>
      </c>
      <c r="G72" s="175">
        <f t="shared" si="2"/>
        <v>13</v>
      </c>
      <c r="H72" s="178">
        <v>28000</v>
      </c>
      <c r="I72" s="178">
        <v>30000</v>
      </c>
      <c r="J72" s="176">
        <f t="shared" si="3"/>
        <v>364000</v>
      </c>
    </row>
    <row r="73" spans="2:10" x14ac:dyDescent="0.3">
      <c r="B73" s="177" t="s">
        <v>142</v>
      </c>
      <c r="C73" s="136" t="s">
        <v>210</v>
      </c>
      <c r="D73" s="136" t="s">
        <v>66</v>
      </c>
      <c r="E73" s="175" t="s">
        <v>74</v>
      </c>
      <c r="F73" s="175">
        <v>0</v>
      </c>
      <c r="G73" s="175">
        <f t="shared" si="2"/>
        <v>11</v>
      </c>
      <c r="H73" s="178">
        <v>38000</v>
      </c>
      <c r="I73" s="178">
        <v>42000</v>
      </c>
      <c r="J73" s="176">
        <f t="shared" si="3"/>
        <v>418000</v>
      </c>
    </row>
    <row r="74" spans="2:10" x14ac:dyDescent="0.3">
      <c r="B74" s="177" t="s">
        <v>143</v>
      </c>
      <c r="C74" s="136" t="s">
        <v>211</v>
      </c>
      <c r="D74" s="136" t="s">
        <v>66</v>
      </c>
      <c r="E74" s="175">
        <v>4</v>
      </c>
      <c r="F74" s="175">
        <v>0</v>
      </c>
      <c r="G74" s="175">
        <f t="shared" si="2"/>
        <v>4</v>
      </c>
      <c r="H74" s="178">
        <v>63000</v>
      </c>
      <c r="I74" s="178">
        <v>65000</v>
      </c>
      <c r="J74" s="176">
        <f t="shared" si="3"/>
        <v>252000</v>
      </c>
    </row>
    <row r="75" spans="2:10" x14ac:dyDescent="0.3">
      <c r="B75" s="136" t="s">
        <v>979</v>
      </c>
      <c r="C75" s="136" t="s">
        <v>980</v>
      </c>
      <c r="D75" s="136" t="s">
        <v>65</v>
      </c>
      <c r="E75" s="136">
        <v>10</v>
      </c>
      <c r="F75" s="136">
        <v>0</v>
      </c>
      <c r="G75" s="175">
        <f t="shared" si="2"/>
        <v>10</v>
      </c>
      <c r="H75" s="136">
        <v>70000</v>
      </c>
      <c r="I75" s="136">
        <v>80000</v>
      </c>
      <c r="J75" s="176">
        <f t="shared" si="3"/>
        <v>700000</v>
      </c>
    </row>
    <row r="76" spans="2:10" x14ac:dyDescent="0.3">
      <c r="B76" s="136" t="s">
        <v>983</v>
      </c>
      <c r="C76" s="136" t="s">
        <v>984</v>
      </c>
      <c r="D76" s="136" t="s">
        <v>65</v>
      </c>
      <c r="E76" s="136">
        <v>10</v>
      </c>
      <c r="F76" s="136">
        <v>0</v>
      </c>
      <c r="G76" s="175">
        <f t="shared" si="2"/>
        <v>10</v>
      </c>
      <c r="H76" s="136">
        <v>20000</v>
      </c>
      <c r="I76" s="136">
        <v>40000</v>
      </c>
      <c r="J76" s="176">
        <f t="shared" si="3"/>
        <v>200000</v>
      </c>
    </row>
    <row r="77" spans="2:10" x14ac:dyDescent="0.3">
      <c r="G77" s="175" t="str">
        <f t="shared" si="2"/>
        <v/>
      </c>
      <c r="J77" s="176" t="str">
        <f t="shared" si="3"/>
        <v/>
      </c>
    </row>
    <row r="78" spans="2:10" x14ac:dyDescent="0.3">
      <c r="G78" s="175" t="str">
        <f t="shared" si="2"/>
        <v/>
      </c>
      <c r="J78" s="176" t="str">
        <f t="shared" si="3"/>
        <v/>
      </c>
    </row>
    <row r="79" spans="2:10" x14ac:dyDescent="0.3">
      <c r="G79" s="175" t="str">
        <f t="shared" si="2"/>
        <v/>
      </c>
      <c r="J79" s="176" t="str">
        <f t="shared" si="3"/>
        <v/>
      </c>
    </row>
    <row r="80" spans="2:10" x14ac:dyDescent="0.3">
      <c r="G80" s="175" t="str">
        <f t="shared" ref="G80:G88" si="4">IF(E79&lt;&gt;"",E80-F80,"")</f>
        <v/>
      </c>
      <c r="J80" s="176" t="str">
        <f t="shared" si="3"/>
        <v/>
      </c>
    </row>
    <row r="81" spans="7:10" x14ac:dyDescent="0.3">
      <c r="G81" s="175" t="str">
        <f t="shared" si="4"/>
        <v/>
      </c>
      <c r="J81" s="176" t="str">
        <f t="shared" si="3"/>
        <v/>
      </c>
    </row>
    <row r="82" spans="7:10" x14ac:dyDescent="0.3">
      <c r="G82" s="175" t="str">
        <f t="shared" si="4"/>
        <v/>
      </c>
      <c r="J82" s="176" t="str">
        <f t="shared" si="3"/>
        <v/>
      </c>
    </row>
    <row r="83" spans="7:10" x14ac:dyDescent="0.3">
      <c r="G83" s="175" t="str">
        <f t="shared" si="4"/>
        <v/>
      </c>
      <c r="J83" s="176" t="str">
        <f t="shared" si="3"/>
        <v/>
      </c>
    </row>
    <row r="84" spans="7:10" x14ac:dyDescent="0.3">
      <c r="G84" s="175" t="str">
        <f t="shared" si="4"/>
        <v/>
      </c>
      <c r="J84" s="176" t="str">
        <f t="shared" si="3"/>
        <v/>
      </c>
    </row>
    <row r="85" spans="7:10" x14ac:dyDescent="0.3">
      <c r="G85" s="175" t="str">
        <f t="shared" si="4"/>
        <v/>
      </c>
    </row>
    <row r="86" spans="7:10" x14ac:dyDescent="0.3">
      <c r="G86" s="175" t="str">
        <f t="shared" si="4"/>
        <v/>
      </c>
    </row>
    <row r="87" spans="7:10" x14ac:dyDescent="0.3">
      <c r="G87" s="175" t="str">
        <f t="shared" si="4"/>
        <v/>
      </c>
    </row>
    <row r="88" spans="7:10" x14ac:dyDescent="0.3">
      <c r="G88" s="175" t="str">
        <f t="shared" si="4"/>
        <v/>
      </c>
    </row>
  </sheetData>
  <phoneticPr fontId="11" type="noConversion"/>
  <conditionalFormatting sqref="B4 B6:B10">
    <cfRule type="duplicateValues" dxfId="19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70"/>
  <sheetViews>
    <sheetView topLeftCell="A2" workbookViewId="0">
      <selection activeCell="D26" sqref="D26"/>
    </sheetView>
  </sheetViews>
  <sheetFormatPr defaultRowHeight="14.4" x14ac:dyDescent="0.3"/>
  <cols>
    <col min="1" max="1" width="22.44140625" style="99" customWidth="1"/>
    <col min="2" max="2" width="39" style="93" customWidth="1"/>
    <col min="3" max="3" width="16" customWidth="1"/>
    <col min="4" max="5" width="12.88671875" customWidth="1"/>
    <col min="6" max="6" width="14" customWidth="1"/>
    <col min="7" max="7" width="17" customWidth="1"/>
  </cols>
  <sheetData>
    <row r="1" spans="1:5" ht="21" customHeight="1" x14ac:dyDescent="0.3">
      <c r="A1" s="100" t="s">
        <v>54</v>
      </c>
      <c r="B1" s="102" t="s">
        <v>53</v>
      </c>
      <c r="C1" s="103" t="s">
        <v>58</v>
      </c>
    </row>
    <row r="2" spans="1:5" x14ac:dyDescent="0.3">
      <c r="A2" s="104" t="s">
        <v>56</v>
      </c>
      <c r="B2" s="86" t="s">
        <v>57</v>
      </c>
      <c r="C2" s="101" t="str">
        <f t="shared" ref="C2:C56" si="0">CONCATENATE("*",A2,"*")</f>
        <v>*VC-ISAT2*</v>
      </c>
    </row>
    <row r="3" spans="1:5" x14ac:dyDescent="0.3">
      <c r="A3" s="104" t="s">
        <v>56</v>
      </c>
      <c r="B3" s="86" t="s">
        <v>57</v>
      </c>
      <c r="C3" s="101" t="str">
        <f t="shared" si="0"/>
        <v>*VC-ISAT2*</v>
      </c>
    </row>
    <row r="4" spans="1:5" x14ac:dyDescent="0.3">
      <c r="A4" s="104" t="s">
        <v>56</v>
      </c>
      <c r="B4" s="86" t="s">
        <v>57</v>
      </c>
      <c r="C4" s="101" t="str">
        <f t="shared" si="0"/>
        <v>*VC-ISAT2*</v>
      </c>
    </row>
    <row r="5" spans="1:5" x14ac:dyDescent="0.3">
      <c r="A5" s="104" t="s">
        <v>56</v>
      </c>
      <c r="B5" s="86" t="s">
        <v>57</v>
      </c>
      <c r="C5" s="101" t="str">
        <f t="shared" si="0"/>
        <v>*VC-ISAT2*</v>
      </c>
      <c r="E5">
        <f>LEN(B6)</f>
        <v>30</v>
      </c>
    </row>
    <row r="6" spans="1:5" x14ac:dyDescent="0.3">
      <c r="A6" s="104" t="s">
        <v>56</v>
      </c>
      <c r="B6" s="86" t="s">
        <v>57</v>
      </c>
      <c r="C6" s="101" t="str">
        <f t="shared" si="0"/>
        <v>*VC-ISAT2*</v>
      </c>
    </row>
    <row r="7" spans="1:5" x14ac:dyDescent="0.3">
      <c r="A7" s="104" t="s">
        <v>56</v>
      </c>
      <c r="B7" s="86" t="s">
        <v>57</v>
      </c>
      <c r="C7" s="101" t="str">
        <f t="shared" si="0"/>
        <v>*VC-ISAT2*</v>
      </c>
    </row>
    <row r="8" spans="1:5" x14ac:dyDescent="0.3">
      <c r="A8" s="104" t="s">
        <v>56</v>
      </c>
      <c r="B8" s="86" t="s">
        <v>57</v>
      </c>
      <c r="C8" s="101" t="str">
        <f t="shared" si="0"/>
        <v>*VC-ISAT2*</v>
      </c>
    </row>
    <row r="9" spans="1:5" x14ac:dyDescent="0.3">
      <c r="A9" s="104" t="s">
        <v>56</v>
      </c>
      <c r="B9" s="86" t="s">
        <v>57</v>
      </c>
      <c r="C9" s="101" t="str">
        <f t="shared" si="0"/>
        <v>*VC-ISAT2*</v>
      </c>
    </row>
    <row r="10" spans="1:5" x14ac:dyDescent="0.3">
      <c r="A10" s="104" t="s">
        <v>56</v>
      </c>
      <c r="B10" s="86" t="s">
        <v>57</v>
      </c>
      <c r="C10" s="101" t="str">
        <f t="shared" si="0"/>
        <v>*VC-ISAT2*</v>
      </c>
    </row>
    <row r="11" spans="1:5" x14ac:dyDescent="0.3">
      <c r="A11" s="104" t="s">
        <v>56</v>
      </c>
      <c r="B11" s="86" t="s">
        <v>57</v>
      </c>
      <c r="C11" s="101" t="str">
        <f t="shared" si="0"/>
        <v>*VC-ISAT2*</v>
      </c>
    </row>
    <row r="12" spans="1:5" x14ac:dyDescent="0.3">
      <c r="A12" s="104" t="s">
        <v>56</v>
      </c>
      <c r="B12" s="86" t="s">
        <v>57</v>
      </c>
      <c r="C12" s="101" t="str">
        <f t="shared" si="0"/>
        <v>*VC-ISAT2*</v>
      </c>
    </row>
    <row r="13" spans="1:5" x14ac:dyDescent="0.3">
      <c r="A13" s="104" t="s">
        <v>56</v>
      </c>
      <c r="B13" s="86" t="s">
        <v>57</v>
      </c>
      <c r="C13" s="101" t="str">
        <f t="shared" si="0"/>
        <v>*VC-ISAT2*</v>
      </c>
    </row>
    <row r="14" spans="1:5" x14ac:dyDescent="0.3">
      <c r="A14" s="104" t="s">
        <v>56</v>
      </c>
      <c r="B14" s="86" t="s">
        <v>57</v>
      </c>
      <c r="C14" s="101" t="str">
        <f t="shared" si="0"/>
        <v>*VC-ISAT2*</v>
      </c>
    </row>
    <row r="15" spans="1:5" x14ac:dyDescent="0.3">
      <c r="A15" s="104" t="s">
        <v>56</v>
      </c>
      <c r="B15" s="86" t="s">
        <v>57</v>
      </c>
      <c r="C15" s="101" t="str">
        <f t="shared" si="0"/>
        <v>*VC-ISAT2*</v>
      </c>
    </row>
    <row r="16" spans="1:5" x14ac:dyDescent="0.3">
      <c r="A16" s="104" t="s">
        <v>56</v>
      </c>
      <c r="B16" s="86" t="s">
        <v>57</v>
      </c>
      <c r="C16" s="101" t="str">
        <f t="shared" si="0"/>
        <v>*VC-ISAT2*</v>
      </c>
    </row>
    <row r="17" spans="1:3" x14ac:dyDescent="0.3">
      <c r="A17" s="104" t="s">
        <v>56</v>
      </c>
      <c r="B17" s="86" t="s">
        <v>57</v>
      </c>
      <c r="C17" s="101" t="str">
        <f t="shared" si="0"/>
        <v>*VC-ISAT2*</v>
      </c>
    </row>
    <row r="18" spans="1:3" x14ac:dyDescent="0.3">
      <c r="A18" s="104" t="s">
        <v>56</v>
      </c>
      <c r="B18" s="86" t="s">
        <v>57</v>
      </c>
      <c r="C18" s="101" t="str">
        <f t="shared" si="0"/>
        <v>*VC-ISAT2*</v>
      </c>
    </row>
    <row r="19" spans="1:3" x14ac:dyDescent="0.3">
      <c r="A19" s="104" t="s">
        <v>56</v>
      </c>
      <c r="B19" s="86" t="s">
        <v>57</v>
      </c>
      <c r="C19" s="101" t="str">
        <f t="shared" si="0"/>
        <v>*VC-ISAT2*</v>
      </c>
    </row>
    <row r="20" spans="1:3" x14ac:dyDescent="0.3">
      <c r="A20" s="104" t="s">
        <v>56</v>
      </c>
      <c r="B20" s="86" t="s">
        <v>57</v>
      </c>
      <c r="C20" s="101" t="str">
        <f t="shared" si="0"/>
        <v>*VC-ISAT2*</v>
      </c>
    </row>
    <row r="21" spans="1:3" x14ac:dyDescent="0.3">
      <c r="A21" s="104" t="s">
        <v>56</v>
      </c>
      <c r="B21" s="86" t="s">
        <v>57</v>
      </c>
      <c r="C21" s="101" t="str">
        <f t="shared" si="0"/>
        <v>*VC-ISAT2*</v>
      </c>
    </row>
    <row r="22" spans="1:3" x14ac:dyDescent="0.3">
      <c r="A22" s="104" t="s">
        <v>56</v>
      </c>
      <c r="B22" s="86" t="s">
        <v>57</v>
      </c>
      <c r="C22" s="101" t="str">
        <f t="shared" si="0"/>
        <v>*VC-ISAT2*</v>
      </c>
    </row>
    <row r="23" spans="1:3" x14ac:dyDescent="0.3">
      <c r="A23" s="104" t="s">
        <v>56</v>
      </c>
      <c r="B23" s="86" t="s">
        <v>57</v>
      </c>
      <c r="C23" s="101" t="str">
        <f t="shared" si="0"/>
        <v>*VC-ISAT2*</v>
      </c>
    </row>
    <row r="24" spans="1:3" x14ac:dyDescent="0.3">
      <c r="A24" s="104" t="s">
        <v>56</v>
      </c>
      <c r="B24" s="86" t="s">
        <v>57</v>
      </c>
      <c r="C24" s="101" t="str">
        <f t="shared" si="0"/>
        <v>*VC-ISAT2*</v>
      </c>
    </row>
    <row r="25" spans="1:3" x14ac:dyDescent="0.3">
      <c r="A25" s="104" t="s">
        <v>56</v>
      </c>
      <c r="B25" s="86" t="s">
        <v>57</v>
      </c>
      <c r="C25" s="101" t="str">
        <f t="shared" si="0"/>
        <v>*VC-ISAT2*</v>
      </c>
    </row>
    <row r="26" spans="1:3" x14ac:dyDescent="0.3">
      <c r="A26" s="104" t="s">
        <v>56</v>
      </c>
      <c r="B26" s="86" t="s">
        <v>57</v>
      </c>
      <c r="C26" s="101" t="str">
        <f t="shared" si="0"/>
        <v>*VC-ISAT2*</v>
      </c>
    </row>
    <row r="27" spans="1:3" x14ac:dyDescent="0.3">
      <c r="A27" s="104" t="s">
        <v>56</v>
      </c>
      <c r="B27" s="86" t="s">
        <v>57</v>
      </c>
      <c r="C27" s="101" t="str">
        <f t="shared" si="0"/>
        <v>*VC-ISAT2*</v>
      </c>
    </row>
    <row r="28" spans="1:3" x14ac:dyDescent="0.3">
      <c r="A28" s="104" t="s">
        <v>56</v>
      </c>
      <c r="B28" s="86" t="s">
        <v>57</v>
      </c>
      <c r="C28" s="101" t="str">
        <f t="shared" si="0"/>
        <v>*VC-ISAT2*</v>
      </c>
    </row>
    <row r="29" spans="1:3" x14ac:dyDescent="0.3">
      <c r="A29" s="104" t="s">
        <v>56</v>
      </c>
      <c r="B29" s="86" t="s">
        <v>57</v>
      </c>
      <c r="C29" s="101" t="str">
        <f t="shared" si="0"/>
        <v>*VC-ISAT2*</v>
      </c>
    </row>
    <row r="30" spans="1:3" x14ac:dyDescent="0.3">
      <c r="A30" s="104" t="s">
        <v>56</v>
      </c>
      <c r="B30" s="86" t="s">
        <v>57</v>
      </c>
      <c r="C30" s="101" t="str">
        <f t="shared" si="0"/>
        <v>*VC-ISAT2*</v>
      </c>
    </row>
    <row r="31" spans="1:3" x14ac:dyDescent="0.3">
      <c r="A31" s="104" t="s">
        <v>56</v>
      </c>
      <c r="B31" s="86" t="s">
        <v>57</v>
      </c>
      <c r="C31" s="101" t="str">
        <f t="shared" si="0"/>
        <v>*VC-ISAT2*</v>
      </c>
    </row>
    <row r="32" spans="1:3" x14ac:dyDescent="0.3">
      <c r="A32" s="104" t="s">
        <v>56</v>
      </c>
      <c r="B32" s="86" t="s">
        <v>57</v>
      </c>
      <c r="C32" s="101" t="str">
        <f t="shared" si="0"/>
        <v>*VC-ISAT2*</v>
      </c>
    </row>
    <row r="33" spans="1:3" x14ac:dyDescent="0.3">
      <c r="A33" s="104" t="s">
        <v>56</v>
      </c>
      <c r="B33" s="86" t="s">
        <v>57</v>
      </c>
      <c r="C33" s="101" t="str">
        <f t="shared" si="0"/>
        <v>*VC-ISAT2*</v>
      </c>
    </row>
    <row r="34" spans="1:3" x14ac:dyDescent="0.3">
      <c r="A34" s="104" t="s">
        <v>56</v>
      </c>
      <c r="B34" s="86" t="s">
        <v>57</v>
      </c>
      <c r="C34" s="101" t="str">
        <f t="shared" si="0"/>
        <v>*VC-ISAT2*</v>
      </c>
    </row>
    <row r="35" spans="1:3" x14ac:dyDescent="0.3">
      <c r="A35" s="104" t="s">
        <v>56</v>
      </c>
      <c r="B35" s="86" t="s">
        <v>57</v>
      </c>
      <c r="C35" s="101" t="str">
        <f t="shared" si="0"/>
        <v>*VC-ISAT2*</v>
      </c>
    </row>
    <row r="36" spans="1:3" x14ac:dyDescent="0.3">
      <c r="A36" s="104" t="s">
        <v>56</v>
      </c>
      <c r="B36" s="86" t="s">
        <v>57</v>
      </c>
      <c r="C36" s="101" t="str">
        <f t="shared" si="0"/>
        <v>*VC-ISAT2*</v>
      </c>
    </row>
    <row r="37" spans="1:3" x14ac:dyDescent="0.3">
      <c r="A37" s="104" t="s">
        <v>56</v>
      </c>
      <c r="B37" s="86" t="s">
        <v>57</v>
      </c>
      <c r="C37" s="101" t="str">
        <f t="shared" si="0"/>
        <v>*VC-ISAT2*</v>
      </c>
    </row>
    <row r="38" spans="1:3" x14ac:dyDescent="0.3">
      <c r="A38" s="104" t="s">
        <v>56</v>
      </c>
      <c r="B38" s="86" t="s">
        <v>57</v>
      </c>
      <c r="C38" s="101" t="str">
        <f t="shared" si="0"/>
        <v>*VC-ISAT2*</v>
      </c>
    </row>
    <row r="39" spans="1:3" x14ac:dyDescent="0.3">
      <c r="A39" s="104" t="s">
        <v>56</v>
      </c>
      <c r="B39" s="86" t="s">
        <v>57</v>
      </c>
      <c r="C39" s="101" t="str">
        <f t="shared" si="0"/>
        <v>*VC-ISAT2*</v>
      </c>
    </row>
    <row r="40" spans="1:3" x14ac:dyDescent="0.3">
      <c r="A40" s="104" t="s">
        <v>56</v>
      </c>
      <c r="B40" s="86" t="s">
        <v>57</v>
      </c>
      <c r="C40" s="101" t="str">
        <f t="shared" si="0"/>
        <v>*VC-ISAT2*</v>
      </c>
    </row>
    <row r="41" spans="1:3" x14ac:dyDescent="0.3">
      <c r="A41" s="104" t="s">
        <v>56</v>
      </c>
      <c r="B41" s="86" t="s">
        <v>57</v>
      </c>
      <c r="C41" s="101" t="str">
        <f t="shared" si="0"/>
        <v>*VC-ISAT2*</v>
      </c>
    </row>
    <row r="42" spans="1:3" x14ac:dyDescent="0.3">
      <c r="A42" s="104" t="s">
        <v>56</v>
      </c>
      <c r="B42" s="86" t="s">
        <v>57</v>
      </c>
      <c r="C42" s="101" t="str">
        <f t="shared" si="0"/>
        <v>*VC-ISAT2*</v>
      </c>
    </row>
    <row r="43" spans="1:3" x14ac:dyDescent="0.3">
      <c r="A43" s="104" t="s">
        <v>56</v>
      </c>
      <c r="B43" s="86" t="s">
        <v>57</v>
      </c>
      <c r="C43" s="101" t="str">
        <f t="shared" si="0"/>
        <v>*VC-ISAT2*</v>
      </c>
    </row>
    <row r="44" spans="1:3" x14ac:dyDescent="0.3">
      <c r="A44" s="104" t="s">
        <v>56</v>
      </c>
      <c r="B44" s="86" t="s">
        <v>57</v>
      </c>
      <c r="C44" s="101" t="str">
        <f t="shared" si="0"/>
        <v>*VC-ISAT2*</v>
      </c>
    </row>
    <row r="45" spans="1:3" x14ac:dyDescent="0.3">
      <c r="A45" s="104" t="s">
        <v>56</v>
      </c>
      <c r="B45" s="86" t="s">
        <v>57</v>
      </c>
      <c r="C45" s="101" t="str">
        <f t="shared" si="0"/>
        <v>*VC-ISAT2*</v>
      </c>
    </row>
    <row r="46" spans="1:3" x14ac:dyDescent="0.3">
      <c r="A46" s="104" t="s">
        <v>56</v>
      </c>
      <c r="B46" s="86" t="s">
        <v>57</v>
      </c>
      <c r="C46" s="101" t="str">
        <f t="shared" si="0"/>
        <v>*VC-ISAT2*</v>
      </c>
    </row>
    <row r="47" spans="1:3" x14ac:dyDescent="0.3">
      <c r="A47" s="104" t="s">
        <v>56</v>
      </c>
      <c r="B47" s="86" t="s">
        <v>57</v>
      </c>
      <c r="C47" s="101" t="str">
        <f t="shared" si="0"/>
        <v>*VC-ISAT2*</v>
      </c>
    </row>
    <row r="48" spans="1:3" x14ac:dyDescent="0.3">
      <c r="A48" s="104" t="s">
        <v>56</v>
      </c>
      <c r="B48" s="86" t="s">
        <v>57</v>
      </c>
      <c r="C48" s="101" t="str">
        <f t="shared" si="0"/>
        <v>*VC-ISAT2*</v>
      </c>
    </row>
    <row r="49" spans="1:3" x14ac:dyDescent="0.3">
      <c r="A49" s="104" t="s">
        <v>56</v>
      </c>
      <c r="B49" s="86" t="s">
        <v>57</v>
      </c>
      <c r="C49" s="101" t="str">
        <f t="shared" si="0"/>
        <v>*VC-ISAT2*</v>
      </c>
    </row>
    <row r="50" spans="1:3" x14ac:dyDescent="0.3">
      <c r="A50" s="104" t="s">
        <v>56</v>
      </c>
      <c r="B50" s="86" t="s">
        <v>57</v>
      </c>
      <c r="C50" s="101" t="str">
        <f t="shared" si="0"/>
        <v>*VC-ISAT2*</v>
      </c>
    </row>
    <row r="51" spans="1:3" x14ac:dyDescent="0.3">
      <c r="A51" s="104" t="s">
        <v>56</v>
      </c>
      <c r="B51" s="86" t="s">
        <v>57</v>
      </c>
      <c r="C51" s="101" t="str">
        <f t="shared" si="0"/>
        <v>*VC-ISAT2*</v>
      </c>
    </row>
    <row r="52" spans="1:3" x14ac:dyDescent="0.3">
      <c r="A52" s="104" t="s">
        <v>56</v>
      </c>
      <c r="B52" s="86" t="s">
        <v>57</v>
      </c>
      <c r="C52" s="101" t="str">
        <f t="shared" si="0"/>
        <v>*VC-ISAT2*</v>
      </c>
    </row>
    <row r="53" spans="1:3" x14ac:dyDescent="0.3">
      <c r="A53" s="104" t="s">
        <v>56</v>
      </c>
      <c r="B53" s="86" t="s">
        <v>57</v>
      </c>
      <c r="C53" s="101" t="str">
        <f t="shared" si="0"/>
        <v>*VC-ISAT2*</v>
      </c>
    </row>
    <row r="54" spans="1:3" x14ac:dyDescent="0.3">
      <c r="A54" s="104" t="s">
        <v>56</v>
      </c>
      <c r="B54" s="86" t="s">
        <v>57</v>
      </c>
      <c r="C54" s="101" t="str">
        <f t="shared" si="0"/>
        <v>*VC-ISAT2*</v>
      </c>
    </row>
    <row r="55" spans="1:3" x14ac:dyDescent="0.3">
      <c r="A55" s="104" t="s">
        <v>56</v>
      </c>
      <c r="B55" s="86" t="s">
        <v>57</v>
      </c>
      <c r="C55" s="101" t="str">
        <f t="shared" si="0"/>
        <v>*VC-ISAT2*</v>
      </c>
    </row>
    <row r="56" spans="1:3" x14ac:dyDescent="0.3">
      <c r="A56" s="104" t="s">
        <v>56</v>
      </c>
      <c r="B56" s="86" t="s">
        <v>57</v>
      </c>
      <c r="C56" s="101" t="str">
        <f t="shared" si="0"/>
        <v>*VC-ISAT2*</v>
      </c>
    </row>
    <row r="57" spans="1:3" x14ac:dyDescent="0.3">
      <c r="B57"/>
    </row>
    <row r="58" spans="1:3" x14ac:dyDescent="0.3">
      <c r="B58"/>
    </row>
    <row r="59" spans="1:3" x14ac:dyDescent="0.3">
      <c r="B59"/>
    </row>
    <row r="60" spans="1:3" x14ac:dyDescent="0.3">
      <c r="B60"/>
    </row>
    <row r="61" spans="1:3" x14ac:dyDescent="0.3">
      <c r="B61"/>
    </row>
    <row r="62" spans="1:3" x14ac:dyDescent="0.3">
      <c r="B62"/>
    </row>
    <row r="63" spans="1:3" x14ac:dyDescent="0.3">
      <c r="B63"/>
    </row>
    <row r="64" spans="1:3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</sheetData>
  <sheetProtection selectLockedCells="1"/>
  <phoneticPr fontId="1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workbookViewId="0">
      <selection activeCell="G22" sqref="G22"/>
    </sheetView>
  </sheetViews>
  <sheetFormatPr defaultColWidth="9" defaultRowHeight="13.2" x14ac:dyDescent="0.3"/>
  <cols>
    <col min="1" max="1" width="12.109375" style="11" bestFit="1" customWidth="1"/>
    <col min="2" max="2" width="23.6640625" style="11" customWidth="1"/>
    <col min="3" max="3" width="10" style="17" customWidth="1"/>
    <col min="4" max="4" width="4" style="14" customWidth="1"/>
    <col min="5" max="5" width="12.33203125" style="17" customWidth="1"/>
    <col min="6" max="16384" width="9" style="11"/>
  </cols>
  <sheetData>
    <row r="1" spans="1:5" ht="13.8" thickBot="1" x14ac:dyDescent="0.35"/>
    <row r="2" spans="1:5" ht="39" x14ac:dyDescent="0.3">
      <c r="A2" s="195" t="s">
        <v>36</v>
      </c>
      <c r="B2" s="196"/>
      <c r="C2" s="196"/>
      <c r="D2" s="196"/>
      <c r="E2" s="197"/>
    </row>
    <row r="3" spans="1:5" ht="15.6" thickBot="1" x14ac:dyDescent="0.35">
      <c r="A3" s="198" t="s">
        <v>37</v>
      </c>
      <c r="B3" s="199"/>
      <c r="C3" s="199"/>
      <c r="D3" s="199"/>
      <c r="E3" s="200"/>
    </row>
    <row r="4" spans="1:5" ht="16.8" x14ac:dyDescent="0.3">
      <c r="A4" s="20"/>
      <c r="B4" s="20"/>
      <c r="C4" s="20"/>
      <c r="D4" s="20"/>
      <c r="E4" s="20"/>
    </row>
    <row r="5" spans="1:5" x14ac:dyDescent="0.3">
      <c r="A5" s="24" t="s">
        <v>8</v>
      </c>
      <c r="B5" s="27">
        <f>SUM($E$10:$E$1100)</f>
        <v>63000</v>
      </c>
      <c r="C5" s="21" t="s">
        <v>15</v>
      </c>
      <c r="D5" s="201">
        <f>SUM(MENU!$M$34:$M$905)</f>
        <v>0</v>
      </c>
      <c r="E5" s="202"/>
    </row>
    <row r="6" spans="1:5" x14ac:dyDescent="0.3">
      <c r="A6" s="25" t="s">
        <v>9</v>
      </c>
      <c r="B6" s="29">
        <f>B5-D5</f>
        <v>63000</v>
      </c>
      <c r="C6" s="22" t="s">
        <v>10</v>
      </c>
      <c r="D6" s="203" t="e">
        <f>MENU!#REF!</f>
        <v>#REF!</v>
      </c>
      <c r="E6" s="204"/>
    </row>
    <row r="7" spans="1:5" x14ac:dyDescent="0.3">
      <c r="A7" s="26" t="s">
        <v>16</v>
      </c>
      <c r="B7" s="28">
        <f ca="1">TODAY()</f>
        <v>44493</v>
      </c>
      <c r="C7" s="23" t="s">
        <v>11</v>
      </c>
      <c r="D7" s="205" t="e">
        <f>D6-B6</f>
        <v>#REF!</v>
      </c>
      <c r="E7" s="206"/>
    </row>
    <row r="9" spans="1:5" ht="13.8" thickBot="1" x14ac:dyDescent="0.35">
      <c r="A9" s="30" t="s">
        <v>0</v>
      </c>
      <c r="B9" s="30" t="s">
        <v>1</v>
      </c>
      <c r="C9" s="31" t="s">
        <v>13</v>
      </c>
      <c r="D9" s="30" t="s">
        <v>2</v>
      </c>
      <c r="E9" s="31" t="s">
        <v>14</v>
      </c>
    </row>
    <row r="10" spans="1:5" ht="13.8" thickTop="1" x14ac:dyDescent="0.3">
      <c r="A10" s="13" t="str">
        <f>IF(MENU!D8="","",MENU!D8)</f>
        <v>SP-XL6</v>
      </c>
      <c r="B10" s="13" t="str">
        <f>IF(MENU!F8="","",MENU!F8)</f>
        <v>SP XL 28 GB</v>
      </c>
      <c r="C10" s="13">
        <f>IF(MENU!J8="","",MENU!K8)</f>
        <v>63000</v>
      </c>
      <c r="D10" s="13">
        <f>IF(MENU!G8="","",MENU!J8)</f>
        <v>1</v>
      </c>
      <c r="E10" s="13">
        <f>IF(MENU!H8="","",MENU!K8)</f>
        <v>63000</v>
      </c>
    </row>
    <row r="11" spans="1:5" x14ac:dyDescent="0.3">
      <c r="A11" s="13" t="str">
        <f>IF(MENU!D9="","",MENU!D9)</f>
        <v/>
      </c>
      <c r="B11" s="13" t="str">
        <f>IF(MENU!F9="","",MENU!F9)</f>
        <v/>
      </c>
      <c r="C11" s="13" t="str">
        <f>IF(MENU!J9="","",MENU!K9)</f>
        <v/>
      </c>
      <c r="D11" s="13" t="str">
        <f>IF(MENU!G9="","",MENU!J9)</f>
        <v/>
      </c>
      <c r="E11" s="13" t="str">
        <f>IF(MENU!H9="","",MENU!K9)</f>
        <v/>
      </c>
    </row>
    <row r="12" spans="1:5" x14ac:dyDescent="0.3">
      <c r="A12" s="13" t="str">
        <f>IF(MENU!D10="","",MENU!D10)</f>
        <v/>
      </c>
      <c r="B12" s="13" t="str">
        <f>IF(MENU!F10="","",MENU!F10)</f>
        <v/>
      </c>
      <c r="C12" s="13" t="str">
        <f>IF(MENU!J10="","",MENU!K10)</f>
        <v/>
      </c>
      <c r="D12" s="13" t="str">
        <f>IF(MENU!G10="","",MENU!J10)</f>
        <v/>
      </c>
      <c r="E12" s="13" t="str">
        <f>IF(MENU!H10="","",MENU!K10)</f>
        <v/>
      </c>
    </row>
    <row r="13" spans="1:5" x14ac:dyDescent="0.3">
      <c r="A13" s="13" t="str">
        <f>IF(MENU!D11="","",MENU!D11)</f>
        <v/>
      </c>
      <c r="B13" s="13" t="str">
        <f>IF(MENU!F11="","",MENU!F11)</f>
        <v/>
      </c>
      <c r="C13" s="13" t="str">
        <f>IF(MENU!J11="","",MENU!K11)</f>
        <v/>
      </c>
      <c r="D13" s="13" t="str">
        <f>IF(MENU!G11="","",MENU!J11)</f>
        <v/>
      </c>
      <c r="E13" s="13" t="str">
        <f>IF(MENU!H11="","",MENU!K11)</f>
        <v/>
      </c>
    </row>
    <row r="14" spans="1:5" x14ac:dyDescent="0.3">
      <c r="A14" s="13" t="str">
        <f>IF(MENU!D12="","",MENU!D12)</f>
        <v/>
      </c>
      <c r="B14" s="13" t="str">
        <f>IF(MENU!F12="","",MENU!F12)</f>
        <v/>
      </c>
      <c r="C14" s="13" t="str">
        <f>IF(MENU!J12="","",MENU!K12)</f>
        <v/>
      </c>
      <c r="D14" s="13" t="str">
        <f>IF(MENU!G12="","",MENU!J12)</f>
        <v/>
      </c>
      <c r="E14" s="13" t="str">
        <f>IF(MENU!H12="","",MENU!K12)</f>
        <v/>
      </c>
    </row>
    <row r="15" spans="1:5" x14ac:dyDescent="0.3">
      <c r="A15" s="13" t="str">
        <f>IF(MENU!D13="","",MENU!D13)</f>
        <v/>
      </c>
      <c r="B15" s="13" t="str">
        <f>IF(MENU!F13="","",MENU!F13)</f>
        <v/>
      </c>
      <c r="C15" s="13" t="str">
        <f>IF(MENU!J13="","",MENU!K13)</f>
        <v/>
      </c>
      <c r="D15" s="13" t="str">
        <f>IF(MENU!G13="","",MENU!J13)</f>
        <v/>
      </c>
      <c r="E15" s="13" t="str">
        <f>IF(MENU!H13="","",MENU!K13)</f>
        <v/>
      </c>
    </row>
    <row r="16" spans="1:5" x14ac:dyDescent="0.3">
      <c r="A16" s="13" t="str">
        <f>IF(MENU!D14="","",MENU!D14)</f>
        <v/>
      </c>
      <c r="B16" s="13" t="str">
        <f>IF(MENU!F14="","",MENU!F14)</f>
        <v/>
      </c>
      <c r="C16" s="13" t="str">
        <f>IF(MENU!J14="","",MENU!K14)</f>
        <v/>
      </c>
      <c r="D16" s="13" t="str">
        <f>IF(MENU!G14="","",MENU!J14)</f>
        <v/>
      </c>
      <c r="E16" s="13" t="str">
        <f>IF(MENU!H14="","",MENU!K14)</f>
        <v/>
      </c>
    </row>
    <row r="17" spans="1:5" x14ac:dyDescent="0.3">
      <c r="A17" s="13" t="str">
        <f>IF(MENU!D15="","",MENU!D15)</f>
        <v/>
      </c>
      <c r="B17" s="13" t="str">
        <f>IF(MENU!F15="","",MENU!F15)</f>
        <v/>
      </c>
      <c r="C17" s="13" t="str">
        <f>IF(MENU!J15="","",MENU!K15)</f>
        <v/>
      </c>
      <c r="D17" s="13" t="str">
        <f>IF(MENU!G15="","",MENU!J15)</f>
        <v/>
      </c>
      <c r="E17" s="13" t="str">
        <f>IF(MENU!H15="","",MENU!K15)</f>
        <v/>
      </c>
    </row>
    <row r="18" spans="1:5" x14ac:dyDescent="0.3">
      <c r="A18" s="13" t="str">
        <f>IF(MENU!D16="","",MENU!D16)</f>
        <v/>
      </c>
      <c r="B18" s="13" t="str">
        <f>IF(MENU!F16="","",MENU!F16)</f>
        <v/>
      </c>
      <c r="C18" s="13" t="str">
        <f>IF(MENU!J16="","",MENU!K16)</f>
        <v/>
      </c>
      <c r="D18" s="13" t="str">
        <f>IF(MENU!G16="","",MENU!J16)</f>
        <v/>
      </c>
      <c r="E18" s="13" t="str">
        <f>IF(MENU!H16="","",MENU!K16)</f>
        <v/>
      </c>
    </row>
    <row r="19" spans="1:5" x14ac:dyDescent="0.3">
      <c r="A19" s="13" t="str">
        <f>IF(MENU!D17="","",MENU!D17)</f>
        <v/>
      </c>
      <c r="B19" s="13" t="str">
        <f>IF(MENU!F17="","",MENU!F17)</f>
        <v/>
      </c>
      <c r="C19" s="13" t="str">
        <f>IF(MENU!J17="","",MENU!K17)</f>
        <v/>
      </c>
      <c r="D19" s="13" t="str">
        <f>IF(MENU!G17="","",MENU!J17)</f>
        <v/>
      </c>
      <c r="E19" s="13" t="str">
        <f>IF(MENU!H17="","",MENU!K17)</f>
        <v/>
      </c>
    </row>
    <row r="20" spans="1:5" x14ac:dyDescent="0.3">
      <c r="A20" s="13" t="str">
        <f>IF(MENU!D18="","",MENU!D18)</f>
        <v/>
      </c>
      <c r="B20" s="13" t="str">
        <f>IF(MENU!F18="","",MENU!F18)</f>
        <v/>
      </c>
      <c r="C20" s="13" t="str">
        <f>IF(MENU!J18="","",MENU!K18)</f>
        <v/>
      </c>
      <c r="D20" s="13" t="str">
        <f>IF(MENU!G18="","",MENU!J18)</f>
        <v/>
      </c>
      <c r="E20" s="13" t="str">
        <f>IF(MENU!H18="","",MENU!K18)</f>
        <v/>
      </c>
    </row>
    <row r="21" spans="1:5" x14ac:dyDescent="0.3">
      <c r="A21" s="13" t="str">
        <f>IF(MENU!D19="","",MENU!D19)</f>
        <v/>
      </c>
      <c r="B21" s="13" t="str">
        <f>IF(MENU!F19="","",MENU!F19)</f>
        <v/>
      </c>
      <c r="C21" s="13" t="str">
        <f>IF(MENU!J19="","",MENU!K19)</f>
        <v/>
      </c>
      <c r="D21" s="13" t="str">
        <f>IF(MENU!G19="","",MENU!J19)</f>
        <v/>
      </c>
      <c r="E21" s="13" t="str">
        <f>IF(MENU!H19="","",MENU!K19)</f>
        <v/>
      </c>
    </row>
    <row r="22" spans="1:5" x14ac:dyDescent="0.3">
      <c r="A22" s="13" t="str">
        <f>IF(MENU!D20="","",MENU!D20)</f>
        <v/>
      </c>
      <c r="B22" s="13" t="str">
        <f>IF(MENU!F20="","",MENU!F20)</f>
        <v/>
      </c>
      <c r="C22" s="13" t="str">
        <f>IF(MENU!J20="","",MENU!K20)</f>
        <v/>
      </c>
      <c r="D22" s="13" t="str">
        <f>IF(MENU!G20="","",MENU!J20)</f>
        <v/>
      </c>
      <c r="E22" s="13" t="str">
        <f>IF(MENU!H20="","",MENU!K20)</f>
        <v/>
      </c>
    </row>
    <row r="23" spans="1:5" x14ac:dyDescent="0.3">
      <c r="A23" s="13" t="str">
        <f>IF(MENU!D21="","",MENU!D21)</f>
        <v/>
      </c>
      <c r="B23" s="13" t="str">
        <f>IF(MENU!F21="","",MENU!F21)</f>
        <v/>
      </c>
      <c r="C23" s="13" t="str">
        <f>IF(MENU!J21="","",MENU!K21)</f>
        <v/>
      </c>
      <c r="D23" s="13" t="str">
        <f>IF(MENU!G21="","",MENU!J21)</f>
        <v/>
      </c>
      <c r="E23" s="13" t="str">
        <f>IF(MENU!H21="","",MENU!K21)</f>
        <v/>
      </c>
    </row>
    <row r="24" spans="1:5" x14ac:dyDescent="0.3">
      <c r="A24" s="13" t="str">
        <f>IF(MENU!D22="","",MENU!D22)</f>
        <v/>
      </c>
      <c r="B24" s="13" t="str">
        <f>IF(MENU!F22="","",MENU!F22)</f>
        <v/>
      </c>
      <c r="C24" s="13" t="str">
        <f>IF(MENU!J22="","",MENU!K22)</f>
        <v/>
      </c>
      <c r="D24" s="13" t="str">
        <f>IF(MENU!G22="","",MENU!J22)</f>
        <v/>
      </c>
      <c r="E24" s="13" t="str">
        <f>IF(MENU!H22="","",MENU!K22)</f>
        <v/>
      </c>
    </row>
    <row r="25" spans="1:5" x14ac:dyDescent="0.3">
      <c r="A25" s="13" t="str">
        <f>IF(MENU!D23="","",MENU!D23)</f>
        <v/>
      </c>
      <c r="B25" s="13" t="str">
        <f>IF(MENU!F23="","",MENU!F23)</f>
        <v/>
      </c>
      <c r="C25" s="13" t="str">
        <f>IF(MENU!J23="","",MENU!K23)</f>
        <v/>
      </c>
      <c r="D25" s="13" t="str">
        <f>IF(MENU!G23="","",MENU!J23)</f>
        <v/>
      </c>
      <c r="E25" s="13" t="str">
        <f>IF(MENU!H23="","",MENU!K23)</f>
        <v/>
      </c>
    </row>
    <row r="26" spans="1:5" x14ac:dyDescent="0.3">
      <c r="A26" s="13" t="str">
        <f>IF(MENU!D24="","",MENU!D24)</f>
        <v/>
      </c>
      <c r="B26" s="13" t="str">
        <f>IF(MENU!F24="","",MENU!F24)</f>
        <v/>
      </c>
      <c r="C26" s="13" t="str">
        <f>IF(MENU!J24="","",MENU!K24)</f>
        <v/>
      </c>
      <c r="D26" s="13" t="str">
        <f>IF(MENU!G24="","",MENU!J24)</f>
        <v/>
      </c>
      <c r="E26" s="13" t="str">
        <f>IF(MENU!H24="","",MENU!K24)</f>
        <v/>
      </c>
    </row>
    <row r="27" spans="1:5" x14ac:dyDescent="0.3">
      <c r="A27" s="13" t="str">
        <f>IF(MENU!D25="","",MENU!D25)</f>
        <v/>
      </c>
      <c r="B27" s="13" t="str">
        <f>IF(MENU!F25="","",MENU!F25)</f>
        <v/>
      </c>
      <c r="C27" s="13" t="str">
        <f>IF(MENU!J25="","",MENU!K25)</f>
        <v/>
      </c>
      <c r="D27" s="13" t="str">
        <f>IF(MENU!G25="","",MENU!J25)</f>
        <v/>
      </c>
      <c r="E27" s="13" t="str">
        <f>IF(MENU!H25="","",MENU!K25)</f>
        <v/>
      </c>
    </row>
    <row r="28" spans="1:5" x14ac:dyDescent="0.3">
      <c r="A28" s="13" t="str">
        <f>IF(MENU!D26="","",MENU!D26)</f>
        <v/>
      </c>
      <c r="B28" s="13" t="str">
        <f>IF(MENU!F26="","",MENU!F26)</f>
        <v/>
      </c>
      <c r="C28" s="13" t="str">
        <f>IF(MENU!J26="","",MENU!K26)</f>
        <v/>
      </c>
      <c r="D28" s="13" t="str">
        <f>IF(MENU!G26="","",MENU!J26)</f>
        <v/>
      </c>
      <c r="E28" s="13" t="str">
        <f>IF(MENU!H26="","",MENU!K26)</f>
        <v/>
      </c>
    </row>
    <row r="29" spans="1:5" x14ac:dyDescent="0.3">
      <c r="A29" s="13" t="str">
        <f>IF(MENU!D27="","",MENU!D27)</f>
        <v/>
      </c>
      <c r="B29" s="13" t="str">
        <f>IF(MENU!F27="","",MENU!F27)</f>
        <v/>
      </c>
      <c r="C29" s="13" t="str">
        <f>IF(MENU!J27="","",MENU!K27)</f>
        <v/>
      </c>
      <c r="D29" s="13" t="str">
        <f>IF(MENU!G27="","",MENU!J27)</f>
        <v/>
      </c>
      <c r="E29" s="13" t="str">
        <f>IF(MENU!H27="","",MENU!K27)</f>
        <v/>
      </c>
    </row>
    <row r="30" spans="1:5" x14ac:dyDescent="0.3">
      <c r="A30" s="13" t="str">
        <f>IF(MENU!D28="","",MENU!D28)</f>
        <v/>
      </c>
      <c r="B30" s="13" t="str">
        <f>IF(MENU!F28="","",MENU!F28)</f>
        <v/>
      </c>
      <c r="C30" s="13" t="str">
        <f>IF(MENU!J28="","",MENU!K28)</f>
        <v/>
      </c>
      <c r="D30" s="13" t="str">
        <f>IF(MENU!G28="","",MENU!J28)</f>
        <v/>
      </c>
      <c r="E30" s="13" t="str">
        <f>IF(MENU!H28="","",MENU!K28)</f>
        <v/>
      </c>
    </row>
    <row r="31" spans="1:5" x14ac:dyDescent="0.3">
      <c r="A31" s="13" t="str">
        <f>IF(MENU!D29="","",MENU!D29)</f>
        <v/>
      </c>
      <c r="B31" s="13" t="str">
        <f>IF(MENU!F29="","",MENU!F29)</f>
        <v/>
      </c>
      <c r="C31" s="13" t="str">
        <f>IF(MENU!J29="","",MENU!K29)</f>
        <v/>
      </c>
      <c r="D31" s="13" t="str">
        <f>IF(MENU!G29="","",MENU!J29)</f>
        <v/>
      </c>
      <c r="E31" s="13" t="str">
        <f>IF(MENU!H29="","",MENU!K29)</f>
        <v/>
      </c>
    </row>
    <row r="32" spans="1:5" x14ac:dyDescent="0.3">
      <c r="A32" s="13" t="str">
        <f>IF(MENU!D30="","",MENU!D30)</f>
        <v/>
      </c>
      <c r="B32" s="13" t="str">
        <f>IF(MENU!F30="","",MENU!F30)</f>
        <v/>
      </c>
      <c r="C32" s="13" t="str">
        <f>IF(MENU!J30="","",MENU!K30)</f>
        <v/>
      </c>
      <c r="D32" s="13" t="str">
        <f>IF(MENU!G30="","",MENU!J30)</f>
        <v/>
      </c>
      <c r="E32" s="13" t="str">
        <f>IF(MENU!H30="","",MENU!K30)</f>
        <v/>
      </c>
    </row>
    <row r="33" spans="1:5" x14ac:dyDescent="0.3">
      <c r="A33" s="13" t="str">
        <f>IF(MENU!D31="","",MENU!D31)</f>
        <v/>
      </c>
      <c r="B33" s="13" t="str">
        <f>IF(MENU!F31="","",MENU!F31)</f>
        <v/>
      </c>
      <c r="C33" s="13" t="str">
        <f>IF(MENU!J31="","",MENU!K31)</f>
        <v/>
      </c>
      <c r="D33" s="13" t="str">
        <f>IF(MENU!G31="","",MENU!J31)</f>
        <v/>
      </c>
      <c r="E33" s="13" t="str">
        <f>IF(MENU!H31="","",MENU!K31)</f>
        <v/>
      </c>
    </row>
    <row r="34" spans="1:5" x14ac:dyDescent="0.3">
      <c r="A34" s="13" t="str">
        <f>IF(MENU!D32="","",MENU!D32)</f>
        <v/>
      </c>
      <c r="B34" s="13" t="str">
        <f>IF(MENU!F32="","",MENU!F32)</f>
        <v/>
      </c>
      <c r="C34" s="13" t="str">
        <f>IF(MENU!J32="","",MENU!K32)</f>
        <v/>
      </c>
      <c r="D34" s="13" t="str">
        <f>IF(MENU!G32="","",MENU!J32)</f>
        <v/>
      </c>
      <c r="E34" s="13" t="str">
        <f>IF(MENU!H32="","",MENU!K32)</f>
        <v/>
      </c>
    </row>
    <row r="35" spans="1:5" x14ac:dyDescent="0.3">
      <c r="A35" s="13" t="str">
        <f>IF(MENU!D33="","",MENU!D33)</f>
        <v/>
      </c>
      <c r="B35" s="13" t="str">
        <f>IF(MENU!F33="","",MENU!F33)</f>
        <v/>
      </c>
      <c r="C35" s="13" t="str">
        <f>IF(MENU!J33="","",MENU!K33)</f>
        <v/>
      </c>
      <c r="D35" s="13" t="str">
        <f>IF(MENU!G33="","",MENU!J33)</f>
        <v/>
      </c>
      <c r="E35" s="13" t="str">
        <f>IF(MENU!H33="","",MENU!K33)</f>
        <v/>
      </c>
    </row>
    <row r="36" spans="1:5" x14ac:dyDescent="0.3">
      <c r="A36" s="13" t="str">
        <f>IF(MENU!D34="","",MENU!D34)</f>
        <v/>
      </c>
      <c r="B36" s="13" t="str">
        <f>IF(MENU!F34="","",MENU!F34)</f>
        <v/>
      </c>
      <c r="C36" s="13" t="str">
        <f>IF(MENU!J34="","",MENU!K34)</f>
        <v/>
      </c>
      <c r="D36" s="13" t="str">
        <f>IF(MENU!G34="","",MENU!J34)</f>
        <v/>
      </c>
      <c r="E36" s="13" t="str">
        <f>IF(MENU!H34="","",MENU!K34)</f>
        <v/>
      </c>
    </row>
    <row r="37" spans="1:5" x14ac:dyDescent="0.3">
      <c r="A37" s="13" t="str">
        <f>IF(MENU!D35="","",MENU!D35)</f>
        <v/>
      </c>
      <c r="B37" s="13" t="str">
        <f>IF(MENU!F35="","",MENU!F35)</f>
        <v/>
      </c>
      <c r="C37" s="13" t="str">
        <f>IF(MENU!J35="","",MENU!K35)</f>
        <v/>
      </c>
      <c r="D37" s="13" t="str">
        <f>IF(MENU!G35="","",MENU!J35)</f>
        <v/>
      </c>
      <c r="E37" s="13" t="str">
        <f>IF(MENU!H35="","",MENU!K35)</f>
        <v/>
      </c>
    </row>
    <row r="38" spans="1:5" x14ac:dyDescent="0.3">
      <c r="A38" s="13" t="str">
        <f>IF(MENU!D36="","",MENU!D36)</f>
        <v/>
      </c>
      <c r="B38" s="13" t="str">
        <f>IF(MENU!F36="","",MENU!F36)</f>
        <v/>
      </c>
      <c r="C38" s="13" t="str">
        <f>IF(MENU!J36="","",MENU!K36)</f>
        <v/>
      </c>
      <c r="D38" s="13" t="str">
        <f>IF(MENU!G36="","",MENU!J36)</f>
        <v/>
      </c>
      <c r="E38" s="13" t="str">
        <f>IF(MENU!H36="","",MENU!K36)</f>
        <v/>
      </c>
    </row>
    <row r="39" spans="1:5" x14ac:dyDescent="0.3">
      <c r="A39" s="13" t="str">
        <f>IF(MENU!D37="","",MENU!D37)</f>
        <v/>
      </c>
      <c r="B39" s="13" t="str">
        <f>IF(MENU!F37="","",MENU!F37)</f>
        <v/>
      </c>
      <c r="C39" s="13" t="str">
        <f>IF(MENU!J37="","",MENU!K37)</f>
        <v/>
      </c>
      <c r="D39" s="13" t="str">
        <f>IF(MENU!G37="","",MENU!J37)</f>
        <v/>
      </c>
      <c r="E39" s="13" t="str">
        <f>IF(MENU!H37="","",MENU!K37)</f>
        <v/>
      </c>
    </row>
    <row r="40" spans="1:5" x14ac:dyDescent="0.3">
      <c r="A40" s="13" t="str">
        <f>IF(MENU!D38="","",MENU!D38)</f>
        <v/>
      </c>
      <c r="B40" s="13" t="str">
        <f>IF(MENU!F38="","",MENU!F38)</f>
        <v/>
      </c>
      <c r="C40" s="13" t="str">
        <f>IF(MENU!J38="","",MENU!K38)</f>
        <v/>
      </c>
      <c r="D40" s="13" t="str">
        <f>IF(MENU!G38="","",MENU!J38)</f>
        <v/>
      </c>
      <c r="E40" s="13" t="str">
        <f>IF(MENU!H38="","",MENU!K38)</f>
        <v/>
      </c>
    </row>
    <row r="41" spans="1:5" x14ac:dyDescent="0.3">
      <c r="A41" s="13" t="str">
        <f>IF(MENU!D39="","",MENU!D39)</f>
        <v/>
      </c>
      <c r="B41" s="13" t="str">
        <f>IF(MENU!F39="","",MENU!F39)</f>
        <v/>
      </c>
      <c r="C41" s="13" t="str">
        <f>IF(MENU!J39="","",MENU!K39)</f>
        <v/>
      </c>
      <c r="D41" s="13" t="str">
        <f>IF(MENU!G39="","",MENU!J39)</f>
        <v/>
      </c>
      <c r="E41" s="13" t="str">
        <f>IF(MENU!H39="","",MENU!K39)</f>
        <v/>
      </c>
    </row>
    <row r="42" spans="1:5" x14ac:dyDescent="0.3">
      <c r="A42" s="13" t="str">
        <f>IF(MENU!D40="","",MENU!D40)</f>
        <v/>
      </c>
      <c r="B42" s="13" t="str">
        <f>IF(MENU!F40="","",MENU!F40)</f>
        <v/>
      </c>
      <c r="C42" s="13" t="str">
        <f>IF(MENU!J40="","",MENU!K40)</f>
        <v/>
      </c>
      <c r="D42" s="13" t="str">
        <f>IF(MENU!G40="","",MENU!J40)</f>
        <v/>
      </c>
      <c r="E42" s="13" t="str">
        <f>IF(MENU!H40="","",MENU!K40)</f>
        <v/>
      </c>
    </row>
    <row r="43" spans="1:5" x14ac:dyDescent="0.3">
      <c r="A43" s="13" t="str">
        <f>IF(MENU!D41="","",MENU!D41)</f>
        <v/>
      </c>
      <c r="B43" s="13" t="str">
        <f>IF(MENU!F41="","",MENU!F41)</f>
        <v/>
      </c>
      <c r="C43" s="13" t="str">
        <f>IF(MENU!J41="","",MENU!K41)</f>
        <v/>
      </c>
      <c r="D43" s="13" t="str">
        <f>IF(MENU!G41="","",MENU!J41)</f>
        <v/>
      </c>
      <c r="E43" s="13" t="str">
        <f>IF(MENU!H41="","",MENU!K41)</f>
        <v/>
      </c>
    </row>
    <row r="44" spans="1:5" x14ac:dyDescent="0.3">
      <c r="A44" s="13" t="str">
        <f>IF(MENU!D42="","",MENU!D42)</f>
        <v/>
      </c>
      <c r="B44" s="13" t="str">
        <f>IF(MENU!F42="","",MENU!F42)</f>
        <v/>
      </c>
      <c r="C44" s="13" t="str">
        <f>IF(MENU!J42="","",MENU!K42)</f>
        <v/>
      </c>
      <c r="D44" s="13" t="str">
        <f>IF(MENU!G42="","",MENU!J42)</f>
        <v/>
      </c>
      <c r="E44" s="13" t="str">
        <f>IF(MENU!H42="","",MENU!K42)</f>
        <v/>
      </c>
    </row>
    <row r="45" spans="1:5" x14ac:dyDescent="0.3">
      <c r="A45" s="13" t="str">
        <f>IF(MENU!D43="","",MENU!D43)</f>
        <v/>
      </c>
      <c r="B45" s="13" t="str">
        <f>IF(MENU!F43="","",MENU!F43)</f>
        <v/>
      </c>
      <c r="C45" s="13" t="str">
        <f>IF(MENU!J43="","",MENU!K43)</f>
        <v/>
      </c>
      <c r="D45" s="13" t="str">
        <f>IF(MENU!G43="","",MENU!J43)</f>
        <v/>
      </c>
      <c r="E45" s="13" t="str">
        <f>IF(MENU!H43="","",MENU!K43)</f>
        <v/>
      </c>
    </row>
    <row r="46" spans="1:5" x14ac:dyDescent="0.3">
      <c r="A46" s="13" t="str">
        <f>IF(MENU!D44="","",MENU!D44)</f>
        <v/>
      </c>
      <c r="B46" s="13" t="str">
        <f>IF(MENU!F44="","",MENU!F44)</f>
        <v/>
      </c>
      <c r="C46" s="13" t="str">
        <f>IF(MENU!J44="","",MENU!K44)</f>
        <v/>
      </c>
      <c r="D46" s="13" t="str">
        <f>IF(MENU!G44="","",MENU!J44)</f>
        <v/>
      </c>
      <c r="E46" s="13" t="str">
        <f>IF(MENU!H44="","",MENU!K44)</f>
        <v/>
      </c>
    </row>
    <row r="47" spans="1:5" x14ac:dyDescent="0.3">
      <c r="A47" s="13" t="str">
        <f>IF(MENU!D45="","",MENU!D45)</f>
        <v/>
      </c>
      <c r="B47" s="13" t="str">
        <f>IF(MENU!F45="","",MENU!F45)</f>
        <v/>
      </c>
      <c r="C47" s="13" t="str">
        <f>IF(MENU!J45="","",MENU!K45)</f>
        <v/>
      </c>
      <c r="D47" s="13" t="str">
        <f>IF(MENU!G45="","",MENU!J45)</f>
        <v/>
      </c>
      <c r="E47" s="13" t="str">
        <f>IF(MENU!H45="","",MENU!K45)</f>
        <v/>
      </c>
    </row>
    <row r="48" spans="1:5" x14ac:dyDescent="0.3">
      <c r="A48" s="13" t="str">
        <f>IF(MENU!D46="","",MENU!D46)</f>
        <v/>
      </c>
      <c r="B48" s="13" t="str">
        <f>IF(MENU!F46="","",MENU!F46)</f>
        <v/>
      </c>
      <c r="C48" s="13" t="str">
        <f>IF(MENU!J46="","",MENU!K46)</f>
        <v/>
      </c>
      <c r="D48" s="13" t="str">
        <f>IF(MENU!G46="","",MENU!J46)</f>
        <v/>
      </c>
      <c r="E48" s="13" t="str">
        <f>IF(MENU!H46="","",MENU!K46)</f>
        <v/>
      </c>
    </row>
    <row r="49" spans="1:5" x14ac:dyDescent="0.3">
      <c r="A49" s="13" t="str">
        <f>IF(MENU!D47="","",MENU!D47)</f>
        <v/>
      </c>
      <c r="B49" s="13" t="str">
        <f>IF(MENU!F47="","",MENU!F47)</f>
        <v/>
      </c>
      <c r="C49" s="13" t="str">
        <f>IF(MENU!J47="","",MENU!K47)</f>
        <v/>
      </c>
      <c r="D49" s="13" t="str">
        <f>IF(MENU!G47="","",MENU!J47)</f>
        <v/>
      </c>
      <c r="E49" s="13" t="str">
        <f>IF(MENU!H47="","",MENU!K47)</f>
        <v/>
      </c>
    </row>
    <row r="50" spans="1:5" x14ac:dyDescent="0.3">
      <c r="A50" s="13" t="str">
        <f>IF(MENU!D48="","",MENU!D48)</f>
        <v/>
      </c>
      <c r="B50" s="13" t="str">
        <f>IF(MENU!F48="","",MENU!F48)</f>
        <v/>
      </c>
      <c r="C50" s="13" t="str">
        <f>IF(MENU!J48="","",MENU!K48)</f>
        <v/>
      </c>
      <c r="D50" s="13" t="str">
        <f>IF(MENU!G48="","",MENU!J48)</f>
        <v/>
      </c>
      <c r="E50" s="13" t="str">
        <f>IF(MENU!H48="","",MENU!K48)</f>
        <v/>
      </c>
    </row>
    <row r="51" spans="1:5" x14ac:dyDescent="0.3">
      <c r="A51" s="13" t="str">
        <f>IF(MENU!D49="","",MENU!D49)</f>
        <v/>
      </c>
      <c r="B51" s="13" t="str">
        <f>IF(MENU!F49="","",MENU!F49)</f>
        <v/>
      </c>
      <c r="C51" s="13" t="str">
        <f>IF(MENU!J49="","",MENU!K49)</f>
        <v/>
      </c>
      <c r="D51" s="13" t="str">
        <f>IF(MENU!G49="","",MENU!J49)</f>
        <v/>
      </c>
      <c r="E51" s="13" t="str">
        <f>IF(MENU!H49="","",MENU!K49)</f>
        <v/>
      </c>
    </row>
    <row r="52" spans="1:5" x14ac:dyDescent="0.3">
      <c r="A52" s="13" t="str">
        <f>IF(MENU!D50="","",MENU!D50)</f>
        <v/>
      </c>
      <c r="B52" s="13" t="str">
        <f>IF(MENU!F50="","",MENU!F50)</f>
        <v/>
      </c>
      <c r="C52" s="13" t="str">
        <f>IF(MENU!J50="","",MENU!K50)</f>
        <v/>
      </c>
      <c r="D52" s="13" t="str">
        <f>IF(MENU!G50="","",MENU!J50)</f>
        <v/>
      </c>
      <c r="E52" s="13" t="str">
        <f>IF(MENU!H50="","",MENU!K50)</f>
        <v/>
      </c>
    </row>
    <row r="53" spans="1:5" x14ac:dyDescent="0.3">
      <c r="A53" s="13" t="str">
        <f>IF(MENU!D51="","",MENU!D51)</f>
        <v/>
      </c>
      <c r="B53" s="13" t="str">
        <f>IF(MENU!F51="","",MENU!F51)</f>
        <v/>
      </c>
      <c r="C53" s="13" t="str">
        <f>IF(MENU!J51="","",MENU!K51)</f>
        <v/>
      </c>
      <c r="D53" s="13" t="str">
        <f>IF(MENU!G51="","",MENU!J51)</f>
        <v/>
      </c>
      <c r="E53" s="13" t="str">
        <f>IF(MENU!H51="","",MENU!K51)</f>
        <v/>
      </c>
    </row>
    <row r="54" spans="1:5" x14ac:dyDescent="0.3">
      <c r="A54" s="13" t="str">
        <f>IF(MENU!D52="","",MENU!D52)</f>
        <v/>
      </c>
      <c r="B54" s="13" t="str">
        <f>IF(MENU!F52="","",MENU!F52)</f>
        <v/>
      </c>
      <c r="C54" s="13" t="str">
        <f>IF(MENU!J52="","",MENU!K52)</f>
        <v/>
      </c>
      <c r="D54" s="13" t="str">
        <f>IF(MENU!G52="","",MENU!J52)</f>
        <v/>
      </c>
      <c r="E54" s="13" t="str">
        <f>IF(MENU!H52="","",MENU!K52)</f>
        <v/>
      </c>
    </row>
    <row r="55" spans="1:5" x14ac:dyDescent="0.3">
      <c r="A55" s="13" t="str">
        <f>IF(MENU!D53="","",MENU!D53)</f>
        <v/>
      </c>
      <c r="B55" s="13" t="str">
        <f>IF(MENU!F53="","",MENU!F53)</f>
        <v/>
      </c>
      <c r="C55" s="13" t="str">
        <f>IF(MENU!J53="","",MENU!K53)</f>
        <v/>
      </c>
      <c r="D55" s="13" t="str">
        <f>IF(MENU!G53="","",MENU!J53)</f>
        <v/>
      </c>
      <c r="E55" s="13" t="str">
        <f>IF(MENU!H53="","",MENU!K53)</f>
        <v/>
      </c>
    </row>
    <row r="56" spans="1:5" x14ac:dyDescent="0.3">
      <c r="A56" s="13" t="str">
        <f>IF(MENU!D54="","",MENU!D54)</f>
        <v/>
      </c>
      <c r="B56" s="13" t="str">
        <f>IF(MENU!F54="","",MENU!F54)</f>
        <v/>
      </c>
      <c r="C56" s="13" t="str">
        <f>IF(MENU!J54="","",MENU!K54)</f>
        <v/>
      </c>
      <c r="D56" s="13" t="str">
        <f>IF(MENU!G54="","",MENU!J54)</f>
        <v/>
      </c>
      <c r="E56" s="13" t="str">
        <f>IF(MENU!H54="","",MENU!K54)</f>
        <v/>
      </c>
    </row>
    <row r="57" spans="1:5" x14ac:dyDescent="0.3">
      <c r="A57" s="13" t="str">
        <f>IF(MENU!D55="","",MENU!D55)</f>
        <v/>
      </c>
      <c r="B57" s="13" t="str">
        <f>IF(MENU!F55="","",MENU!F55)</f>
        <v/>
      </c>
      <c r="C57" s="13" t="str">
        <f>IF(MENU!J55="","",MENU!K55)</f>
        <v/>
      </c>
      <c r="D57" s="13" t="str">
        <f>IF(MENU!G55="","",MENU!J55)</f>
        <v/>
      </c>
      <c r="E57" s="13" t="str">
        <f>IF(MENU!H55="","",MENU!K55)</f>
        <v/>
      </c>
    </row>
    <row r="58" spans="1:5" x14ac:dyDescent="0.3">
      <c r="A58" s="13" t="str">
        <f>IF(MENU!D56="","",MENU!D56)</f>
        <v/>
      </c>
      <c r="B58" s="13" t="str">
        <f>IF(MENU!F56="","",MENU!F56)</f>
        <v/>
      </c>
      <c r="C58" s="13" t="str">
        <f>IF(MENU!J56="","",MENU!K56)</f>
        <v/>
      </c>
      <c r="D58" s="13" t="str">
        <f>IF(MENU!G56="","",MENU!J56)</f>
        <v/>
      </c>
      <c r="E58" s="13" t="str">
        <f>IF(MENU!H56="","",MENU!K56)</f>
        <v/>
      </c>
    </row>
    <row r="59" spans="1:5" x14ac:dyDescent="0.3">
      <c r="A59" s="13" t="str">
        <f>IF(MENU!D57="","",MENU!D57)</f>
        <v/>
      </c>
      <c r="B59" s="13" t="str">
        <f>IF(MENU!F57="","",MENU!F57)</f>
        <v/>
      </c>
      <c r="C59" s="13" t="str">
        <f>IF(MENU!J57="","",MENU!K57)</f>
        <v/>
      </c>
      <c r="D59" s="13" t="str">
        <f>IF(MENU!G57="","",MENU!J57)</f>
        <v/>
      </c>
      <c r="E59" s="13" t="str">
        <f>IF(MENU!H57="","",MENU!K57)</f>
        <v/>
      </c>
    </row>
    <row r="60" spans="1:5" x14ac:dyDescent="0.3">
      <c r="A60" s="13" t="str">
        <f>IF(MENU!D58="","",MENU!D58)</f>
        <v/>
      </c>
      <c r="B60" s="13" t="str">
        <f>IF(MENU!F58="","",MENU!F58)</f>
        <v/>
      </c>
      <c r="C60" s="13" t="str">
        <f>IF(MENU!J58="","",MENU!K58)</f>
        <v/>
      </c>
      <c r="D60" s="13" t="str">
        <f>IF(MENU!G58="","",MENU!J58)</f>
        <v/>
      </c>
      <c r="E60" s="13" t="str">
        <f>IF(MENU!H58="","",MENU!K58)</f>
        <v/>
      </c>
    </row>
    <row r="61" spans="1:5" x14ac:dyDescent="0.3">
      <c r="A61" s="13" t="str">
        <f>IF(MENU!D59="","",MENU!D59)</f>
        <v/>
      </c>
      <c r="B61" s="13" t="str">
        <f>IF(MENU!F59="","",MENU!F59)</f>
        <v/>
      </c>
      <c r="C61" s="13" t="str">
        <f>IF(MENU!J59="","",MENU!K59)</f>
        <v/>
      </c>
      <c r="D61" s="13" t="str">
        <f>IF(MENU!G59="","",MENU!J59)</f>
        <v/>
      </c>
      <c r="E61" s="13" t="str">
        <f>IF(MENU!H59="","",MENU!K59)</f>
        <v/>
      </c>
    </row>
    <row r="62" spans="1:5" x14ac:dyDescent="0.3">
      <c r="A62" s="13" t="str">
        <f>IF(MENU!D60="","",MENU!D60)</f>
        <v/>
      </c>
      <c r="B62" s="13" t="str">
        <f>IF(MENU!F60="","",MENU!F60)</f>
        <v/>
      </c>
      <c r="C62" s="13" t="str">
        <f>IF(MENU!J60="","",MENU!K60)</f>
        <v/>
      </c>
      <c r="D62" s="13" t="str">
        <f>IF(MENU!G60="","",MENU!J60)</f>
        <v/>
      </c>
      <c r="E62" s="13" t="str">
        <f>IF(MENU!H60="","",MENU!K60)</f>
        <v/>
      </c>
    </row>
    <row r="63" spans="1:5" x14ac:dyDescent="0.3">
      <c r="A63" s="13" t="str">
        <f>IF(MENU!D61="","",MENU!D61)</f>
        <v/>
      </c>
      <c r="B63" s="13" t="str">
        <f>IF(MENU!F61="","",MENU!F61)</f>
        <v/>
      </c>
      <c r="C63" s="13" t="str">
        <f>IF(MENU!J61="","",MENU!K61)</f>
        <v/>
      </c>
      <c r="D63" s="13" t="str">
        <f>IF(MENU!G61="","",MENU!J61)</f>
        <v/>
      </c>
      <c r="E63" s="13" t="str">
        <f>IF(MENU!H61="","",MENU!K61)</f>
        <v/>
      </c>
    </row>
    <row r="64" spans="1:5" x14ac:dyDescent="0.3">
      <c r="A64" s="13" t="str">
        <f>IF(MENU!D62="","",MENU!D62)</f>
        <v/>
      </c>
      <c r="B64" s="13" t="str">
        <f>IF(MENU!F62="","",MENU!F62)</f>
        <v/>
      </c>
      <c r="C64" s="13" t="str">
        <f>IF(MENU!J62="","",MENU!K62)</f>
        <v/>
      </c>
      <c r="D64" s="13" t="str">
        <f>IF(MENU!G62="","",MENU!J62)</f>
        <v/>
      </c>
      <c r="E64" s="13" t="str">
        <f>IF(MENU!H62="","",MENU!K62)</f>
        <v/>
      </c>
    </row>
    <row r="65" spans="1:5" x14ac:dyDescent="0.3">
      <c r="A65" s="13" t="str">
        <f>IF(MENU!D63="","",MENU!D63)</f>
        <v/>
      </c>
      <c r="B65" s="13" t="str">
        <f>IF(MENU!F63="","",MENU!F63)</f>
        <v/>
      </c>
      <c r="C65" s="13" t="str">
        <f>IF(MENU!J63="","",MENU!K63)</f>
        <v/>
      </c>
      <c r="D65" s="13" t="str">
        <f>IF(MENU!G63="","",MENU!J63)</f>
        <v/>
      </c>
      <c r="E65" s="13" t="str">
        <f>IF(MENU!H63="","",MENU!K63)</f>
        <v/>
      </c>
    </row>
    <row r="66" spans="1:5" x14ac:dyDescent="0.3">
      <c r="A66" s="13" t="str">
        <f>IF(MENU!D64="","",MENU!D64)</f>
        <v/>
      </c>
      <c r="B66" s="13" t="str">
        <f>IF(MENU!F64="","",MENU!F64)</f>
        <v/>
      </c>
      <c r="C66" s="13" t="str">
        <f>IF(MENU!J64="","",MENU!K64)</f>
        <v/>
      </c>
      <c r="D66" s="13" t="str">
        <f>IF(MENU!G64="","",MENU!J64)</f>
        <v/>
      </c>
      <c r="E66" s="13" t="str">
        <f>IF(MENU!H64="","",MENU!K64)</f>
        <v/>
      </c>
    </row>
    <row r="67" spans="1:5" x14ac:dyDescent="0.3">
      <c r="A67" s="13" t="str">
        <f>IF(MENU!D65="","",MENU!D65)</f>
        <v/>
      </c>
      <c r="B67" s="13" t="str">
        <f>IF(MENU!F65="","",MENU!F65)</f>
        <v/>
      </c>
      <c r="C67" s="13" t="str">
        <f>IF(MENU!J65="","",MENU!K65)</f>
        <v/>
      </c>
      <c r="D67" s="13" t="str">
        <f>IF(MENU!G65="","",MENU!J65)</f>
        <v/>
      </c>
      <c r="E67" s="13" t="str">
        <f>IF(MENU!H65="","",MENU!K65)</f>
        <v/>
      </c>
    </row>
    <row r="68" spans="1:5" x14ac:dyDescent="0.3">
      <c r="A68" s="13" t="str">
        <f>IF(MENU!D66="","",MENU!D66)</f>
        <v/>
      </c>
      <c r="B68" s="13" t="str">
        <f>IF(MENU!F66="","",MENU!F66)</f>
        <v/>
      </c>
      <c r="C68" s="13" t="str">
        <f>IF(MENU!J66="","",MENU!K66)</f>
        <v/>
      </c>
      <c r="D68" s="13" t="str">
        <f>IF(MENU!G66="","",MENU!J66)</f>
        <v/>
      </c>
      <c r="E68" s="13" t="str">
        <f>IF(MENU!H66="","",MENU!K66)</f>
        <v/>
      </c>
    </row>
    <row r="69" spans="1:5" x14ac:dyDescent="0.3">
      <c r="A69" s="13" t="str">
        <f>IF(MENU!D67="","",MENU!D67)</f>
        <v/>
      </c>
      <c r="B69" s="13" t="str">
        <f>IF(MENU!F67="","",MENU!F67)</f>
        <v/>
      </c>
      <c r="C69" s="13" t="str">
        <f>IF(MENU!J67="","",MENU!K67)</f>
        <v/>
      </c>
      <c r="D69" s="13" t="str">
        <f>IF(MENU!G67="","",MENU!J67)</f>
        <v/>
      </c>
      <c r="E69" s="13" t="str">
        <f>IF(MENU!H67="","",MENU!K67)</f>
        <v/>
      </c>
    </row>
    <row r="70" spans="1:5" x14ac:dyDescent="0.3">
      <c r="A70" s="13" t="str">
        <f>IF(MENU!D68="","",MENU!D68)</f>
        <v/>
      </c>
      <c r="B70" s="13" t="str">
        <f>IF(MENU!F68="","",MENU!F68)</f>
        <v/>
      </c>
      <c r="C70" s="13" t="str">
        <f>IF(MENU!J68="","",MENU!K68)</f>
        <v/>
      </c>
      <c r="D70" s="13" t="str">
        <f>IF(MENU!G68="","",MENU!J68)</f>
        <v/>
      </c>
      <c r="E70" s="13" t="str">
        <f>IF(MENU!H68="","",MENU!K68)</f>
        <v/>
      </c>
    </row>
    <row r="71" spans="1:5" x14ac:dyDescent="0.3">
      <c r="A71" s="13" t="str">
        <f>IF(MENU!D69="","",MENU!D69)</f>
        <v/>
      </c>
      <c r="B71" s="13" t="str">
        <f>IF(MENU!F69="","",MENU!F69)</f>
        <v/>
      </c>
      <c r="C71" s="13" t="str">
        <f>IF(MENU!J69="","",MENU!K69)</f>
        <v/>
      </c>
      <c r="D71" s="13" t="str">
        <f>IF(MENU!G69="","",MENU!J69)</f>
        <v/>
      </c>
      <c r="E71" s="13" t="str">
        <f>IF(MENU!H69="","",MENU!K69)</f>
        <v/>
      </c>
    </row>
    <row r="72" spans="1:5" x14ac:dyDescent="0.3">
      <c r="A72" s="13" t="str">
        <f>IF(MENU!D70="","",MENU!D70)</f>
        <v/>
      </c>
      <c r="B72" s="13" t="str">
        <f>IF(MENU!F70="","",MENU!F70)</f>
        <v/>
      </c>
      <c r="C72" s="13" t="str">
        <f>IF(MENU!J70="","",MENU!K70)</f>
        <v/>
      </c>
      <c r="D72" s="13" t="str">
        <f>IF(MENU!G70="","",MENU!J70)</f>
        <v/>
      </c>
      <c r="E72" s="13" t="str">
        <f>IF(MENU!H70="","",MENU!K70)</f>
        <v/>
      </c>
    </row>
    <row r="73" spans="1:5" x14ac:dyDescent="0.3">
      <c r="A73" s="13" t="str">
        <f>IF(MENU!D71="","",MENU!D71)</f>
        <v/>
      </c>
      <c r="B73" s="13" t="str">
        <f>IF(MENU!F71="","",MENU!F71)</f>
        <v/>
      </c>
      <c r="C73" s="13" t="str">
        <f>IF(MENU!J71="","",MENU!K71)</f>
        <v/>
      </c>
      <c r="D73" s="13" t="str">
        <f>IF(MENU!G71="","",MENU!J71)</f>
        <v/>
      </c>
      <c r="E73" s="13" t="str">
        <f>IF(MENU!H71="","",MENU!K71)</f>
        <v/>
      </c>
    </row>
    <row r="74" spans="1:5" x14ac:dyDescent="0.3">
      <c r="A74" s="13" t="str">
        <f>IF(MENU!D72="","",MENU!D72)</f>
        <v/>
      </c>
      <c r="B74" s="13" t="str">
        <f>IF(MENU!F72="","",MENU!F72)</f>
        <v/>
      </c>
      <c r="C74" s="13" t="str">
        <f>IF(MENU!J72="","",MENU!K72)</f>
        <v/>
      </c>
      <c r="D74" s="13" t="str">
        <f>IF(MENU!G72="","",MENU!J72)</f>
        <v/>
      </c>
      <c r="E74" s="13" t="str">
        <f>IF(MENU!H72="","",MENU!K72)</f>
        <v/>
      </c>
    </row>
    <row r="75" spans="1:5" x14ac:dyDescent="0.3">
      <c r="A75" s="13" t="str">
        <f>IF(MENU!D73="","",MENU!D73)</f>
        <v/>
      </c>
      <c r="B75" s="13" t="str">
        <f>IF(MENU!F73="","",MENU!F73)</f>
        <v/>
      </c>
      <c r="C75" s="13" t="str">
        <f>IF(MENU!J73="","",MENU!K73)</f>
        <v/>
      </c>
      <c r="D75" s="13" t="str">
        <f>IF(MENU!G73="","",MENU!J73)</f>
        <v/>
      </c>
      <c r="E75" s="13" t="str">
        <f>IF(MENU!H73="","",MENU!K73)</f>
        <v/>
      </c>
    </row>
    <row r="76" spans="1:5" x14ac:dyDescent="0.3">
      <c r="A76" s="13" t="str">
        <f>IF(MENU!D74="","",MENU!D74)</f>
        <v/>
      </c>
      <c r="B76" s="13" t="str">
        <f>IF(MENU!F74="","",MENU!F74)</f>
        <v/>
      </c>
      <c r="C76" s="13" t="str">
        <f>IF(MENU!J74="","",MENU!K74)</f>
        <v/>
      </c>
      <c r="D76" s="13" t="str">
        <f>IF(MENU!G74="","",MENU!J74)</f>
        <v/>
      </c>
      <c r="E76" s="13" t="str">
        <f>IF(MENU!H74="","",MENU!K74)</f>
        <v/>
      </c>
    </row>
    <row r="77" spans="1:5" x14ac:dyDescent="0.3">
      <c r="A77" s="13" t="str">
        <f>IF(MENU!D75="","",MENU!D75)</f>
        <v/>
      </c>
      <c r="B77" s="13" t="str">
        <f>IF(MENU!F75="","",MENU!F75)</f>
        <v/>
      </c>
      <c r="C77" s="13" t="str">
        <f>IF(MENU!J75="","",MENU!K75)</f>
        <v/>
      </c>
      <c r="D77" s="13" t="str">
        <f>IF(MENU!G75="","",MENU!J75)</f>
        <v/>
      </c>
      <c r="E77" s="13" t="str">
        <f>IF(MENU!H75="","",MENU!K75)</f>
        <v/>
      </c>
    </row>
    <row r="78" spans="1:5" x14ac:dyDescent="0.3">
      <c r="A78" s="13" t="str">
        <f>IF(MENU!D76="","",MENU!D76)</f>
        <v/>
      </c>
      <c r="B78" s="13" t="str">
        <f>IF(MENU!F76="","",MENU!F76)</f>
        <v/>
      </c>
      <c r="C78" s="13" t="str">
        <f>IF(MENU!J76="","",MENU!K76)</f>
        <v/>
      </c>
      <c r="D78" s="13" t="str">
        <f>IF(MENU!G76="","",MENU!J76)</f>
        <v/>
      </c>
      <c r="E78" s="13" t="str">
        <f>IF(MENU!H76="","",MENU!K76)</f>
        <v/>
      </c>
    </row>
    <row r="79" spans="1:5" x14ac:dyDescent="0.3">
      <c r="A79" s="13" t="str">
        <f>IF(MENU!D77="","",MENU!D77)</f>
        <v/>
      </c>
      <c r="B79" s="13" t="str">
        <f>IF(MENU!F77="","",MENU!F77)</f>
        <v/>
      </c>
      <c r="C79" s="13" t="str">
        <f>IF(MENU!J77="","",MENU!K77)</f>
        <v/>
      </c>
      <c r="D79" s="13" t="str">
        <f>IF(MENU!G77="","",MENU!J77)</f>
        <v/>
      </c>
      <c r="E79" s="13" t="str">
        <f>IF(MENU!H77="","",MENU!K77)</f>
        <v/>
      </c>
    </row>
    <row r="80" spans="1:5" x14ac:dyDescent="0.3">
      <c r="A80" s="13" t="str">
        <f>IF(MENU!D78="","",MENU!D78)</f>
        <v/>
      </c>
      <c r="B80" s="13" t="str">
        <f>IF(MENU!F78="","",MENU!F78)</f>
        <v/>
      </c>
      <c r="C80" s="13" t="str">
        <f>IF(MENU!J78="","",MENU!K78)</f>
        <v/>
      </c>
      <c r="D80" s="13" t="str">
        <f>IF(MENU!G78="","",MENU!J78)</f>
        <v/>
      </c>
      <c r="E80" s="13" t="str">
        <f>IF(MENU!H78="","",MENU!K78)</f>
        <v/>
      </c>
    </row>
    <row r="81" spans="1:5" x14ac:dyDescent="0.3">
      <c r="A81" s="13" t="str">
        <f>IF(MENU!D79="","",MENU!D79)</f>
        <v/>
      </c>
      <c r="B81" s="13" t="str">
        <f>IF(MENU!F79="","",MENU!F79)</f>
        <v/>
      </c>
      <c r="C81" s="13" t="str">
        <f>IF(MENU!J79="","",MENU!K79)</f>
        <v/>
      </c>
      <c r="D81" s="13" t="str">
        <f>IF(MENU!G79="","",MENU!J79)</f>
        <v/>
      </c>
      <c r="E81" s="13" t="str">
        <f>IF(MENU!H79="","",MENU!K79)</f>
        <v/>
      </c>
    </row>
    <row r="82" spans="1:5" x14ac:dyDescent="0.3">
      <c r="A82" s="13" t="str">
        <f>IF(MENU!D80="","",MENU!D80)</f>
        <v/>
      </c>
      <c r="B82" s="13" t="str">
        <f>IF(MENU!F80="","",MENU!F80)</f>
        <v/>
      </c>
      <c r="C82" s="13" t="str">
        <f>IF(MENU!J80="","",MENU!K80)</f>
        <v/>
      </c>
      <c r="D82" s="13" t="str">
        <f>IF(MENU!G80="","",MENU!J80)</f>
        <v/>
      </c>
      <c r="E82" s="13" t="str">
        <f>IF(MENU!H80="","",MENU!K80)</f>
        <v/>
      </c>
    </row>
    <row r="83" spans="1:5" x14ac:dyDescent="0.3">
      <c r="A83" s="13" t="str">
        <f>IF(MENU!D81="","",MENU!D81)</f>
        <v/>
      </c>
      <c r="B83" s="13" t="str">
        <f>IF(MENU!F81="","",MENU!F81)</f>
        <v/>
      </c>
      <c r="C83" s="13" t="str">
        <f>IF(MENU!J81="","",MENU!K81)</f>
        <v/>
      </c>
      <c r="D83" s="13" t="str">
        <f>IF(MENU!G81="","",MENU!J81)</f>
        <v/>
      </c>
      <c r="E83" s="13" t="str">
        <f>IF(MENU!H81="","",MENU!K81)</f>
        <v/>
      </c>
    </row>
    <row r="84" spans="1:5" x14ac:dyDescent="0.3">
      <c r="A84" s="13" t="str">
        <f>IF(MENU!D82="","",MENU!D82)</f>
        <v/>
      </c>
      <c r="B84" s="13" t="str">
        <f>IF(MENU!F82="","",MENU!F82)</f>
        <v/>
      </c>
      <c r="C84" s="13" t="str">
        <f>IF(MENU!J82="","",MENU!K82)</f>
        <v/>
      </c>
      <c r="D84" s="13" t="str">
        <f>IF(MENU!G82="","",MENU!J82)</f>
        <v/>
      </c>
      <c r="E84" s="13" t="str">
        <f>IF(MENU!H82="","",MENU!K82)</f>
        <v/>
      </c>
    </row>
    <row r="85" spans="1:5" x14ac:dyDescent="0.3">
      <c r="A85" s="13" t="str">
        <f>IF(MENU!D83="","",MENU!D83)</f>
        <v/>
      </c>
      <c r="B85" s="13" t="str">
        <f>IF(MENU!F83="","",MENU!F83)</f>
        <v/>
      </c>
      <c r="C85" s="13" t="str">
        <f>IF(MENU!J83="","",MENU!K83)</f>
        <v/>
      </c>
      <c r="D85" s="13" t="str">
        <f>IF(MENU!G83="","",MENU!J83)</f>
        <v/>
      </c>
      <c r="E85" s="13" t="str">
        <f>IF(MENU!H83="","",MENU!K83)</f>
        <v/>
      </c>
    </row>
    <row r="86" spans="1:5" x14ac:dyDescent="0.3">
      <c r="A86" s="13" t="str">
        <f>IF(MENU!D84="","",MENU!D84)</f>
        <v/>
      </c>
      <c r="B86" s="13" t="str">
        <f>IF(MENU!F84="","",MENU!F84)</f>
        <v/>
      </c>
      <c r="C86" s="13" t="str">
        <f>IF(MENU!J84="","",MENU!K84)</f>
        <v/>
      </c>
      <c r="D86" s="13" t="str">
        <f>IF(MENU!G84="","",MENU!J84)</f>
        <v/>
      </c>
      <c r="E86" s="13" t="str">
        <f>IF(MENU!H84="","",MENU!K84)</f>
        <v/>
      </c>
    </row>
    <row r="87" spans="1:5" x14ac:dyDescent="0.3">
      <c r="A87" s="13" t="str">
        <f>IF(MENU!D85="","",MENU!D85)</f>
        <v/>
      </c>
      <c r="B87" s="13" t="str">
        <f>IF(MENU!F85="","",MENU!F85)</f>
        <v/>
      </c>
      <c r="C87" s="13" t="str">
        <f>IF(MENU!J85="","",MENU!K85)</f>
        <v/>
      </c>
      <c r="D87" s="13" t="str">
        <f>IF(MENU!G85="","",MENU!J85)</f>
        <v/>
      </c>
      <c r="E87" s="13" t="str">
        <f>IF(MENU!H85="","",MENU!K85)</f>
        <v/>
      </c>
    </row>
    <row r="88" spans="1:5" x14ac:dyDescent="0.3">
      <c r="A88" s="13" t="str">
        <f>IF(MENU!D86="","",MENU!D86)</f>
        <v/>
      </c>
      <c r="B88" s="13" t="str">
        <f>IF(MENU!F86="","",MENU!F86)</f>
        <v/>
      </c>
      <c r="C88" s="13" t="str">
        <f>IF(MENU!J86="","",MENU!K86)</f>
        <v/>
      </c>
      <c r="D88" s="13" t="str">
        <f>IF(MENU!G86="","",MENU!J86)</f>
        <v/>
      </c>
      <c r="E88" s="13" t="str">
        <f>IF(MENU!H86="","",MENU!K86)</f>
        <v/>
      </c>
    </row>
    <row r="89" spans="1:5" x14ac:dyDescent="0.3">
      <c r="A89" s="13" t="str">
        <f>IF(MENU!D87="","",MENU!D87)</f>
        <v/>
      </c>
      <c r="B89" s="13" t="str">
        <f>IF(MENU!F87="","",MENU!F87)</f>
        <v/>
      </c>
      <c r="C89" s="13" t="str">
        <f>IF(MENU!J87="","",MENU!K87)</f>
        <v/>
      </c>
      <c r="D89" s="13" t="str">
        <f>IF(MENU!G87="","",MENU!J87)</f>
        <v/>
      </c>
      <c r="E89" s="13" t="str">
        <f>IF(MENU!H87="","",MENU!K87)</f>
        <v/>
      </c>
    </row>
    <row r="90" spans="1:5" x14ac:dyDescent="0.3">
      <c r="A90" s="13" t="str">
        <f>IF(MENU!D88="","",MENU!D88)</f>
        <v/>
      </c>
      <c r="B90" s="13" t="str">
        <f>IF(MENU!F88="","",MENU!F88)</f>
        <v/>
      </c>
      <c r="C90" s="13" t="str">
        <f>IF(MENU!J88="","",MENU!K88)</f>
        <v/>
      </c>
      <c r="D90" s="13" t="str">
        <f>IF(MENU!G88="","",MENU!J88)</f>
        <v/>
      </c>
      <c r="E90" s="13" t="str">
        <f>IF(MENU!H88="","",MENU!K88)</f>
        <v/>
      </c>
    </row>
    <row r="91" spans="1:5" x14ac:dyDescent="0.3">
      <c r="A91" s="13" t="str">
        <f>IF(MENU!D89="","",MENU!D89)</f>
        <v/>
      </c>
      <c r="B91" s="13" t="str">
        <f>IF(MENU!F89="","",MENU!F89)</f>
        <v/>
      </c>
      <c r="C91" s="13" t="str">
        <f>IF(MENU!J89="","",MENU!K89)</f>
        <v/>
      </c>
      <c r="D91" s="13" t="str">
        <f>IF(MENU!G89="","",MENU!J89)</f>
        <v/>
      </c>
      <c r="E91" s="13" t="str">
        <f>IF(MENU!H89="","",MENU!K89)</f>
        <v/>
      </c>
    </row>
    <row r="92" spans="1:5" x14ac:dyDescent="0.3">
      <c r="A92" s="13" t="str">
        <f>IF(MENU!D90="","",MENU!D90)</f>
        <v/>
      </c>
      <c r="B92" s="13" t="str">
        <f>IF(MENU!F90="","",MENU!F90)</f>
        <v/>
      </c>
      <c r="C92" s="13" t="str">
        <f>IF(MENU!J90="","",MENU!K90)</f>
        <v/>
      </c>
      <c r="D92" s="13" t="str">
        <f>IF(MENU!G90="","",MENU!J90)</f>
        <v/>
      </c>
      <c r="E92" s="13" t="str">
        <f>IF(MENU!H90="","",MENU!K90)</f>
        <v/>
      </c>
    </row>
    <row r="93" spans="1:5" x14ac:dyDescent="0.3">
      <c r="A93" s="13" t="str">
        <f>IF(MENU!D91="","",MENU!D91)</f>
        <v/>
      </c>
      <c r="B93" s="13" t="str">
        <f>IF(MENU!F91="","",MENU!F91)</f>
        <v/>
      </c>
      <c r="C93" s="13" t="str">
        <f>IF(MENU!J91="","",MENU!K91)</f>
        <v/>
      </c>
      <c r="D93" s="13" t="str">
        <f>IF(MENU!G91="","",MENU!J91)</f>
        <v/>
      </c>
      <c r="E93" s="13" t="str">
        <f>IF(MENU!H91="","",MENU!K91)</f>
        <v/>
      </c>
    </row>
    <row r="94" spans="1:5" x14ac:dyDescent="0.3">
      <c r="A94" s="13" t="str">
        <f>IF(MENU!D92="","",MENU!D92)</f>
        <v/>
      </c>
      <c r="B94" s="13" t="str">
        <f>IF(MENU!F92="","",MENU!F92)</f>
        <v/>
      </c>
      <c r="C94" s="13" t="str">
        <f>IF(MENU!J92="","",MENU!K92)</f>
        <v/>
      </c>
      <c r="D94" s="13" t="str">
        <f>IF(MENU!G92="","",MENU!J92)</f>
        <v/>
      </c>
      <c r="E94" s="13" t="str">
        <f>IF(MENU!H92="","",MENU!K92)</f>
        <v/>
      </c>
    </row>
    <row r="95" spans="1:5" x14ac:dyDescent="0.3">
      <c r="A95" s="13" t="str">
        <f>IF(MENU!D93="","",MENU!D93)</f>
        <v/>
      </c>
      <c r="B95" s="13" t="str">
        <f>IF(MENU!F93="","",MENU!F93)</f>
        <v/>
      </c>
      <c r="C95" s="13" t="str">
        <f>IF(MENU!J93="","",MENU!K93)</f>
        <v/>
      </c>
      <c r="D95" s="13" t="str">
        <f>IF(MENU!G93="","",MENU!J93)</f>
        <v/>
      </c>
      <c r="E95" s="13" t="str">
        <f>IF(MENU!H93="","",MENU!K93)</f>
        <v/>
      </c>
    </row>
    <row r="96" spans="1:5" x14ac:dyDescent="0.3">
      <c r="A96" s="13" t="str">
        <f>IF(MENU!D94="","",MENU!D94)</f>
        <v/>
      </c>
      <c r="B96" s="13" t="str">
        <f>IF(MENU!F94="","",MENU!F94)</f>
        <v/>
      </c>
      <c r="C96" s="13" t="str">
        <f>IF(MENU!J94="","",MENU!K94)</f>
        <v/>
      </c>
      <c r="D96" s="13" t="str">
        <f>IF(MENU!G94="","",MENU!J94)</f>
        <v/>
      </c>
      <c r="E96" s="13" t="str">
        <f>IF(MENU!H94="","",MENU!K94)</f>
        <v/>
      </c>
    </row>
    <row r="97" spans="1:5" x14ac:dyDescent="0.3">
      <c r="A97" s="13" t="str">
        <f>IF(MENU!D95="","",MENU!D95)</f>
        <v/>
      </c>
      <c r="B97" s="13" t="str">
        <f>IF(MENU!F95="","",MENU!F95)</f>
        <v/>
      </c>
      <c r="C97" s="13" t="str">
        <f>IF(MENU!J95="","",MENU!K95)</f>
        <v/>
      </c>
      <c r="D97" s="13" t="str">
        <f>IF(MENU!G95="","",MENU!J95)</f>
        <v/>
      </c>
      <c r="E97" s="13" t="str">
        <f>IF(MENU!H95="","",MENU!K95)</f>
        <v/>
      </c>
    </row>
    <row r="98" spans="1:5" x14ac:dyDescent="0.3">
      <c r="A98" s="13" t="str">
        <f>IF(MENU!D96="","",MENU!D96)</f>
        <v/>
      </c>
      <c r="B98" s="13" t="str">
        <f>IF(MENU!F96="","",MENU!F96)</f>
        <v/>
      </c>
      <c r="C98" s="13" t="str">
        <f>IF(MENU!J96="","",MENU!K96)</f>
        <v/>
      </c>
      <c r="D98" s="13" t="str">
        <f>IF(MENU!G96="","",MENU!J96)</f>
        <v/>
      </c>
      <c r="E98" s="13" t="str">
        <f>IF(MENU!H96="","",MENU!K96)</f>
        <v/>
      </c>
    </row>
    <row r="99" spans="1:5" x14ac:dyDescent="0.3">
      <c r="A99" s="13" t="str">
        <f>IF(MENU!D97="","",MENU!D97)</f>
        <v/>
      </c>
      <c r="B99" s="13" t="str">
        <f>IF(MENU!F97="","",MENU!F97)</f>
        <v/>
      </c>
      <c r="C99" s="13" t="str">
        <f>IF(MENU!J97="","",MENU!K97)</f>
        <v/>
      </c>
      <c r="D99" s="13" t="str">
        <f>IF(MENU!G97="","",MENU!J97)</f>
        <v/>
      </c>
      <c r="E99" s="13" t="str">
        <f>IF(MENU!H97="","",MENU!K97)</f>
        <v/>
      </c>
    </row>
    <row r="100" spans="1:5" x14ac:dyDescent="0.3">
      <c r="A100" s="13" t="str">
        <f>IF(MENU!D98="","",MENU!D98)</f>
        <v/>
      </c>
      <c r="B100" s="13" t="str">
        <f>IF(MENU!F98="","",MENU!F98)</f>
        <v/>
      </c>
      <c r="C100" s="13" t="str">
        <f>IF(MENU!J98="","",MENU!K98)</f>
        <v/>
      </c>
      <c r="D100" s="13" t="str">
        <f>IF(MENU!G98="","",MENU!J98)</f>
        <v/>
      </c>
      <c r="E100" s="13" t="str">
        <f>IF(MENU!H98="","",MENU!K98)</f>
        <v/>
      </c>
    </row>
    <row r="101" spans="1:5" x14ac:dyDescent="0.3">
      <c r="A101" s="13" t="str">
        <f>IF(MENU!D99="","",MENU!D99)</f>
        <v/>
      </c>
      <c r="B101" s="13" t="str">
        <f>IF(MENU!F99="","",MENU!F99)</f>
        <v/>
      </c>
      <c r="C101" s="13" t="str">
        <f>IF(MENU!J99="","",MENU!K99)</f>
        <v/>
      </c>
      <c r="D101" s="13" t="str">
        <f>IF(MENU!G99="","",MENU!J99)</f>
        <v/>
      </c>
      <c r="E101" s="13" t="str">
        <f>IF(MENU!H99="","",MENU!K99)</f>
        <v/>
      </c>
    </row>
    <row r="102" spans="1:5" x14ac:dyDescent="0.3">
      <c r="A102" s="13" t="str">
        <f>IF(MENU!D100="","",MENU!D100)</f>
        <v/>
      </c>
      <c r="B102" s="13" t="str">
        <f>IF(MENU!F100="","",MENU!F100)</f>
        <v/>
      </c>
      <c r="C102" s="13" t="str">
        <f>IF(MENU!J100="","",MENU!K100)</f>
        <v/>
      </c>
      <c r="D102" s="13" t="str">
        <f>IF(MENU!G100="","",MENU!J100)</f>
        <v/>
      </c>
      <c r="E102" s="13" t="str">
        <f>IF(MENU!H100="","",MENU!K100)</f>
        <v/>
      </c>
    </row>
    <row r="103" spans="1:5" x14ac:dyDescent="0.3">
      <c r="A103" s="13" t="str">
        <f>IF(MENU!D101="","",MENU!D101)</f>
        <v/>
      </c>
      <c r="B103" s="13" t="str">
        <f>IF(MENU!F101="","",MENU!F101)</f>
        <v/>
      </c>
      <c r="C103" s="13" t="str">
        <f>IF(MENU!J101="","",MENU!K101)</f>
        <v/>
      </c>
      <c r="D103" s="13" t="str">
        <f>IF(MENU!G101="","",MENU!J101)</f>
        <v/>
      </c>
      <c r="E103" s="13" t="str">
        <f>IF(MENU!H101="","",MENU!K101)</f>
        <v/>
      </c>
    </row>
    <row r="104" spans="1:5" x14ac:dyDescent="0.3">
      <c r="A104" s="13" t="str">
        <f>IF(MENU!D102="","",MENU!D102)</f>
        <v/>
      </c>
      <c r="B104" s="13" t="str">
        <f>IF(MENU!F102="","",MENU!F102)</f>
        <v/>
      </c>
      <c r="C104" s="13" t="str">
        <f>IF(MENU!J102="","",MENU!K102)</f>
        <v/>
      </c>
      <c r="D104" s="13" t="str">
        <f>IF(MENU!G102="","",MENU!J102)</f>
        <v/>
      </c>
      <c r="E104" s="13" t="str">
        <f>IF(MENU!H102="","",MENU!K102)</f>
        <v/>
      </c>
    </row>
    <row r="105" spans="1:5" x14ac:dyDescent="0.3">
      <c r="A105" s="13" t="str">
        <f>IF(MENU!D103="","",MENU!D103)</f>
        <v/>
      </c>
      <c r="B105" s="13" t="str">
        <f>IF(MENU!F103="","",MENU!F103)</f>
        <v/>
      </c>
      <c r="C105" s="13" t="str">
        <f>IF(MENU!J103="","",MENU!K103)</f>
        <v/>
      </c>
      <c r="D105" s="13" t="str">
        <f>IF(MENU!G103="","",MENU!J103)</f>
        <v/>
      </c>
      <c r="E105" s="13" t="str">
        <f>IF(MENU!H103="","",MENU!K103)</f>
        <v/>
      </c>
    </row>
    <row r="106" spans="1:5" x14ac:dyDescent="0.3">
      <c r="A106" s="13" t="str">
        <f>IF(MENU!D104="","",MENU!D104)</f>
        <v/>
      </c>
      <c r="B106" s="13" t="str">
        <f>IF(MENU!F104="","",MENU!F104)</f>
        <v/>
      </c>
      <c r="C106" s="13" t="str">
        <f>IF(MENU!J104="","",MENU!K104)</f>
        <v/>
      </c>
      <c r="D106" s="13" t="str">
        <f>IF(MENU!G104="","",MENU!J104)</f>
        <v/>
      </c>
      <c r="E106" s="13" t="str">
        <f>IF(MENU!H104="","",MENU!K104)</f>
        <v/>
      </c>
    </row>
    <row r="107" spans="1:5" x14ac:dyDescent="0.3">
      <c r="A107" s="13" t="str">
        <f>IF(MENU!D105="","",MENU!D105)</f>
        <v/>
      </c>
      <c r="B107" s="13" t="str">
        <f>IF(MENU!F105="","",MENU!F105)</f>
        <v/>
      </c>
      <c r="C107" s="13" t="str">
        <f>IF(MENU!J105="","",MENU!K105)</f>
        <v/>
      </c>
      <c r="D107" s="13" t="str">
        <f>IF(MENU!G105="","",MENU!J105)</f>
        <v/>
      </c>
      <c r="E107" s="13" t="str">
        <f>IF(MENU!H105="","",MENU!K105)</f>
        <v/>
      </c>
    </row>
    <row r="108" spans="1:5" x14ac:dyDescent="0.3">
      <c r="A108" s="13" t="str">
        <f>IF(MENU!D106="","",MENU!D106)</f>
        <v/>
      </c>
      <c r="B108" s="13" t="str">
        <f>IF(MENU!F106="","",MENU!F106)</f>
        <v/>
      </c>
      <c r="C108" s="13" t="str">
        <f>IF(MENU!J106="","",MENU!K106)</f>
        <v/>
      </c>
      <c r="D108" s="13" t="str">
        <f>IF(MENU!G106="","",MENU!J106)</f>
        <v/>
      </c>
      <c r="E108" s="13" t="str">
        <f>IF(MENU!H106="","",MENU!K106)</f>
        <v/>
      </c>
    </row>
    <row r="109" spans="1:5" x14ac:dyDescent="0.3">
      <c r="A109" s="13" t="str">
        <f>IF(MENU!D107="","",MENU!D107)</f>
        <v/>
      </c>
      <c r="B109" s="13" t="str">
        <f>IF(MENU!F107="","",MENU!F107)</f>
        <v/>
      </c>
      <c r="C109" s="13" t="str">
        <f>IF(MENU!J107="","",MENU!K107)</f>
        <v/>
      </c>
      <c r="D109" s="13" t="str">
        <f>IF(MENU!G107="","",MENU!J107)</f>
        <v/>
      </c>
      <c r="E109" s="13" t="str">
        <f>IF(MENU!H107="","",MENU!K107)</f>
        <v/>
      </c>
    </row>
    <row r="110" spans="1:5" x14ac:dyDescent="0.3">
      <c r="A110" s="13" t="str">
        <f>IF(MENU!D108="","",MENU!D108)</f>
        <v/>
      </c>
      <c r="B110" s="13" t="str">
        <f>IF(MENU!F108="","",MENU!F108)</f>
        <v/>
      </c>
      <c r="C110" s="13" t="str">
        <f>IF(MENU!J108="","",MENU!K108)</f>
        <v/>
      </c>
      <c r="D110" s="13" t="str">
        <f>IF(MENU!G108="","",MENU!J108)</f>
        <v/>
      </c>
      <c r="E110" s="13" t="str">
        <f>IF(MENU!H108="","",MENU!K108)</f>
        <v/>
      </c>
    </row>
    <row r="111" spans="1:5" x14ac:dyDescent="0.3">
      <c r="A111" s="13" t="str">
        <f>IF(MENU!D109="","",MENU!D109)</f>
        <v/>
      </c>
      <c r="B111" s="13" t="str">
        <f>IF(MENU!F109="","",MENU!F109)</f>
        <v/>
      </c>
      <c r="C111" s="13" t="str">
        <f>IF(MENU!J109="","",MENU!K109)</f>
        <v/>
      </c>
      <c r="D111" s="13" t="str">
        <f>IF(MENU!G109="","",MENU!J109)</f>
        <v/>
      </c>
      <c r="E111" s="13" t="str">
        <f>IF(MENU!H109="","",MENU!K109)</f>
        <v/>
      </c>
    </row>
    <row r="112" spans="1:5" x14ac:dyDescent="0.3">
      <c r="A112" s="13" t="str">
        <f>IF(MENU!D110="","",MENU!D110)</f>
        <v/>
      </c>
      <c r="B112" s="13" t="str">
        <f>IF(MENU!F110="","",MENU!F110)</f>
        <v/>
      </c>
      <c r="C112" s="13" t="str">
        <f>IF(MENU!J110="","",MENU!K110)</f>
        <v/>
      </c>
      <c r="D112" s="13" t="str">
        <f>IF(MENU!G110="","",MENU!J110)</f>
        <v/>
      </c>
      <c r="E112" s="13" t="str">
        <f>IF(MENU!H110="","",MENU!K110)</f>
        <v/>
      </c>
    </row>
    <row r="113" spans="1:5" x14ac:dyDescent="0.3">
      <c r="A113" s="13" t="str">
        <f>IF(MENU!D111="","",MENU!D111)</f>
        <v/>
      </c>
      <c r="B113" s="13" t="str">
        <f>IF(MENU!F111="","",MENU!F111)</f>
        <v/>
      </c>
      <c r="C113" s="13" t="str">
        <f>IF(MENU!J111="","",MENU!K111)</f>
        <v/>
      </c>
      <c r="D113" s="13" t="str">
        <f>IF(MENU!G111="","",MENU!J111)</f>
        <v/>
      </c>
      <c r="E113" s="13" t="str">
        <f>IF(MENU!H111="","",MENU!K111)</f>
        <v/>
      </c>
    </row>
    <row r="114" spans="1:5" x14ac:dyDescent="0.3">
      <c r="A114" s="13" t="str">
        <f>IF(MENU!D112="","",MENU!D112)</f>
        <v/>
      </c>
      <c r="B114" s="13" t="str">
        <f>IF(MENU!F112="","",MENU!F112)</f>
        <v/>
      </c>
      <c r="C114" s="13" t="str">
        <f>IF(MENU!J112="","",MENU!K112)</f>
        <v/>
      </c>
      <c r="D114" s="13" t="str">
        <f>IF(MENU!G112="","",MENU!J112)</f>
        <v/>
      </c>
      <c r="E114" s="13" t="str">
        <f>IF(MENU!H112="","",MENU!K112)</f>
        <v/>
      </c>
    </row>
    <row r="115" spans="1:5" x14ac:dyDescent="0.3">
      <c r="A115" s="13" t="str">
        <f>IF(MENU!D113="","",MENU!D113)</f>
        <v/>
      </c>
      <c r="B115" s="13" t="str">
        <f>IF(MENU!F113="","",MENU!F113)</f>
        <v/>
      </c>
      <c r="C115" s="13" t="str">
        <f>IF(MENU!J113="","",MENU!K113)</f>
        <v/>
      </c>
      <c r="D115" s="13" t="str">
        <f>IF(MENU!G113="","",MENU!J113)</f>
        <v/>
      </c>
      <c r="E115" s="13" t="str">
        <f>IF(MENU!H113="","",MENU!K113)</f>
        <v/>
      </c>
    </row>
    <row r="116" spans="1:5" x14ac:dyDescent="0.3">
      <c r="A116" s="13" t="str">
        <f>IF(MENU!D114="","",MENU!D114)</f>
        <v/>
      </c>
      <c r="B116" s="13" t="str">
        <f>IF(MENU!F114="","",MENU!F114)</f>
        <v/>
      </c>
      <c r="C116" s="13" t="str">
        <f>IF(MENU!J114="","",MENU!K114)</f>
        <v/>
      </c>
      <c r="D116" s="13" t="str">
        <f>IF(MENU!G114="","",MENU!J114)</f>
        <v/>
      </c>
      <c r="E116" s="13" t="str">
        <f>IF(MENU!H114="","",MENU!K114)</f>
        <v/>
      </c>
    </row>
    <row r="117" spans="1:5" x14ac:dyDescent="0.3">
      <c r="A117" s="13" t="str">
        <f>IF(MENU!D115="","",MENU!D115)</f>
        <v/>
      </c>
      <c r="B117" s="13" t="str">
        <f>IF(MENU!F115="","",MENU!F115)</f>
        <v/>
      </c>
      <c r="C117" s="13" t="str">
        <f>IF(MENU!J115="","",MENU!K115)</f>
        <v/>
      </c>
      <c r="D117" s="13" t="str">
        <f>IF(MENU!G115="","",MENU!J115)</f>
        <v/>
      </c>
      <c r="E117" s="13" t="str">
        <f>IF(MENU!H115="","",MENU!K115)</f>
        <v/>
      </c>
    </row>
    <row r="118" spans="1:5" x14ac:dyDescent="0.3">
      <c r="A118" s="13" t="str">
        <f>IF(MENU!D116="","",MENU!D116)</f>
        <v/>
      </c>
      <c r="B118" s="13" t="str">
        <f>IF(MENU!F116="","",MENU!F116)</f>
        <v/>
      </c>
      <c r="C118" s="13" t="str">
        <f>IF(MENU!J116="","",MENU!K116)</f>
        <v/>
      </c>
      <c r="D118" s="13" t="str">
        <f>IF(MENU!G116="","",MENU!J116)</f>
        <v/>
      </c>
      <c r="E118" s="13" t="str">
        <f>IF(MENU!H116="","",MENU!K116)</f>
        <v/>
      </c>
    </row>
    <row r="119" spans="1:5" x14ac:dyDescent="0.3">
      <c r="A119" s="13" t="str">
        <f>IF(MENU!D117="","",MENU!D117)</f>
        <v/>
      </c>
      <c r="B119" s="13" t="str">
        <f>IF(MENU!F117="","",MENU!F117)</f>
        <v/>
      </c>
      <c r="C119" s="13" t="str">
        <f>IF(MENU!J117="","",MENU!K117)</f>
        <v/>
      </c>
      <c r="D119" s="13" t="str">
        <f>IF(MENU!G117="","",MENU!J117)</f>
        <v/>
      </c>
      <c r="E119" s="13" t="str">
        <f>IF(MENU!H117="","",MENU!K117)</f>
        <v/>
      </c>
    </row>
    <row r="120" spans="1:5" x14ac:dyDescent="0.3">
      <c r="A120" s="13" t="str">
        <f>IF(MENU!D118="","",MENU!D118)</f>
        <v/>
      </c>
      <c r="B120" s="13" t="str">
        <f>IF(MENU!F118="","",MENU!F118)</f>
        <v/>
      </c>
      <c r="C120" s="13" t="str">
        <f>IF(MENU!J118="","",MENU!K118)</f>
        <v/>
      </c>
      <c r="D120" s="13" t="str">
        <f>IF(MENU!G118="","",MENU!J118)</f>
        <v/>
      </c>
      <c r="E120" s="13" t="str">
        <f>IF(MENU!H118="","",MENU!K118)</f>
        <v/>
      </c>
    </row>
    <row r="121" spans="1:5" x14ac:dyDescent="0.3">
      <c r="A121" s="13" t="str">
        <f>IF(MENU!D119="","",MENU!D119)</f>
        <v/>
      </c>
      <c r="B121" s="13" t="str">
        <f>IF(MENU!F119="","",MENU!F119)</f>
        <v/>
      </c>
      <c r="C121" s="13" t="str">
        <f>IF(MENU!J119="","",MENU!K119)</f>
        <v/>
      </c>
      <c r="D121" s="13" t="str">
        <f>IF(MENU!G119="","",MENU!J119)</f>
        <v/>
      </c>
      <c r="E121" s="13" t="str">
        <f>IF(MENU!H119="","",MENU!K119)</f>
        <v/>
      </c>
    </row>
    <row r="122" spans="1:5" x14ac:dyDescent="0.3">
      <c r="A122" s="13" t="str">
        <f>IF(MENU!D120="","",MENU!D120)</f>
        <v/>
      </c>
      <c r="B122" s="13" t="str">
        <f>IF(MENU!F120="","",MENU!F120)</f>
        <v/>
      </c>
      <c r="C122" s="13" t="str">
        <f>IF(MENU!J120="","",MENU!K120)</f>
        <v/>
      </c>
      <c r="D122" s="13" t="str">
        <f>IF(MENU!G120="","",MENU!J120)</f>
        <v/>
      </c>
      <c r="E122" s="13" t="str">
        <f>IF(MENU!H120="","",MENU!K120)</f>
        <v/>
      </c>
    </row>
    <row r="123" spans="1:5" x14ac:dyDescent="0.3">
      <c r="A123" s="13" t="str">
        <f>IF(MENU!D121="","",MENU!D121)</f>
        <v/>
      </c>
      <c r="B123" s="13" t="str">
        <f>IF(MENU!F121="","",MENU!F121)</f>
        <v/>
      </c>
      <c r="C123" s="13" t="str">
        <f>IF(MENU!J121="","",MENU!K121)</f>
        <v/>
      </c>
      <c r="D123" s="13" t="str">
        <f>IF(MENU!G121="","",MENU!J121)</f>
        <v/>
      </c>
      <c r="E123" s="13" t="str">
        <f>IF(MENU!H121="","",MENU!K121)</f>
        <v/>
      </c>
    </row>
    <row r="124" spans="1:5" x14ac:dyDescent="0.3">
      <c r="A124" s="13" t="str">
        <f>IF(MENU!D122="","",MENU!D122)</f>
        <v/>
      </c>
      <c r="B124" s="13" t="str">
        <f>IF(MENU!F122="","",MENU!F122)</f>
        <v/>
      </c>
      <c r="C124" s="13" t="str">
        <f>IF(MENU!J122="","",MENU!K122)</f>
        <v/>
      </c>
      <c r="D124" s="13" t="str">
        <f>IF(MENU!G122="","",MENU!J122)</f>
        <v/>
      </c>
      <c r="E124" s="13" t="str">
        <f>IF(MENU!H122="","",MENU!K122)</f>
        <v/>
      </c>
    </row>
    <row r="125" spans="1:5" x14ac:dyDescent="0.3">
      <c r="A125" s="13" t="str">
        <f>IF(MENU!D123="","",MENU!D123)</f>
        <v/>
      </c>
      <c r="B125" s="13" t="str">
        <f>IF(MENU!F123="","",MENU!F123)</f>
        <v/>
      </c>
      <c r="C125" s="13" t="str">
        <f>IF(MENU!J123="","",MENU!K123)</f>
        <v/>
      </c>
      <c r="D125" s="13" t="str">
        <f>IF(MENU!G123="","",MENU!J123)</f>
        <v/>
      </c>
      <c r="E125" s="13" t="str">
        <f>IF(MENU!H123="","",MENU!K123)</f>
        <v/>
      </c>
    </row>
    <row r="126" spans="1:5" x14ac:dyDescent="0.3">
      <c r="A126" s="13" t="str">
        <f>IF(MENU!D124="","",MENU!D124)</f>
        <v/>
      </c>
      <c r="B126" s="13" t="str">
        <f>IF(MENU!F124="","",MENU!F124)</f>
        <v/>
      </c>
      <c r="C126" s="13" t="str">
        <f>IF(MENU!J124="","",MENU!K124)</f>
        <v/>
      </c>
      <c r="D126" s="13" t="str">
        <f>IF(MENU!G124="","",MENU!J124)</f>
        <v/>
      </c>
      <c r="E126" s="13" t="str">
        <f>IF(MENU!H124="","",MENU!K124)</f>
        <v/>
      </c>
    </row>
    <row r="127" spans="1:5" x14ac:dyDescent="0.3">
      <c r="A127" s="13" t="str">
        <f>IF(MENU!D125="","",MENU!D125)</f>
        <v/>
      </c>
      <c r="B127" s="13" t="str">
        <f>IF(MENU!F125="","",MENU!F125)</f>
        <v/>
      </c>
      <c r="C127" s="13" t="str">
        <f>IF(MENU!J125="","",MENU!K125)</f>
        <v/>
      </c>
      <c r="D127" s="13" t="str">
        <f>IF(MENU!G125="","",MENU!J125)</f>
        <v/>
      </c>
      <c r="E127" s="13" t="str">
        <f>IF(MENU!H125="","",MENU!K125)</f>
        <v/>
      </c>
    </row>
    <row r="128" spans="1:5" x14ac:dyDescent="0.3">
      <c r="A128" s="13" t="str">
        <f>IF(MENU!D126="","",MENU!D126)</f>
        <v/>
      </c>
      <c r="B128" s="13" t="str">
        <f>IF(MENU!F126="","",MENU!F126)</f>
        <v/>
      </c>
      <c r="C128" s="13" t="str">
        <f>IF(MENU!J126="","",MENU!K126)</f>
        <v/>
      </c>
      <c r="D128" s="13" t="str">
        <f>IF(MENU!G126="","",MENU!J126)</f>
        <v/>
      </c>
      <c r="E128" s="13" t="str">
        <f>IF(MENU!H126="","",MENU!K126)</f>
        <v/>
      </c>
    </row>
    <row r="129" spans="1:5" x14ac:dyDescent="0.3">
      <c r="A129" s="13" t="str">
        <f>IF(MENU!D127="","",MENU!D127)</f>
        <v/>
      </c>
      <c r="B129" s="13" t="str">
        <f>IF(MENU!F127="","",MENU!F127)</f>
        <v/>
      </c>
      <c r="C129" s="13" t="str">
        <f>IF(MENU!J127="","",MENU!K127)</f>
        <v/>
      </c>
      <c r="D129" s="13" t="str">
        <f>IF(MENU!G127="","",MENU!J127)</f>
        <v/>
      </c>
      <c r="E129" s="13" t="str">
        <f>IF(MENU!H127="","",MENU!K127)</f>
        <v/>
      </c>
    </row>
    <row r="130" spans="1:5" x14ac:dyDescent="0.3">
      <c r="A130" s="13" t="str">
        <f>IF(MENU!D128="","",MENU!D128)</f>
        <v/>
      </c>
      <c r="B130" s="13" t="str">
        <f>IF(MENU!F128="","",MENU!F128)</f>
        <v/>
      </c>
      <c r="C130" s="13" t="str">
        <f>IF(MENU!J128="","",MENU!K128)</f>
        <v/>
      </c>
      <c r="D130" s="13" t="str">
        <f>IF(MENU!G128="","",MENU!J128)</f>
        <v/>
      </c>
      <c r="E130" s="13" t="str">
        <f>IF(MENU!H128="","",MENU!K128)</f>
        <v/>
      </c>
    </row>
    <row r="131" spans="1:5" x14ac:dyDescent="0.3">
      <c r="A131" s="13" t="str">
        <f>IF(MENU!D129="","",MENU!D129)</f>
        <v/>
      </c>
      <c r="B131" s="13" t="str">
        <f>IF(MENU!F129="","",MENU!F129)</f>
        <v/>
      </c>
      <c r="C131" s="13" t="str">
        <f>IF(MENU!J129="","",MENU!K129)</f>
        <v/>
      </c>
      <c r="D131" s="13" t="str">
        <f>IF(MENU!G129="","",MENU!J129)</f>
        <v/>
      </c>
      <c r="E131" s="13" t="str">
        <f>IF(MENU!H129="","",MENU!K129)</f>
        <v/>
      </c>
    </row>
    <row r="132" spans="1:5" x14ac:dyDescent="0.3">
      <c r="A132" s="13" t="str">
        <f>IF(MENU!D130="","",MENU!D130)</f>
        <v/>
      </c>
      <c r="B132" s="13" t="str">
        <f>IF(MENU!F130="","",MENU!F130)</f>
        <v/>
      </c>
      <c r="C132" s="13" t="str">
        <f>IF(MENU!J130="","",MENU!K130)</f>
        <v/>
      </c>
      <c r="D132" s="13" t="str">
        <f>IF(MENU!G130="","",MENU!J130)</f>
        <v/>
      </c>
      <c r="E132" s="13" t="str">
        <f>IF(MENU!H130="","",MENU!K130)</f>
        <v/>
      </c>
    </row>
    <row r="133" spans="1:5" x14ac:dyDescent="0.3">
      <c r="A133" s="13" t="str">
        <f>IF(MENU!D131="","",MENU!D131)</f>
        <v/>
      </c>
      <c r="B133" s="13" t="str">
        <f>IF(MENU!F131="","",MENU!F131)</f>
        <v/>
      </c>
      <c r="C133" s="13" t="str">
        <f>IF(MENU!J131="","",MENU!K131)</f>
        <v/>
      </c>
      <c r="D133" s="13" t="str">
        <f>IF(MENU!G131="","",MENU!J131)</f>
        <v/>
      </c>
      <c r="E133" s="13" t="str">
        <f>IF(MENU!H131="","",MENU!K131)</f>
        <v/>
      </c>
    </row>
    <row r="134" spans="1:5" x14ac:dyDescent="0.3">
      <c r="A134" s="13" t="str">
        <f>IF(MENU!D132="","",MENU!D132)</f>
        <v/>
      </c>
      <c r="B134" s="13" t="str">
        <f>IF(MENU!F132="","",MENU!F132)</f>
        <v/>
      </c>
      <c r="C134" s="13" t="str">
        <f>IF(MENU!J132="","",MENU!K132)</f>
        <v/>
      </c>
      <c r="D134" s="13" t="str">
        <f>IF(MENU!G132="","",MENU!J132)</f>
        <v/>
      </c>
      <c r="E134" s="13" t="str">
        <f>IF(MENU!H132="","",MENU!K132)</f>
        <v/>
      </c>
    </row>
    <row r="135" spans="1:5" x14ac:dyDescent="0.3">
      <c r="A135" s="13" t="str">
        <f>IF(MENU!D133="","",MENU!D133)</f>
        <v/>
      </c>
      <c r="B135" s="13" t="str">
        <f>IF(MENU!F133="","",MENU!F133)</f>
        <v/>
      </c>
      <c r="C135" s="13" t="str">
        <f>IF(MENU!J133="","",MENU!K133)</f>
        <v/>
      </c>
      <c r="D135" s="13" t="str">
        <f>IF(MENU!G133="","",MENU!J133)</f>
        <v/>
      </c>
      <c r="E135" s="13" t="str">
        <f>IF(MENU!H133="","",MENU!K133)</f>
        <v/>
      </c>
    </row>
    <row r="136" spans="1:5" x14ac:dyDescent="0.3">
      <c r="A136" s="13" t="str">
        <f>IF(MENU!D134="","",MENU!D134)</f>
        <v/>
      </c>
      <c r="B136" s="13" t="str">
        <f>IF(MENU!F134="","",MENU!F134)</f>
        <v/>
      </c>
      <c r="C136" s="13" t="str">
        <f>IF(MENU!J134="","",MENU!K134)</f>
        <v/>
      </c>
      <c r="D136" s="13" t="str">
        <f>IF(MENU!G134="","",MENU!J134)</f>
        <v/>
      </c>
      <c r="E136" s="13" t="str">
        <f>IF(MENU!H134="","",MENU!K134)</f>
        <v/>
      </c>
    </row>
    <row r="137" spans="1:5" x14ac:dyDescent="0.3">
      <c r="A137" s="13" t="str">
        <f>IF(MENU!D135="","",MENU!D135)</f>
        <v/>
      </c>
      <c r="B137" s="13" t="str">
        <f>IF(MENU!F135="","",MENU!F135)</f>
        <v/>
      </c>
      <c r="C137" s="13" t="str">
        <f>IF(MENU!J135="","",MENU!K135)</f>
        <v/>
      </c>
      <c r="D137" s="13" t="str">
        <f>IF(MENU!G135="","",MENU!J135)</f>
        <v/>
      </c>
      <c r="E137" s="13" t="str">
        <f>IF(MENU!H135="","",MENU!K135)</f>
        <v/>
      </c>
    </row>
    <row r="138" spans="1:5" x14ac:dyDescent="0.3">
      <c r="A138" s="13" t="str">
        <f>IF(MENU!D136="","",MENU!D136)</f>
        <v/>
      </c>
      <c r="B138" s="13" t="str">
        <f>IF(MENU!F136="","",MENU!F136)</f>
        <v/>
      </c>
      <c r="C138" s="13" t="str">
        <f>IF(MENU!J136="","",MENU!K136)</f>
        <v/>
      </c>
      <c r="D138" s="13" t="str">
        <f>IF(MENU!G136="","",MENU!J136)</f>
        <v/>
      </c>
      <c r="E138" s="13" t="str">
        <f>IF(MENU!H136="","",MENU!K136)</f>
        <v/>
      </c>
    </row>
    <row r="139" spans="1:5" x14ac:dyDescent="0.3">
      <c r="A139" s="13" t="str">
        <f>IF(MENU!D137="","",MENU!D137)</f>
        <v/>
      </c>
      <c r="B139" s="13" t="str">
        <f>IF(MENU!F137="","",MENU!F137)</f>
        <v/>
      </c>
      <c r="C139" s="13" t="str">
        <f>IF(MENU!J137="","",MENU!K137)</f>
        <v/>
      </c>
      <c r="D139" s="13" t="str">
        <f>IF(MENU!G137="","",MENU!J137)</f>
        <v/>
      </c>
      <c r="E139" s="13" t="str">
        <f>IF(MENU!H137="","",MENU!K137)</f>
        <v/>
      </c>
    </row>
    <row r="140" spans="1:5" x14ac:dyDescent="0.3">
      <c r="A140" s="13" t="str">
        <f>IF(MENU!D138="","",MENU!D138)</f>
        <v/>
      </c>
      <c r="B140" s="13" t="str">
        <f>IF(MENU!F138="","",MENU!F138)</f>
        <v/>
      </c>
      <c r="C140" s="13" t="str">
        <f>IF(MENU!J138="","",MENU!K138)</f>
        <v/>
      </c>
      <c r="D140" s="13" t="str">
        <f>IF(MENU!G138="","",MENU!J138)</f>
        <v/>
      </c>
      <c r="E140" s="13" t="str">
        <f>IF(MENU!H138="","",MENU!K138)</f>
        <v/>
      </c>
    </row>
    <row r="141" spans="1:5" x14ac:dyDescent="0.3">
      <c r="A141" s="13" t="str">
        <f>IF(MENU!D139="","",MENU!D139)</f>
        <v/>
      </c>
      <c r="B141" s="13" t="str">
        <f>IF(MENU!F139="","",MENU!F139)</f>
        <v/>
      </c>
      <c r="C141" s="13" t="str">
        <f>IF(MENU!J139="","",MENU!K139)</f>
        <v/>
      </c>
      <c r="D141" s="13" t="str">
        <f>IF(MENU!G139="","",MENU!J139)</f>
        <v/>
      </c>
      <c r="E141" s="13" t="str">
        <f>IF(MENU!H139="","",MENU!K139)</f>
        <v/>
      </c>
    </row>
    <row r="142" spans="1:5" x14ac:dyDescent="0.3">
      <c r="A142" s="13" t="str">
        <f>IF(MENU!D140="","",MENU!D140)</f>
        <v/>
      </c>
      <c r="B142" s="13" t="str">
        <f>IF(MENU!F140="","",MENU!F140)</f>
        <v/>
      </c>
      <c r="C142" s="13" t="str">
        <f>IF(MENU!J140="","",MENU!K140)</f>
        <v/>
      </c>
      <c r="D142" s="13" t="str">
        <f>IF(MENU!G140="","",MENU!J140)</f>
        <v/>
      </c>
      <c r="E142" s="13" t="str">
        <f>IF(MENU!H140="","",MENU!K140)</f>
        <v/>
      </c>
    </row>
    <row r="143" spans="1:5" x14ac:dyDescent="0.3">
      <c r="A143" s="13" t="str">
        <f>IF(MENU!D141="","",MENU!D141)</f>
        <v/>
      </c>
      <c r="B143" s="13" t="str">
        <f>IF(MENU!F141="","",MENU!F141)</f>
        <v/>
      </c>
      <c r="C143" s="13" t="str">
        <f>IF(MENU!J141="","",MENU!K141)</f>
        <v/>
      </c>
      <c r="D143" s="13" t="str">
        <f>IF(MENU!G141="","",MENU!J141)</f>
        <v/>
      </c>
      <c r="E143" s="13" t="str">
        <f>IF(MENU!H141="","",MENU!K141)</f>
        <v/>
      </c>
    </row>
    <row r="144" spans="1:5" x14ac:dyDescent="0.3">
      <c r="A144" s="13" t="str">
        <f>IF(MENU!D142="","",MENU!D142)</f>
        <v/>
      </c>
      <c r="B144" s="13" t="str">
        <f>IF(MENU!F142="","",MENU!F142)</f>
        <v/>
      </c>
      <c r="C144" s="13" t="str">
        <f>IF(MENU!J142="","",MENU!K142)</f>
        <v/>
      </c>
      <c r="D144" s="13" t="str">
        <f>IF(MENU!G142="","",MENU!J142)</f>
        <v/>
      </c>
      <c r="E144" s="13" t="str">
        <f>IF(MENU!H142="","",MENU!K142)</f>
        <v/>
      </c>
    </row>
    <row r="145" spans="1:5" x14ac:dyDescent="0.3">
      <c r="A145" s="13" t="str">
        <f>IF(MENU!D143="","",MENU!D143)</f>
        <v/>
      </c>
      <c r="B145" s="13" t="str">
        <f>IF(MENU!F143="","",MENU!F143)</f>
        <v/>
      </c>
      <c r="C145" s="13" t="str">
        <f>IF(MENU!J143="","",MENU!K143)</f>
        <v/>
      </c>
      <c r="D145" s="13" t="str">
        <f>IF(MENU!G143="","",MENU!J143)</f>
        <v/>
      </c>
      <c r="E145" s="13" t="str">
        <f>IF(MENU!H143="","",MENU!K143)</f>
        <v/>
      </c>
    </row>
    <row r="146" spans="1:5" x14ac:dyDescent="0.3">
      <c r="A146" s="13" t="str">
        <f>IF(MENU!D144="","",MENU!D144)</f>
        <v/>
      </c>
      <c r="B146" s="13" t="str">
        <f>IF(MENU!F144="","",MENU!F144)</f>
        <v/>
      </c>
      <c r="C146" s="13" t="str">
        <f>IF(MENU!J144="","",MENU!K144)</f>
        <v/>
      </c>
      <c r="D146" s="13" t="str">
        <f>IF(MENU!G144="","",MENU!J144)</f>
        <v/>
      </c>
      <c r="E146" s="13" t="str">
        <f>IF(MENU!H144="","",MENU!K144)</f>
        <v/>
      </c>
    </row>
    <row r="147" spans="1:5" x14ac:dyDescent="0.3">
      <c r="A147" s="13" t="str">
        <f>IF(MENU!D145="","",MENU!D145)</f>
        <v/>
      </c>
      <c r="B147" s="13" t="str">
        <f>IF(MENU!F145="","",MENU!F145)</f>
        <v/>
      </c>
      <c r="C147" s="13" t="str">
        <f>IF(MENU!J145="","",MENU!K145)</f>
        <v/>
      </c>
      <c r="D147" s="13" t="str">
        <f>IF(MENU!G145="","",MENU!J145)</f>
        <v/>
      </c>
      <c r="E147" s="13" t="str">
        <f>IF(MENU!H145="","",MENU!K145)</f>
        <v/>
      </c>
    </row>
    <row r="148" spans="1:5" x14ac:dyDescent="0.3">
      <c r="A148" s="13" t="str">
        <f>IF(MENU!D146="","",MENU!D146)</f>
        <v/>
      </c>
      <c r="B148" s="13" t="str">
        <f>IF(MENU!F146="","",MENU!F146)</f>
        <v/>
      </c>
      <c r="C148" s="13" t="str">
        <f>IF(MENU!J146="","",MENU!K146)</f>
        <v/>
      </c>
      <c r="D148" s="13" t="str">
        <f>IF(MENU!G146="","",MENU!J146)</f>
        <v/>
      </c>
      <c r="E148" s="13" t="str">
        <f>IF(MENU!H146="","",MENU!K146)</f>
        <v/>
      </c>
    </row>
    <row r="149" spans="1:5" x14ac:dyDescent="0.3">
      <c r="A149" s="13" t="str">
        <f>IF(MENU!D147="","",MENU!D147)</f>
        <v/>
      </c>
      <c r="B149" s="13" t="str">
        <f>IF(MENU!F147="","",MENU!F147)</f>
        <v/>
      </c>
      <c r="C149" s="13" t="str">
        <f>IF(MENU!J147="","",MENU!K147)</f>
        <v/>
      </c>
      <c r="D149" s="13" t="str">
        <f>IF(MENU!G147="","",MENU!J147)</f>
        <v/>
      </c>
      <c r="E149" s="13" t="str">
        <f>IF(MENU!H147="","",MENU!K147)</f>
        <v/>
      </c>
    </row>
    <row r="150" spans="1:5" x14ac:dyDescent="0.3">
      <c r="A150" s="13" t="str">
        <f>IF(MENU!D148="","",MENU!D148)</f>
        <v/>
      </c>
      <c r="B150" s="13" t="str">
        <f>IF(MENU!F148="","",MENU!F148)</f>
        <v/>
      </c>
      <c r="C150" s="13" t="str">
        <f>IF(MENU!J148="","",MENU!K148)</f>
        <v/>
      </c>
      <c r="D150" s="13" t="str">
        <f>IF(MENU!G148="","",MENU!J148)</f>
        <v/>
      </c>
      <c r="E150" s="13" t="str">
        <f>IF(MENU!H148="","",MENU!K148)</f>
        <v/>
      </c>
    </row>
    <row r="151" spans="1:5" x14ac:dyDescent="0.3">
      <c r="A151" s="13" t="str">
        <f>IF(MENU!D149="","",MENU!D149)</f>
        <v/>
      </c>
      <c r="B151" s="13" t="str">
        <f>IF(MENU!F149="","",MENU!F149)</f>
        <v/>
      </c>
      <c r="C151" s="13" t="str">
        <f>IF(MENU!J149="","",MENU!K149)</f>
        <v/>
      </c>
      <c r="D151" s="13" t="str">
        <f>IF(MENU!G149="","",MENU!J149)</f>
        <v/>
      </c>
      <c r="E151" s="13" t="str">
        <f>IF(MENU!H149="","",MENU!K149)</f>
        <v/>
      </c>
    </row>
    <row r="152" spans="1:5" x14ac:dyDescent="0.3">
      <c r="A152" s="13" t="str">
        <f>IF(MENU!D150="","",MENU!D150)</f>
        <v/>
      </c>
      <c r="B152" s="13" t="str">
        <f>IF(MENU!F150="","",MENU!F150)</f>
        <v/>
      </c>
      <c r="C152" s="13" t="str">
        <f>IF(MENU!J150="","",MENU!K150)</f>
        <v/>
      </c>
      <c r="D152" s="13" t="str">
        <f>IF(MENU!G150="","",MENU!J150)</f>
        <v/>
      </c>
      <c r="E152" s="13" t="str">
        <f>IF(MENU!H150="","",MENU!K150)</f>
        <v/>
      </c>
    </row>
    <row r="153" spans="1:5" x14ac:dyDescent="0.3">
      <c r="A153" s="13" t="str">
        <f>IF(MENU!D151="","",MENU!D151)</f>
        <v/>
      </c>
      <c r="B153" s="13" t="str">
        <f>IF(MENU!F151="","",MENU!F151)</f>
        <v/>
      </c>
      <c r="C153" s="13" t="str">
        <f>IF(MENU!J151="","",MENU!K151)</f>
        <v/>
      </c>
      <c r="D153" s="13" t="str">
        <f>IF(MENU!G151="","",MENU!J151)</f>
        <v/>
      </c>
      <c r="E153" s="13" t="str">
        <f>IF(MENU!H151="","",MENU!K151)</f>
        <v/>
      </c>
    </row>
    <row r="154" spans="1:5" x14ac:dyDescent="0.3">
      <c r="A154" s="13" t="str">
        <f>IF(MENU!D152="","",MENU!D152)</f>
        <v/>
      </c>
      <c r="B154" s="13" t="str">
        <f>IF(MENU!F152="","",MENU!F152)</f>
        <v/>
      </c>
      <c r="C154" s="13" t="str">
        <f>IF(MENU!J152="","",MENU!K152)</f>
        <v/>
      </c>
      <c r="D154" s="13" t="str">
        <f>IF(MENU!G152="","",MENU!J152)</f>
        <v/>
      </c>
      <c r="E154" s="13" t="str">
        <f>IF(MENU!H152="","",MENU!K152)</f>
        <v/>
      </c>
    </row>
    <row r="155" spans="1:5" x14ac:dyDescent="0.3">
      <c r="A155" s="13" t="str">
        <f>IF(MENU!D153="","",MENU!D153)</f>
        <v/>
      </c>
      <c r="B155" s="13" t="str">
        <f>IF(MENU!F153="","",MENU!F153)</f>
        <v/>
      </c>
      <c r="C155" s="13" t="str">
        <f>IF(MENU!J153="","",MENU!K153)</f>
        <v/>
      </c>
      <c r="D155" s="13" t="str">
        <f>IF(MENU!G153="","",MENU!J153)</f>
        <v/>
      </c>
      <c r="E155" s="13" t="str">
        <f>IF(MENU!H153="","",MENU!K153)</f>
        <v/>
      </c>
    </row>
    <row r="156" spans="1:5" x14ac:dyDescent="0.3">
      <c r="A156" s="13" t="str">
        <f>IF(MENU!D154="","",MENU!D154)</f>
        <v/>
      </c>
      <c r="B156" s="13" t="str">
        <f>IF(MENU!F154="","",MENU!F154)</f>
        <v/>
      </c>
      <c r="C156" s="13" t="str">
        <f>IF(MENU!J154="","",MENU!K154)</f>
        <v/>
      </c>
      <c r="D156" s="13" t="str">
        <f>IF(MENU!G154="","",MENU!J154)</f>
        <v/>
      </c>
      <c r="E156" s="13" t="str">
        <f>IF(MENU!H154="","",MENU!K154)</f>
        <v/>
      </c>
    </row>
    <row r="157" spans="1:5" x14ac:dyDescent="0.3">
      <c r="A157" s="13" t="str">
        <f>IF(MENU!D155="","",MENU!D155)</f>
        <v/>
      </c>
      <c r="B157" s="13" t="str">
        <f>IF(MENU!F155="","",MENU!F155)</f>
        <v/>
      </c>
      <c r="C157" s="13" t="str">
        <f>IF(MENU!J155="","",MENU!K155)</f>
        <v/>
      </c>
      <c r="D157" s="13" t="str">
        <f>IF(MENU!G155="","",MENU!J155)</f>
        <v/>
      </c>
      <c r="E157" s="13" t="str">
        <f>IF(MENU!H155="","",MENU!K155)</f>
        <v/>
      </c>
    </row>
    <row r="158" spans="1:5" x14ac:dyDescent="0.3">
      <c r="A158" s="13" t="str">
        <f>IF(MENU!D156="","",MENU!D156)</f>
        <v/>
      </c>
      <c r="B158" s="13" t="str">
        <f>IF(MENU!F156="","",MENU!F156)</f>
        <v/>
      </c>
      <c r="C158" s="13" t="str">
        <f>IF(MENU!J156="","",MENU!K156)</f>
        <v/>
      </c>
      <c r="D158" s="13" t="str">
        <f>IF(MENU!G156="","",MENU!J156)</f>
        <v/>
      </c>
      <c r="E158" s="13" t="str">
        <f>IF(MENU!H156="","",MENU!K156)</f>
        <v/>
      </c>
    </row>
    <row r="159" spans="1:5" x14ac:dyDescent="0.3">
      <c r="A159" s="13" t="str">
        <f>IF(MENU!D157="","",MENU!D157)</f>
        <v/>
      </c>
      <c r="B159" s="13" t="str">
        <f>IF(MENU!F157="","",MENU!F157)</f>
        <v/>
      </c>
      <c r="C159" s="13" t="str">
        <f>IF(MENU!J157="","",MENU!K157)</f>
        <v/>
      </c>
      <c r="D159" s="13" t="str">
        <f>IF(MENU!G157="","",MENU!J157)</f>
        <v/>
      </c>
      <c r="E159" s="13" t="str">
        <f>IF(MENU!H157="","",MENU!K157)</f>
        <v/>
      </c>
    </row>
    <row r="160" spans="1:5" x14ac:dyDescent="0.3">
      <c r="A160" s="13" t="str">
        <f>IF(MENU!D158="","",MENU!D158)</f>
        <v/>
      </c>
      <c r="B160" s="13" t="str">
        <f>IF(MENU!F158="","",MENU!F158)</f>
        <v/>
      </c>
      <c r="C160" s="13" t="str">
        <f>IF(MENU!J158="","",MENU!K158)</f>
        <v/>
      </c>
      <c r="D160" s="13" t="str">
        <f>IF(MENU!G158="","",MENU!J158)</f>
        <v/>
      </c>
      <c r="E160" s="13" t="str">
        <f>IF(MENU!H158="","",MENU!K158)</f>
        <v/>
      </c>
    </row>
    <row r="161" spans="1:5" x14ac:dyDescent="0.3">
      <c r="A161" s="13" t="str">
        <f>IF(MENU!D159="","",MENU!D159)</f>
        <v/>
      </c>
      <c r="B161" s="13" t="str">
        <f>IF(MENU!F159="","",MENU!F159)</f>
        <v/>
      </c>
      <c r="C161" s="13" t="str">
        <f>IF(MENU!J159="","",MENU!K159)</f>
        <v/>
      </c>
      <c r="D161" s="13" t="str">
        <f>IF(MENU!G159="","",MENU!J159)</f>
        <v/>
      </c>
      <c r="E161" s="13" t="str">
        <f>IF(MENU!H159="","",MENU!K159)</f>
        <v/>
      </c>
    </row>
    <row r="162" spans="1:5" x14ac:dyDescent="0.3">
      <c r="A162" s="13" t="str">
        <f>IF(MENU!D160="","",MENU!D160)</f>
        <v/>
      </c>
      <c r="B162" s="13" t="str">
        <f>IF(MENU!F160="","",MENU!F160)</f>
        <v/>
      </c>
      <c r="C162" s="13" t="str">
        <f>IF(MENU!J160="","",MENU!K160)</f>
        <v/>
      </c>
      <c r="D162" s="13" t="str">
        <f>IF(MENU!G160="","",MENU!J160)</f>
        <v/>
      </c>
      <c r="E162" s="13" t="str">
        <f>IF(MENU!H160="","",MENU!K160)</f>
        <v/>
      </c>
    </row>
    <row r="163" spans="1:5" x14ac:dyDescent="0.3">
      <c r="A163" s="13" t="str">
        <f>IF(MENU!D161="","",MENU!D161)</f>
        <v/>
      </c>
      <c r="B163" s="13" t="str">
        <f>IF(MENU!F161="","",MENU!F161)</f>
        <v/>
      </c>
      <c r="C163" s="13" t="str">
        <f>IF(MENU!J161="","",MENU!K161)</f>
        <v/>
      </c>
      <c r="D163" s="13" t="str">
        <f>IF(MENU!G161="","",MENU!J161)</f>
        <v/>
      </c>
      <c r="E163" s="13" t="str">
        <f>IF(MENU!H161="","",MENU!K161)</f>
        <v/>
      </c>
    </row>
    <row r="164" spans="1:5" x14ac:dyDescent="0.3">
      <c r="A164" s="13" t="str">
        <f>IF(MENU!D162="","",MENU!D162)</f>
        <v/>
      </c>
      <c r="B164" s="13" t="str">
        <f>IF(MENU!F162="","",MENU!F162)</f>
        <v/>
      </c>
      <c r="C164" s="13" t="str">
        <f>IF(MENU!J162="","",MENU!K162)</f>
        <v/>
      </c>
      <c r="D164" s="13" t="str">
        <f>IF(MENU!G162="","",MENU!J162)</f>
        <v/>
      </c>
      <c r="E164" s="13" t="str">
        <f>IF(MENU!H162="","",MENU!K162)</f>
        <v/>
      </c>
    </row>
    <row r="165" spans="1:5" x14ac:dyDescent="0.3">
      <c r="A165" s="13" t="str">
        <f>IF(MENU!D163="","",MENU!D163)</f>
        <v/>
      </c>
      <c r="B165" s="13" t="str">
        <f>IF(MENU!F163="","",MENU!F163)</f>
        <v/>
      </c>
      <c r="C165" s="13" t="str">
        <f>IF(MENU!J163="","",MENU!K163)</f>
        <v/>
      </c>
      <c r="D165" s="13" t="str">
        <f>IF(MENU!G163="","",MENU!J163)</f>
        <v/>
      </c>
      <c r="E165" s="13" t="str">
        <f>IF(MENU!H163="","",MENU!K163)</f>
        <v/>
      </c>
    </row>
    <row r="166" spans="1:5" x14ac:dyDescent="0.3">
      <c r="A166" s="13" t="str">
        <f>IF(MENU!D164="","",MENU!D164)</f>
        <v/>
      </c>
      <c r="B166" s="13" t="str">
        <f>IF(MENU!F164="","",MENU!F164)</f>
        <v/>
      </c>
      <c r="C166" s="13" t="str">
        <f>IF(MENU!J164="","",MENU!K164)</f>
        <v/>
      </c>
      <c r="D166" s="13" t="str">
        <f>IF(MENU!G164="","",MENU!J164)</f>
        <v/>
      </c>
      <c r="E166" s="13" t="str">
        <f>IF(MENU!H164="","",MENU!K164)</f>
        <v/>
      </c>
    </row>
    <row r="167" spans="1:5" x14ac:dyDescent="0.3">
      <c r="A167" s="13" t="str">
        <f>IF(MENU!D165="","",MENU!D165)</f>
        <v/>
      </c>
      <c r="B167" s="13" t="str">
        <f>IF(MENU!F165="","",MENU!F165)</f>
        <v/>
      </c>
      <c r="C167" s="13" t="str">
        <f>IF(MENU!J165="","",MENU!K165)</f>
        <v/>
      </c>
      <c r="D167" s="13" t="str">
        <f>IF(MENU!G165="","",MENU!J165)</f>
        <v/>
      </c>
      <c r="E167" s="13" t="str">
        <f>IF(MENU!H165="","",MENU!K165)</f>
        <v/>
      </c>
    </row>
    <row r="168" spans="1:5" x14ac:dyDescent="0.3">
      <c r="A168" s="13" t="str">
        <f>IF(MENU!D166="","",MENU!D166)</f>
        <v/>
      </c>
      <c r="B168" s="13" t="str">
        <f>IF(MENU!F166="","",MENU!F166)</f>
        <v/>
      </c>
      <c r="C168" s="13" t="str">
        <f>IF(MENU!J166="","",MENU!K166)</f>
        <v/>
      </c>
      <c r="D168" s="13" t="str">
        <f>IF(MENU!G166="","",MENU!J166)</f>
        <v/>
      </c>
      <c r="E168" s="13" t="str">
        <f>IF(MENU!H166="","",MENU!K166)</f>
        <v/>
      </c>
    </row>
    <row r="169" spans="1:5" x14ac:dyDescent="0.3">
      <c r="A169" s="13" t="str">
        <f>IF(MENU!D167="","",MENU!D167)</f>
        <v/>
      </c>
      <c r="B169" s="13" t="str">
        <f>IF(MENU!F167="","",MENU!F167)</f>
        <v/>
      </c>
      <c r="C169" s="13" t="str">
        <f>IF(MENU!J167="","",MENU!K167)</f>
        <v/>
      </c>
      <c r="D169" s="13" t="str">
        <f>IF(MENU!G167="","",MENU!J167)</f>
        <v/>
      </c>
      <c r="E169" s="13" t="str">
        <f>IF(MENU!H167="","",MENU!K167)</f>
        <v/>
      </c>
    </row>
    <row r="170" spans="1:5" x14ac:dyDescent="0.3">
      <c r="A170" s="13" t="str">
        <f>IF(MENU!D168="","",MENU!D168)</f>
        <v/>
      </c>
      <c r="B170" s="13" t="str">
        <f>IF(MENU!F168="","",MENU!F168)</f>
        <v/>
      </c>
      <c r="C170" s="13" t="str">
        <f>IF(MENU!J168="","",MENU!K168)</f>
        <v/>
      </c>
      <c r="D170" s="13" t="str">
        <f>IF(MENU!G168="","",MENU!J168)</f>
        <v/>
      </c>
      <c r="E170" s="13" t="str">
        <f>IF(MENU!H168="","",MENU!K168)</f>
        <v/>
      </c>
    </row>
    <row r="171" spans="1:5" x14ac:dyDescent="0.3">
      <c r="A171" s="13" t="str">
        <f>IF(MENU!D169="","",MENU!D169)</f>
        <v/>
      </c>
      <c r="B171" s="13" t="str">
        <f>IF(MENU!F169="","",MENU!F169)</f>
        <v/>
      </c>
      <c r="C171" s="13" t="str">
        <f>IF(MENU!J169="","",MENU!K169)</f>
        <v/>
      </c>
      <c r="D171" s="13" t="str">
        <f>IF(MENU!G169="","",MENU!J169)</f>
        <v/>
      </c>
      <c r="E171" s="13" t="str">
        <f>IF(MENU!H169="","",MENU!K169)</f>
        <v/>
      </c>
    </row>
    <row r="172" spans="1:5" x14ac:dyDescent="0.3">
      <c r="A172" s="13" t="str">
        <f>IF(MENU!D170="","",MENU!D170)</f>
        <v/>
      </c>
      <c r="B172" s="13" t="str">
        <f>IF(MENU!F170="","",MENU!F170)</f>
        <v/>
      </c>
      <c r="C172" s="13" t="str">
        <f>IF(MENU!J170="","",MENU!K170)</f>
        <v/>
      </c>
      <c r="D172" s="13" t="str">
        <f>IF(MENU!G170="","",MENU!J170)</f>
        <v/>
      </c>
      <c r="E172" s="13" t="str">
        <f>IF(MENU!H170="","",MENU!K170)</f>
        <v/>
      </c>
    </row>
    <row r="173" spans="1:5" x14ac:dyDescent="0.3">
      <c r="A173" s="13" t="str">
        <f>IF(MENU!D171="","",MENU!D171)</f>
        <v/>
      </c>
      <c r="B173" s="13" t="str">
        <f>IF(MENU!F171="","",MENU!F171)</f>
        <v/>
      </c>
      <c r="C173" s="13" t="str">
        <f>IF(MENU!J171="","",MENU!K171)</f>
        <v/>
      </c>
      <c r="D173" s="13" t="str">
        <f>IF(MENU!G171="","",MENU!J171)</f>
        <v/>
      </c>
      <c r="E173" s="13" t="str">
        <f>IF(MENU!H171="","",MENU!K171)</f>
        <v/>
      </c>
    </row>
    <row r="174" spans="1:5" x14ac:dyDescent="0.3">
      <c r="A174" s="13" t="str">
        <f>IF(MENU!D172="","",MENU!D172)</f>
        <v/>
      </c>
      <c r="B174" s="13" t="str">
        <f>IF(MENU!F172="","",MENU!F172)</f>
        <v/>
      </c>
      <c r="C174" s="13" t="str">
        <f>IF(MENU!J172="","",MENU!K172)</f>
        <v/>
      </c>
      <c r="D174" s="13" t="str">
        <f>IF(MENU!G172="","",MENU!J172)</f>
        <v/>
      </c>
      <c r="E174" s="13" t="str">
        <f>IF(MENU!H172="","",MENU!K172)</f>
        <v/>
      </c>
    </row>
    <row r="175" spans="1:5" x14ac:dyDescent="0.3">
      <c r="A175" s="13" t="str">
        <f>IF(MENU!D173="","",MENU!D173)</f>
        <v/>
      </c>
      <c r="B175" s="13" t="str">
        <f>IF(MENU!F173="","",MENU!F173)</f>
        <v/>
      </c>
      <c r="C175" s="13" t="str">
        <f>IF(MENU!J173="","",MENU!K173)</f>
        <v/>
      </c>
      <c r="D175" s="13" t="str">
        <f>IF(MENU!G173="","",MENU!J173)</f>
        <v/>
      </c>
      <c r="E175" s="13" t="str">
        <f>IF(MENU!H173="","",MENU!K173)</f>
        <v/>
      </c>
    </row>
    <row r="176" spans="1:5" x14ac:dyDescent="0.3">
      <c r="A176" s="13" t="str">
        <f>IF(MENU!D174="","",MENU!D174)</f>
        <v/>
      </c>
      <c r="B176" s="13" t="str">
        <f>IF(MENU!F174="","",MENU!F174)</f>
        <v/>
      </c>
      <c r="C176" s="13" t="str">
        <f>IF(MENU!J174="","",MENU!K174)</f>
        <v/>
      </c>
      <c r="D176" s="13" t="str">
        <f>IF(MENU!G174="","",MENU!J174)</f>
        <v/>
      </c>
      <c r="E176" s="13" t="str">
        <f>IF(MENU!H174="","",MENU!K174)</f>
        <v/>
      </c>
    </row>
    <row r="177" spans="1:5" x14ac:dyDescent="0.3">
      <c r="A177" s="13" t="str">
        <f>IF(MENU!D175="","",MENU!D175)</f>
        <v/>
      </c>
      <c r="B177" s="13" t="str">
        <f>IF(MENU!F175="","",MENU!F175)</f>
        <v/>
      </c>
      <c r="C177" s="13" t="str">
        <f>IF(MENU!J175="","",MENU!K175)</f>
        <v/>
      </c>
      <c r="D177" s="13" t="str">
        <f>IF(MENU!G175="","",MENU!J175)</f>
        <v/>
      </c>
      <c r="E177" s="13" t="str">
        <f>IF(MENU!H175="","",MENU!K175)</f>
        <v/>
      </c>
    </row>
    <row r="178" spans="1:5" x14ac:dyDescent="0.3">
      <c r="A178" s="13" t="str">
        <f>IF(MENU!D176="","",MENU!D176)</f>
        <v/>
      </c>
      <c r="B178" s="13" t="str">
        <f>IF(MENU!F176="","",MENU!F176)</f>
        <v/>
      </c>
      <c r="C178" s="13" t="str">
        <f>IF(MENU!J176="","",MENU!K176)</f>
        <v/>
      </c>
      <c r="D178" s="13" t="str">
        <f>IF(MENU!G176="","",MENU!J176)</f>
        <v/>
      </c>
      <c r="E178" s="13" t="str">
        <f>IF(MENU!H176="","",MENU!K176)</f>
        <v/>
      </c>
    </row>
    <row r="179" spans="1:5" x14ac:dyDescent="0.3">
      <c r="A179" s="13" t="str">
        <f>IF(MENU!D177="","",MENU!D177)</f>
        <v/>
      </c>
      <c r="B179" s="13" t="str">
        <f>IF(MENU!F177="","",MENU!F177)</f>
        <v/>
      </c>
      <c r="C179" s="13" t="str">
        <f>IF(MENU!J177="","",MENU!K177)</f>
        <v/>
      </c>
      <c r="D179" s="13" t="str">
        <f>IF(MENU!G177="","",MENU!J177)</f>
        <v/>
      </c>
      <c r="E179" s="13" t="str">
        <f>IF(MENU!H177="","",MENU!K177)</f>
        <v/>
      </c>
    </row>
    <row r="180" spans="1:5" x14ac:dyDescent="0.3">
      <c r="A180" s="13" t="str">
        <f>IF(MENU!D178="","",MENU!D178)</f>
        <v/>
      </c>
      <c r="B180" s="13" t="str">
        <f>IF(MENU!F178="","",MENU!F178)</f>
        <v/>
      </c>
      <c r="C180" s="13" t="str">
        <f>IF(MENU!J178="","",MENU!K178)</f>
        <v/>
      </c>
      <c r="D180" s="13" t="str">
        <f>IF(MENU!G178="","",MENU!J178)</f>
        <v/>
      </c>
      <c r="E180" s="13" t="str">
        <f>IF(MENU!H178="","",MENU!K178)</f>
        <v/>
      </c>
    </row>
    <row r="181" spans="1:5" x14ac:dyDescent="0.3">
      <c r="A181" s="13" t="str">
        <f>IF(MENU!D179="","",MENU!D179)</f>
        <v/>
      </c>
      <c r="B181" s="13" t="str">
        <f>IF(MENU!F179="","",MENU!F179)</f>
        <v/>
      </c>
      <c r="C181" s="13" t="str">
        <f>IF(MENU!J179="","",MENU!K179)</f>
        <v/>
      </c>
      <c r="D181" s="13" t="str">
        <f>IF(MENU!G179="","",MENU!J179)</f>
        <v/>
      </c>
      <c r="E181" s="13" t="str">
        <f>IF(MENU!H179="","",MENU!K179)</f>
        <v/>
      </c>
    </row>
    <row r="182" spans="1:5" x14ac:dyDescent="0.3">
      <c r="A182" s="13" t="str">
        <f>IF(MENU!D180="","",MENU!D180)</f>
        <v/>
      </c>
      <c r="B182" s="13" t="str">
        <f>IF(MENU!F180="","",MENU!F180)</f>
        <v/>
      </c>
      <c r="C182" s="13" t="str">
        <f>IF(MENU!J180="","",MENU!K180)</f>
        <v/>
      </c>
      <c r="D182" s="13" t="str">
        <f>IF(MENU!G180="","",MENU!J180)</f>
        <v/>
      </c>
      <c r="E182" s="13" t="str">
        <f>IF(MENU!H180="","",MENU!K180)</f>
        <v/>
      </c>
    </row>
    <row r="183" spans="1:5" x14ac:dyDescent="0.3">
      <c r="A183" s="13" t="str">
        <f>IF(MENU!D181="","",MENU!D181)</f>
        <v/>
      </c>
      <c r="B183" s="13" t="str">
        <f>IF(MENU!F181="","",MENU!F181)</f>
        <v/>
      </c>
      <c r="C183" s="13" t="str">
        <f>IF(MENU!J181="","",MENU!K181)</f>
        <v/>
      </c>
      <c r="D183" s="13" t="str">
        <f>IF(MENU!G181="","",MENU!J181)</f>
        <v/>
      </c>
      <c r="E183" s="13" t="str">
        <f>IF(MENU!H181="","",MENU!K181)</f>
        <v/>
      </c>
    </row>
    <row r="184" spans="1:5" x14ac:dyDescent="0.3">
      <c r="A184" s="13" t="str">
        <f>IF(MENU!D182="","",MENU!D182)</f>
        <v/>
      </c>
      <c r="B184" s="13" t="str">
        <f>IF(MENU!F182="","",MENU!F182)</f>
        <v/>
      </c>
      <c r="C184" s="13" t="str">
        <f>IF(MENU!J182="","",MENU!K182)</f>
        <v/>
      </c>
      <c r="D184" s="13" t="str">
        <f>IF(MENU!G182="","",MENU!J182)</f>
        <v/>
      </c>
      <c r="E184" s="13" t="str">
        <f>IF(MENU!H182="","",MENU!K182)</f>
        <v/>
      </c>
    </row>
    <row r="185" spans="1:5" x14ac:dyDescent="0.3">
      <c r="A185" s="13" t="str">
        <f>IF(MENU!D183="","",MENU!D183)</f>
        <v/>
      </c>
      <c r="B185" s="13" t="str">
        <f>IF(MENU!F183="","",MENU!F183)</f>
        <v/>
      </c>
      <c r="C185" s="13" t="str">
        <f>IF(MENU!J183="","",MENU!K183)</f>
        <v/>
      </c>
      <c r="D185" s="13" t="str">
        <f>IF(MENU!G183="","",MENU!J183)</f>
        <v/>
      </c>
      <c r="E185" s="13" t="str">
        <f>IF(MENU!H183="","",MENU!K183)</f>
        <v/>
      </c>
    </row>
    <row r="186" spans="1:5" x14ac:dyDescent="0.3">
      <c r="A186" s="13" t="str">
        <f>IF(MENU!D184="","",MENU!D184)</f>
        <v/>
      </c>
      <c r="B186" s="13" t="str">
        <f>IF(MENU!F184="","",MENU!F184)</f>
        <v/>
      </c>
      <c r="C186" s="13" t="str">
        <f>IF(MENU!J184="","",MENU!K184)</f>
        <v/>
      </c>
      <c r="D186" s="13" t="str">
        <f>IF(MENU!G184="","",MENU!J184)</f>
        <v/>
      </c>
      <c r="E186" s="13" t="str">
        <f>IF(MENU!H184="","",MENU!K184)</f>
        <v/>
      </c>
    </row>
    <row r="187" spans="1:5" x14ac:dyDescent="0.3">
      <c r="A187" s="13" t="str">
        <f>IF(MENU!D185="","",MENU!D185)</f>
        <v/>
      </c>
      <c r="B187" s="13" t="str">
        <f>IF(MENU!F185="","",MENU!F185)</f>
        <v/>
      </c>
      <c r="C187" s="13" t="str">
        <f>IF(MENU!J185="","",MENU!K185)</f>
        <v/>
      </c>
      <c r="D187" s="13" t="str">
        <f>IF(MENU!G185="","",MENU!J185)</f>
        <v/>
      </c>
      <c r="E187" s="13" t="str">
        <f>IF(MENU!H185="","",MENU!K185)</f>
        <v/>
      </c>
    </row>
    <row r="188" spans="1:5" x14ac:dyDescent="0.3">
      <c r="A188" s="13" t="str">
        <f>IF(MENU!D186="","",MENU!D186)</f>
        <v/>
      </c>
      <c r="B188" s="13" t="str">
        <f>IF(MENU!F186="","",MENU!F186)</f>
        <v/>
      </c>
      <c r="C188" s="13" t="str">
        <f>IF(MENU!J186="","",MENU!K186)</f>
        <v/>
      </c>
      <c r="D188" s="13" t="str">
        <f>IF(MENU!G186="","",MENU!J186)</f>
        <v/>
      </c>
      <c r="E188" s="13" t="str">
        <f>IF(MENU!H186="","",MENU!K186)</f>
        <v/>
      </c>
    </row>
    <row r="189" spans="1:5" x14ac:dyDescent="0.3">
      <c r="A189" s="13" t="str">
        <f>IF(MENU!D187="","",MENU!D187)</f>
        <v/>
      </c>
      <c r="B189" s="13" t="str">
        <f>IF(MENU!F187="","",MENU!F187)</f>
        <v/>
      </c>
      <c r="C189" s="13" t="str">
        <f>IF(MENU!J187="","",MENU!K187)</f>
        <v/>
      </c>
      <c r="D189" s="13" t="str">
        <f>IF(MENU!G187="","",MENU!J187)</f>
        <v/>
      </c>
      <c r="E189" s="13" t="str">
        <f>IF(MENU!H187="","",MENU!K187)</f>
        <v/>
      </c>
    </row>
    <row r="190" spans="1:5" x14ac:dyDescent="0.3">
      <c r="A190" s="13" t="str">
        <f>IF(MENU!D188="","",MENU!D188)</f>
        <v/>
      </c>
      <c r="B190" s="13" t="str">
        <f>IF(MENU!F188="","",MENU!F188)</f>
        <v/>
      </c>
      <c r="C190" s="13" t="str">
        <f>IF(MENU!J188="","",MENU!K188)</f>
        <v/>
      </c>
      <c r="D190" s="13" t="str">
        <f>IF(MENU!G188="","",MENU!J188)</f>
        <v/>
      </c>
      <c r="E190" s="13" t="str">
        <f>IF(MENU!H188="","",MENU!K188)</f>
        <v/>
      </c>
    </row>
    <row r="191" spans="1:5" x14ac:dyDescent="0.3">
      <c r="A191" s="13" t="str">
        <f>IF(MENU!D189="","",MENU!D189)</f>
        <v/>
      </c>
      <c r="B191" s="13" t="str">
        <f>IF(MENU!F189="","",MENU!F189)</f>
        <v/>
      </c>
      <c r="C191" s="13" t="str">
        <f>IF(MENU!J189="","",MENU!K189)</f>
        <v/>
      </c>
      <c r="D191" s="13" t="str">
        <f>IF(MENU!G189="","",MENU!J189)</f>
        <v/>
      </c>
      <c r="E191" s="13" t="str">
        <f>IF(MENU!H189="","",MENU!K189)</f>
        <v/>
      </c>
    </row>
    <row r="192" spans="1:5" x14ac:dyDescent="0.3">
      <c r="A192" s="13" t="str">
        <f>IF(MENU!D190="","",MENU!D190)</f>
        <v/>
      </c>
      <c r="B192" s="13" t="str">
        <f>IF(MENU!F190="","",MENU!F190)</f>
        <v/>
      </c>
      <c r="C192" s="13" t="str">
        <f>IF(MENU!J190="","",MENU!K190)</f>
        <v/>
      </c>
      <c r="D192" s="13" t="str">
        <f>IF(MENU!G190="","",MENU!J190)</f>
        <v/>
      </c>
      <c r="E192" s="13" t="str">
        <f>IF(MENU!H190="","",MENU!K190)</f>
        <v/>
      </c>
    </row>
    <row r="193" spans="1:5" x14ac:dyDescent="0.3">
      <c r="A193" s="13" t="str">
        <f>IF(MENU!D191="","",MENU!D191)</f>
        <v/>
      </c>
      <c r="B193" s="13" t="str">
        <f>IF(MENU!F191="","",MENU!F191)</f>
        <v/>
      </c>
      <c r="C193" s="13" t="str">
        <f>IF(MENU!J191="","",MENU!K191)</f>
        <v/>
      </c>
      <c r="D193" s="13" t="str">
        <f>IF(MENU!G191="","",MENU!J191)</f>
        <v/>
      </c>
      <c r="E193" s="13" t="str">
        <f>IF(MENU!H191="","",MENU!K191)</f>
        <v/>
      </c>
    </row>
    <row r="194" spans="1:5" x14ac:dyDescent="0.3">
      <c r="A194" s="13" t="str">
        <f>IF(MENU!D192="","",MENU!D192)</f>
        <v/>
      </c>
      <c r="B194" s="13" t="str">
        <f>IF(MENU!F192="","",MENU!F192)</f>
        <v/>
      </c>
      <c r="C194" s="13" t="str">
        <f>IF(MENU!J192="","",MENU!K192)</f>
        <v/>
      </c>
      <c r="D194" s="13" t="str">
        <f>IF(MENU!G192="","",MENU!J192)</f>
        <v/>
      </c>
      <c r="E194" s="13" t="str">
        <f>IF(MENU!H192="","",MENU!K192)</f>
        <v/>
      </c>
    </row>
    <row r="195" spans="1:5" x14ac:dyDescent="0.3">
      <c r="A195" s="13" t="str">
        <f>IF(MENU!D193="","",MENU!D193)</f>
        <v/>
      </c>
      <c r="B195" s="13" t="str">
        <f>IF(MENU!F193="","",MENU!F193)</f>
        <v/>
      </c>
      <c r="C195" s="13" t="str">
        <f>IF(MENU!J193="","",MENU!K193)</f>
        <v/>
      </c>
      <c r="D195" s="13" t="str">
        <f>IF(MENU!G193="","",MENU!J193)</f>
        <v/>
      </c>
      <c r="E195" s="13" t="str">
        <f>IF(MENU!H193="","",MENU!K193)</f>
        <v/>
      </c>
    </row>
    <row r="196" spans="1:5" x14ac:dyDescent="0.3">
      <c r="A196" s="13" t="str">
        <f>IF(MENU!D194="","",MENU!D194)</f>
        <v/>
      </c>
      <c r="B196" s="13" t="str">
        <f>IF(MENU!F194="","",MENU!F194)</f>
        <v/>
      </c>
      <c r="C196" s="13" t="str">
        <f>IF(MENU!J194="","",MENU!K194)</f>
        <v/>
      </c>
      <c r="D196" s="13" t="str">
        <f>IF(MENU!G194="","",MENU!J194)</f>
        <v/>
      </c>
      <c r="E196" s="13" t="str">
        <f>IF(MENU!H194="","",MENU!K194)</f>
        <v/>
      </c>
    </row>
    <row r="197" spans="1:5" x14ac:dyDescent="0.3">
      <c r="A197" s="13" t="str">
        <f>IF(MENU!D195="","",MENU!D195)</f>
        <v/>
      </c>
      <c r="B197" s="13" t="str">
        <f>IF(MENU!F195="","",MENU!F195)</f>
        <v/>
      </c>
      <c r="C197" s="13" t="str">
        <f>IF(MENU!J195="","",MENU!K195)</f>
        <v/>
      </c>
      <c r="D197" s="13" t="str">
        <f>IF(MENU!G195="","",MENU!J195)</f>
        <v/>
      </c>
      <c r="E197" s="13" t="str">
        <f>IF(MENU!H195="","",MENU!K195)</f>
        <v/>
      </c>
    </row>
    <row r="198" spans="1:5" x14ac:dyDescent="0.3">
      <c r="A198" s="13" t="str">
        <f>IF(MENU!D196="","",MENU!D196)</f>
        <v/>
      </c>
      <c r="B198" s="13" t="str">
        <f>IF(MENU!F196="","",MENU!F196)</f>
        <v/>
      </c>
      <c r="C198" s="13" t="str">
        <f>IF(MENU!J196="","",MENU!K196)</f>
        <v/>
      </c>
      <c r="D198" s="13" t="str">
        <f>IF(MENU!G196="","",MENU!J196)</f>
        <v/>
      </c>
      <c r="E198" s="13" t="str">
        <f>IF(MENU!H196="","",MENU!K196)</f>
        <v/>
      </c>
    </row>
    <row r="199" spans="1:5" x14ac:dyDescent="0.3">
      <c r="A199" s="13" t="str">
        <f>IF(MENU!D197="","",MENU!D197)</f>
        <v/>
      </c>
      <c r="B199" s="13" t="str">
        <f>IF(MENU!F197="","",MENU!F197)</f>
        <v/>
      </c>
      <c r="C199" s="13" t="str">
        <f>IF(MENU!J197="","",MENU!K197)</f>
        <v/>
      </c>
      <c r="D199" s="13" t="str">
        <f>IF(MENU!G197="","",MENU!J197)</f>
        <v/>
      </c>
      <c r="E199" s="13" t="str">
        <f>IF(MENU!H197="","",MENU!K197)</f>
        <v/>
      </c>
    </row>
    <row r="200" spans="1:5" x14ac:dyDescent="0.3">
      <c r="A200" s="13" t="str">
        <f>IF(MENU!D198="","",MENU!D198)</f>
        <v/>
      </c>
      <c r="B200" s="13" t="str">
        <f>IF(MENU!F198="","",MENU!F198)</f>
        <v/>
      </c>
      <c r="C200" s="13" t="str">
        <f>IF(MENU!J198="","",MENU!K198)</f>
        <v/>
      </c>
      <c r="D200" s="13" t="str">
        <f>IF(MENU!G198="","",MENU!J198)</f>
        <v/>
      </c>
      <c r="E200" s="13" t="str">
        <f>IF(MENU!H198="","",MENU!K198)</f>
        <v/>
      </c>
    </row>
    <row r="201" spans="1:5" x14ac:dyDescent="0.3">
      <c r="A201" s="13" t="str">
        <f>IF(MENU!D199="","",MENU!D199)</f>
        <v/>
      </c>
      <c r="B201" s="13" t="str">
        <f>IF(MENU!F199="","",MENU!F199)</f>
        <v/>
      </c>
      <c r="C201" s="13" t="str">
        <f>IF(MENU!J199="","",MENU!K199)</f>
        <v/>
      </c>
      <c r="D201" s="13" t="str">
        <f>IF(MENU!G199="","",MENU!J199)</f>
        <v/>
      </c>
      <c r="E201" s="13" t="str">
        <f>IF(MENU!H199="","",MENU!K199)</f>
        <v/>
      </c>
    </row>
    <row r="202" spans="1:5" x14ac:dyDescent="0.3">
      <c r="A202" s="13" t="str">
        <f>IF(MENU!D200="","",MENU!D200)</f>
        <v/>
      </c>
      <c r="B202" s="13" t="str">
        <f>IF(MENU!F200="","",MENU!F200)</f>
        <v/>
      </c>
      <c r="C202" s="13" t="str">
        <f>IF(MENU!J200="","",MENU!K200)</f>
        <v/>
      </c>
      <c r="D202" s="13" t="str">
        <f>IF(MENU!G200="","",MENU!J200)</f>
        <v/>
      </c>
      <c r="E202" s="13" t="str">
        <f>IF(MENU!H200="","",MENU!K200)</f>
        <v/>
      </c>
    </row>
    <row r="203" spans="1:5" x14ac:dyDescent="0.3">
      <c r="A203" s="13" t="str">
        <f>IF(MENU!D201="","",MENU!D201)</f>
        <v/>
      </c>
      <c r="B203" s="13" t="str">
        <f>IF(MENU!F201="","",MENU!F201)</f>
        <v/>
      </c>
      <c r="C203" s="13" t="str">
        <f>IF(MENU!J201="","",MENU!K201)</f>
        <v/>
      </c>
      <c r="D203" s="13" t="str">
        <f>IF(MENU!G201="","",MENU!J201)</f>
        <v/>
      </c>
      <c r="E203" s="13" t="str">
        <f>IF(MENU!H201="","",MENU!K201)</f>
        <v/>
      </c>
    </row>
    <row r="204" spans="1:5" x14ac:dyDescent="0.3">
      <c r="A204" s="13" t="str">
        <f>IF(MENU!D202="","",MENU!D202)</f>
        <v/>
      </c>
      <c r="B204" s="13" t="str">
        <f>IF(MENU!F202="","",MENU!F202)</f>
        <v/>
      </c>
      <c r="C204" s="13" t="str">
        <f>IF(MENU!J202="","",MENU!K202)</f>
        <v/>
      </c>
      <c r="D204" s="13" t="str">
        <f>IF(MENU!G202="","",MENU!J202)</f>
        <v/>
      </c>
      <c r="E204" s="13" t="str">
        <f>IF(MENU!H202="","",MENU!K202)</f>
        <v/>
      </c>
    </row>
    <row r="205" spans="1:5" x14ac:dyDescent="0.3">
      <c r="A205" s="13" t="str">
        <f>IF(MENU!D203="","",MENU!D203)</f>
        <v/>
      </c>
      <c r="B205" s="13" t="str">
        <f>IF(MENU!F203="","",MENU!F203)</f>
        <v/>
      </c>
      <c r="C205" s="13" t="str">
        <f>IF(MENU!J203="","",MENU!K203)</f>
        <v/>
      </c>
      <c r="D205" s="13" t="str">
        <f>IF(MENU!G203="","",MENU!J203)</f>
        <v/>
      </c>
      <c r="E205" s="13" t="str">
        <f>IF(MENU!H203="","",MENU!K203)</f>
        <v/>
      </c>
    </row>
    <row r="206" spans="1:5" x14ac:dyDescent="0.3">
      <c r="A206" s="13" t="str">
        <f>IF(MENU!D204="","",MENU!D204)</f>
        <v/>
      </c>
      <c r="B206" s="13" t="str">
        <f>IF(MENU!F204="","",MENU!F204)</f>
        <v/>
      </c>
      <c r="C206" s="13" t="str">
        <f>IF(MENU!J204="","",MENU!K204)</f>
        <v/>
      </c>
      <c r="D206" s="13" t="str">
        <f>IF(MENU!G204="","",MENU!J204)</f>
        <v/>
      </c>
      <c r="E206" s="13" t="str">
        <f>IF(MENU!H204="","",MENU!K204)</f>
        <v/>
      </c>
    </row>
    <row r="207" spans="1:5" x14ac:dyDescent="0.3">
      <c r="A207" s="13" t="str">
        <f>IF(MENU!D205="","",MENU!D205)</f>
        <v/>
      </c>
      <c r="B207" s="13" t="str">
        <f>IF(MENU!F205="","",MENU!F205)</f>
        <v/>
      </c>
      <c r="C207" s="13" t="str">
        <f>IF(MENU!J205="","",MENU!K205)</f>
        <v/>
      </c>
      <c r="D207" s="13" t="str">
        <f>IF(MENU!G205="","",MENU!J205)</f>
        <v/>
      </c>
      <c r="E207" s="13" t="str">
        <f>IF(MENU!H205="","",MENU!K205)</f>
        <v/>
      </c>
    </row>
    <row r="208" spans="1:5" x14ac:dyDescent="0.3">
      <c r="A208" s="13" t="str">
        <f>IF(MENU!D206="","",MENU!D206)</f>
        <v/>
      </c>
      <c r="B208" s="13" t="str">
        <f>IF(MENU!F206="","",MENU!F206)</f>
        <v/>
      </c>
      <c r="C208" s="13" t="str">
        <f>IF(MENU!J206="","",MENU!K206)</f>
        <v/>
      </c>
      <c r="D208" s="13" t="str">
        <f>IF(MENU!G206="","",MENU!J206)</f>
        <v/>
      </c>
      <c r="E208" s="13" t="str">
        <f>IF(MENU!H206="","",MENU!K206)</f>
        <v/>
      </c>
    </row>
    <row r="209" spans="1:5" x14ac:dyDescent="0.3">
      <c r="A209" s="13" t="str">
        <f>IF(MENU!D207="","",MENU!D207)</f>
        <v/>
      </c>
      <c r="B209" s="13" t="str">
        <f>IF(MENU!F207="","",MENU!F207)</f>
        <v/>
      </c>
      <c r="C209" s="13" t="str">
        <f>IF(MENU!J207="","",MENU!K207)</f>
        <v/>
      </c>
      <c r="D209" s="13" t="str">
        <f>IF(MENU!G207="","",MENU!J207)</f>
        <v/>
      </c>
      <c r="E209" s="13" t="str">
        <f>IF(MENU!H207="","",MENU!K207)</f>
        <v/>
      </c>
    </row>
    <row r="210" spans="1:5" x14ac:dyDescent="0.3">
      <c r="A210" s="13" t="str">
        <f>IF(MENU!D208="","",MENU!D208)</f>
        <v/>
      </c>
      <c r="B210" s="13" t="str">
        <f>IF(MENU!F208="","",MENU!F208)</f>
        <v/>
      </c>
      <c r="C210" s="13" t="str">
        <f>IF(MENU!J208="","",MENU!K208)</f>
        <v/>
      </c>
      <c r="D210" s="13" t="str">
        <f>IF(MENU!G208="","",MENU!J208)</f>
        <v/>
      </c>
      <c r="E210" s="13" t="str">
        <f>IF(MENU!H208="","",MENU!K208)</f>
        <v/>
      </c>
    </row>
    <row r="211" spans="1:5" x14ac:dyDescent="0.3">
      <c r="A211" s="13" t="str">
        <f>IF(MENU!D209="","",MENU!D209)</f>
        <v/>
      </c>
      <c r="B211" s="13" t="str">
        <f>IF(MENU!F209="","",MENU!F209)</f>
        <v/>
      </c>
      <c r="C211" s="13" t="str">
        <f>IF(MENU!J209="","",MENU!K209)</f>
        <v/>
      </c>
      <c r="D211" s="13" t="str">
        <f>IF(MENU!G209="","",MENU!J209)</f>
        <v/>
      </c>
      <c r="E211" s="13" t="str">
        <f>IF(MENU!H209="","",MENU!K209)</f>
        <v/>
      </c>
    </row>
    <row r="212" spans="1:5" x14ac:dyDescent="0.3">
      <c r="A212" s="13" t="str">
        <f>IF(MENU!D210="","",MENU!D210)</f>
        <v/>
      </c>
      <c r="B212" s="13" t="str">
        <f>IF(MENU!F210="","",MENU!F210)</f>
        <v/>
      </c>
      <c r="C212" s="13" t="str">
        <f>IF(MENU!J210="","",MENU!K210)</f>
        <v/>
      </c>
      <c r="D212" s="13" t="str">
        <f>IF(MENU!G210="","",MENU!J210)</f>
        <v/>
      </c>
      <c r="E212" s="13" t="str">
        <f>IF(MENU!H210="","",MENU!K210)</f>
        <v/>
      </c>
    </row>
    <row r="213" spans="1:5" x14ac:dyDescent="0.3">
      <c r="A213" s="13" t="str">
        <f>IF(MENU!D211="","",MENU!D211)</f>
        <v/>
      </c>
      <c r="B213" s="13" t="str">
        <f>IF(MENU!F211="","",MENU!F211)</f>
        <v/>
      </c>
      <c r="C213" s="13" t="str">
        <f>IF(MENU!J211="","",MENU!K211)</f>
        <v/>
      </c>
      <c r="D213" s="13" t="str">
        <f>IF(MENU!G211="","",MENU!J211)</f>
        <v/>
      </c>
      <c r="E213" s="13" t="str">
        <f>IF(MENU!H211="","",MENU!K211)</f>
        <v/>
      </c>
    </row>
    <row r="214" spans="1:5" x14ac:dyDescent="0.3">
      <c r="A214" s="13" t="str">
        <f>IF(MENU!D212="","",MENU!D212)</f>
        <v/>
      </c>
      <c r="B214" s="13" t="str">
        <f>IF(MENU!F212="","",MENU!F212)</f>
        <v/>
      </c>
      <c r="C214" s="13" t="str">
        <f>IF(MENU!J212="","",MENU!K212)</f>
        <v/>
      </c>
      <c r="D214" s="13" t="str">
        <f>IF(MENU!G212="","",MENU!J212)</f>
        <v/>
      </c>
      <c r="E214" s="13" t="str">
        <f>IF(MENU!H212="","",MENU!K212)</f>
        <v/>
      </c>
    </row>
    <row r="215" spans="1:5" x14ac:dyDescent="0.3">
      <c r="A215" s="13" t="str">
        <f>IF(MENU!D213="","",MENU!D213)</f>
        <v/>
      </c>
      <c r="B215" s="13" t="str">
        <f>IF(MENU!F213="","",MENU!F213)</f>
        <v/>
      </c>
      <c r="C215" s="13" t="str">
        <f>IF(MENU!J213="","",MENU!K213)</f>
        <v/>
      </c>
      <c r="D215" s="13" t="str">
        <f>IF(MENU!G213="","",MENU!J213)</f>
        <v/>
      </c>
      <c r="E215" s="13" t="str">
        <f>IF(MENU!H213="","",MENU!K213)</f>
        <v/>
      </c>
    </row>
    <row r="216" spans="1:5" x14ac:dyDescent="0.3">
      <c r="A216" s="13" t="str">
        <f>IF(MENU!D214="","",MENU!D214)</f>
        <v/>
      </c>
      <c r="B216" s="13" t="str">
        <f>IF(MENU!F214="","",MENU!F214)</f>
        <v/>
      </c>
      <c r="C216" s="13" t="str">
        <f>IF(MENU!J214="","",MENU!K214)</f>
        <v/>
      </c>
      <c r="D216" s="13" t="str">
        <f>IF(MENU!G214="","",MENU!J214)</f>
        <v/>
      </c>
      <c r="E216" s="13" t="str">
        <f>IF(MENU!H214="","",MENU!K214)</f>
        <v/>
      </c>
    </row>
    <row r="217" spans="1:5" x14ac:dyDescent="0.3">
      <c r="A217" s="13" t="str">
        <f>IF(MENU!D215="","",MENU!D215)</f>
        <v/>
      </c>
      <c r="B217" s="13" t="str">
        <f>IF(MENU!F215="","",MENU!F215)</f>
        <v/>
      </c>
      <c r="C217" s="13" t="str">
        <f>IF(MENU!J215="","",MENU!K215)</f>
        <v/>
      </c>
      <c r="D217" s="13" t="str">
        <f>IF(MENU!G215="","",MENU!J215)</f>
        <v/>
      </c>
      <c r="E217" s="13" t="str">
        <f>IF(MENU!H215="","",MENU!K215)</f>
        <v/>
      </c>
    </row>
    <row r="218" spans="1:5" x14ac:dyDescent="0.3">
      <c r="A218" s="13" t="str">
        <f>IF(MENU!D216="","",MENU!D216)</f>
        <v/>
      </c>
      <c r="B218" s="13" t="str">
        <f>IF(MENU!F216="","",MENU!F216)</f>
        <v/>
      </c>
      <c r="C218" s="13" t="str">
        <f>IF(MENU!J216="","",MENU!K216)</f>
        <v/>
      </c>
      <c r="D218" s="13" t="str">
        <f>IF(MENU!G216="","",MENU!J216)</f>
        <v/>
      </c>
      <c r="E218" s="13" t="str">
        <f>IF(MENU!H216="","",MENU!K216)</f>
        <v/>
      </c>
    </row>
    <row r="219" spans="1:5" x14ac:dyDescent="0.3">
      <c r="A219" s="13" t="str">
        <f>IF(MENU!D217="","",MENU!D217)</f>
        <v/>
      </c>
      <c r="B219" s="13" t="str">
        <f>IF(MENU!F217="","",MENU!F217)</f>
        <v/>
      </c>
      <c r="C219" s="13" t="str">
        <f>IF(MENU!J217="","",MENU!K217)</f>
        <v/>
      </c>
      <c r="D219" s="13" t="str">
        <f>IF(MENU!G217="","",MENU!J217)</f>
        <v/>
      </c>
      <c r="E219" s="13" t="str">
        <f>IF(MENU!H217="","",MENU!K217)</f>
        <v/>
      </c>
    </row>
    <row r="220" spans="1:5" x14ac:dyDescent="0.3">
      <c r="A220" s="13" t="str">
        <f>IF(MENU!D218="","",MENU!D218)</f>
        <v/>
      </c>
      <c r="B220" s="13" t="str">
        <f>IF(MENU!F218="","",MENU!F218)</f>
        <v/>
      </c>
      <c r="C220" s="13" t="str">
        <f>IF(MENU!J218="","",MENU!K218)</f>
        <v/>
      </c>
      <c r="D220" s="13" t="str">
        <f>IF(MENU!G218="","",MENU!J218)</f>
        <v/>
      </c>
      <c r="E220" s="13" t="str">
        <f>IF(MENU!H218="","",MENU!K218)</f>
        <v/>
      </c>
    </row>
    <row r="221" spans="1:5" x14ac:dyDescent="0.3">
      <c r="A221" s="13" t="str">
        <f>IF(MENU!D219="","",MENU!D219)</f>
        <v/>
      </c>
      <c r="B221" s="13" t="str">
        <f>IF(MENU!F219="","",MENU!F219)</f>
        <v/>
      </c>
      <c r="C221" s="13" t="str">
        <f>IF(MENU!J219="","",MENU!K219)</f>
        <v/>
      </c>
      <c r="D221" s="13" t="str">
        <f>IF(MENU!G219="","",MENU!J219)</f>
        <v/>
      </c>
      <c r="E221" s="13" t="str">
        <f>IF(MENU!H219="","",MENU!K219)</f>
        <v/>
      </c>
    </row>
    <row r="222" spans="1:5" x14ac:dyDescent="0.3">
      <c r="A222" s="13" t="str">
        <f>IF(MENU!D220="","",MENU!D220)</f>
        <v/>
      </c>
      <c r="B222" s="13" t="str">
        <f>IF(MENU!F220="","",MENU!F220)</f>
        <v/>
      </c>
      <c r="C222" s="13" t="str">
        <f>IF(MENU!J220="","",MENU!K220)</f>
        <v/>
      </c>
      <c r="D222" s="13" t="str">
        <f>IF(MENU!G220="","",MENU!J220)</f>
        <v/>
      </c>
      <c r="E222" s="13" t="str">
        <f>IF(MENU!H220="","",MENU!K220)</f>
        <v/>
      </c>
    </row>
    <row r="223" spans="1:5" x14ac:dyDescent="0.3">
      <c r="A223" s="13" t="str">
        <f>IF(MENU!D221="","",MENU!D221)</f>
        <v/>
      </c>
      <c r="B223" s="13" t="str">
        <f>IF(MENU!F221="","",MENU!F221)</f>
        <v/>
      </c>
      <c r="C223" s="13" t="str">
        <f>IF(MENU!J221="","",MENU!K221)</f>
        <v/>
      </c>
      <c r="D223" s="13" t="str">
        <f>IF(MENU!G221="","",MENU!J221)</f>
        <v/>
      </c>
      <c r="E223" s="13" t="str">
        <f>IF(MENU!H221="","",MENU!K221)</f>
        <v/>
      </c>
    </row>
    <row r="224" spans="1:5" x14ac:dyDescent="0.3">
      <c r="A224" s="13" t="str">
        <f>IF(MENU!D222="","",MENU!D222)</f>
        <v/>
      </c>
      <c r="B224" s="13" t="str">
        <f>IF(MENU!F222="","",MENU!F222)</f>
        <v/>
      </c>
      <c r="C224" s="13" t="str">
        <f>IF(MENU!J222="","",MENU!K222)</f>
        <v/>
      </c>
      <c r="D224" s="13" t="str">
        <f>IF(MENU!G222="","",MENU!J222)</f>
        <v/>
      </c>
      <c r="E224" s="13" t="str">
        <f>IF(MENU!H222="","",MENU!K222)</f>
        <v/>
      </c>
    </row>
    <row r="225" spans="1:5" x14ac:dyDescent="0.3">
      <c r="A225" s="13" t="str">
        <f>IF(MENU!D223="","",MENU!D223)</f>
        <v/>
      </c>
      <c r="B225" s="13" t="str">
        <f>IF(MENU!F223="","",MENU!F223)</f>
        <v/>
      </c>
      <c r="C225" s="13" t="str">
        <f>IF(MENU!J223="","",MENU!K223)</f>
        <v/>
      </c>
      <c r="D225" s="13" t="str">
        <f>IF(MENU!G223="","",MENU!J223)</f>
        <v/>
      </c>
      <c r="E225" s="13" t="str">
        <f>IF(MENU!H223="","",MENU!K223)</f>
        <v/>
      </c>
    </row>
    <row r="226" spans="1:5" x14ac:dyDescent="0.3">
      <c r="A226" s="13" t="str">
        <f>IF(MENU!D224="","",MENU!D224)</f>
        <v/>
      </c>
      <c r="B226" s="13" t="str">
        <f>IF(MENU!F224="","",MENU!F224)</f>
        <v/>
      </c>
      <c r="C226" s="13" t="str">
        <f>IF(MENU!J224="","",MENU!K224)</f>
        <v/>
      </c>
      <c r="D226" s="13" t="str">
        <f>IF(MENU!G224="","",MENU!J224)</f>
        <v/>
      </c>
      <c r="E226" s="13" t="str">
        <f>IF(MENU!H224="","",MENU!K224)</f>
        <v/>
      </c>
    </row>
    <row r="227" spans="1:5" x14ac:dyDescent="0.3">
      <c r="A227" s="13" t="str">
        <f>IF(MENU!D225="","",MENU!D225)</f>
        <v/>
      </c>
      <c r="B227" s="13" t="str">
        <f>IF(MENU!F225="","",MENU!F225)</f>
        <v/>
      </c>
      <c r="C227" s="13" t="str">
        <f>IF(MENU!J225="","",MENU!K225)</f>
        <v/>
      </c>
      <c r="D227" s="13" t="str">
        <f>IF(MENU!G225="","",MENU!J225)</f>
        <v/>
      </c>
      <c r="E227" s="13" t="str">
        <f>IF(MENU!H225="","",MENU!K225)</f>
        <v/>
      </c>
    </row>
    <row r="228" spans="1:5" x14ac:dyDescent="0.3">
      <c r="A228" s="13" t="str">
        <f>IF(MENU!D226="","",MENU!D226)</f>
        <v/>
      </c>
      <c r="B228" s="13" t="str">
        <f>IF(MENU!F226="","",MENU!F226)</f>
        <v/>
      </c>
      <c r="C228" s="13" t="str">
        <f>IF(MENU!J226="","",MENU!K226)</f>
        <v/>
      </c>
      <c r="D228" s="13" t="str">
        <f>IF(MENU!G226="","",MENU!J226)</f>
        <v/>
      </c>
      <c r="E228" s="13" t="str">
        <f>IF(MENU!H226="","",MENU!K226)</f>
        <v/>
      </c>
    </row>
    <row r="229" spans="1:5" x14ac:dyDescent="0.3">
      <c r="A229" s="13" t="str">
        <f>IF(MENU!D227="","",MENU!D227)</f>
        <v/>
      </c>
      <c r="B229" s="13" t="str">
        <f>IF(MENU!F227="","",MENU!F227)</f>
        <v/>
      </c>
      <c r="C229" s="13" t="str">
        <f>IF(MENU!J227="","",MENU!K227)</f>
        <v/>
      </c>
      <c r="D229" s="13" t="str">
        <f>IF(MENU!G227="","",MENU!J227)</f>
        <v/>
      </c>
      <c r="E229" s="13" t="str">
        <f>IF(MENU!H227="","",MENU!K227)</f>
        <v/>
      </c>
    </row>
    <row r="230" spans="1:5" x14ac:dyDescent="0.3">
      <c r="A230" s="13" t="str">
        <f>IF(MENU!D228="","",MENU!D228)</f>
        <v/>
      </c>
      <c r="B230" s="13" t="str">
        <f>IF(MENU!F228="","",MENU!F228)</f>
        <v/>
      </c>
      <c r="C230" s="13" t="str">
        <f>IF(MENU!J228="","",MENU!K228)</f>
        <v/>
      </c>
      <c r="D230" s="13" t="str">
        <f>IF(MENU!G228="","",MENU!J228)</f>
        <v/>
      </c>
      <c r="E230" s="13" t="str">
        <f>IF(MENU!H228="","",MENU!K228)</f>
        <v/>
      </c>
    </row>
    <row r="231" spans="1:5" x14ac:dyDescent="0.3">
      <c r="A231" s="13" t="str">
        <f>IF(MENU!D229="","",MENU!D229)</f>
        <v/>
      </c>
      <c r="B231" s="13" t="str">
        <f>IF(MENU!F229="","",MENU!F229)</f>
        <v/>
      </c>
      <c r="C231" s="13" t="str">
        <f>IF(MENU!J229="","",MENU!K229)</f>
        <v/>
      </c>
      <c r="D231" s="13" t="str">
        <f>IF(MENU!G229="","",MENU!J229)</f>
        <v/>
      </c>
      <c r="E231" s="13" t="str">
        <f>IF(MENU!H229="","",MENU!K229)</f>
        <v/>
      </c>
    </row>
    <row r="232" spans="1:5" x14ac:dyDescent="0.3">
      <c r="A232" s="13" t="str">
        <f>IF(MENU!D230="","",MENU!D230)</f>
        <v/>
      </c>
      <c r="B232" s="13" t="str">
        <f>IF(MENU!F230="","",MENU!F230)</f>
        <v/>
      </c>
      <c r="C232" s="13" t="str">
        <f>IF(MENU!J230="","",MENU!K230)</f>
        <v/>
      </c>
      <c r="D232" s="13" t="str">
        <f>IF(MENU!G230="","",MENU!J230)</f>
        <v/>
      </c>
      <c r="E232" s="13" t="str">
        <f>IF(MENU!H230="","",MENU!K230)</f>
        <v/>
      </c>
    </row>
    <row r="233" spans="1:5" x14ac:dyDescent="0.3">
      <c r="A233" s="13" t="str">
        <f>IF(MENU!D231="","",MENU!D231)</f>
        <v/>
      </c>
      <c r="B233" s="13" t="str">
        <f>IF(MENU!F231="","",MENU!F231)</f>
        <v/>
      </c>
      <c r="C233" s="13" t="str">
        <f>IF(MENU!J231="","",MENU!K231)</f>
        <v/>
      </c>
      <c r="D233" s="13" t="str">
        <f>IF(MENU!G231="","",MENU!J231)</f>
        <v/>
      </c>
      <c r="E233" s="13" t="str">
        <f>IF(MENU!H231="","",MENU!K231)</f>
        <v/>
      </c>
    </row>
    <row r="234" spans="1:5" x14ac:dyDescent="0.3">
      <c r="A234" s="13" t="str">
        <f>IF(MENU!D232="","",MENU!D232)</f>
        <v/>
      </c>
      <c r="B234" s="13" t="str">
        <f>IF(MENU!F232="","",MENU!F232)</f>
        <v/>
      </c>
      <c r="C234" s="13" t="str">
        <f>IF(MENU!J232="","",MENU!K232)</f>
        <v/>
      </c>
      <c r="D234" s="13" t="str">
        <f>IF(MENU!G232="","",MENU!J232)</f>
        <v/>
      </c>
      <c r="E234" s="13" t="str">
        <f>IF(MENU!H232="","",MENU!K232)</f>
        <v/>
      </c>
    </row>
    <row r="235" spans="1:5" x14ac:dyDescent="0.3">
      <c r="A235" s="13" t="str">
        <f>IF(MENU!D233="","",MENU!D233)</f>
        <v/>
      </c>
      <c r="B235" s="13" t="str">
        <f>IF(MENU!F233="","",MENU!F233)</f>
        <v/>
      </c>
      <c r="C235" s="13" t="str">
        <f>IF(MENU!J233="","",MENU!K233)</f>
        <v/>
      </c>
      <c r="D235" s="13" t="str">
        <f>IF(MENU!G233="","",MENU!J233)</f>
        <v/>
      </c>
      <c r="E235" s="13" t="str">
        <f>IF(MENU!H233="","",MENU!K233)</f>
        <v/>
      </c>
    </row>
    <row r="236" spans="1:5" x14ac:dyDescent="0.3">
      <c r="A236" s="13" t="str">
        <f>IF(MENU!D234="","",MENU!D234)</f>
        <v/>
      </c>
      <c r="B236" s="13" t="str">
        <f>IF(MENU!F234="","",MENU!F234)</f>
        <v/>
      </c>
      <c r="C236" s="13" t="str">
        <f>IF(MENU!J234="","",MENU!K234)</f>
        <v/>
      </c>
      <c r="D236" s="13" t="str">
        <f>IF(MENU!G234="","",MENU!J234)</f>
        <v/>
      </c>
      <c r="E236" s="13" t="str">
        <f>IF(MENU!H234="","",MENU!K234)</f>
        <v/>
      </c>
    </row>
    <row r="237" spans="1:5" x14ac:dyDescent="0.3">
      <c r="A237" s="13" t="str">
        <f>IF(MENU!D235="","",MENU!D235)</f>
        <v/>
      </c>
      <c r="B237" s="13" t="str">
        <f>IF(MENU!F235="","",MENU!F235)</f>
        <v/>
      </c>
      <c r="C237" s="13" t="str">
        <f>IF(MENU!J235="","",MENU!K235)</f>
        <v/>
      </c>
      <c r="D237" s="13" t="str">
        <f>IF(MENU!G235="","",MENU!J235)</f>
        <v/>
      </c>
      <c r="E237" s="13" t="str">
        <f>IF(MENU!H235="","",MENU!K235)</f>
        <v/>
      </c>
    </row>
    <row r="238" spans="1:5" x14ac:dyDescent="0.3">
      <c r="A238" s="13" t="str">
        <f>IF(MENU!D236="","",MENU!D236)</f>
        <v/>
      </c>
      <c r="B238" s="13" t="str">
        <f>IF(MENU!F236="","",MENU!F236)</f>
        <v/>
      </c>
      <c r="C238" s="13" t="str">
        <f>IF(MENU!J236="","",MENU!K236)</f>
        <v/>
      </c>
      <c r="D238" s="13" t="str">
        <f>IF(MENU!G236="","",MENU!J236)</f>
        <v/>
      </c>
      <c r="E238" s="13" t="str">
        <f>IF(MENU!H236="","",MENU!K236)</f>
        <v/>
      </c>
    </row>
    <row r="239" spans="1:5" x14ac:dyDescent="0.3">
      <c r="A239" s="13" t="str">
        <f>IF(MENU!D237="","",MENU!D237)</f>
        <v/>
      </c>
      <c r="B239" s="13" t="str">
        <f>IF(MENU!F237="","",MENU!F237)</f>
        <v/>
      </c>
      <c r="C239" s="13" t="str">
        <f>IF(MENU!J237="","",MENU!K237)</f>
        <v/>
      </c>
      <c r="D239" s="13" t="str">
        <f>IF(MENU!G237="","",MENU!J237)</f>
        <v/>
      </c>
      <c r="E239" s="13" t="str">
        <f>IF(MENU!H237="","",MENU!K237)</f>
        <v/>
      </c>
    </row>
    <row r="240" spans="1:5" x14ac:dyDescent="0.3">
      <c r="A240" s="13" t="str">
        <f>IF(MENU!D238="","",MENU!D238)</f>
        <v/>
      </c>
      <c r="B240" s="13" t="str">
        <f>IF(MENU!F238="","",MENU!F238)</f>
        <v/>
      </c>
      <c r="C240" s="13" t="str">
        <f>IF(MENU!J238="","",MENU!K238)</f>
        <v/>
      </c>
      <c r="D240" s="13" t="str">
        <f>IF(MENU!G238="","",MENU!J238)</f>
        <v/>
      </c>
      <c r="E240" s="13" t="str">
        <f>IF(MENU!H238="","",MENU!K238)</f>
        <v/>
      </c>
    </row>
    <row r="241" spans="1:5" x14ac:dyDescent="0.3">
      <c r="A241" s="13" t="str">
        <f>IF(MENU!D239="","",MENU!D239)</f>
        <v/>
      </c>
      <c r="B241" s="13" t="str">
        <f>IF(MENU!F239="","",MENU!F239)</f>
        <v/>
      </c>
      <c r="C241" s="13" t="str">
        <f>IF(MENU!J239="","",MENU!K239)</f>
        <v/>
      </c>
      <c r="D241" s="13" t="str">
        <f>IF(MENU!G239="","",MENU!J239)</f>
        <v/>
      </c>
      <c r="E241" s="13" t="str">
        <f>IF(MENU!H239="","",MENU!K239)</f>
        <v/>
      </c>
    </row>
    <row r="242" spans="1:5" x14ac:dyDescent="0.3">
      <c r="A242" s="13" t="str">
        <f>IF(MENU!D240="","",MENU!D240)</f>
        <v/>
      </c>
      <c r="B242" s="13" t="str">
        <f>IF(MENU!F240="","",MENU!F240)</f>
        <v/>
      </c>
      <c r="C242" s="13" t="str">
        <f>IF(MENU!J240="","",MENU!K240)</f>
        <v/>
      </c>
      <c r="D242" s="13" t="str">
        <f>IF(MENU!G240="","",MENU!J240)</f>
        <v/>
      </c>
      <c r="E242" s="13" t="str">
        <f>IF(MENU!H240="","",MENU!K240)</f>
        <v/>
      </c>
    </row>
    <row r="243" spans="1:5" x14ac:dyDescent="0.3">
      <c r="A243" s="13" t="str">
        <f>IF(MENU!D241="","",MENU!D241)</f>
        <v/>
      </c>
      <c r="B243" s="13" t="str">
        <f>IF(MENU!F241="","",MENU!F241)</f>
        <v/>
      </c>
      <c r="C243" s="13" t="str">
        <f>IF(MENU!J241="","",MENU!K241)</f>
        <v/>
      </c>
      <c r="D243" s="13" t="str">
        <f>IF(MENU!G241="","",MENU!J241)</f>
        <v/>
      </c>
      <c r="E243" s="13" t="str">
        <f>IF(MENU!H241="","",MENU!K241)</f>
        <v/>
      </c>
    </row>
    <row r="244" spans="1:5" x14ac:dyDescent="0.3">
      <c r="A244" s="13" t="str">
        <f>IF(MENU!D242="","",MENU!D242)</f>
        <v/>
      </c>
      <c r="B244" s="13" t="str">
        <f>IF(MENU!F242="","",MENU!F242)</f>
        <v/>
      </c>
      <c r="C244" s="13" t="str">
        <f>IF(MENU!J242="","",MENU!K242)</f>
        <v/>
      </c>
      <c r="D244" s="13" t="str">
        <f>IF(MENU!G242="","",MENU!J242)</f>
        <v/>
      </c>
      <c r="E244" s="13" t="str">
        <f>IF(MENU!H242="","",MENU!K242)</f>
        <v/>
      </c>
    </row>
    <row r="245" spans="1:5" x14ac:dyDescent="0.3">
      <c r="A245" s="13" t="str">
        <f>IF(MENU!D243="","",MENU!D243)</f>
        <v/>
      </c>
      <c r="B245" s="13" t="str">
        <f>IF(MENU!F243="","",MENU!F243)</f>
        <v/>
      </c>
      <c r="C245" s="13" t="str">
        <f>IF(MENU!J243="","",MENU!K243)</f>
        <v/>
      </c>
      <c r="D245" s="13" t="str">
        <f>IF(MENU!G243="","",MENU!J243)</f>
        <v/>
      </c>
      <c r="E245" s="13" t="str">
        <f>IF(MENU!H243="","",MENU!K243)</f>
        <v/>
      </c>
    </row>
    <row r="246" spans="1:5" x14ac:dyDescent="0.3">
      <c r="A246" s="13" t="str">
        <f>IF(MENU!D244="","",MENU!D244)</f>
        <v/>
      </c>
      <c r="B246" s="13" t="str">
        <f>IF(MENU!F244="","",MENU!F244)</f>
        <v/>
      </c>
      <c r="C246" s="13" t="str">
        <f>IF(MENU!J244="","",MENU!K244)</f>
        <v/>
      </c>
      <c r="D246" s="13" t="str">
        <f>IF(MENU!G244="","",MENU!J244)</f>
        <v/>
      </c>
      <c r="E246" s="13" t="str">
        <f>IF(MENU!H244="","",MENU!K244)</f>
        <v/>
      </c>
    </row>
    <row r="247" spans="1:5" x14ac:dyDescent="0.3">
      <c r="A247" s="13" t="str">
        <f>IF(MENU!D245="","",MENU!D245)</f>
        <v/>
      </c>
      <c r="B247" s="13" t="str">
        <f>IF(MENU!F245="","",MENU!F245)</f>
        <v/>
      </c>
      <c r="C247" s="13" t="str">
        <f>IF(MENU!J245="","",MENU!K245)</f>
        <v/>
      </c>
      <c r="D247" s="13" t="str">
        <f>IF(MENU!G245="","",MENU!J245)</f>
        <v/>
      </c>
      <c r="E247" s="13" t="str">
        <f>IF(MENU!H245="","",MENU!K245)</f>
        <v/>
      </c>
    </row>
    <row r="248" spans="1:5" x14ac:dyDescent="0.3">
      <c r="A248" s="13" t="str">
        <f>IF(MENU!D246="","",MENU!D246)</f>
        <v/>
      </c>
      <c r="B248" s="13" t="str">
        <f>IF(MENU!F246="","",MENU!F246)</f>
        <v/>
      </c>
      <c r="C248" s="13" t="str">
        <f>IF(MENU!J246="","",MENU!K246)</f>
        <v/>
      </c>
      <c r="D248" s="13" t="str">
        <f>IF(MENU!G246="","",MENU!J246)</f>
        <v/>
      </c>
      <c r="E248" s="13" t="str">
        <f>IF(MENU!H246="","",MENU!K246)</f>
        <v/>
      </c>
    </row>
    <row r="249" spans="1:5" x14ac:dyDescent="0.3">
      <c r="A249" s="13" t="str">
        <f>IF(MENU!D247="","",MENU!D247)</f>
        <v/>
      </c>
      <c r="B249" s="13" t="str">
        <f>IF(MENU!F247="","",MENU!F247)</f>
        <v/>
      </c>
      <c r="C249" s="13" t="str">
        <f>IF(MENU!J247="","",MENU!K247)</f>
        <v/>
      </c>
      <c r="D249" s="13" t="str">
        <f>IF(MENU!G247="","",MENU!J247)</f>
        <v/>
      </c>
      <c r="E249" s="13" t="str">
        <f>IF(MENU!H247="","",MENU!K247)</f>
        <v/>
      </c>
    </row>
    <row r="250" spans="1:5" x14ac:dyDescent="0.3">
      <c r="A250" s="13" t="str">
        <f>IF(MENU!D248="","",MENU!D248)</f>
        <v/>
      </c>
      <c r="B250" s="13" t="str">
        <f>IF(MENU!F248="","",MENU!F248)</f>
        <v/>
      </c>
      <c r="C250" s="13" t="str">
        <f>IF(MENU!J248="","",MENU!K248)</f>
        <v/>
      </c>
      <c r="D250" s="13" t="str">
        <f>IF(MENU!G248="","",MENU!J248)</f>
        <v/>
      </c>
      <c r="E250" s="13" t="str">
        <f>IF(MENU!H248="","",MENU!K248)</f>
        <v/>
      </c>
    </row>
    <row r="251" spans="1:5" x14ac:dyDescent="0.3">
      <c r="A251" s="13" t="str">
        <f>IF(MENU!D249="","",MENU!D249)</f>
        <v/>
      </c>
      <c r="B251" s="13" t="str">
        <f>IF(MENU!F249="","",MENU!F249)</f>
        <v/>
      </c>
      <c r="C251" s="13" t="str">
        <f>IF(MENU!J249="","",MENU!K249)</f>
        <v/>
      </c>
      <c r="D251" s="13" t="str">
        <f>IF(MENU!G249="","",MENU!J249)</f>
        <v/>
      </c>
      <c r="E251" s="13" t="str">
        <f>IF(MENU!H249="","",MENU!K249)</f>
        <v/>
      </c>
    </row>
    <row r="252" spans="1:5" x14ac:dyDescent="0.3">
      <c r="A252" s="13" t="str">
        <f>IF(MENU!D250="","",MENU!D250)</f>
        <v/>
      </c>
      <c r="B252" s="13" t="str">
        <f>IF(MENU!F250="","",MENU!F250)</f>
        <v/>
      </c>
      <c r="C252" s="13" t="str">
        <f>IF(MENU!J250="","",MENU!K250)</f>
        <v/>
      </c>
      <c r="D252" s="13" t="str">
        <f>IF(MENU!G250="","",MENU!J250)</f>
        <v/>
      </c>
      <c r="E252" s="13" t="str">
        <f>IF(MENU!H250="","",MENU!K250)</f>
        <v/>
      </c>
    </row>
    <row r="253" spans="1:5" x14ac:dyDescent="0.3">
      <c r="A253" s="13" t="str">
        <f>IF(MENU!D251="","",MENU!D251)</f>
        <v/>
      </c>
      <c r="B253" s="13" t="str">
        <f>IF(MENU!F251="","",MENU!F251)</f>
        <v/>
      </c>
      <c r="C253" s="13" t="str">
        <f>IF(MENU!J251="","",MENU!K251)</f>
        <v/>
      </c>
      <c r="D253" s="13" t="str">
        <f>IF(MENU!G251="","",MENU!J251)</f>
        <v/>
      </c>
      <c r="E253" s="13" t="str">
        <f>IF(MENU!H251="","",MENU!K251)</f>
        <v/>
      </c>
    </row>
    <row r="254" spans="1:5" x14ac:dyDescent="0.3">
      <c r="A254" s="13" t="str">
        <f>IF(MENU!D252="","",MENU!D252)</f>
        <v/>
      </c>
      <c r="B254" s="13" t="str">
        <f>IF(MENU!F252="","",MENU!F252)</f>
        <v/>
      </c>
      <c r="C254" s="13" t="str">
        <f>IF(MENU!J252="","",MENU!K252)</f>
        <v/>
      </c>
      <c r="D254" s="13" t="str">
        <f>IF(MENU!G252="","",MENU!J252)</f>
        <v/>
      </c>
      <c r="E254" s="13" t="str">
        <f>IF(MENU!H252="","",MENU!K252)</f>
        <v/>
      </c>
    </row>
    <row r="255" spans="1:5" x14ac:dyDescent="0.3">
      <c r="A255" s="13" t="str">
        <f>IF(MENU!D253="","",MENU!D253)</f>
        <v/>
      </c>
      <c r="B255" s="13" t="str">
        <f>IF(MENU!F253="","",MENU!F253)</f>
        <v/>
      </c>
      <c r="C255" s="13" t="str">
        <f>IF(MENU!J253="","",MENU!K253)</f>
        <v/>
      </c>
      <c r="D255" s="13" t="str">
        <f>IF(MENU!G253="","",MENU!J253)</f>
        <v/>
      </c>
      <c r="E255" s="13" t="str">
        <f>IF(MENU!H253="","",MENU!K253)</f>
        <v/>
      </c>
    </row>
    <row r="256" spans="1:5" x14ac:dyDescent="0.3">
      <c r="A256" s="13" t="str">
        <f>IF(MENU!D254="","",MENU!D254)</f>
        <v/>
      </c>
      <c r="B256" s="13" t="str">
        <f>IF(MENU!F254="","",MENU!F254)</f>
        <v/>
      </c>
      <c r="C256" s="13" t="str">
        <f>IF(MENU!J254="","",MENU!K254)</f>
        <v/>
      </c>
      <c r="D256" s="13" t="str">
        <f>IF(MENU!G254="","",MENU!J254)</f>
        <v/>
      </c>
      <c r="E256" s="13" t="str">
        <f>IF(MENU!H254="","",MENU!K254)</f>
        <v/>
      </c>
    </row>
    <row r="257" spans="1:5" x14ac:dyDescent="0.3">
      <c r="A257" s="13" t="str">
        <f>IF(MENU!D255="","",MENU!D255)</f>
        <v/>
      </c>
      <c r="B257" s="13" t="str">
        <f>IF(MENU!F255="","",MENU!F255)</f>
        <v/>
      </c>
      <c r="C257" s="13" t="str">
        <f>IF(MENU!J255="","",MENU!K255)</f>
        <v/>
      </c>
      <c r="D257" s="13" t="str">
        <f>IF(MENU!G255="","",MENU!J255)</f>
        <v/>
      </c>
      <c r="E257" s="13" t="str">
        <f>IF(MENU!H255="","",MENU!K255)</f>
        <v/>
      </c>
    </row>
    <row r="258" spans="1:5" x14ac:dyDescent="0.3">
      <c r="A258" s="13" t="str">
        <f>IF(MENU!D256="","",MENU!D256)</f>
        <v/>
      </c>
      <c r="B258" s="13" t="str">
        <f>IF(MENU!F256="","",MENU!F256)</f>
        <v/>
      </c>
      <c r="C258" s="13" t="str">
        <f>IF(MENU!J256="","",MENU!K256)</f>
        <v/>
      </c>
      <c r="D258" s="13" t="str">
        <f>IF(MENU!G256="","",MENU!J256)</f>
        <v/>
      </c>
      <c r="E258" s="13" t="str">
        <f>IF(MENU!H256="","",MENU!K256)</f>
        <v/>
      </c>
    </row>
    <row r="259" spans="1:5" x14ac:dyDescent="0.3">
      <c r="A259" s="13" t="str">
        <f>IF(MENU!D257="","",MENU!D257)</f>
        <v/>
      </c>
      <c r="B259" s="13" t="str">
        <f>IF(MENU!F257="","",MENU!F257)</f>
        <v/>
      </c>
      <c r="C259" s="13" t="str">
        <f>IF(MENU!J257="","",MENU!K257)</f>
        <v/>
      </c>
      <c r="D259" s="13" t="str">
        <f>IF(MENU!G257="","",MENU!J257)</f>
        <v/>
      </c>
      <c r="E259" s="13" t="str">
        <f>IF(MENU!H257="","",MENU!K257)</f>
        <v/>
      </c>
    </row>
    <row r="260" spans="1:5" x14ac:dyDescent="0.3">
      <c r="A260" s="13" t="str">
        <f>IF(MENU!D258="","",MENU!D258)</f>
        <v/>
      </c>
      <c r="B260" s="13" t="str">
        <f>IF(MENU!F258="","",MENU!F258)</f>
        <v/>
      </c>
      <c r="C260" s="13" t="str">
        <f>IF(MENU!J258="","",MENU!K258)</f>
        <v/>
      </c>
      <c r="D260" s="13" t="str">
        <f>IF(MENU!G258="","",MENU!J258)</f>
        <v/>
      </c>
      <c r="E260" s="13" t="str">
        <f>IF(MENU!H258="","",MENU!K258)</f>
        <v/>
      </c>
    </row>
    <row r="261" spans="1:5" x14ac:dyDescent="0.3">
      <c r="A261" s="13" t="str">
        <f>IF(MENU!D259="","",MENU!D259)</f>
        <v/>
      </c>
      <c r="B261" s="13" t="str">
        <f>IF(MENU!F259="","",MENU!F259)</f>
        <v/>
      </c>
      <c r="C261" s="13" t="str">
        <f>IF(MENU!J259="","",MENU!K259)</f>
        <v/>
      </c>
      <c r="D261" s="13" t="str">
        <f>IF(MENU!G259="","",MENU!J259)</f>
        <v/>
      </c>
      <c r="E261" s="13" t="str">
        <f>IF(MENU!H259="","",MENU!K259)</f>
        <v/>
      </c>
    </row>
    <row r="262" spans="1:5" x14ac:dyDescent="0.3">
      <c r="A262" s="13" t="str">
        <f>IF(MENU!D260="","",MENU!D260)</f>
        <v/>
      </c>
      <c r="B262" s="13" t="str">
        <f>IF(MENU!F260="","",MENU!F260)</f>
        <v/>
      </c>
      <c r="C262" s="13" t="str">
        <f>IF(MENU!J260="","",MENU!K260)</f>
        <v/>
      </c>
      <c r="D262" s="13" t="str">
        <f>IF(MENU!G260="","",MENU!J260)</f>
        <v/>
      </c>
      <c r="E262" s="13" t="str">
        <f>IF(MENU!H260="","",MENU!K260)</f>
        <v/>
      </c>
    </row>
    <row r="263" spans="1:5" x14ac:dyDescent="0.3">
      <c r="A263" s="13" t="str">
        <f>IF(MENU!D261="","",MENU!D261)</f>
        <v/>
      </c>
      <c r="B263" s="13" t="str">
        <f>IF(MENU!F261="","",MENU!F261)</f>
        <v/>
      </c>
      <c r="C263" s="13" t="str">
        <f>IF(MENU!J261="","",MENU!K261)</f>
        <v/>
      </c>
      <c r="D263" s="13" t="str">
        <f>IF(MENU!G261="","",MENU!J261)</f>
        <v/>
      </c>
      <c r="E263" s="13" t="str">
        <f>IF(MENU!H261="","",MENU!K261)</f>
        <v/>
      </c>
    </row>
    <row r="264" spans="1:5" x14ac:dyDescent="0.3">
      <c r="A264" s="13" t="str">
        <f>IF(MENU!D262="","",MENU!D262)</f>
        <v/>
      </c>
      <c r="B264" s="13" t="str">
        <f>IF(MENU!F262="","",MENU!F262)</f>
        <v/>
      </c>
      <c r="C264" s="13" t="str">
        <f>IF(MENU!J262="","",MENU!K262)</f>
        <v/>
      </c>
      <c r="D264" s="13" t="str">
        <f>IF(MENU!G262="","",MENU!J262)</f>
        <v/>
      </c>
      <c r="E264" s="13" t="str">
        <f>IF(MENU!H262="","",MENU!K262)</f>
        <v/>
      </c>
    </row>
    <row r="265" spans="1:5" x14ac:dyDescent="0.3">
      <c r="A265" s="13" t="str">
        <f>IF(MENU!D263="","",MENU!D263)</f>
        <v/>
      </c>
      <c r="B265" s="13" t="str">
        <f>IF(MENU!F263="","",MENU!F263)</f>
        <v/>
      </c>
      <c r="C265" s="13" t="str">
        <f>IF(MENU!J263="","",MENU!K263)</f>
        <v/>
      </c>
      <c r="D265" s="13" t="str">
        <f>IF(MENU!G263="","",MENU!J263)</f>
        <v/>
      </c>
      <c r="E265" s="13" t="str">
        <f>IF(MENU!H263="","",MENU!K263)</f>
        <v/>
      </c>
    </row>
    <row r="266" spans="1:5" x14ac:dyDescent="0.3">
      <c r="A266" s="13" t="str">
        <f>IF(MENU!D264="","",MENU!D264)</f>
        <v/>
      </c>
      <c r="B266" s="13" t="str">
        <f>IF(MENU!F264="","",MENU!F264)</f>
        <v/>
      </c>
      <c r="C266" s="13" t="str">
        <f>IF(MENU!J264="","",MENU!K264)</f>
        <v/>
      </c>
      <c r="D266" s="13" t="str">
        <f>IF(MENU!G264="","",MENU!J264)</f>
        <v/>
      </c>
      <c r="E266" s="13" t="str">
        <f>IF(MENU!H264="","",MENU!K264)</f>
        <v/>
      </c>
    </row>
    <row r="267" spans="1:5" x14ac:dyDescent="0.3">
      <c r="A267" s="13" t="str">
        <f>IF(MENU!D265="","",MENU!D265)</f>
        <v/>
      </c>
      <c r="B267" s="13" t="str">
        <f>IF(MENU!F265="","",MENU!F265)</f>
        <v/>
      </c>
      <c r="C267" s="13" t="str">
        <f>IF(MENU!J265="","",MENU!K265)</f>
        <v/>
      </c>
      <c r="D267" s="13" t="str">
        <f>IF(MENU!G265="","",MENU!J265)</f>
        <v/>
      </c>
      <c r="E267" s="13" t="str">
        <f>IF(MENU!H265="","",MENU!K265)</f>
        <v/>
      </c>
    </row>
    <row r="268" spans="1:5" x14ac:dyDescent="0.3">
      <c r="A268" s="13" t="str">
        <f>IF(MENU!D266="","",MENU!D266)</f>
        <v/>
      </c>
      <c r="B268" s="13" t="str">
        <f>IF(MENU!F266="","",MENU!F266)</f>
        <v/>
      </c>
      <c r="C268" s="13" t="str">
        <f>IF(MENU!J266="","",MENU!K266)</f>
        <v/>
      </c>
      <c r="D268" s="13" t="str">
        <f>IF(MENU!G266="","",MENU!J266)</f>
        <v/>
      </c>
      <c r="E268" s="13" t="str">
        <f>IF(MENU!H266="","",MENU!K266)</f>
        <v/>
      </c>
    </row>
    <row r="269" spans="1:5" x14ac:dyDescent="0.3">
      <c r="A269" s="13" t="str">
        <f>IF(MENU!D267="","",MENU!D267)</f>
        <v/>
      </c>
      <c r="B269" s="13" t="str">
        <f>IF(MENU!F267="","",MENU!F267)</f>
        <v/>
      </c>
      <c r="C269" s="13" t="str">
        <f>IF(MENU!J267="","",MENU!K267)</f>
        <v/>
      </c>
      <c r="D269" s="13" t="str">
        <f>IF(MENU!G267="","",MENU!J267)</f>
        <v/>
      </c>
      <c r="E269" s="13" t="str">
        <f>IF(MENU!H267="","",MENU!K267)</f>
        <v/>
      </c>
    </row>
    <row r="270" spans="1:5" x14ac:dyDescent="0.3">
      <c r="A270" s="13" t="str">
        <f>IF(MENU!D268="","",MENU!D268)</f>
        <v/>
      </c>
      <c r="B270" s="13" t="str">
        <f>IF(MENU!F268="","",MENU!F268)</f>
        <v/>
      </c>
      <c r="C270" s="13" t="str">
        <f>IF(MENU!J268="","",MENU!K268)</f>
        <v/>
      </c>
      <c r="D270" s="13" t="str">
        <f>IF(MENU!G268="","",MENU!J268)</f>
        <v/>
      </c>
      <c r="E270" s="13" t="str">
        <f>IF(MENU!H268="","",MENU!K268)</f>
        <v/>
      </c>
    </row>
    <row r="271" spans="1:5" x14ac:dyDescent="0.3">
      <c r="A271" s="13" t="str">
        <f>IF(MENU!D269="","",MENU!D269)</f>
        <v/>
      </c>
      <c r="B271" s="13" t="str">
        <f>IF(MENU!F269="","",MENU!F269)</f>
        <v/>
      </c>
      <c r="C271" s="13" t="str">
        <f>IF(MENU!J269="","",MENU!K269)</f>
        <v/>
      </c>
      <c r="D271" s="13" t="str">
        <f>IF(MENU!G269="","",MENU!J269)</f>
        <v/>
      </c>
      <c r="E271" s="13" t="str">
        <f>IF(MENU!H269="","",MENU!K269)</f>
        <v/>
      </c>
    </row>
    <row r="272" spans="1:5" x14ac:dyDescent="0.3">
      <c r="A272" s="13" t="str">
        <f>IF(MENU!D270="","",MENU!D270)</f>
        <v/>
      </c>
      <c r="B272" s="13" t="str">
        <f>IF(MENU!F270="","",MENU!F270)</f>
        <v/>
      </c>
      <c r="C272" s="13" t="str">
        <f>IF(MENU!J270="","",MENU!K270)</f>
        <v/>
      </c>
      <c r="D272" s="13" t="str">
        <f>IF(MENU!G270="","",MENU!J270)</f>
        <v/>
      </c>
      <c r="E272" s="13" t="str">
        <f>IF(MENU!H270="","",MENU!K270)</f>
        <v/>
      </c>
    </row>
    <row r="273" spans="1:5" x14ac:dyDescent="0.3">
      <c r="A273" s="13" t="str">
        <f>IF(MENU!D271="","",MENU!D271)</f>
        <v/>
      </c>
      <c r="B273" s="13" t="str">
        <f>IF(MENU!F271="","",MENU!F271)</f>
        <v/>
      </c>
      <c r="C273" s="13" t="str">
        <f>IF(MENU!J271="","",MENU!K271)</f>
        <v/>
      </c>
      <c r="D273" s="13" t="str">
        <f>IF(MENU!G271="","",MENU!J271)</f>
        <v/>
      </c>
      <c r="E273" s="13" t="str">
        <f>IF(MENU!H271="","",MENU!K271)</f>
        <v/>
      </c>
    </row>
    <row r="274" spans="1:5" x14ac:dyDescent="0.3">
      <c r="A274" s="13" t="str">
        <f>IF(MENU!D272="","",MENU!D272)</f>
        <v/>
      </c>
      <c r="B274" s="13" t="str">
        <f>IF(MENU!F272="","",MENU!F272)</f>
        <v/>
      </c>
      <c r="C274" s="13" t="str">
        <f>IF(MENU!J272="","",MENU!K272)</f>
        <v/>
      </c>
      <c r="D274" s="13" t="str">
        <f>IF(MENU!G272="","",MENU!J272)</f>
        <v/>
      </c>
      <c r="E274" s="13" t="str">
        <f>IF(MENU!H272="","",MENU!K272)</f>
        <v/>
      </c>
    </row>
    <row r="275" spans="1:5" x14ac:dyDescent="0.3">
      <c r="A275" s="13" t="str">
        <f>IF(MENU!D273="","",MENU!D273)</f>
        <v/>
      </c>
      <c r="B275" s="13" t="str">
        <f>IF(MENU!F273="","",MENU!F273)</f>
        <v/>
      </c>
      <c r="C275" s="13" t="str">
        <f>IF(MENU!J273="","",MENU!K273)</f>
        <v/>
      </c>
      <c r="D275" s="13" t="str">
        <f>IF(MENU!G273="","",MENU!J273)</f>
        <v/>
      </c>
      <c r="E275" s="13" t="str">
        <f>IF(MENU!H273="","",MENU!K273)</f>
        <v/>
      </c>
    </row>
    <row r="276" spans="1:5" x14ac:dyDescent="0.3">
      <c r="A276" s="13" t="str">
        <f>IF(MENU!D274="","",MENU!D274)</f>
        <v/>
      </c>
      <c r="B276" s="13" t="str">
        <f>IF(MENU!F274="","",MENU!F274)</f>
        <v/>
      </c>
      <c r="C276" s="13" t="str">
        <f>IF(MENU!J274="","",MENU!K274)</f>
        <v/>
      </c>
      <c r="D276" s="13" t="str">
        <f>IF(MENU!G274="","",MENU!J274)</f>
        <v/>
      </c>
      <c r="E276" s="13" t="str">
        <f>IF(MENU!H274="","",MENU!K274)</f>
        <v/>
      </c>
    </row>
    <row r="277" spans="1:5" x14ac:dyDescent="0.3">
      <c r="A277" s="13"/>
      <c r="B277" s="13"/>
      <c r="C277" s="18"/>
      <c r="D277" s="15"/>
      <c r="E277" s="18"/>
    </row>
    <row r="278" spans="1:5" x14ac:dyDescent="0.3">
      <c r="A278" s="13"/>
      <c r="B278" s="13"/>
      <c r="C278" s="18"/>
      <c r="D278" s="15"/>
      <c r="E278" s="18"/>
    </row>
    <row r="279" spans="1:5" x14ac:dyDescent="0.3">
      <c r="A279" s="13"/>
      <c r="B279" s="13"/>
      <c r="C279" s="18"/>
      <c r="D279" s="15"/>
      <c r="E279" s="18"/>
    </row>
    <row r="280" spans="1:5" x14ac:dyDescent="0.3">
      <c r="A280" s="13"/>
      <c r="B280" s="13"/>
      <c r="C280" s="18"/>
      <c r="D280" s="15"/>
      <c r="E280" s="18"/>
    </row>
    <row r="281" spans="1:5" x14ac:dyDescent="0.3">
      <c r="A281" s="13"/>
      <c r="B281" s="13"/>
      <c r="C281" s="18"/>
      <c r="D281" s="15"/>
      <c r="E281" s="18"/>
    </row>
    <row r="282" spans="1:5" x14ac:dyDescent="0.3">
      <c r="A282" s="13"/>
      <c r="B282" s="13"/>
      <c r="C282" s="18"/>
      <c r="D282" s="15"/>
      <c r="E282" s="18"/>
    </row>
    <row r="283" spans="1:5" x14ac:dyDescent="0.3">
      <c r="A283" s="13"/>
      <c r="B283" s="13"/>
      <c r="C283" s="18"/>
      <c r="D283" s="15"/>
      <c r="E283" s="18"/>
    </row>
    <row r="284" spans="1:5" x14ac:dyDescent="0.3">
      <c r="A284" s="13"/>
      <c r="B284" s="13"/>
      <c r="C284" s="18"/>
      <c r="D284" s="15"/>
      <c r="E284" s="18"/>
    </row>
    <row r="285" spans="1:5" x14ac:dyDescent="0.3">
      <c r="A285" s="13"/>
      <c r="B285" s="13"/>
      <c r="C285" s="18"/>
      <c r="D285" s="15"/>
      <c r="E285" s="18"/>
    </row>
    <row r="286" spans="1:5" x14ac:dyDescent="0.3">
      <c r="A286" s="13"/>
      <c r="B286" s="13"/>
      <c r="C286" s="18"/>
      <c r="D286" s="15"/>
      <c r="E286" s="18"/>
    </row>
    <row r="287" spans="1:5" x14ac:dyDescent="0.3">
      <c r="A287" s="13"/>
      <c r="B287" s="13"/>
      <c r="C287" s="18"/>
      <c r="D287" s="15"/>
      <c r="E287" s="18"/>
    </row>
    <row r="288" spans="1:5" x14ac:dyDescent="0.3">
      <c r="A288" s="13"/>
      <c r="B288" s="13"/>
      <c r="C288" s="18"/>
      <c r="D288" s="15"/>
      <c r="E288" s="18"/>
    </row>
    <row r="289" spans="1:5" x14ac:dyDescent="0.3">
      <c r="A289" s="13"/>
      <c r="B289" s="13"/>
      <c r="C289" s="18"/>
      <c r="D289" s="15"/>
      <c r="E289" s="18"/>
    </row>
    <row r="290" spans="1:5" x14ac:dyDescent="0.3">
      <c r="A290" s="13"/>
      <c r="B290" s="13"/>
      <c r="C290" s="18"/>
      <c r="D290" s="15"/>
      <c r="E290" s="18"/>
    </row>
    <row r="291" spans="1:5" x14ac:dyDescent="0.3">
      <c r="A291" s="13"/>
      <c r="B291" s="13"/>
      <c r="C291" s="18"/>
      <c r="D291" s="15"/>
      <c r="E291" s="18"/>
    </row>
    <row r="292" spans="1:5" x14ac:dyDescent="0.3">
      <c r="A292" s="13"/>
      <c r="B292" s="13"/>
      <c r="C292" s="18"/>
      <c r="D292" s="15"/>
      <c r="E292" s="18"/>
    </row>
    <row r="293" spans="1:5" x14ac:dyDescent="0.3">
      <c r="A293" s="13"/>
      <c r="B293" s="13"/>
      <c r="C293" s="18"/>
      <c r="D293" s="15"/>
      <c r="E293" s="18"/>
    </row>
    <row r="294" spans="1:5" x14ac:dyDescent="0.3">
      <c r="A294" s="13"/>
      <c r="B294" s="13"/>
      <c r="C294" s="18"/>
      <c r="D294" s="15"/>
      <c r="E294" s="18"/>
    </row>
    <row r="295" spans="1:5" x14ac:dyDescent="0.3">
      <c r="A295" s="13"/>
      <c r="B295" s="13"/>
      <c r="C295" s="18"/>
      <c r="D295" s="15"/>
      <c r="E295" s="18"/>
    </row>
    <row r="296" spans="1:5" x14ac:dyDescent="0.3">
      <c r="A296" s="13"/>
      <c r="B296" s="13"/>
      <c r="C296" s="18"/>
      <c r="D296" s="15"/>
      <c r="E296" s="18"/>
    </row>
    <row r="297" spans="1:5" x14ac:dyDescent="0.3">
      <c r="A297" s="13"/>
      <c r="B297" s="13"/>
      <c r="C297" s="18"/>
      <c r="D297" s="15"/>
      <c r="E297" s="18"/>
    </row>
    <row r="298" spans="1:5" x14ac:dyDescent="0.3">
      <c r="A298" s="13"/>
      <c r="B298" s="13"/>
      <c r="C298" s="18"/>
      <c r="D298" s="15"/>
      <c r="E298" s="18"/>
    </row>
    <row r="299" spans="1:5" x14ac:dyDescent="0.3">
      <c r="A299" s="13"/>
      <c r="B299" s="13"/>
      <c r="C299" s="18"/>
      <c r="D299" s="15"/>
      <c r="E299" s="18"/>
    </row>
    <row r="300" spans="1:5" x14ac:dyDescent="0.3">
      <c r="A300" s="13"/>
      <c r="B300" s="13"/>
      <c r="C300" s="18"/>
      <c r="D300" s="15"/>
      <c r="E300" s="18"/>
    </row>
    <row r="301" spans="1:5" x14ac:dyDescent="0.3">
      <c r="A301" s="13"/>
      <c r="B301" s="13"/>
      <c r="C301" s="18"/>
      <c r="D301" s="15"/>
      <c r="E301" s="18"/>
    </row>
    <row r="302" spans="1:5" x14ac:dyDescent="0.3">
      <c r="A302" s="13"/>
      <c r="B302" s="13"/>
      <c r="C302" s="18"/>
      <c r="D302" s="15"/>
      <c r="E302" s="18"/>
    </row>
    <row r="303" spans="1:5" x14ac:dyDescent="0.3">
      <c r="A303" s="13"/>
      <c r="B303" s="13"/>
      <c r="C303" s="18"/>
      <c r="D303" s="15"/>
      <c r="E303" s="18"/>
    </row>
    <row r="304" spans="1:5" x14ac:dyDescent="0.3">
      <c r="A304" s="13"/>
      <c r="B304" s="13"/>
      <c r="C304" s="18"/>
      <c r="D304" s="15"/>
      <c r="E304" s="18"/>
    </row>
    <row r="305" spans="1:5" x14ac:dyDescent="0.3">
      <c r="A305" s="13"/>
      <c r="B305" s="13"/>
      <c r="C305" s="18"/>
      <c r="D305" s="15"/>
      <c r="E305" s="18"/>
    </row>
    <row r="306" spans="1:5" x14ac:dyDescent="0.3">
      <c r="A306" s="13"/>
      <c r="B306" s="13"/>
      <c r="C306" s="18"/>
      <c r="D306" s="15"/>
      <c r="E306" s="18"/>
    </row>
    <row r="307" spans="1:5" x14ac:dyDescent="0.3">
      <c r="A307" s="13"/>
      <c r="B307" s="13"/>
      <c r="C307" s="18"/>
      <c r="D307" s="15"/>
      <c r="E307" s="18"/>
    </row>
    <row r="308" spans="1:5" x14ac:dyDescent="0.3">
      <c r="A308" s="13"/>
      <c r="B308" s="13"/>
      <c r="C308" s="18"/>
      <c r="D308" s="15"/>
      <c r="E308" s="18"/>
    </row>
    <row r="309" spans="1:5" x14ac:dyDescent="0.3">
      <c r="A309" s="13"/>
      <c r="B309" s="13"/>
      <c r="C309" s="18"/>
      <c r="D309" s="15"/>
      <c r="E309" s="18"/>
    </row>
    <row r="310" spans="1:5" x14ac:dyDescent="0.3">
      <c r="A310" s="13"/>
      <c r="B310" s="13"/>
      <c r="C310" s="18"/>
      <c r="D310" s="15"/>
      <c r="E310" s="18"/>
    </row>
    <row r="311" spans="1:5" x14ac:dyDescent="0.3">
      <c r="A311" s="13"/>
      <c r="B311" s="13"/>
      <c r="C311" s="18"/>
      <c r="D311" s="15"/>
      <c r="E311" s="18"/>
    </row>
    <row r="312" spans="1:5" x14ac:dyDescent="0.3">
      <c r="A312" s="13"/>
      <c r="B312" s="13"/>
      <c r="C312" s="18"/>
      <c r="D312" s="15"/>
      <c r="E312" s="18"/>
    </row>
    <row r="313" spans="1:5" x14ac:dyDescent="0.3">
      <c r="A313" s="13"/>
      <c r="B313" s="13"/>
      <c r="C313" s="18"/>
      <c r="D313" s="15"/>
      <c r="E313" s="18"/>
    </row>
    <row r="314" spans="1:5" x14ac:dyDescent="0.3">
      <c r="A314" s="13"/>
      <c r="B314" s="13"/>
      <c r="C314" s="18"/>
      <c r="D314" s="15"/>
      <c r="E314" s="18"/>
    </row>
    <row r="315" spans="1:5" x14ac:dyDescent="0.3">
      <c r="A315" s="13"/>
      <c r="B315" s="13"/>
      <c r="C315" s="18"/>
      <c r="D315" s="15"/>
      <c r="E315" s="18"/>
    </row>
    <row r="316" spans="1:5" x14ac:dyDescent="0.3">
      <c r="A316" s="13"/>
      <c r="B316" s="13"/>
      <c r="C316" s="18"/>
      <c r="D316" s="15"/>
      <c r="E316" s="18"/>
    </row>
    <row r="317" spans="1:5" x14ac:dyDescent="0.3">
      <c r="A317" s="13"/>
      <c r="B317" s="13"/>
      <c r="C317" s="18"/>
      <c r="D317" s="15"/>
      <c r="E317" s="18"/>
    </row>
    <row r="318" spans="1:5" x14ac:dyDescent="0.3">
      <c r="A318" s="13"/>
      <c r="B318" s="13"/>
      <c r="C318" s="18"/>
      <c r="D318" s="15"/>
      <c r="E318" s="18"/>
    </row>
    <row r="319" spans="1:5" x14ac:dyDescent="0.3">
      <c r="A319" s="13"/>
      <c r="B319" s="13"/>
      <c r="C319" s="18"/>
      <c r="D319" s="15"/>
      <c r="E319" s="18"/>
    </row>
    <row r="320" spans="1:5" x14ac:dyDescent="0.3">
      <c r="A320" s="13"/>
      <c r="B320" s="13"/>
      <c r="C320" s="18"/>
      <c r="D320" s="15"/>
      <c r="E320" s="18"/>
    </row>
    <row r="321" spans="1:5" x14ac:dyDescent="0.3">
      <c r="A321" s="13"/>
      <c r="B321" s="13"/>
      <c r="C321" s="18"/>
      <c r="D321" s="15"/>
      <c r="E321" s="18"/>
    </row>
    <row r="322" spans="1:5" x14ac:dyDescent="0.3">
      <c r="A322" s="13"/>
      <c r="B322" s="13"/>
      <c r="C322" s="18"/>
      <c r="D322" s="15"/>
      <c r="E322" s="18"/>
    </row>
    <row r="323" spans="1:5" x14ac:dyDescent="0.3">
      <c r="A323" s="13"/>
      <c r="B323" s="13"/>
      <c r="C323" s="18"/>
      <c r="D323" s="15"/>
      <c r="E323" s="18"/>
    </row>
    <row r="324" spans="1:5" x14ac:dyDescent="0.3">
      <c r="A324" s="13"/>
      <c r="B324" s="13"/>
      <c r="C324" s="18"/>
      <c r="D324" s="15"/>
      <c r="E324" s="18"/>
    </row>
    <row r="325" spans="1:5" x14ac:dyDescent="0.3">
      <c r="A325" s="13"/>
      <c r="B325" s="13"/>
      <c r="C325" s="18"/>
      <c r="D325" s="15"/>
      <c r="E325" s="18"/>
    </row>
    <row r="326" spans="1:5" x14ac:dyDescent="0.3">
      <c r="A326" s="13"/>
      <c r="B326" s="13"/>
      <c r="C326" s="18"/>
      <c r="D326" s="15"/>
      <c r="E326" s="18"/>
    </row>
    <row r="327" spans="1:5" x14ac:dyDescent="0.3">
      <c r="A327" s="13"/>
      <c r="B327" s="13"/>
      <c r="C327" s="18"/>
      <c r="D327" s="15"/>
      <c r="E327" s="18"/>
    </row>
    <row r="328" spans="1:5" x14ac:dyDescent="0.3">
      <c r="A328" s="13"/>
      <c r="B328" s="13"/>
      <c r="C328" s="18"/>
      <c r="D328" s="15"/>
      <c r="E328" s="18"/>
    </row>
    <row r="329" spans="1:5" x14ac:dyDescent="0.3">
      <c r="A329" s="13"/>
      <c r="B329" s="13"/>
      <c r="C329" s="18"/>
      <c r="D329" s="15"/>
      <c r="E329" s="18"/>
    </row>
    <row r="330" spans="1:5" x14ac:dyDescent="0.3">
      <c r="A330" s="13"/>
      <c r="B330" s="13"/>
      <c r="C330" s="18"/>
      <c r="D330" s="15"/>
      <c r="E330" s="18"/>
    </row>
    <row r="331" spans="1:5" x14ac:dyDescent="0.3">
      <c r="A331" s="13"/>
      <c r="B331" s="13"/>
      <c r="C331" s="18"/>
      <c r="D331" s="15"/>
      <c r="E331" s="18"/>
    </row>
    <row r="332" spans="1:5" x14ac:dyDescent="0.3">
      <c r="A332" s="13"/>
      <c r="B332" s="13"/>
      <c r="C332" s="18"/>
      <c r="D332" s="15"/>
      <c r="E332" s="18"/>
    </row>
    <row r="333" spans="1:5" x14ac:dyDescent="0.3">
      <c r="A333" s="13"/>
      <c r="B333" s="13"/>
      <c r="C333" s="18"/>
      <c r="D333" s="15"/>
      <c r="E333" s="18"/>
    </row>
    <row r="334" spans="1:5" x14ac:dyDescent="0.3">
      <c r="A334" s="13"/>
      <c r="B334" s="13"/>
      <c r="C334" s="18"/>
      <c r="D334" s="15"/>
      <c r="E334" s="18"/>
    </row>
    <row r="335" spans="1:5" x14ac:dyDescent="0.3">
      <c r="A335" s="13"/>
      <c r="B335" s="13"/>
      <c r="C335" s="18"/>
      <c r="D335" s="15"/>
      <c r="E335" s="18"/>
    </row>
    <row r="336" spans="1:5" x14ac:dyDescent="0.3">
      <c r="A336" s="13"/>
      <c r="B336" s="13"/>
      <c r="C336" s="18"/>
      <c r="D336" s="15"/>
      <c r="E336" s="18"/>
    </row>
    <row r="337" spans="1:5" x14ac:dyDescent="0.3">
      <c r="A337" s="13"/>
      <c r="B337" s="13"/>
      <c r="C337" s="18"/>
      <c r="D337" s="15"/>
      <c r="E337" s="18"/>
    </row>
    <row r="338" spans="1:5" x14ac:dyDescent="0.3">
      <c r="A338" s="13"/>
      <c r="B338" s="13"/>
      <c r="C338" s="18"/>
      <c r="D338" s="15"/>
      <c r="E338" s="18"/>
    </row>
    <row r="339" spans="1:5" x14ac:dyDescent="0.3">
      <c r="A339" s="13"/>
      <c r="B339" s="13"/>
      <c r="C339" s="18"/>
      <c r="D339" s="15"/>
      <c r="E339" s="18"/>
    </row>
    <row r="340" spans="1:5" x14ac:dyDescent="0.3">
      <c r="A340" s="13"/>
      <c r="B340" s="13"/>
      <c r="C340" s="18"/>
      <c r="D340" s="15"/>
      <c r="E340" s="18"/>
    </row>
    <row r="341" spans="1:5" x14ac:dyDescent="0.3">
      <c r="A341" s="13"/>
      <c r="B341" s="13"/>
      <c r="C341" s="18"/>
      <c r="D341" s="15"/>
      <c r="E341" s="18"/>
    </row>
    <row r="342" spans="1:5" x14ac:dyDescent="0.3">
      <c r="A342" s="13"/>
      <c r="B342" s="13"/>
      <c r="C342" s="18"/>
      <c r="D342" s="15"/>
      <c r="E342" s="18"/>
    </row>
    <row r="343" spans="1:5" x14ac:dyDescent="0.3">
      <c r="A343" s="13"/>
      <c r="B343" s="13"/>
      <c r="C343" s="18"/>
      <c r="D343" s="15"/>
      <c r="E343" s="18"/>
    </row>
    <row r="344" spans="1:5" x14ac:dyDescent="0.3">
      <c r="A344" s="13"/>
      <c r="B344" s="13"/>
      <c r="C344" s="18"/>
      <c r="D344" s="15"/>
      <c r="E344" s="18"/>
    </row>
    <row r="345" spans="1:5" x14ac:dyDescent="0.3">
      <c r="A345" s="13"/>
      <c r="B345" s="13"/>
      <c r="C345" s="18"/>
      <c r="D345" s="15"/>
      <c r="E345" s="18"/>
    </row>
    <row r="346" spans="1:5" x14ac:dyDescent="0.3">
      <c r="A346" s="13"/>
      <c r="B346" s="13"/>
      <c r="C346" s="18"/>
      <c r="D346" s="15"/>
      <c r="E346" s="18"/>
    </row>
    <row r="347" spans="1:5" x14ac:dyDescent="0.3">
      <c r="A347" s="13"/>
      <c r="B347" s="13"/>
      <c r="C347" s="18"/>
      <c r="D347" s="15"/>
      <c r="E347" s="18"/>
    </row>
    <row r="348" spans="1:5" x14ac:dyDescent="0.3">
      <c r="A348" s="13"/>
      <c r="B348" s="13"/>
      <c r="C348" s="18"/>
      <c r="D348" s="15"/>
      <c r="E348" s="18"/>
    </row>
    <row r="349" spans="1:5" x14ac:dyDescent="0.3">
      <c r="A349" s="13"/>
      <c r="B349" s="13"/>
      <c r="C349" s="18"/>
      <c r="D349" s="15"/>
      <c r="E349" s="18"/>
    </row>
    <row r="350" spans="1:5" x14ac:dyDescent="0.3">
      <c r="A350" s="13"/>
      <c r="B350" s="13"/>
      <c r="C350" s="18"/>
      <c r="D350" s="15"/>
      <c r="E350" s="18"/>
    </row>
    <row r="351" spans="1:5" x14ac:dyDescent="0.3">
      <c r="A351" s="13"/>
      <c r="B351" s="13"/>
      <c r="C351" s="18"/>
      <c r="D351" s="15"/>
      <c r="E351" s="18"/>
    </row>
    <row r="352" spans="1:5" x14ac:dyDescent="0.3">
      <c r="A352" s="13"/>
      <c r="B352" s="13"/>
      <c r="C352" s="18"/>
      <c r="D352" s="15"/>
      <c r="E352" s="18"/>
    </row>
    <row r="353" spans="1:5" x14ac:dyDescent="0.3">
      <c r="A353" s="13"/>
      <c r="B353" s="13"/>
      <c r="C353" s="18"/>
      <c r="D353" s="15"/>
      <c r="E353" s="18"/>
    </row>
    <row r="354" spans="1:5" x14ac:dyDescent="0.3">
      <c r="A354" s="13"/>
      <c r="B354" s="13"/>
      <c r="C354" s="18"/>
      <c r="D354" s="15"/>
      <c r="E354" s="18"/>
    </row>
    <row r="355" spans="1:5" x14ac:dyDescent="0.3">
      <c r="A355" s="13"/>
      <c r="B355" s="13"/>
      <c r="C355" s="18"/>
      <c r="D355" s="15"/>
      <c r="E355" s="18"/>
    </row>
    <row r="356" spans="1:5" x14ac:dyDescent="0.3">
      <c r="A356" s="13"/>
      <c r="B356" s="13"/>
      <c r="C356" s="18"/>
      <c r="D356" s="15"/>
      <c r="E356" s="18"/>
    </row>
    <row r="357" spans="1:5" x14ac:dyDescent="0.3">
      <c r="A357" s="13"/>
      <c r="B357" s="13"/>
      <c r="C357" s="18"/>
      <c r="D357" s="15"/>
      <c r="E357" s="18"/>
    </row>
    <row r="358" spans="1:5" x14ac:dyDescent="0.3">
      <c r="A358" s="13"/>
      <c r="B358" s="13"/>
      <c r="C358" s="18"/>
      <c r="D358" s="15"/>
      <c r="E358" s="18"/>
    </row>
    <row r="359" spans="1:5" x14ac:dyDescent="0.3">
      <c r="A359" s="13"/>
      <c r="B359" s="13"/>
      <c r="C359" s="18"/>
      <c r="D359" s="15"/>
      <c r="E359" s="18"/>
    </row>
    <row r="360" spans="1:5" x14ac:dyDescent="0.3">
      <c r="A360" s="13"/>
      <c r="B360" s="13"/>
      <c r="C360" s="18"/>
      <c r="D360" s="15"/>
      <c r="E360" s="18"/>
    </row>
    <row r="361" spans="1:5" x14ac:dyDescent="0.3">
      <c r="A361" s="13"/>
      <c r="B361" s="13"/>
      <c r="C361" s="18"/>
      <c r="D361" s="15"/>
      <c r="E361" s="18"/>
    </row>
    <row r="362" spans="1:5" x14ac:dyDescent="0.3">
      <c r="A362" s="13"/>
      <c r="B362" s="13"/>
      <c r="C362" s="18"/>
      <c r="D362" s="15"/>
      <c r="E362" s="18"/>
    </row>
    <row r="363" spans="1:5" x14ac:dyDescent="0.3">
      <c r="A363" s="13"/>
      <c r="B363" s="13"/>
      <c r="C363" s="18"/>
      <c r="D363" s="15"/>
      <c r="E363" s="18"/>
    </row>
    <row r="364" spans="1:5" x14ac:dyDescent="0.3">
      <c r="A364" s="13"/>
      <c r="B364" s="13"/>
      <c r="C364" s="18"/>
      <c r="D364" s="15"/>
      <c r="E364" s="18"/>
    </row>
    <row r="365" spans="1:5" x14ac:dyDescent="0.3">
      <c r="A365" s="13"/>
      <c r="B365" s="13"/>
      <c r="C365" s="18"/>
      <c r="D365" s="15"/>
      <c r="E365" s="18"/>
    </row>
    <row r="366" spans="1:5" x14ac:dyDescent="0.3">
      <c r="A366" s="13"/>
      <c r="B366" s="13"/>
      <c r="C366" s="18"/>
      <c r="D366" s="15"/>
      <c r="E366" s="18"/>
    </row>
    <row r="367" spans="1:5" x14ac:dyDescent="0.3">
      <c r="A367" s="13"/>
      <c r="B367" s="13"/>
      <c r="C367" s="18"/>
      <c r="D367" s="15"/>
      <c r="E367" s="18"/>
    </row>
    <row r="368" spans="1:5" x14ac:dyDescent="0.3">
      <c r="A368" s="13"/>
      <c r="B368" s="13"/>
      <c r="C368" s="18"/>
      <c r="D368" s="15"/>
      <c r="E368" s="18"/>
    </row>
    <row r="369" spans="1:5" x14ac:dyDescent="0.3">
      <c r="A369" s="12"/>
      <c r="B369" s="12"/>
      <c r="C369" s="19"/>
      <c r="D369" s="16"/>
      <c r="E369" s="19"/>
    </row>
    <row r="370" spans="1:5" x14ac:dyDescent="0.3">
      <c r="A370" s="12"/>
      <c r="B370" s="12"/>
      <c r="C370" s="19"/>
      <c r="D370" s="16"/>
      <c r="E370" s="19"/>
    </row>
    <row r="371" spans="1:5" x14ac:dyDescent="0.3">
      <c r="A371" s="12"/>
      <c r="B371" s="12"/>
      <c r="C371" s="19"/>
      <c r="D371" s="16"/>
      <c r="E371" s="19"/>
    </row>
    <row r="372" spans="1:5" x14ac:dyDescent="0.3">
      <c r="A372" s="12"/>
      <c r="B372" s="12"/>
      <c r="C372" s="19"/>
      <c r="D372" s="16"/>
      <c r="E372" s="19"/>
    </row>
    <row r="373" spans="1:5" x14ac:dyDescent="0.3">
      <c r="A373" s="12"/>
      <c r="B373" s="12"/>
      <c r="C373" s="19"/>
      <c r="D373" s="16"/>
      <c r="E373" s="19"/>
    </row>
    <row r="374" spans="1:5" x14ac:dyDescent="0.3">
      <c r="A374" s="12"/>
      <c r="B374" s="12"/>
      <c r="C374" s="19"/>
      <c r="D374" s="16"/>
      <c r="E374" s="19"/>
    </row>
    <row r="375" spans="1:5" x14ac:dyDescent="0.3">
      <c r="A375" s="12"/>
      <c r="B375" s="12"/>
      <c r="C375" s="19"/>
      <c r="D375" s="16"/>
      <c r="E375" s="19"/>
    </row>
    <row r="376" spans="1:5" x14ac:dyDescent="0.3">
      <c r="A376" s="12"/>
      <c r="B376" s="12"/>
      <c r="C376" s="19"/>
      <c r="D376" s="16"/>
      <c r="E376" s="19"/>
    </row>
    <row r="377" spans="1:5" x14ac:dyDescent="0.3">
      <c r="A377" s="12"/>
      <c r="B377" s="12"/>
      <c r="C377" s="19"/>
      <c r="D377" s="16"/>
      <c r="E377" s="19"/>
    </row>
    <row r="378" spans="1:5" x14ac:dyDescent="0.3">
      <c r="A378" s="12"/>
      <c r="B378" s="12"/>
      <c r="C378" s="19"/>
      <c r="D378" s="16"/>
      <c r="E378" s="19"/>
    </row>
  </sheetData>
  <mergeCells count="5">
    <mergeCell ref="A2:E2"/>
    <mergeCell ref="A3:E3"/>
    <mergeCell ref="D5:E5"/>
    <mergeCell ref="D6:E6"/>
    <mergeCell ref="D7:E7"/>
  </mergeCells>
  <conditionalFormatting sqref="A10:E276">
    <cfRule type="expression" dxfId="14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Z39953"/>
  <sheetViews>
    <sheetView showGridLines="0" zoomScaleNormal="100" workbookViewId="0">
      <selection activeCell="A25" sqref="A25:I28"/>
    </sheetView>
  </sheetViews>
  <sheetFormatPr defaultRowHeight="14.4" x14ac:dyDescent="0.3"/>
  <cols>
    <col min="1" max="1" width="14" style="86" customWidth="1"/>
    <col min="2" max="2" width="12.6640625" style="87" customWidth="1"/>
    <col min="3" max="3" width="35" style="86" customWidth="1"/>
    <col min="4" max="4" width="5.77734375" style="86" customWidth="1"/>
    <col min="5" max="5" width="8.44140625" style="88" customWidth="1"/>
    <col min="6" max="6" width="4.44140625" style="89" customWidth="1"/>
    <col min="7" max="7" width="3.88671875" style="89" customWidth="1"/>
    <col min="8" max="8" width="12.6640625" style="88" customWidth="1"/>
    <col min="9" max="9" width="13.88671875" style="83" customWidth="1"/>
    <col min="10" max="10" width="14" style="83" customWidth="1"/>
    <col min="11" max="11" width="11.33203125" style="91" bestFit="1" customWidth="1"/>
    <col min="12" max="12" width="10.88671875" style="84" customWidth="1"/>
    <col min="13" max="13" width="9.109375" style="84"/>
    <col min="14" max="15" width="12.109375" bestFit="1" customWidth="1"/>
    <col min="17" max="17" width="15.33203125" bestFit="1" customWidth="1"/>
    <col min="18" max="18" width="10.6640625" bestFit="1" customWidth="1"/>
    <col min="19" max="19" width="28.33203125" bestFit="1" customWidth="1"/>
    <col min="20" max="20" width="6" bestFit="1" customWidth="1"/>
    <col min="21" max="21" width="12.109375" bestFit="1" customWidth="1"/>
    <col min="22" max="22" width="4.33203125" bestFit="1" customWidth="1"/>
    <col min="23" max="23" width="3.6640625" bestFit="1" customWidth="1"/>
    <col min="24" max="24" width="7.5546875" bestFit="1" customWidth="1"/>
    <col min="25" max="25" width="9.5546875" bestFit="1" customWidth="1"/>
    <col min="26" max="26" width="11.33203125" bestFit="1" customWidth="1"/>
  </cols>
  <sheetData>
    <row r="1" spans="1:26" x14ac:dyDescent="0.3">
      <c r="A1"/>
      <c r="B1" s="44"/>
      <c r="C1"/>
      <c r="D1"/>
      <c r="E1" s="45"/>
      <c r="F1" s="54"/>
      <c r="G1" s="54"/>
      <c r="H1" s="45"/>
      <c r="I1" s="45"/>
      <c r="J1" s="45"/>
      <c r="K1"/>
      <c r="L1" s="2"/>
      <c r="M1" s="2"/>
    </row>
    <row r="2" spans="1:26" x14ac:dyDescent="0.3">
      <c r="A2"/>
      <c r="B2" s="44"/>
      <c r="C2"/>
      <c r="D2"/>
      <c r="E2" s="45"/>
      <c r="F2" s="54"/>
      <c r="G2" s="54"/>
      <c r="H2" s="45"/>
      <c r="I2" s="45"/>
      <c r="J2" s="45"/>
      <c r="K2"/>
      <c r="L2" s="2"/>
      <c r="M2" s="2"/>
    </row>
    <row r="3" spans="1:26" x14ac:dyDescent="0.3">
      <c r="A3"/>
      <c r="B3" s="44"/>
      <c r="C3"/>
      <c r="D3"/>
      <c r="E3" s="45"/>
      <c r="F3" s="54"/>
      <c r="G3" s="54"/>
      <c r="H3" s="45"/>
      <c r="I3" s="45"/>
      <c r="J3" s="45"/>
      <c r="K3"/>
      <c r="L3" s="2"/>
      <c r="M3" s="2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" x14ac:dyDescent="0.35">
      <c r="A4" s="42" t="s">
        <v>0</v>
      </c>
      <c r="B4" s="70" t="s">
        <v>17</v>
      </c>
      <c r="C4" s="42" t="s">
        <v>1</v>
      </c>
      <c r="D4" s="42" t="s">
        <v>60</v>
      </c>
      <c r="E4" s="69" t="s">
        <v>70</v>
      </c>
      <c r="F4" s="71" t="s">
        <v>3</v>
      </c>
      <c r="G4" s="71" t="s">
        <v>2</v>
      </c>
      <c r="H4" s="69" t="s">
        <v>4</v>
      </c>
      <c r="I4" s="79" t="s">
        <v>5</v>
      </c>
      <c r="J4" s="80" t="s">
        <v>46</v>
      </c>
      <c r="K4" s="92" t="s">
        <v>59</v>
      </c>
      <c r="L4" s="81" t="s">
        <v>18</v>
      </c>
      <c r="M4" s="81" t="s">
        <v>20</v>
      </c>
      <c r="N4" s="72"/>
      <c r="O4" s="72"/>
      <c r="P4" s="60"/>
      <c r="Q4" s="73"/>
      <c r="R4" s="74"/>
      <c r="S4" s="73"/>
      <c r="T4" s="73"/>
      <c r="U4" s="75"/>
      <c r="V4" s="76"/>
      <c r="W4" s="76"/>
      <c r="X4" s="77"/>
      <c r="Y4" s="75"/>
      <c r="Z4" s="75"/>
    </row>
    <row r="5" spans="1:26" x14ac:dyDescent="0.3">
      <c r="A5" s="86" t="s">
        <v>68</v>
      </c>
      <c r="B5" s="87">
        <v>44492.47693287037</v>
      </c>
      <c r="C5" s="86" t="s">
        <v>55</v>
      </c>
      <c r="D5" s="86" t="s">
        <v>65</v>
      </c>
      <c r="E5" s="155">
        <v>6</v>
      </c>
      <c r="F5" s="89">
        <v>8</v>
      </c>
      <c r="G5" s="89">
        <v>1</v>
      </c>
      <c r="H5" s="165">
        <v>10000</v>
      </c>
      <c r="I5" s="82">
        <v>6000</v>
      </c>
      <c r="J5" s="83">
        <f t="shared" ref="J5:J6" si="0">IFERROR((H5-I5)*G5,"")</f>
        <v>4000</v>
      </c>
      <c r="K5" s="91" t="str">
        <f t="shared" ref="K5:K6" si="1">IF(B5="","",TEXT(B5,"DD-MMM"))</f>
        <v>23-Oct</v>
      </c>
      <c r="L5" s="166" t="str">
        <f t="shared" ref="L5:L6" si="2">IF(B5="","",TEXT(B5,"MMM"))</f>
        <v>Oct</v>
      </c>
      <c r="M5" s="167">
        <f t="shared" ref="M5:M6" si="3">IF(B5="","",YEAR(B5))</f>
        <v>2021</v>
      </c>
      <c r="R5" s="44"/>
      <c r="U5" s="45"/>
      <c r="V5" s="54"/>
      <c r="W5" s="54"/>
      <c r="X5" s="55"/>
      <c r="Y5" s="45"/>
      <c r="Z5" s="45"/>
    </row>
    <row r="6" spans="1:26" x14ac:dyDescent="0.3">
      <c r="A6" s="86" t="s">
        <v>69</v>
      </c>
      <c r="B6" s="87">
        <v>44492.4768287037</v>
      </c>
      <c r="C6" s="86" t="s">
        <v>67</v>
      </c>
      <c r="D6" s="86" t="s">
        <v>66</v>
      </c>
      <c r="E6" s="155">
        <v>6</v>
      </c>
      <c r="F6" s="89">
        <v>3</v>
      </c>
      <c r="G6" s="89">
        <v>1</v>
      </c>
      <c r="H6" s="165">
        <v>65000</v>
      </c>
      <c r="I6" s="82">
        <v>63000</v>
      </c>
      <c r="J6" s="83">
        <f t="shared" si="0"/>
        <v>2000</v>
      </c>
      <c r="K6" s="91" t="str">
        <f t="shared" si="1"/>
        <v>23-Oct</v>
      </c>
      <c r="L6" s="166" t="str">
        <f t="shared" si="2"/>
        <v>Oct</v>
      </c>
      <c r="M6" s="167">
        <f t="shared" si="3"/>
        <v>2021</v>
      </c>
      <c r="R6" s="44"/>
      <c r="U6" s="45"/>
      <c r="V6" s="54"/>
      <c r="W6" s="54"/>
      <c r="X6" s="55"/>
      <c r="Y6" s="45"/>
      <c r="Z6" s="45"/>
    </row>
    <row r="7" spans="1:26" x14ac:dyDescent="0.3">
      <c r="A7" s="86" t="s">
        <v>68</v>
      </c>
      <c r="B7" s="87">
        <v>44492.47923611111</v>
      </c>
      <c r="C7" s="86" t="s">
        <v>55</v>
      </c>
      <c r="D7" s="86" t="s">
        <v>65</v>
      </c>
      <c r="E7" s="155">
        <v>1</v>
      </c>
      <c r="F7" s="89">
        <v>7</v>
      </c>
      <c r="G7" s="89">
        <v>1</v>
      </c>
      <c r="H7" s="165">
        <v>10000</v>
      </c>
      <c r="I7" s="82">
        <v>6000</v>
      </c>
      <c r="J7" s="83">
        <f t="shared" ref="J7:J8" si="4">IFERROR((H7-I7)*G7,"")</f>
        <v>4000</v>
      </c>
      <c r="K7" s="91" t="str">
        <f t="shared" ref="K7:K8" si="5">IF(B7="","",TEXT(B7,"DD-MMM"))</f>
        <v>23-Oct</v>
      </c>
      <c r="L7" s="166" t="str">
        <f t="shared" ref="L7:L8" si="6">IF(B7="","",TEXT(B7,"MMM"))</f>
        <v>Oct</v>
      </c>
      <c r="M7" s="167">
        <f t="shared" ref="M7:M8" si="7">IF(B7="","",YEAR(B7))</f>
        <v>2021</v>
      </c>
      <c r="R7" s="44"/>
      <c r="U7" s="45"/>
      <c r="V7" s="54"/>
      <c r="W7" s="54"/>
      <c r="X7" s="55"/>
      <c r="Y7" s="45"/>
      <c r="Z7" s="45"/>
    </row>
    <row r="8" spans="1:26" x14ac:dyDescent="0.3">
      <c r="A8" s="86" t="s">
        <v>69</v>
      </c>
      <c r="B8" s="87">
        <v>44492.478715277779</v>
      </c>
      <c r="C8" s="86" t="s">
        <v>67</v>
      </c>
      <c r="D8" s="86" t="s">
        <v>66</v>
      </c>
      <c r="E8" s="155">
        <v>1</v>
      </c>
      <c r="F8" s="89">
        <v>2</v>
      </c>
      <c r="G8" s="89">
        <v>1</v>
      </c>
      <c r="H8" s="165">
        <v>65000</v>
      </c>
      <c r="I8" s="82">
        <v>63000</v>
      </c>
      <c r="J8" s="83">
        <f t="shared" si="4"/>
        <v>2000</v>
      </c>
      <c r="K8" s="91" t="str">
        <f t="shared" si="5"/>
        <v>23-Oct</v>
      </c>
      <c r="L8" s="166" t="str">
        <f t="shared" si="6"/>
        <v>Oct</v>
      </c>
      <c r="M8" s="167">
        <f t="shared" si="7"/>
        <v>2021</v>
      </c>
      <c r="R8" s="44"/>
      <c r="U8" s="45"/>
      <c r="V8" s="54"/>
      <c r="W8" s="54"/>
      <c r="X8" s="55"/>
      <c r="Y8" s="45"/>
      <c r="Z8" s="45"/>
    </row>
    <row r="9" spans="1:26" x14ac:dyDescent="0.3">
      <c r="A9" s="86" t="s">
        <v>69</v>
      </c>
      <c r="B9" s="87">
        <v>44492.481354166666</v>
      </c>
      <c r="C9" s="86" t="s">
        <v>67</v>
      </c>
      <c r="D9" s="86" t="s">
        <v>66</v>
      </c>
      <c r="E9" s="155">
        <v>2</v>
      </c>
      <c r="F9" s="89">
        <v>8</v>
      </c>
      <c r="G9" s="89">
        <v>1</v>
      </c>
      <c r="H9" s="165">
        <v>65000</v>
      </c>
      <c r="I9" s="82">
        <v>63000</v>
      </c>
      <c r="J9" s="83">
        <f t="shared" ref="J9:J12" si="8">IFERROR((H9-I9)*G9,"")</f>
        <v>2000</v>
      </c>
      <c r="K9" s="91" t="str">
        <f t="shared" ref="K9:K12" si="9">IF(B9="","",TEXT(B9,"DD-MMM"))</f>
        <v>23-Oct</v>
      </c>
      <c r="L9" s="166" t="str">
        <f t="shared" ref="L9:L12" si="10">IF(B9="","",TEXT(B9,"MMM"))</f>
        <v>Oct</v>
      </c>
      <c r="M9" s="167">
        <f t="shared" ref="M9:M12" si="11">IF(B9="","",YEAR(B9))</f>
        <v>2021</v>
      </c>
      <c r="N9" t="s">
        <v>51</v>
      </c>
      <c r="R9" s="44"/>
      <c r="U9" s="45"/>
      <c r="V9" s="54"/>
      <c r="W9" s="54"/>
      <c r="X9" s="55"/>
      <c r="Y9" s="45"/>
      <c r="Z9" s="45"/>
    </row>
    <row r="10" spans="1:26" x14ac:dyDescent="0.3">
      <c r="A10" s="86" t="s">
        <v>68</v>
      </c>
      <c r="B10" s="87">
        <v>44492.48128472222</v>
      </c>
      <c r="C10" s="86" t="s">
        <v>55</v>
      </c>
      <c r="D10" s="86" t="s">
        <v>65</v>
      </c>
      <c r="E10" s="155">
        <v>2</v>
      </c>
      <c r="F10" s="89">
        <v>8</v>
      </c>
      <c r="G10" s="89">
        <v>1</v>
      </c>
      <c r="H10" s="165">
        <v>10000</v>
      </c>
      <c r="I10" s="82">
        <v>6000</v>
      </c>
      <c r="J10" s="83">
        <f t="shared" si="8"/>
        <v>4000</v>
      </c>
      <c r="K10" s="91" t="str">
        <f t="shared" si="9"/>
        <v>23-Oct</v>
      </c>
      <c r="L10" s="166" t="str">
        <f t="shared" si="10"/>
        <v>Oct</v>
      </c>
      <c r="M10" s="167">
        <f t="shared" si="11"/>
        <v>2021</v>
      </c>
      <c r="R10" s="44"/>
      <c r="U10" s="45"/>
      <c r="V10" s="54"/>
      <c r="W10" s="54"/>
      <c r="X10" s="55"/>
      <c r="Y10" s="45"/>
      <c r="Z10" s="45"/>
    </row>
    <row r="11" spans="1:26" x14ac:dyDescent="0.3">
      <c r="A11" s="86" t="s">
        <v>68</v>
      </c>
      <c r="B11" s="87">
        <v>44492.481215277781</v>
      </c>
      <c r="C11" s="86" t="s">
        <v>55</v>
      </c>
      <c r="D11" s="86" t="s">
        <v>65</v>
      </c>
      <c r="E11" s="155">
        <v>1</v>
      </c>
      <c r="F11" s="89">
        <v>9</v>
      </c>
      <c r="G11" s="89">
        <v>1</v>
      </c>
      <c r="H11" s="165">
        <v>10000</v>
      </c>
      <c r="I11" s="82">
        <v>6000</v>
      </c>
      <c r="J11" s="83">
        <f t="shared" si="8"/>
        <v>4000</v>
      </c>
      <c r="K11" s="91" t="str">
        <f t="shared" si="9"/>
        <v>23-Oct</v>
      </c>
      <c r="L11" s="166" t="str">
        <f t="shared" si="10"/>
        <v>Oct</v>
      </c>
      <c r="M11" s="167">
        <f t="shared" si="11"/>
        <v>2021</v>
      </c>
      <c r="R11" s="44"/>
      <c r="U11" s="45"/>
      <c r="V11" s="54"/>
      <c r="W11" s="54"/>
      <c r="X11" s="55"/>
      <c r="Y11" s="45"/>
      <c r="Z11" s="45"/>
    </row>
    <row r="12" spans="1:26" x14ac:dyDescent="0.3">
      <c r="A12" s="86" t="s">
        <v>69</v>
      </c>
      <c r="B12" s="87">
        <v>44492.481122685182</v>
      </c>
      <c r="C12" s="86" t="s">
        <v>67</v>
      </c>
      <c r="D12" s="86" t="s">
        <v>66</v>
      </c>
      <c r="E12" s="155">
        <v>1</v>
      </c>
      <c r="F12" s="89">
        <v>9</v>
      </c>
      <c r="G12" s="89">
        <v>1</v>
      </c>
      <c r="H12" s="165">
        <v>65000</v>
      </c>
      <c r="I12" s="82">
        <v>63000</v>
      </c>
      <c r="J12" s="83">
        <f t="shared" si="8"/>
        <v>2000</v>
      </c>
      <c r="K12" s="91" t="str">
        <f t="shared" si="9"/>
        <v>23-Oct</v>
      </c>
      <c r="L12" s="166" t="str">
        <f t="shared" si="10"/>
        <v>Oct</v>
      </c>
      <c r="M12" s="167">
        <f t="shared" si="11"/>
        <v>2021</v>
      </c>
      <c r="R12" s="44"/>
      <c r="U12" s="45"/>
      <c r="V12" s="54"/>
      <c r="W12" s="54"/>
      <c r="X12" s="55"/>
      <c r="Y12" s="45"/>
      <c r="Z12" s="45"/>
    </row>
    <row r="13" spans="1:26" x14ac:dyDescent="0.3">
      <c r="A13" s="86" t="s">
        <v>110</v>
      </c>
      <c r="B13" s="87">
        <v>44493.39770833333</v>
      </c>
      <c r="C13" s="86" t="s">
        <v>178</v>
      </c>
      <c r="D13" s="86" t="s">
        <v>66</v>
      </c>
      <c r="E13" s="155">
        <v>1</v>
      </c>
      <c r="F13" s="89">
        <v>10</v>
      </c>
      <c r="G13" s="89">
        <v>1</v>
      </c>
      <c r="H13" s="165">
        <v>40000</v>
      </c>
      <c r="I13" s="82">
        <v>38000</v>
      </c>
      <c r="J13" s="83">
        <f t="shared" ref="J13:J19" si="12">IFERROR((H13-I13)*G13,"")</f>
        <v>2000</v>
      </c>
      <c r="K13" s="91" t="str">
        <f t="shared" ref="K13:K19" si="13">IF(B13="","",TEXT(B13,"DD-MMM"))</f>
        <v>24-Oct</v>
      </c>
      <c r="L13" s="166" t="str">
        <f t="shared" ref="L13:L19" si="14">IF(B13="","",TEXT(B13,"MMM"))</f>
        <v>Oct</v>
      </c>
      <c r="M13" s="167">
        <f t="shared" ref="M13:M19" si="15">IF(B13="","",YEAR(B13))</f>
        <v>2021</v>
      </c>
      <c r="R13" s="44"/>
      <c r="U13" s="45"/>
      <c r="V13" s="54"/>
      <c r="W13" s="54"/>
      <c r="X13" s="55"/>
      <c r="Y13" s="45"/>
      <c r="Z13" s="45"/>
    </row>
    <row r="14" spans="1:26" x14ac:dyDescent="0.3">
      <c r="A14" s="86" t="s">
        <v>110</v>
      </c>
      <c r="B14" s="87">
        <v>44493.397534722222</v>
      </c>
      <c r="C14" s="86" t="s">
        <v>178</v>
      </c>
      <c r="D14" s="86" t="s">
        <v>66</v>
      </c>
      <c r="E14" s="155">
        <v>0</v>
      </c>
      <c r="F14" s="89">
        <v>11</v>
      </c>
      <c r="G14" s="89">
        <v>1</v>
      </c>
      <c r="H14" s="165">
        <v>40000</v>
      </c>
      <c r="I14" s="82">
        <v>38000</v>
      </c>
      <c r="J14" s="83">
        <f t="shared" si="12"/>
        <v>2000</v>
      </c>
      <c r="K14" s="91" t="str">
        <f t="shared" si="13"/>
        <v>24-Oct</v>
      </c>
      <c r="L14" s="166" t="str">
        <f t="shared" si="14"/>
        <v>Oct</v>
      </c>
      <c r="M14" s="167">
        <f t="shared" si="15"/>
        <v>2021</v>
      </c>
      <c r="R14" s="44"/>
      <c r="U14" s="45"/>
      <c r="V14" s="54"/>
      <c r="W14" s="54"/>
      <c r="X14" s="55"/>
      <c r="Y14" s="45"/>
      <c r="Z14" s="45"/>
    </row>
    <row r="15" spans="1:26" x14ac:dyDescent="0.3">
      <c r="A15" s="86" t="s">
        <v>111</v>
      </c>
      <c r="B15" s="87">
        <v>44493.395416666666</v>
      </c>
      <c r="C15" s="86" t="s">
        <v>179</v>
      </c>
      <c r="D15" s="86" t="s">
        <v>66</v>
      </c>
      <c r="E15" s="155">
        <v>3</v>
      </c>
      <c r="F15" s="89">
        <v>27</v>
      </c>
      <c r="G15" s="89">
        <v>1</v>
      </c>
      <c r="H15" s="165">
        <v>63000</v>
      </c>
      <c r="I15" s="82">
        <v>62000</v>
      </c>
      <c r="J15" s="83">
        <f t="shared" si="12"/>
        <v>1000</v>
      </c>
      <c r="K15" s="91" t="str">
        <f t="shared" si="13"/>
        <v>24-Oct</v>
      </c>
      <c r="L15" s="166" t="str">
        <f t="shared" si="14"/>
        <v>Oct</v>
      </c>
      <c r="M15" s="167">
        <f t="shared" si="15"/>
        <v>2021</v>
      </c>
      <c r="R15" s="44"/>
      <c r="U15" s="45"/>
      <c r="V15" s="54"/>
      <c r="W15" s="54"/>
      <c r="X15" s="55"/>
      <c r="Y15" s="45"/>
      <c r="Z15" s="45"/>
    </row>
    <row r="16" spans="1:26" x14ac:dyDescent="0.3">
      <c r="A16" s="86" t="s">
        <v>111</v>
      </c>
      <c r="B16" s="87">
        <v>44493.395324074074</v>
      </c>
      <c r="C16" s="86" t="s">
        <v>179</v>
      </c>
      <c r="D16" s="86" t="s">
        <v>66</v>
      </c>
      <c r="E16" s="155">
        <v>2</v>
      </c>
      <c r="F16" s="89">
        <v>28</v>
      </c>
      <c r="G16" s="89">
        <v>1</v>
      </c>
      <c r="H16" s="165">
        <v>63000</v>
      </c>
      <c r="I16" s="82">
        <v>62000</v>
      </c>
      <c r="J16" s="83">
        <f t="shared" si="12"/>
        <v>1000</v>
      </c>
      <c r="K16" s="91" t="str">
        <f t="shared" si="13"/>
        <v>24-Oct</v>
      </c>
      <c r="L16" s="166" t="str">
        <f t="shared" si="14"/>
        <v>Oct</v>
      </c>
      <c r="M16" s="167">
        <f t="shared" si="15"/>
        <v>2021</v>
      </c>
      <c r="R16" s="44"/>
      <c r="U16" s="45"/>
      <c r="V16" s="54"/>
      <c r="W16" s="54"/>
      <c r="X16" s="55"/>
      <c r="Y16" s="45"/>
      <c r="Z16" s="45"/>
    </row>
    <row r="17" spans="1:26" x14ac:dyDescent="0.3">
      <c r="A17" s="86" t="s">
        <v>592</v>
      </c>
      <c r="B17" s="87">
        <v>44493.392071759263</v>
      </c>
      <c r="C17" s="86" t="s">
        <v>968</v>
      </c>
      <c r="D17" s="86" t="s">
        <v>65</v>
      </c>
      <c r="E17" s="155">
        <v>1</v>
      </c>
      <c r="F17" s="89">
        <v>3</v>
      </c>
      <c r="G17" s="89">
        <v>1</v>
      </c>
      <c r="H17" s="165">
        <v>50000</v>
      </c>
      <c r="I17" s="82">
        <v>35000</v>
      </c>
      <c r="J17" s="83">
        <f t="shared" si="12"/>
        <v>15000</v>
      </c>
      <c r="K17" s="91" t="str">
        <f t="shared" si="13"/>
        <v>24-Oct</v>
      </c>
      <c r="L17" s="166" t="str">
        <f t="shared" si="14"/>
        <v>Oct</v>
      </c>
      <c r="M17" s="167">
        <f t="shared" si="15"/>
        <v>2021</v>
      </c>
      <c r="R17" s="44"/>
      <c r="U17" s="45"/>
      <c r="V17" s="54"/>
      <c r="W17" s="54"/>
      <c r="X17" s="55"/>
      <c r="Y17" s="45"/>
      <c r="Z17" s="45"/>
    </row>
    <row r="18" spans="1:26" x14ac:dyDescent="0.3">
      <c r="A18" s="86" t="s">
        <v>593</v>
      </c>
      <c r="B18" s="87">
        <v>44493.338993055557</v>
      </c>
      <c r="C18" s="86" t="s">
        <v>969</v>
      </c>
      <c r="D18" s="86" t="s">
        <v>65</v>
      </c>
      <c r="E18" s="155">
        <v>1</v>
      </c>
      <c r="F18" s="89">
        <v>9</v>
      </c>
      <c r="G18" s="89">
        <v>1</v>
      </c>
      <c r="H18" s="165">
        <v>16000</v>
      </c>
      <c r="I18" s="82">
        <v>12000</v>
      </c>
      <c r="J18" s="83">
        <f t="shared" si="12"/>
        <v>4000</v>
      </c>
      <c r="K18" s="91" t="str">
        <f t="shared" si="13"/>
        <v>24-Oct</v>
      </c>
      <c r="L18" s="166" t="str">
        <f t="shared" si="14"/>
        <v>Oct</v>
      </c>
      <c r="M18" s="167">
        <f t="shared" si="15"/>
        <v>2021</v>
      </c>
      <c r="R18" s="44"/>
      <c r="U18" s="45"/>
      <c r="V18" s="54"/>
      <c r="W18" s="54"/>
      <c r="X18" s="55"/>
      <c r="Y18" s="45"/>
      <c r="Z18" s="45"/>
    </row>
    <row r="19" spans="1:26" x14ac:dyDescent="0.3">
      <c r="A19" s="86" t="s">
        <v>111</v>
      </c>
      <c r="B19" s="87">
        <v>44493.334907407407</v>
      </c>
      <c r="C19" s="86" t="s">
        <v>179</v>
      </c>
      <c r="D19" s="86" t="s">
        <v>66</v>
      </c>
      <c r="E19" s="155">
        <v>5</v>
      </c>
      <c r="F19" s="89">
        <v>20</v>
      </c>
      <c r="G19" s="89">
        <v>1</v>
      </c>
      <c r="H19" s="165">
        <v>63000</v>
      </c>
      <c r="I19" s="82">
        <v>62000</v>
      </c>
      <c r="J19" s="83">
        <f t="shared" si="12"/>
        <v>1000</v>
      </c>
      <c r="K19" s="91" t="str">
        <f t="shared" si="13"/>
        <v>24-Oct</v>
      </c>
      <c r="L19" s="166" t="str">
        <f t="shared" si="14"/>
        <v>Oct</v>
      </c>
      <c r="M19" s="167">
        <f t="shared" si="15"/>
        <v>2021</v>
      </c>
      <c r="R19" s="44"/>
      <c r="U19" s="45"/>
      <c r="V19" s="54"/>
      <c r="W19" s="54"/>
      <c r="X19" s="55"/>
      <c r="Y19" s="45"/>
      <c r="Z19" s="45"/>
    </row>
    <row r="20" spans="1:26" x14ac:dyDescent="0.3">
      <c r="A20" s="86" t="s">
        <v>111</v>
      </c>
      <c r="B20" s="87">
        <v>44493.402083333334</v>
      </c>
      <c r="C20" s="86" t="s">
        <v>179</v>
      </c>
      <c r="D20" s="86" t="s">
        <v>66</v>
      </c>
      <c r="E20" s="155">
        <v>3</v>
      </c>
      <c r="F20" s="89">
        <v>25</v>
      </c>
      <c r="G20" s="89">
        <v>1</v>
      </c>
      <c r="H20" s="165">
        <v>63000</v>
      </c>
      <c r="I20" s="82">
        <v>62000</v>
      </c>
      <c r="J20" s="83">
        <f t="shared" ref="J20:J22" si="16">IFERROR((H20-I20)*G20,"")</f>
        <v>1000</v>
      </c>
      <c r="K20" s="91" t="str">
        <f t="shared" ref="K20:K22" si="17">IF(B20="","",TEXT(B20,"DD-MMM"))</f>
        <v>24-Oct</v>
      </c>
      <c r="L20" s="166" t="str">
        <f t="shared" ref="L20:L22" si="18">IF(B20="","",TEXT(B20,"MMM"))</f>
        <v>Oct</v>
      </c>
      <c r="M20" s="167">
        <f t="shared" ref="M20:M22" si="19">IF(B20="","",YEAR(B20))</f>
        <v>2021</v>
      </c>
      <c r="R20" s="44"/>
      <c r="U20" s="45"/>
      <c r="V20" s="54"/>
      <c r="W20" s="54"/>
      <c r="X20" s="55"/>
      <c r="Y20" s="45"/>
      <c r="Z20" s="45"/>
    </row>
    <row r="21" spans="1:26" x14ac:dyDescent="0.3">
      <c r="A21" s="86" t="s">
        <v>111</v>
      </c>
      <c r="B21" s="87">
        <v>44493.40152777778</v>
      </c>
      <c r="C21" s="86" t="s">
        <v>179</v>
      </c>
      <c r="D21" s="86" t="s">
        <v>66</v>
      </c>
      <c r="E21" s="155">
        <v>2</v>
      </c>
      <c r="F21" s="89">
        <v>26</v>
      </c>
      <c r="G21" s="89">
        <v>1</v>
      </c>
      <c r="H21" s="165">
        <v>63000</v>
      </c>
      <c r="I21" s="82">
        <v>62000</v>
      </c>
      <c r="J21" s="83">
        <f t="shared" si="16"/>
        <v>1000</v>
      </c>
      <c r="K21" s="91" t="str">
        <f t="shared" si="17"/>
        <v>24-Oct</v>
      </c>
      <c r="L21" s="166" t="str">
        <f t="shared" si="18"/>
        <v>Oct</v>
      </c>
      <c r="M21" s="167">
        <f t="shared" si="19"/>
        <v>2021</v>
      </c>
      <c r="R21" s="44"/>
      <c r="U21" s="45"/>
      <c r="V21" s="54"/>
      <c r="W21" s="54"/>
      <c r="X21" s="55"/>
      <c r="Y21" s="45"/>
      <c r="Z21" s="45"/>
    </row>
    <row r="22" spans="1:26" x14ac:dyDescent="0.3">
      <c r="A22" s="86" t="s">
        <v>111</v>
      </c>
      <c r="B22" s="87">
        <v>44493.398495370369</v>
      </c>
      <c r="C22" s="86" t="s">
        <v>179</v>
      </c>
      <c r="D22" s="86" t="s">
        <v>66</v>
      </c>
      <c r="E22" s="155">
        <v>1</v>
      </c>
      <c r="F22" s="89">
        <v>27</v>
      </c>
      <c r="G22" s="89">
        <v>1</v>
      </c>
      <c r="H22" s="165">
        <v>63000</v>
      </c>
      <c r="I22" s="82">
        <v>62000</v>
      </c>
      <c r="J22" s="83">
        <f t="shared" si="16"/>
        <v>1000</v>
      </c>
      <c r="K22" s="91" t="str">
        <f t="shared" si="17"/>
        <v>24-Oct</v>
      </c>
      <c r="L22" s="166" t="str">
        <f t="shared" si="18"/>
        <v>Oct</v>
      </c>
      <c r="M22" s="167">
        <f t="shared" si="19"/>
        <v>2021</v>
      </c>
      <c r="R22" s="44"/>
      <c r="U22" s="45"/>
      <c r="V22" s="54"/>
      <c r="W22" s="54"/>
      <c r="X22" s="55"/>
      <c r="Y22" s="45"/>
      <c r="Z22" s="45"/>
    </row>
    <row r="23" spans="1:26" x14ac:dyDescent="0.3">
      <c r="A23" s="86" t="s">
        <v>111</v>
      </c>
      <c r="B23" s="87">
        <v>44493.403645833336</v>
      </c>
      <c r="C23" s="86" t="s">
        <v>179</v>
      </c>
      <c r="D23" s="86" t="s">
        <v>66</v>
      </c>
      <c r="E23" s="155">
        <v>2</v>
      </c>
      <c r="F23" s="89">
        <v>23</v>
      </c>
      <c r="G23" s="89">
        <v>1</v>
      </c>
      <c r="H23" s="165">
        <v>63000</v>
      </c>
      <c r="I23" s="82">
        <v>62000</v>
      </c>
      <c r="J23" s="83">
        <f t="shared" ref="J23:J24" si="20">IFERROR((H23-I23)*G23,"")</f>
        <v>1000</v>
      </c>
      <c r="K23" s="91" t="str">
        <f t="shared" ref="K23:K24" si="21">IF(B23="","",TEXT(B23,"DD-MMM"))</f>
        <v>24-Oct</v>
      </c>
      <c r="L23" s="166" t="str">
        <f t="shared" ref="L23:L24" si="22">IF(B23="","",TEXT(B23,"MMM"))</f>
        <v>Oct</v>
      </c>
      <c r="M23" s="167">
        <f t="shared" ref="M23:M24" si="23">IF(B23="","",YEAR(B23))</f>
        <v>2021</v>
      </c>
      <c r="R23" s="44"/>
      <c r="U23" s="45"/>
      <c r="V23" s="54"/>
      <c r="W23" s="54"/>
      <c r="X23" s="55"/>
      <c r="Y23" s="45"/>
      <c r="Z23" s="45"/>
    </row>
    <row r="24" spans="1:26" x14ac:dyDescent="0.3">
      <c r="A24" s="86" t="s">
        <v>111</v>
      </c>
      <c r="B24" s="87">
        <v>44493.40315972222</v>
      </c>
      <c r="C24" s="86" t="s">
        <v>179</v>
      </c>
      <c r="D24" s="86" t="s">
        <v>66</v>
      </c>
      <c r="E24" s="155">
        <v>1</v>
      </c>
      <c r="F24" s="89">
        <v>24</v>
      </c>
      <c r="G24" s="89">
        <v>1</v>
      </c>
      <c r="H24" s="165">
        <v>63000</v>
      </c>
      <c r="I24" s="82">
        <v>62000</v>
      </c>
      <c r="J24" s="83">
        <f t="shared" si="20"/>
        <v>1000</v>
      </c>
      <c r="K24" s="91" t="str">
        <f t="shared" si="21"/>
        <v>24-Oct</v>
      </c>
      <c r="L24" s="166" t="str">
        <f t="shared" si="22"/>
        <v>Oct</v>
      </c>
      <c r="M24" s="167">
        <f t="shared" si="23"/>
        <v>2021</v>
      </c>
      <c r="R24" s="44"/>
      <c r="U24" s="45"/>
      <c r="V24" s="54"/>
      <c r="W24" s="54"/>
      <c r="X24" s="55"/>
      <c r="Y24" s="45"/>
      <c r="Z24" s="45"/>
    </row>
    <row r="25" spans="1:26" x14ac:dyDescent="0.3">
      <c r="A25" s="86" t="s">
        <v>111</v>
      </c>
      <c r="B25" s="87">
        <v>44493.43472222222</v>
      </c>
      <c r="C25" s="86" t="s">
        <v>179</v>
      </c>
      <c r="D25" s="86" t="s">
        <v>66</v>
      </c>
      <c r="E25" s="155">
        <v>2</v>
      </c>
      <c r="F25" s="89">
        <v>20</v>
      </c>
      <c r="G25" s="89">
        <v>1</v>
      </c>
      <c r="H25" s="165">
        <v>63000</v>
      </c>
      <c r="I25" s="82">
        <v>62000</v>
      </c>
      <c r="J25" s="83">
        <f t="shared" ref="J25:J28" si="24">IFERROR((H25-I25)*G25,"")</f>
        <v>1000</v>
      </c>
      <c r="K25" s="91" t="str">
        <f t="shared" ref="K25:K28" si="25">IF(B25="","",TEXT(B25,"DD-MMM"))</f>
        <v>24-Oct</v>
      </c>
      <c r="L25" s="166" t="str">
        <f t="shared" ref="L25:L28" si="26">IF(B25="","",TEXT(B25,"MMM"))</f>
        <v>Oct</v>
      </c>
      <c r="M25" s="167">
        <f t="shared" ref="M25:M28" si="27">IF(B25="","",YEAR(B25))</f>
        <v>2021</v>
      </c>
      <c r="R25" s="44"/>
      <c r="U25" s="45"/>
      <c r="V25" s="54"/>
      <c r="W25" s="54"/>
      <c r="X25" s="55"/>
      <c r="Y25" s="45"/>
      <c r="Z25" s="45"/>
    </row>
    <row r="26" spans="1:26" x14ac:dyDescent="0.3">
      <c r="A26" s="86" t="s">
        <v>112</v>
      </c>
      <c r="B26" s="87">
        <v>44493.43377314815</v>
      </c>
      <c r="C26" s="86" t="s">
        <v>180</v>
      </c>
      <c r="D26" s="86" t="s">
        <v>66</v>
      </c>
      <c r="E26" s="155">
        <v>1</v>
      </c>
      <c r="F26" s="89">
        <v>9</v>
      </c>
      <c r="G26" s="89">
        <v>1</v>
      </c>
      <c r="H26" s="165">
        <v>100000</v>
      </c>
      <c r="I26" s="82">
        <v>98000</v>
      </c>
      <c r="J26" s="83">
        <f t="shared" si="24"/>
        <v>2000</v>
      </c>
      <c r="K26" s="91" t="str">
        <f t="shared" si="25"/>
        <v>24-Oct</v>
      </c>
      <c r="L26" s="166" t="str">
        <f t="shared" si="26"/>
        <v>Oct</v>
      </c>
      <c r="M26" s="167">
        <f t="shared" si="27"/>
        <v>2021</v>
      </c>
      <c r="R26" s="44"/>
      <c r="U26" s="45"/>
      <c r="V26" s="54"/>
      <c r="W26" s="54"/>
      <c r="X26" s="55"/>
      <c r="Y26" s="45"/>
      <c r="Z26" s="45"/>
    </row>
    <row r="27" spans="1:26" x14ac:dyDescent="0.3">
      <c r="A27" s="86" t="s">
        <v>112</v>
      </c>
      <c r="B27" s="87">
        <v>44493.43346064815</v>
      </c>
      <c r="C27" s="86" t="s">
        <v>180</v>
      </c>
      <c r="D27" s="86" t="s">
        <v>66</v>
      </c>
      <c r="E27" s="155">
        <v>1</v>
      </c>
      <c r="F27" s="89">
        <v>-3</v>
      </c>
      <c r="G27" s="89">
        <v>1</v>
      </c>
      <c r="H27" s="165">
        <v>100000</v>
      </c>
      <c r="I27" s="82">
        <v>98000</v>
      </c>
      <c r="J27" s="83">
        <f t="shared" si="24"/>
        <v>2000</v>
      </c>
      <c r="K27" s="91" t="str">
        <f t="shared" si="25"/>
        <v>24-Oct</v>
      </c>
      <c r="L27" s="166" t="str">
        <f t="shared" si="26"/>
        <v>Oct</v>
      </c>
      <c r="M27" s="167">
        <f t="shared" si="27"/>
        <v>2021</v>
      </c>
      <c r="R27" s="44"/>
      <c r="U27" s="45"/>
      <c r="V27" s="54"/>
      <c r="W27" s="54"/>
      <c r="X27" s="55"/>
      <c r="Y27" s="45"/>
      <c r="Z27" s="45"/>
    </row>
    <row r="28" spans="1:26" x14ac:dyDescent="0.3">
      <c r="A28" s="86" t="s">
        <v>111</v>
      </c>
      <c r="B28" s="87">
        <v>44493.419548611113</v>
      </c>
      <c r="C28" s="86" t="s">
        <v>179</v>
      </c>
      <c r="D28" s="86" t="s">
        <v>66</v>
      </c>
      <c r="E28" s="155">
        <v>1</v>
      </c>
      <c r="F28" s="89">
        <v>21</v>
      </c>
      <c r="G28" s="89">
        <v>1</v>
      </c>
      <c r="H28" s="165">
        <v>63000</v>
      </c>
      <c r="I28" s="82">
        <v>62000</v>
      </c>
      <c r="J28" s="83">
        <f t="shared" si="24"/>
        <v>1000</v>
      </c>
      <c r="K28" s="91" t="str">
        <f t="shared" si="25"/>
        <v>24-Oct</v>
      </c>
      <c r="L28" s="166" t="str">
        <f t="shared" si="26"/>
        <v>Oct</v>
      </c>
      <c r="M28" s="167">
        <f t="shared" si="27"/>
        <v>2021</v>
      </c>
      <c r="R28" s="44"/>
      <c r="U28" s="45"/>
      <c r="V28" s="54"/>
      <c r="W28" s="54"/>
      <c r="X28" s="55"/>
      <c r="Y28" s="45"/>
      <c r="Z28" s="45"/>
    </row>
    <row r="29" spans="1:26" x14ac:dyDescent="0.3">
      <c r="I29" s="82"/>
      <c r="M29" s="85"/>
      <c r="R29" s="44"/>
      <c r="U29" s="45"/>
      <c r="V29" s="54"/>
      <c r="W29" s="54"/>
      <c r="X29" s="55"/>
      <c r="Y29" s="45"/>
      <c r="Z29" s="45"/>
    </row>
    <row r="30" spans="1:26" x14ac:dyDescent="0.3">
      <c r="I30" s="82"/>
      <c r="M30" s="85"/>
      <c r="R30" s="44"/>
      <c r="U30" s="45"/>
      <c r="V30" s="54"/>
      <c r="W30" s="54"/>
      <c r="X30" s="55"/>
      <c r="Y30" s="45"/>
      <c r="Z30" s="45"/>
    </row>
    <row r="31" spans="1:26" x14ac:dyDescent="0.3">
      <c r="I31" s="82"/>
      <c r="M31" s="85"/>
      <c r="R31" s="44"/>
      <c r="U31" s="45"/>
      <c r="V31" s="54"/>
      <c r="W31" s="54"/>
      <c r="X31" s="55"/>
      <c r="Y31" s="45"/>
      <c r="Z31" s="45"/>
    </row>
    <row r="32" spans="1:26" x14ac:dyDescent="0.3">
      <c r="I32" s="82"/>
      <c r="M32" s="85"/>
      <c r="R32" s="44"/>
      <c r="U32" s="45"/>
      <c r="V32" s="54"/>
      <c r="W32" s="54"/>
      <c r="X32" s="55"/>
      <c r="Y32" s="45"/>
      <c r="Z32" s="45"/>
    </row>
    <row r="33" spans="9:26" x14ac:dyDescent="0.3">
      <c r="I33" s="82"/>
      <c r="M33" s="85"/>
      <c r="R33" s="44"/>
      <c r="U33" s="45"/>
      <c r="V33" s="54"/>
      <c r="W33" s="54"/>
      <c r="X33" s="55"/>
      <c r="Y33" s="45"/>
      <c r="Z33" s="45"/>
    </row>
    <row r="34" spans="9:26" x14ac:dyDescent="0.3">
      <c r="I34" s="82"/>
      <c r="M34" s="85"/>
      <c r="R34" s="44"/>
      <c r="U34" s="45"/>
      <c r="V34" s="54"/>
      <c r="W34" s="54"/>
      <c r="X34" s="55"/>
      <c r="Y34" s="45"/>
      <c r="Z34" s="45"/>
    </row>
    <row r="35" spans="9:26" x14ac:dyDescent="0.3">
      <c r="I35" s="82"/>
      <c r="M35" s="85"/>
      <c r="R35" s="44"/>
      <c r="U35" s="45"/>
      <c r="V35" s="54"/>
      <c r="W35" s="54"/>
      <c r="X35" s="55"/>
      <c r="Y35" s="45"/>
      <c r="Z35" s="45"/>
    </row>
    <row r="36" spans="9:26" x14ac:dyDescent="0.3">
      <c r="I36" s="82"/>
      <c r="M36" s="85"/>
      <c r="R36" s="44"/>
      <c r="U36" s="45"/>
      <c r="V36" s="54"/>
      <c r="W36" s="54"/>
      <c r="X36" s="55"/>
      <c r="Y36" s="45"/>
      <c r="Z36" s="45"/>
    </row>
    <row r="37" spans="9:26" x14ac:dyDescent="0.3">
      <c r="I37" s="82"/>
      <c r="M37" s="85"/>
      <c r="R37" s="44"/>
      <c r="U37" s="45"/>
      <c r="V37" s="54"/>
      <c r="W37" s="54"/>
      <c r="X37" s="55"/>
      <c r="Y37" s="45"/>
      <c r="Z37" s="45"/>
    </row>
    <row r="38" spans="9:26" x14ac:dyDescent="0.3">
      <c r="I38" s="82"/>
      <c r="M38" s="85"/>
      <c r="R38" s="44"/>
      <c r="U38" s="45"/>
      <c r="V38" s="54"/>
      <c r="W38" s="54"/>
      <c r="X38" s="55"/>
      <c r="Y38" s="45"/>
      <c r="Z38" s="45"/>
    </row>
    <row r="39" spans="9:26" x14ac:dyDescent="0.3">
      <c r="I39" s="82"/>
      <c r="M39" s="85"/>
      <c r="R39" s="44"/>
      <c r="U39" s="45"/>
      <c r="V39" s="54"/>
      <c r="W39" s="54"/>
      <c r="X39" s="55"/>
      <c r="Y39" s="45"/>
      <c r="Z39" s="45"/>
    </row>
    <row r="40" spans="9:26" x14ac:dyDescent="0.3">
      <c r="I40" s="82"/>
      <c r="M40" s="85"/>
      <c r="R40" s="44"/>
      <c r="U40" s="45"/>
      <c r="V40" s="54"/>
      <c r="W40" s="54"/>
      <c r="X40" s="55"/>
      <c r="Y40" s="45"/>
      <c r="Z40" s="45"/>
    </row>
    <row r="41" spans="9:26" x14ac:dyDescent="0.3">
      <c r="I41" s="82"/>
      <c r="M41" s="85"/>
      <c r="R41" s="44"/>
      <c r="U41" s="45"/>
      <c r="V41" s="54"/>
      <c r="W41" s="54"/>
      <c r="X41" s="55"/>
      <c r="Y41" s="45"/>
      <c r="Z41" s="45"/>
    </row>
    <row r="42" spans="9:26" x14ac:dyDescent="0.3">
      <c r="I42" s="82"/>
      <c r="M42" s="85"/>
      <c r="R42" s="44"/>
      <c r="U42" s="45"/>
      <c r="V42" s="54"/>
      <c r="W42" s="54"/>
      <c r="X42" s="55"/>
      <c r="Y42" s="45"/>
      <c r="Z42" s="45"/>
    </row>
    <row r="43" spans="9:26" x14ac:dyDescent="0.3">
      <c r="I43" s="82"/>
      <c r="M43" s="85"/>
      <c r="R43" s="44"/>
      <c r="U43" s="45"/>
      <c r="V43" s="54"/>
      <c r="W43" s="54"/>
      <c r="X43" s="55"/>
      <c r="Y43" s="45"/>
      <c r="Z43" s="45"/>
    </row>
    <row r="44" spans="9:26" x14ac:dyDescent="0.3">
      <c r="I44" s="82"/>
      <c r="M44" s="85"/>
      <c r="R44" s="44"/>
      <c r="U44" s="45"/>
      <c r="V44" s="54"/>
      <c r="W44" s="54"/>
      <c r="X44" s="55"/>
      <c r="Y44" s="45"/>
      <c r="Z44" s="45"/>
    </row>
    <row r="45" spans="9:26" x14ac:dyDescent="0.3">
      <c r="I45" s="82"/>
      <c r="M45" s="85"/>
      <c r="R45" s="44"/>
      <c r="U45" s="45"/>
      <c r="V45" s="54"/>
      <c r="W45" s="54"/>
      <c r="X45" s="55"/>
      <c r="Y45" s="45"/>
      <c r="Z45" s="45"/>
    </row>
    <row r="46" spans="9:26" x14ac:dyDescent="0.3">
      <c r="I46" s="82"/>
      <c r="M46" s="85"/>
      <c r="R46" s="44"/>
      <c r="U46" s="45"/>
      <c r="V46" s="54"/>
      <c r="W46" s="54"/>
      <c r="X46" s="55"/>
      <c r="Y46" s="45"/>
      <c r="Z46" s="45"/>
    </row>
    <row r="47" spans="9:26" x14ac:dyDescent="0.3">
      <c r="I47" s="82"/>
      <c r="M47" s="85"/>
      <c r="R47" s="44"/>
      <c r="U47" s="45"/>
      <c r="V47" s="54"/>
      <c r="W47" s="54"/>
      <c r="X47" s="55"/>
      <c r="Y47" s="45"/>
      <c r="Z47" s="45"/>
    </row>
    <row r="48" spans="9:26" x14ac:dyDescent="0.3">
      <c r="I48" s="82"/>
      <c r="M48" s="85"/>
      <c r="R48" s="44"/>
      <c r="U48" s="45"/>
      <c r="V48" s="54"/>
      <c r="W48" s="54"/>
      <c r="X48" s="55"/>
      <c r="Y48" s="45"/>
      <c r="Z48" s="45"/>
    </row>
    <row r="49" spans="9:26" x14ac:dyDescent="0.3">
      <c r="I49" s="82"/>
      <c r="M49" s="85"/>
      <c r="R49" s="44"/>
      <c r="U49" s="45"/>
      <c r="V49" s="54"/>
      <c r="W49" s="54"/>
      <c r="X49" s="55"/>
      <c r="Y49" s="45"/>
      <c r="Z49" s="45"/>
    </row>
    <row r="50" spans="9:26" x14ac:dyDescent="0.3">
      <c r="I50" s="82"/>
      <c r="M50" s="85"/>
      <c r="R50" s="44"/>
      <c r="U50" s="45"/>
      <c r="V50" s="54"/>
      <c r="W50" s="54"/>
      <c r="X50" s="55"/>
      <c r="Y50" s="45"/>
      <c r="Z50" s="45"/>
    </row>
    <row r="51" spans="9:26" x14ac:dyDescent="0.3">
      <c r="I51" s="82"/>
      <c r="M51" s="85"/>
      <c r="R51" s="44"/>
      <c r="U51" s="45"/>
      <c r="V51" s="54"/>
      <c r="W51" s="54"/>
      <c r="X51" s="55"/>
      <c r="Y51" s="45"/>
      <c r="Z51" s="45"/>
    </row>
    <row r="52" spans="9:26" x14ac:dyDescent="0.3">
      <c r="I52" s="82"/>
      <c r="M52" s="85"/>
      <c r="R52" s="44"/>
      <c r="U52" s="45"/>
      <c r="V52" s="54"/>
      <c r="W52" s="54"/>
      <c r="X52" s="55"/>
      <c r="Y52" s="45"/>
      <c r="Z52" s="45"/>
    </row>
    <row r="53" spans="9:26" x14ac:dyDescent="0.3">
      <c r="I53" s="82"/>
      <c r="M53" s="85"/>
      <c r="R53" s="44"/>
      <c r="U53" s="45"/>
      <c r="V53" s="54"/>
      <c r="W53" s="54"/>
      <c r="X53" s="55"/>
      <c r="Y53" s="45"/>
      <c r="Z53" s="45"/>
    </row>
    <row r="54" spans="9:26" x14ac:dyDescent="0.3">
      <c r="I54" s="82"/>
      <c r="M54" s="85"/>
      <c r="R54" s="44"/>
      <c r="U54" s="45"/>
      <c r="V54" s="54"/>
      <c r="W54" s="54"/>
      <c r="X54" s="55"/>
      <c r="Y54" s="45"/>
      <c r="Z54" s="45"/>
    </row>
    <row r="55" spans="9:26" x14ac:dyDescent="0.3">
      <c r="I55" s="82"/>
      <c r="M55" s="85"/>
      <c r="R55" s="44"/>
      <c r="U55" s="45"/>
      <c r="V55" s="54"/>
      <c r="W55" s="54"/>
      <c r="X55" s="55"/>
      <c r="Y55" s="45"/>
      <c r="Z55" s="45"/>
    </row>
    <row r="56" spans="9:26" x14ac:dyDescent="0.3">
      <c r="I56" s="82"/>
      <c r="M56" s="85"/>
      <c r="R56" s="44"/>
      <c r="U56" s="45"/>
      <c r="V56" s="54"/>
      <c r="W56" s="54"/>
      <c r="X56" s="55"/>
      <c r="Y56" s="45"/>
      <c r="Z56" s="45"/>
    </row>
    <row r="57" spans="9:26" x14ac:dyDescent="0.3">
      <c r="I57" s="82"/>
      <c r="M57" s="85"/>
      <c r="R57" s="44"/>
      <c r="U57" s="45"/>
      <c r="V57" s="54"/>
      <c r="W57" s="54"/>
      <c r="X57" s="55"/>
      <c r="Y57" s="45"/>
      <c r="Z57" s="45"/>
    </row>
    <row r="58" spans="9:26" x14ac:dyDescent="0.3">
      <c r="I58" s="82"/>
      <c r="M58" s="85"/>
      <c r="R58" s="44"/>
      <c r="U58" s="45"/>
      <c r="V58" s="54"/>
      <c r="W58" s="54"/>
      <c r="X58" s="55"/>
      <c r="Y58" s="45"/>
      <c r="Z58" s="45"/>
    </row>
    <row r="59" spans="9:26" x14ac:dyDescent="0.3">
      <c r="I59" s="82"/>
      <c r="M59" s="85"/>
      <c r="R59" s="44"/>
      <c r="U59" s="45"/>
      <c r="V59" s="54"/>
      <c r="W59" s="54"/>
      <c r="X59" s="55"/>
      <c r="Y59" s="45"/>
      <c r="Z59" s="45"/>
    </row>
    <row r="60" spans="9:26" x14ac:dyDescent="0.3">
      <c r="I60" s="82"/>
      <c r="M60" s="85"/>
      <c r="R60" s="44"/>
      <c r="U60" s="45"/>
      <c r="V60" s="54"/>
      <c r="W60" s="54"/>
      <c r="X60" s="55"/>
      <c r="Y60" s="45"/>
      <c r="Z60" s="45"/>
    </row>
    <row r="61" spans="9:26" x14ac:dyDescent="0.3">
      <c r="I61" s="82"/>
      <c r="M61" s="85"/>
      <c r="R61" s="44"/>
      <c r="U61" s="45"/>
      <c r="V61" s="54"/>
      <c r="W61" s="54"/>
      <c r="X61" s="55"/>
      <c r="Y61" s="45"/>
      <c r="Z61" s="45"/>
    </row>
    <row r="62" spans="9:26" x14ac:dyDescent="0.3">
      <c r="I62" s="82"/>
      <c r="M62" s="85"/>
      <c r="R62" s="44"/>
      <c r="U62" s="45"/>
      <c r="V62" s="54"/>
      <c r="W62" s="54"/>
      <c r="X62" s="55"/>
      <c r="Y62" s="45"/>
      <c r="Z62" s="45"/>
    </row>
    <row r="63" spans="9:26" x14ac:dyDescent="0.3">
      <c r="I63" s="82"/>
      <c r="M63" s="85"/>
      <c r="R63" s="44"/>
      <c r="U63" s="45"/>
      <c r="V63" s="54"/>
      <c r="W63" s="54"/>
      <c r="X63" s="55"/>
      <c r="Y63" s="45"/>
      <c r="Z63" s="45"/>
    </row>
    <row r="64" spans="9:26" x14ac:dyDescent="0.3">
      <c r="I64" s="82"/>
      <c r="M64" s="85"/>
      <c r="R64" s="44"/>
      <c r="U64" s="45"/>
      <c r="V64" s="54"/>
      <c r="W64" s="54"/>
      <c r="X64" s="55"/>
      <c r="Y64" s="45"/>
      <c r="Z64" s="45"/>
    </row>
    <row r="65" spans="9:26" x14ac:dyDescent="0.3">
      <c r="I65" s="82"/>
      <c r="M65" s="85"/>
      <c r="R65" s="44"/>
      <c r="U65" s="45"/>
      <c r="V65" s="54"/>
      <c r="W65" s="54"/>
      <c r="X65" s="55"/>
      <c r="Y65" s="45"/>
      <c r="Z65" s="45"/>
    </row>
    <row r="66" spans="9:26" x14ac:dyDescent="0.3">
      <c r="I66" s="82"/>
      <c r="M66" s="85"/>
      <c r="R66" s="44"/>
      <c r="U66" s="45"/>
      <c r="V66" s="54"/>
      <c r="W66" s="54"/>
      <c r="X66" s="55"/>
      <c r="Y66" s="45"/>
      <c r="Z66" s="45"/>
    </row>
    <row r="67" spans="9:26" x14ac:dyDescent="0.3">
      <c r="I67" s="82"/>
      <c r="M67" s="85"/>
      <c r="R67" s="44"/>
      <c r="U67" s="45"/>
      <c r="V67" s="54"/>
      <c r="W67" s="54"/>
      <c r="X67" s="55"/>
      <c r="Y67" s="45"/>
      <c r="Z67" s="45"/>
    </row>
    <row r="68" spans="9:26" x14ac:dyDescent="0.3">
      <c r="I68" s="82"/>
      <c r="M68" s="85"/>
      <c r="R68" s="44"/>
      <c r="U68" s="45"/>
      <c r="V68" s="54"/>
      <c r="W68" s="54"/>
      <c r="X68" s="55"/>
      <c r="Y68" s="45"/>
      <c r="Z68" s="45"/>
    </row>
    <row r="69" spans="9:26" x14ac:dyDescent="0.3">
      <c r="I69" s="82"/>
      <c r="M69" s="85"/>
      <c r="R69" s="44"/>
      <c r="U69" s="45"/>
      <c r="V69" s="54"/>
      <c r="W69" s="54"/>
      <c r="X69" s="55"/>
      <c r="Y69" s="45"/>
      <c r="Z69" s="45"/>
    </row>
    <row r="70" spans="9:26" x14ac:dyDescent="0.3">
      <c r="I70" s="82"/>
      <c r="M70" s="85"/>
      <c r="R70" s="44"/>
      <c r="U70" s="45"/>
      <c r="V70" s="54"/>
      <c r="W70" s="54"/>
      <c r="X70" s="55"/>
      <c r="Y70" s="45"/>
      <c r="Z70" s="45"/>
    </row>
    <row r="71" spans="9:26" x14ac:dyDescent="0.3">
      <c r="I71" s="82"/>
      <c r="M71" s="85"/>
      <c r="R71" s="44"/>
      <c r="U71" s="45"/>
      <c r="V71" s="54"/>
      <c r="W71" s="54"/>
      <c r="X71" s="55"/>
      <c r="Y71" s="45"/>
      <c r="Z71" s="45"/>
    </row>
    <row r="72" spans="9:26" x14ac:dyDescent="0.3">
      <c r="I72" s="82"/>
      <c r="M72" s="85"/>
      <c r="R72" s="44"/>
      <c r="U72" s="45"/>
      <c r="V72" s="54"/>
      <c r="W72" s="54"/>
      <c r="X72" s="55"/>
      <c r="Y72" s="45"/>
      <c r="Z72" s="45"/>
    </row>
    <row r="73" spans="9:26" x14ac:dyDescent="0.3">
      <c r="I73" s="82"/>
      <c r="M73" s="85"/>
      <c r="R73" s="44"/>
      <c r="U73" s="45"/>
      <c r="V73" s="54"/>
      <c r="W73" s="54"/>
      <c r="X73" s="55"/>
      <c r="Y73" s="45"/>
      <c r="Z73" s="45"/>
    </row>
    <row r="74" spans="9:26" x14ac:dyDescent="0.3">
      <c r="I74" s="82"/>
      <c r="M74" s="85"/>
      <c r="R74" s="44"/>
      <c r="U74" s="45"/>
      <c r="V74" s="54"/>
      <c r="W74" s="54"/>
      <c r="X74" s="55"/>
      <c r="Y74" s="45"/>
      <c r="Z74" s="45"/>
    </row>
    <row r="75" spans="9:26" x14ac:dyDescent="0.3">
      <c r="I75" s="82"/>
      <c r="M75" s="85"/>
      <c r="R75" s="44"/>
      <c r="U75" s="45"/>
      <c r="V75" s="54"/>
      <c r="W75" s="54"/>
      <c r="X75" s="55"/>
      <c r="Y75" s="45"/>
      <c r="Z75" s="45"/>
    </row>
    <row r="76" spans="9:26" x14ac:dyDescent="0.3">
      <c r="I76" s="82"/>
      <c r="M76" s="85"/>
      <c r="R76" s="44"/>
      <c r="U76" s="45"/>
      <c r="V76" s="54"/>
      <c r="W76" s="54"/>
      <c r="X76" s="55"/>
      <c r="Y76" s="45"/>
      <c r="Z76" s="45"/>
    </row>
    <row r="77" spans="9:26" x14ac:dyDescent="0.3">
      <c r="I77" s="82"/>
      <c r="M77" s="85"/>
      <c r="R77" s="44"/>
      <c r="U77" s="45"/>
      <c r="V77" s="54"/>
      <c r="W77" s="54"/>
      <c r="X77" s="55"/>
      <c r="Y77" s="45"/>
      <c r="Z77" s="45"/>
    </row>
    <row r="78" spans="9:26" x14ac:dyDescent="0.3">
      <c r="I78" s="82"/>
      <c r="M78" s="85"/>
      <c r="R78" s="44"/>
      <c r="U78" s="45"/>
      <c r="V78" s="54"/>
      <c r="W78" s="54"/>
      <c r="X78" s="55"/>
      <c r="Y78" s="45"/>
      <c r="Z78" s="45"/>
    </row>
    <row r="79" spans="9:26" x14ac:dyDescent="0.3">
      <c r="I79" s="82"/>
      <c r="M79" s="85"/>
      <c r="R79" s="44"/>
      <c r="U79" s="45"/>
      <c r="V79" s="54"/>
      <c r="W79" s="54"/>
      <c r="X79" s="55"/>
      <c r="Y79" s="45"/>
      <c r="Z79" s="45"/>
    </row>
    <row r="80" spans="9:26" x14ac:dyDescent="0.3">
      <c r="I80" s="82"/>
      <c r="M80" s="85"/>
      <c r="R80" s="44"/>
      <c r="U80" s="45"/>
      <c r="V80" s="54"/>
      <c r="W80" s="54"/>
      <c r="X80" s="55"/>
      <c r="Y80" s="45"/>
      <c r="Z80" s="45"/>
    </row>
    <row r="81" spans="9:26" x14ac:dyDescent="0.3">
      <c r="I81" s="82"/>
      <c r="M81" s="85"/>
      <c r="R81" s="44"/>
      <c r="U81" s="45"/>
      <c r="V81" s="54"/>
      <c r="W81" s="54"/>
      <c r="X81" s="55"/>
      <c r="Y81" s="45"/>
      <c r="Z81" s="45"/>
    </row>
    <row r="82" spans="9:26" x14ac:dyDescent="0.3">
      <c r="I82" s="82"/>
      <c r="M82" s="85"/>
      <c r="R82" s="44"/>
      <c r="U82" s="45"/>
      <c r="V82" s="54"/>
      <c r="W82" s="54"/>
      <c r="X82" s="55"/>
      <c r="Y82" s="45"/>
      <c r="Z82" s="45"/>
    </row>
    <row r="83" spans="9:26" x14ac:dyDescent="0.3">
      <c r="I83" s="82"/>
      <c r="M83" s="85"/>
      <c r="R83" s="44"/>
      <c r="U83" s="45"/>
      <c r="V83" s="54"/>
      <c r="W83" s="54"/>
      <c r="X83" s="55"/>
      <c r="Y83" s="45"/>
      <c r="Z83" s="45"/>
    </row>
    <row r="84" spans="9:26" x14ac:dyDescent="0.3">
      <c r="I84" s="82"/>
      <c r="M84" s="85"/>
      <c r="R84" s="44"/>
      <c r="U84" s="45"/>
      <c r="V84" s="54"/>
      <c r="W84" s="54"/>
      <c r="X84" s="55"/>
      <c r="Y84" s="45"/>
      <c r="Z84" s="45"/>
    </row>
    <row r="85" spans="9:26" x14ac:dyDescent="0.3">
      <c r="I85" s="82"/>
      <c r="M85" s="85"/>
      <c r="R85" s="44"/>
      <c r="U85" s="45"/>
      <c r="V85" s="54"/>
      <c r="W85" s="54"/>
      <c r="X85" s="55"/>
      <c r="Y85" s="45"/>
      <c r="Z85" s="45"/>
    </row>
    <row r="86" spans="9:26" x14ac:dyDescent="0.3">
      <c r="I86" s="82"/>
      <c r="M86" s="85"/>
      <c r="R86" s="44"/>
      <c r="U86" s="45"/>
      <c r="V86" s="54"/>
      <c r="W86" s="54"/>
      <c r="X86" s="55"/>
      <c r="Y86" s="45"/>
      <c r="Z86" s="45"/>
    </row>
    <row r="87" spans="9:26" x14ac:dyDescent="0.3">
      <c r="I87" s="82"/>
      <c r="M87" s="85"/>
      <c r="R87" s="44"/>
      <c r="U87" s="45"/>
      <c r="V87" s="54"/>
      <c r="W87" s="54"/>
      <c r="X87" s="55"/>
      <c r="Y87" s="45"/>
      <c r="Z87" s="45"/>
    </row>
    <row r="88" spans="9:26" x14ac:dyDescent="0.3">
      <c r="I88" s="82"/>
      <c r="M88" s="85"/>
      <c r="R88" s="44"/>
      <c r="U88" s="45"/>
      <c r="V88" s="54"/>
      <c r="W88" s="54"/>
      <c r="X88" s="55"/>
      <c r="Y88" s="45"/>
      <c r="Z88" s="45"/>
    </row>
    <row r="89" spans="9:26" x14ac:dyDescent="0.3">
      <c r="I89" s="82"/>
      <c r="M89" s="85"/>
      <c r="R89" s="44"/>
      <c r="U89" s="45"/>
      <c r="V89" s="54"/>
      <c r="W89" s="54"/>
      <c r="X89" s="55"/>
      <c r="Y89" s="45"/>
      <c r="Z89" s="45"/>
    </row>
    <row r="90" spans="9:26" x14ac:dyDescent="0.3">
      <c r="I90" s="82"/>
      <c r="M90" s="85"/>
      <c r="R90" s="44"/>
      <c r="U90" s="45"/>
      <c r="V90" s="54"/>
      <c r="W90" s="54"/>
      <c r="X90" s="55"/>
      <c r="Y90" s="45"/>
      <c r="Z90" s="45"/>
    </row>
    <row r="91" spans="9:26" x14ac:dyDescent="0.3">
      <c r="I91" s="82"/>
      <c r="M91" s="85"/>
      <c r="R91" s="44"/>
      <c r="U91" s="45"/>
      <c r="V91" s="54"/>
      <c r="W91" s="54"/>
      <c r="X91" s="55"/>
      <c r="Y91" s="45"/>
      <c r="Z91" s="45"/>
    </row>
    <row r="92" spans="9:26" x14ac:dyDescent="0.3">
      <c r="I92" s="82"/>
      <c r="M92" s="85"/>
      <c r="R92" s="44"/>
      <c r="U92" s="45"/>
      <c r="V92" s="54"/>
      <c r="W92" s="54"/>
      <c r="X92" s="55"/>
      <c r="Y92" s="45"/>
      <c r="Z92" s="45"/>
    </row>
    <row r="93" spans="9:26" x14ac:dyDescent="0.3">
      <c r="I93" s="82"/>
      <c r="M93" s="85"/>
      <c r="R93" s="44"/>
      <c r="U93" s="45"/>
      <c r="V93" s="54"/>
      <c r="W93" s="54"/>
      <c r="X93" s="55"/>
      <c r="Y93" s="45"/>
      <c r="Z93" s="45"/>
    </row>
    <row r="94" spans="9:26" x14ac:dyDescent="0.3">
      <c r="I94" s="82"/>
      <c r="M94" s="85"/>
      <c r="R94" s="44"/>
      <c r="U94" s="45"/>
      <c r="V94" s="54"/>
      <c r="W94" s="54"/>
      <c r="X94" s="55"/>
      <c r="Y94" s="45"/>
      <c r="Z94" s="45"/>
    </row>
    <row r="95" spans="9:26" x14ac:dyDescent="0.3">
      <c r="I95" s="82"/>
      <c r="M95" s="85"/>
      <c r="R95" s="44"/>
      <c r="U95" s="45"/>
      <c r="V95" s="54"/>
      <c r="W95" s="54"/>
      <c r="X95" s="55"/>
      <c r="Y95" s="45"/>
      <c r="Z95" s="45"/>
    </row>
    <row r="96" spans="9:26" x14ac:dyDescent="0.3">
      <c r="I96" s="82"/>
      <c r="M96" s="85"/>
      <c r="R96" s="44"/>
      <c r="U96" s="45"/>
      <c r="V96" s="54"/>
      <c r="W96" s="54"/>
      <c r="X96" s="55"/>
      <c r="Y96" s="45"/>
      <c r="Z96" s="45"/>
    </row>
    <row r="97" spans="9:26" x14ac:dyDescent="0.3">
      <c r="I97" s="82"/>
      <c r="M97" s="85"/>
      <c r="R97" s="44"/>
      <c r="U97" s="45"/>
      <c r="V97" s="54"/>
      <c r="W97" s="54"/>
      <c r="X97" s="55"/>
      <c r="Y97" s="45"/>
      <c r="Z97" s="45"/>
    </row>
    <row r="98" spans="9:26" x14ac:dyDescent="0.3">
      <c r="I98" s="82"/>
      <c r="M98" s="85"/>
      <c r="R98" s="44"/>
      <c r="U98" s="45"/>
      <c r="V98" s="54"/>
      <c r="W98" s="54"/>
      <c r="X98" s="55"/>
      <c r="Y98" s="45"/>
      <c r="Z98" s="45"/>
    </row>
    <row r="99" spans="9:26" x14ac:dyDescent="0.3">
      <c r="I99" s="82"/>
      <c r="M99" s="85"/>
      <c r="R99" s="44"/>
      <c r="U99" s="45"/>
      <c r="V99" s="54"/>
      <c r="W99" s="54"/>
      <c r="X99" s="55"/>
      <c r="Y99" s="45"/>
      <c r="Z99" s="45"/>
    </row>
    <row r="100" spans="9:26" x14ac:dyDescent="0.3">
      <c r="I100" s="82"/>
      <c r="M100" s="85"/>
      <c r="R100" s="44"/>
      <c r="U100" s="45"/>
      <c r="V100" s="54"/>
      <c r="W100" s="54"/>
      <c r="X100" s="55"/>
      <c r="Y100" s="45"/>
      <c r="Z100" s="45"/>
    </row>
    <row r="101" spans="9:26" x14ac:dyDescent="0.3">
      <c r="I101" s="82"/>
      <c r="M101" s="85"/>
      <c r="R101" s="44"/>
      <c r="U101" s="45"/>
      <c r="V101" s="54"/>
      <c r="W101" s="54"/>
      <c r="X101" s="55"/>
      <c r="Y101" s="45"/>
      <c r="Z101" s="45"/>
    </row>
    <row r="102" spans="9:26" x14ac:dyDescent="0.3">
      <c r="I102" s="82"/>
      <c r="M102" s="85"/>
      <c r="R102" s="44"/>
      <c r="U102" s="45"/>
      <c r="V102" s="54"/>
      <c r="W102" s="54"/>
      <c r="X102" s="55"/>
      <c r="Y102" s="45"/>
      <c r="Z102" s="45"/>
    </row>
    <row r="103" spans="9:26" x14ac:dyDescent="0.3">
      <c r="I103" s="82"/>
      <c r="M103" s="85"/>
      <c r="R103" s="44"/>
      <c r="U103" s="45"/>
      <c r="V103" s="54"/>
      <c r="W103" s="54"/>
      <c r="X103" s="55"/>
      <c r="Y103" s="45"/>
      <c r="Z103" s="45"/>
    </row>
    <row r="104" spans="9:26" x14ac:dyDescent="0.3">
      <c r="I104" s="82"/>
      <c r="M104" s="85"/>
      <c r="R104" s="44"/>
      <c r="U104" s="45"/>
      <c r="V104" s="54"/>
      <c r="W104" s="54"/>
      <c r="X104" s="55"/>
      <c r="Y104" s="45"/>
      <c r="Z104" s="45"/>
    </row>
    <row r="105" spans="9:26" x14ac:dyDescent="0.3">
      <c r="I105" s="82"/>
      <c r="M105" s="85"/>
      <c r="R105" s="44"/>
      <c r="U105" s="45"/>
      <c r="V105" s="54"/>
      <c r="W105" s="54"/>
      <c r="X105" s="55"/>
      <c r="Y105" s="45"/>
      <c r="Z105" s="45"/>
    </row>
    <row r="106" spans="9:26" x14ac:dyDescent="0.3">
      <c r="I106" s="82"/>
      <c r="M106" s="85"/>
      <c r="R106" s="44"/>
      <c r="U106" s="45"/>
      <c r="V106" s="54"/>
      <c r="W106" s="54"/>
      <c r="X106" s="55"/>
      <c r="Y106" s="45"/>
      <c r="Z106" s="45"/>
    </row>
    <row r="107" spans="9:26" x14ac:dyDescent="0.3">
      <c r="I107" s="82"/>
      <c r="M107" s="85"/>
      <c r="R107" s="44"/>
      <c r="U107" s="45"/>
      <c r="V107" s="54"/>
      <c r="W107" s="54"/>
      <c r="X107" s="55"/>
      <c r="Y107" s="45"/>
      <c r="Z107" s="45"/>
    </row>
    <row r="108" spans="9:26" x14ac:dyDescent="0.3">
      <c r="I108" s="82"/>
      <c r="M108" s="85"/>
      <c r="R108" s="44"/>
      <c r="U108" s="45"/>
      <c r="V108" s="54"/>
      <c r="W108" s="54"/>
      <c r="X108" s="55"/>
      <c r="Y108" s="45"/>
      <c r="Z108" s="45"/>
    </row>
    <row r="109" spans="9:26" x14ac:dyDescent="0.3">
      <c r="I109" s="82"/>
      <c r="M109" s="85"/>
      <c r="R109" s="44"/>
      <c r="U109" s="45"/>
      <c r="V109" s="54"/>
      <c r="W109" s="54"/>
      <c r="X109" s="55"/>
      <c r="Y109" s="45"/>
      <c r="Z109" s="45"/>
    </row>
    <row r="110" spans="9:26" x14ac:dyDescent="0.3">
      <c r="I110" s="82"/>
      <c r="M110" s="85"/>
      <c r="R110" s="44"/>
      <c r="U110" s="45"/>
      <c r="V110" s="54"/>
      <c r="W110" s="54"/>
      <c r="X110" s="55"/>
      <c r="Y110" s="45"/>
      <c r="Z110" s="45"/>
    </row>
    <row r="111" spans="9:26" x14ac:dyDescent="0.3">
      <c r="I111" s="82"/>
      <c r="M111" s="85"/>
      <c r="R111" s="44"/>
      <c r="U111" s="45"/>
      <c r="V111" s="54"/>
      <c r="W111" s="54"/>
      <c r="X111" s="55"/>
      <c r="Y111" s="45"/>
      <c r="Z111" s="45"/>
    </row>
    <row r="112" spans="9:26" x14ac:dyDescent="0.3">
      <c r="I112" s="82"/>
      <c r="M112" s="85"/>
      <c r="R112" s="44"/>
      <c r="U112" s="45"/>
      <c r="V112" s="54"/>
      <c r="W112" s="54"/>
      <c r="X112" s="55"/>
      <c r="Y112" s="45"/>
      <c r="Z112" s="45"/>
    </row>
    <row r="113" spans="9:26" x14ac:dyDescent="0.3">
      <c r="I113" s="82"/>
      <c r="M113" s="85"/>
      <c r="R113" s="44"/>
      <c r="U113" s="45"/>
      <c r="V113" s="54"/>
      <c r="W113" s="54"/>
      <c r="X113" s="55"/>
      <c r="Y113" s="45"/>
      <c r="Z113" s="45"/>
    </row>
    <row r="114" spans="9:26" x14ac:dyDescent="0.3">
      <c r="I114" s="82"/>
      <c r="M114" s="85"/>
      <c r="R114" s="44"/>
      <c r="U114" s="45"/>
      <c r="V114" s="54"/>
      <c r="W114" s="54"/>
      <c r="X114" s="55"/>
      <c r="Y114" s="45"/>
      <c r="Z114" s="45"/>
    </row>
    <row r="115" spans="9:26" x14ac:dyDescent="0.3">
      <c r="I115" s="82"/>
      <c r="M115" s="85"/>
      <c r="R115" s="44"/>
      <c r="U115" s="45"/>
      <c r="V115" s="54"/>
      <c r="W115" s="54"/>
      <c r="X115" s="55"/>
      <c r="Y115" s="45"/>
      <c r="Z115" s="45"/>
    </row>
    <row r="116" spans="9:26" x14ac:dyDescent="0.3">
      <c r="I116" s="82"/>
      <c r="M116" s="85"/>
      <c r="R116" s="44"/>
      <c r="U116" s="45"/>
      <c r="V116" s="54"/>
      <c r="W116" s="54"/>
      <c r="X116" s="55"/>
      <c r="Y116" s="45"/>
      <c r="Z116" s="45"/>
    </row>
    <row r="117" spans="9:26" x14ac:dyDescent="0.3">
      <c r="I117" s="82"/>
      <c r="M117" s="85"/>
      <c r="R117" s="44"/>
      <c r="U117" s="45"/>
      <c r="V117" s="54"/>
      <c r="W117" s="54"/>
      <c r="X117" s="55"/>
      <c r="Y117" s="45"/>
      <c r="Z117" s="45"/>
    </row>
    <row r="118" spans="9:26" x14ac:dyDescent="0.3">
      <c r="I118" s="82"/>
      <c r="M118" s="85"/>
      <c r="R118" s="44"/>
      <c r="U118" s="45"/>
      <c r="V118" s="54"/>
      <c r="W118" s="54"/>
      <c r="X118" s="55"/>
      <c r="Y118" s="45"/>
      <c r="Z118" s="45"/>
    </row>
    <row r="119" spans="9:26" x14ac:dyDescent="0.3">
      <c r="I119" s="82"/>
      <c r="M119" s="85"/>
      <c r="R119" s="44"/>
      <c r="U119" s="45"/>
      <c r="V119" s="54"/>
      <c r="W119" s="54"/>
      <c r="X119" s="55"/>
      <c r="Y119" s="45"/>
      <c r="Z119" s="45"/>
    </row>
    <row r="120" spans="9:26" x14ac:dyDescent="0.3">
      <c r="I120" s="82"/>
      <c r="M120" s="85"/>
      <c r="R120" s="44"/>
      <c r="U120" s="45"/>
      <c r="V120" s="54"/>
      <c r="W120" s="54"/>
      <c r="X120" s="55"/>
      <c r="Y120" s="45"/>
      <c r="Z120" s="45"/>
    </row>
    <row r="121" spans="9:26" x14ac:dyDescent="0.3">
      <c r="I121" s="82"/>
      <c r="M121" s="85"/>
      <c r="R121" s="44"/>
      <c r="U121" s="45"/>
      <c r="V121" s="54"/>
      <c r="W121" s="54"/>
      <c r="X121" s="55"/>
      <c r="Y121" s="45"/>
      <c r="Z121" s="45"/>
    </row>
    <row r="122" spans="9:26" x14ac:dyDescent="0.3">
      <c r="I122" s="82"/>
      <c r="M122" s="85"/>
      <c r="R122" s="44"/>
      <c r="U122" s="45"/>
      <c r="V122" s="54"/>
      <c r="W122" s="54"/>
      <c r="X122" s="55"/>
      <c r="Y122" s="45"/>
      <c r="Z122" s="45"/>
    </row>
    <row r="123" spans="9:26" x14ac:dyDescent="0.3">
      <c r="I123" s="82"/>
      <c r="M123" s="85"/>
      <c r="R123" s="44"/>
      <c r="U123" s="45"/>
      <c r="V123" s="54"/>
      <c r="W123" s="54"/>
      <c r="X123" s="55"/>
      <c r="Y123" s="45"/>
      <c r="Z123" s="45"/>
    </row>
    <row r="124" spans="9:26" x14ac:dyDescent="0.3">
      <c r="I124" s="82"/>
      <c r="M124" s="85"/>
      <c r="R124" s="44"/>
      <c r="U124" s="45"/>
      <c r="V124" s="54"/>
      <c r="W124" s="54"/>
      <c r="X124" s="55"/>
      <c r="Y124" s="45"/>
      <c r="Z124" s="45"/>
    </row>
    <row r="125" spans="9:26" x14ac:dyDescent="0.3">
      <c r="I125" s="82"/>
      <c r="M125" s="85"/>
      <c r="R125" s="44"/>
      <c r="U125" s="45"/>
      <c r="V125" s="54"/>
      <c r="W125" s="54"/>
      <c r="X125" s="55"/>
      <c r="Y125" s="45"/>
      <c r="Z125" s="45"/>
    </row>
    <row r="126" spans="9:26" x14ac:dyDescent="0.3">
      <c r="I126" s="82"/>
      <c r="M126" s="85"/>
      <c r="R126" s="44"/>
      <c r="U126" s="45"/>
      <c r="V126" s="54"/>
      <c r="W126" s="54"/>
      <c r="X126" s="55"/>
      <c r="Y126" s="45"/>
      <c r="Z126" s="45"/>
    </row>
    <row r="127" spans="9:26" x14ac:dyDescent="0.3">
      <c r="I127" s="82"/>
      <c r="M127" s="85"/>
      <c r="R127" s="44"/>
      <c r="U127" s="45"/>
      <c r="V127" s="54"/>
      <c r="W127" s="54"/>
      <c r="X127" s="55"/>
      <c r="Y127" s="45"/>
      <c r="Z127" s="45"/>
    </row>
    <row r="128" spans="9:26" x14ac:dyDescent="0.3">
      <c r="I128" s="82"/>
      <c r="M128" s="85"/>
    </row>
    <row r="129" spans="9:13" x14ac:dyDescent="0.3">
      <c r="I129" s="82"/>
      <c r="M129" s="85"/>
    </row>
    <row r="130" spans="9:13" x14ac:dyDescent="0.3">
      <c r="I130" s="82"/>
      <c r="M130" s="85"/>
    </row>
    <row r="131" spans="9:13" x14ac:dyDescent="0.3">
      <c r="I131" s="82"/>
      <c r="M131" s="85"/>
    </row>
    <row r="132" spans="9:13" x14ac:dyDescent="0.3">
      <c r="I132" s="82"/>
      <c r="M132" s="85"/>
    </row>
    <row r="133" spans="9:13" x14ac:dyDescent="0.3">
      <c r="I133" s="82"/>
      <c r="M133" s="85"/>
    </row>
    <row r="134" spans="9:13" x14ac:dyDescent="0.3">
      <c r="I134" s="82"/>
      <c r="M134" s="85"/>
    </row>
    <row r="135" spans="9:13" x14ac:dyDescent="0.3">
      <c r="I135" s="82"/>
      <c r="M135" s="85"/>
    </row>
    <row r="136" spans="9:13" x14ac:dyDescent="0.3">
      <c r="I136" s="82"/>
      <c r="M136" s="85"/>
    </row>
    <row r="137" spans="9:13" x14ac:dyDescent="0.3">
      <c r="I137" s="82"/>
      <c r="M137" s="85"/>
    </row>
    <row r="138" spans="9:13" x14ac:dyDescent="0.3">
      <c r="I138" s="82"/>
      <c r="M138" s="85"/>
    </row>
    <row r="139" spans="9:13" x14ac:dyDescent="0.3">
      <c r="I139" s="82"/>
      <c r="M139" s="85"/>
    </row>
    <row r="140" spans="9:13" x14ac:dyDescent="0.3">
      <c r="I140" s="82"/>
      <c r="M140" s="85"/>
    </row>
    <row r="141" spans="9:13" x14ac:dyDescent="0.3">
      <c r="I141" s="82"/>
      <c r="M141" s="85"/>
    </row>
    <row r="142" spans="9:13" x14ac:dyDescent="0.3">
      <c r="I142" s="82"/>
      <c r="M142" s="85"/>
    </row>
    <row r="143" spans="9:13" x14ac:dyDescent="0.3">
      <c r="I143" s="82"/>
      <c r="M143" s="85"/>
    </row>
    <row r="144" spans="9:13" x14ac:dyDescent="0.3">
      <c r="I144" s="82"/>
      <c r="M144" s="85"/>
    </row>
    <row r="145" spans="9:13" x14ac:dyDescent="0.3">
      <c r="I145" s="82"/>
      <c r="M145" s="85"/>
    </row>
    <row r="146" spans="9:13" x14ac:dyDescent="0.3">
      <c r="I146" s="82"/>
      <c r="M146" s="85"/>
    </row>
    <row r="147" spans="9:13" x14ac:dyDescent="0.3">
      <c r="I147" s="82"/>
      <c r="M147" s="85"/>
    </row>
    <row r="148" spans="9:13" x14ac:dyDescent="0.3">
      <c r="I148" s="82"/>
      <c r="M148" s="85"/>
    </row>
    <row r="149" spans="9:13" x14ac:dyDescent="0.3">
      <c r="I149" s="82"/>
      <c r="M149" s="85"/>
    </row>
    <row r="150" spans="9:13" x14ac:dyDescent="0.3">
      <c r="I150" s="82"/>
      <c r="M150" s="85"/>
    </row>
    <row r="151" spans="9:13" x14ac:dyDescent="0.3">
      <c r="I151" s="82"/>
      <c r="M151" s="85"/>
    </row>
    <row r="152" spans="9:13" x14ac:dyDescent="0.3">
      <c r="I152" s="82"/>
      <c r="M152" s="85"/>
    </row>
    <row r="153" spans="9:13" x14ac:dyDescent="0.3">
      <c r="I153" s="82"/>
      <c r="M153" s="85"/>
    </row>
    <row r="154" spans="9:13" x14ac:dyDescent="0.3">
      <c r="I154" s="82"/>
      <c r="M154" s="85"/>
    </row>
    <row r="155" spans="9:13" x14ac:dyDescent="0.3">
      <c r="I155" s="82"/>
      <c r="M155" s="85"/>
    </row>
    <row r="156" spans="9:13" x14ac:dyDescent="0.3">
      <c r="I156" s="82"/>
      <c r="M156" s="85"/>
    </row>
    <row r="157" spans="9:13" x14ac:dyDescent="0.3">
      <c r="I157" s="82"/>
      <c r="M157" s="85"/>
    </row>
    <row r="158" spans="9:13" x14ac:dyDescent="0.3">
      <c r="I158" s="82"/>
      <c r="M158" s="85"/>
    </row>
    <row r="159" spans="9:13" x14ac:dyDescent="0.3">
      <c r="I159" s="82"/>
      <c r="M159" s="85"/>
    </row>
    <row r="160" spans="9:13" x14ac:dyDescent="0.3">
      <c r="I160" s="82"/>
      <c r="M160" s="85"/>
    </row>
    <row r="161" spans="9:13" x14ac:dyDescent="0.3">
      <c r="I161" s="82"/>
      <c r="M161" s="85"/>
    </row>
    <row r="162" spans="9:13" x14ac:dyDescent="0.3">
      <c r="I162" s="82"/>
      <c r="M162" s="85"/>
    </row>
    <row r="163" spans="9:13" x14ac:dyDescent="0.3">
      <c r="I163" s="82"/>
      <c r="M163" s="85"/>
    </row>
    <row r="164" spans="9:13" x14ac:dyDescent="0.3">
      <c r="I164" s="82"/>
      <c r="M164" s="85"/>
    </row>
    <row r="165" spans="9:13" x14ac:dyDescent="0.3">
      <c r="I165" s="82"/>
      <c r="M165" s="85"/>
    </row>
    <row r="166" spans="9:13" x14ac:dyDescent="0.3">
      <c r="I166" s="82"/>
      <c r="M166" s="85"/>
    </row>
    <row r="167" spans="9:13" x14ac:dyDescent="0.3">
      <c r="I167" s="82"/>
      <c r="M167" s="85"/>
    </row>
    <row r="168" spans="9:13" x14ac:dyDescent="0.3">
      <c r="I168" s="82"/>
      <c r="M168" s="85"/>
    </row>
    <row r="169" spans="9:13" x14ac:dyDescent="0.3">
      <c r="I169" s="82"/>
      <c r="M169" s="85"/>
    </row>
    <row r="170" spans="9:13" x14ac:dyDescent="0.3">
      <c r="I170" s="82"/>
      <c r="M170" s="85"/>
    </row>
    <row r="171" spans="9:13" x14ac:dyDescent="0.3">
      <c r="I171" s="82"/>
      <c r="M171" s="85"/>
    </row>
    <row r="172" spans="9:13" x14ac:dyDescent="0.3">
      <c r="I172" s="82"/>
      <c r="M172" s="85"/>
    </row>
    <row r="173" spans="9:13" x14ac:dyDescent="0.3">
      <c r="I173" s="82"/>
      <c r="M173" s="85"/>
    </row>
    <row r="174" spans="9:13" x14ac:dyDescent="0.3">
      <c r="I174" s="82"/>
      <c r="M174" s="85"/>
    </row>
    <row r="175" spans="9:13" x14ac:dyDescent="0.3">
      <c r="I175" s="82"/>
      <c r="M175" s="85"/>
    </row>
    <row r="176" spans="9:13" x14ac:dyDescent="0.3">
      <c r="I176" s="82"/>
      <c r="M176" s="85"/>
    </row>
    <row r="177" spans="9:13" x14ac:dyDescent="0.3">
      <c r="I177" s="82"/>
      <c r="M177" s="85"/>
    </row>
    <row r="178" spans="9:13" x14ac:dyDescent="0.3">
      <c r="I178" s="82"/>
      <c r="M178" s="85"/>
    </row>
    <row r="179" spans="9:13" x14ac:dyDescent="0.3">
      <c r="I179" s="82"/>
      <c r="M179" s="85"/>
    </row>
    <row r="180" spans="9:13" x14ac:dyDescent="0.3">
      <c r="I180" s="82"/>
      <c r="M180" s="85"/>
    </row>
    <row r="181" spans="9:13" x14ac:dyDescent="0.3">
      <c r="I181" s="82"/>
      <c r="M181" s="85"/>
    </row>
    <row r="182" spans="9:13" x14ac:dyDescent="0.3">
      <c r="I182" s="82"/>
      <c r="M182" s="85"/>
    </row>
    <row r="183" spans="9:13" x14ac:dyDescent="0.3">
      <c r="I183" s="82"/>
      <c r="M183" s="85"/>
    </row>
    <row r="184" spans="9:13" x14ac:dyDescent="0.3">
      <c r="I184" s="82"/>
      <c r="M184" s="85"/>
    </row>
    <row r="185" spans="9:13" x14ac:dyDescent="0.3">
      <c r="I185" s="82"/>
      <c r="M185" s="85"/>
    </row>
    <row r="186" spans="9:13" x14ac:dyDescent="0.3">
      <c r="I186" s="82"/>
      <c r="M186" s="85"/>
    </row>
    <row r="187" spans="9:13" x14ac:dyDescent="0.3">
      <c r="I187" s="82"/>
      <c r="M187" s="85"/>
    </row>
    <row r="188" spans="9:13" x14ac:dyDescent="0.3">
      <c r="I188" s="82"/>
      <c r="M188" s="85"/>
    </row>
    <row r="189" spans="9:13" x14ac:dyDescent="0.3">
      <c r="I189" s="82"/>
      <c r="M189" s="85"/>
    </row>
    <row r="190" spans="9:13" x14ac:dyDescent="0.3">
      <c r="I190" s="82"/>
      <c r="M190" s="85"/>
    </row>
    <row r="191" spans="9:13" x14ac:dyDescent="0.3">
      <c r="I191" s="82"/>
      <c r="M191" s="85"/>
    </row>
    <row r="192" spans="9:13" x14ac:dyDescent="0.3">
      <c r="I192" s="82"/>
      <c r="M192" s="85"/>
    </row>
    <row r="193" spans="9:13" x14ac:dyDescent="0.3">
      <c r="I193" s="82"/>
      <c r="M193" s="85"/>
    </row>
    <row r="194" spans="9:13" x14ac:dyDescent="0.3">
      <c r="I194" s="82"/>
      <c r="M194" s="85"/>
    </row>
    <row r="195" spans="9:13" x14ac:dyDescent="0.3">
      <c r="I195" s="82"/>
      <c r="M195" s="85"/>
    </row>
    <row r="196" spans="9:13" x14ac:dyDescent="0.3">
      <c r="I196" s="82"/>
      <c r="M196" s="85"/>
    </row>
    <row r="197" spans="9:13" x14ac:dyDescent="0.3">
      <c r="I197" s="82"/>
      <c r="M197" s="85"/>
    </row>
    <row r="198" spans="9:13" x14ac:dyDescent="0.3">
      <c r="I198" s="82"/>
      <c r="M198" s="85"/>
    </row>
    <row r="199" spans="9:13" x14ac:dyDescent="0.3">
      <c r="I199" s="82"/>
      <c r="M199" s="85"/>
    </row>
    <row r="200" spans="9:13" x14ac:dyDescent="0.3">
      <c r="I200" s="82"/>
      <c r="M200" s="85"/>
    </row>
    <row r="201" spans="9:13" x14ac:dyDescent="0.3">
      <c r="I201" s="82"/>
      <c r="M201" s="85"/>
    </row>
    <row r="202" spans="9:13" x14ac:dyDescent="0.3">
      <c r="I202" s="82"/>
      <c r="M202" s="85"/>
    </row>
    <row r="203" spans="9:13" x14ac:dyDescent="0.3">
      <c r="I203" s="82"/>
      <c r="M203" s="85"/>
    </row>
    <row r="204" spans="9:13" x14ac:dyDescent="0.3">
      <c r="I204" s="82"/>
      <c r="M204" s="85"/>
    </row>
    <row r="205" spans="9:13" x14ac:dyDescent="0.3">
      <c r="I205" s="82"/>
      <c r="M205" s="85"/>
    </row>
    <row r="206" spans="9:13" x14ac:dyDescent="0.3">
      <c r="I206" s="82"/>
      <c r="M206" s="85"/>
    </row>
    <row r="207" spans="9:13" x14ac:dyDescent="0.3">
      <c r="I207" s="82"/>
      <c r="M207" s="85"/>
    </row>
    <row r="208" spans="9:13" x14ac:dyDescent="0.3">
      <c r="I208" s="82"/>
      <c r="M208" s="85"/>
    </row>
    <row r="209" spans="9:13" x14ac:dyDescent="0.3">
      <c r="I209" s="82"/>
      <c r="M209" s="85"/>
    </row>
    <row r="210" spans="9:13" x14ac:dyDescent="0.3">
      <c r="I210" s="82"/>
      <c r="M210" s="85"/>
    </row>
    <row r="211" spans="9:13" x14ac:dyDescent="0.3">
      <c r="I211" s="82"/>
      <c r="M211" s="85"/>
    </row>
    <row r="212" spans="9:13" x14ac:dyDescent="0.3">
      <c r="I212" s="82"/>
      <c r="M212" s="85"/>
    </row>
    <row r="213" spans="9:13" x14ac:dyDescent="0.3">
      <c r="I213" s="82"/>
      <c r="M213" s="85"/>
    </row>
    <row r="214" spans="9:13" x14ac:dyDescent="0.3">
      <c r="I214" s="82"/>
      <c r="M214" s="85"/>
    </row>
    <row r="215" spans="9:13" x14ac:dyDescent="0.3">
      <c r="I215" s="82"/>
      <c r="M215" s="85"/>
    </row>
    <row r="216" spans="9:13" x14ac:dyDescent="0.3">
      <c r="I216" s="82"/>
      <c r="M216" s="85"/>
    </row>
    <row r="217" spans="9:13" x14ac:dyDescent="0.3">
      <c r="I217" s="82"/>
      <c r="M217" s="85"/>
    </row>
    <row r="218" spans="9:13" x14ac:dyDescent="0.3">
      <c r="I218" s="82"/>
      <c r="M218" s="85"/>
    </row>
    <row r="219" spans="9:13" x14ac:dyDescent="0.3">
      <c r="I219" s="82"/>
      <c r="M219" s="85"/>
    </row>
    <row r="220" spans="9:13" x14ac:dyDescent="0.3">
      <c r="I220" s="82"/>
      <c r="M220" s="85"/>
    </row>
    <row r="221" spans="9:13" x14ac:dyDescent="0.3">
      <c r="I221" s="82"/>
      <c r="M221" s="85"/>
    </row>
    <row r="222" spans="9:13" x14ac:dyDescent="0.3">
      <c r="I222" s="82"/>
      <c r="M222" s="85"/>
    </row>
    <row r="223" spans="9:13" x14ac:dyDescent="0.3">
      <c r="I223" s="82"/>
      <c r="M223" s="85"/>
    </row>
    <row r="224" spans="9:13" x14ac:dyDescent="0.3">
      <c r="I224" s="82"/>
      <c r="M224" s="85"/>
    </row>
    <row r="225" spans="9:13" x14ac:dyDescent="0.3">
      <c r="I225" s="82"/>
      <c r="M225" s="85"/>
    </row>
    <row r="226" spans="9:13" x14ac:dyDescent="0.3">
      <c r="I226" s="82"/>
      <c r="M226" s="85"/>
    </row>
    <row r="227" spans="9:13" x14ac:dyDescent="0.3">
      <c r="I227" s="82"/>
      <c r="M227" s="85"/>
    </row>
    <row r="228" spans="9:13" x14ac:dyDescent="0.3">
      <c r="I228" s="82"/>
      <c r="M228" s="85"/>
    </row>
    <row r="229" spans="9:13" x14ac:dyDescent="0.3">
      <c r="I229" s="82"/>
      <c r="M229" s="85"/>
    </row>
    <row r="230" spans="9:13" x14ac:dyDescent="0.3">
      <c r="I230" s="82"/>
      <c r="M230" s="85"/>
    </row>
    <row r="231" spans="9:13" x14ac:dyDescent="0.3">
      <c r="I231" s="82"/>
      <c r="M231" s="85"/>
    </row>
    <row r="232" spans="9:13" x14ac:dyDescent="0.3">
      <c r="I232" s="82"/>
      <c r="M232" s="85"/>
    </row>
    <row r="233" spans="9:13" x14ac:dyDescent="0.3">
      <c r="I233" s="82"/>
      <c r="M233" s="85"/>
    </row>
    <row r="234" spans="9:13" x14ac:dyDescent="0.3">
      <c r="I234" s="82"/>
      <c r="M234" s="85"/>
    </row>
    <row r="235" spans="9:13" x14ac:dyDescent="0.3">
      <c r="I235" s="82"/>
      <c r="M235" s="85"/>
    </row>
    <row r="236" spans="9:13" x14ac:dyDescent="0.3">
      <c r="I236" s="82"/>
      <c r="M236" s="85"/>
    </row>
    <row r="237" spans="9:13" x14ac:dyDescent="0.3">
      <c r="I237" s="82"/>
      <c r="M237" s="85"/>
    </row>
    <row r="238" spans="9:13" x14ac:dyDescent="0.3">
      <c r="I238" s="82"/>
      <c r="M238" s="85"/>
    </row>
    <row r="239" spans="9:13" x14ac:dyDescent="0.3">
      <c r="I239" s="82"/>
      <c r="M239" s="85"/>
    </row>
    <row r="240" spans="9:13" x14ac:dyDescent="0.3">
      <c r="I240" s="82"/>
      <c r="M240" s="85"/>
    </row>
    <row r="241" spans="9:13" x14ac:dyDescent="0.3">
      <c r="I241" s="82"/>
      <c r="M241" s="85"/>
    </row>
    <row r="242" spans="9:13" x14ac:dyDescent="0.3">
      <c r="I242" s="82"/>
      <c r="M242" s="85"/>
    </row>
    <row r="243" spans="9:13" x14ac:dyDescent="0.3">
      <c r="I243" s="82"/>
      <c r="M243" s="85"/>
    </row>
    <row r="244" spans="9:13" x14ac:dyDescent="0.3">
      <c r="I244" s="82"/>
      <c r="M244" s="85"/>
    </row>
    <row r="245" spans="9:13" x14ac:dyDescent="0.3">
      <c r="I245" s="82"/>
      <c r="M245" s="85"/>
    </row>
    <row r="246" spans="9:13" x14ac:dyDescent="0.3">
      <c r="I246" s="82"/>
      <c r="M246" s="85"/>
    </row>
    <row r="247" spans="9:13" x14ac:dyDescent="0.3">
      <c r="I247" s="82"/>
      <c r="M247" s="85"/>
    </row>
    <row r="248" spans="9:13" x14ac:dyDescent="0.3">
      <c r="I248" s="82"/>
      <c r="M248" s="85"/>
    </row>
    <row r="249" spans="9:13" x14ac:dyDescent="0.3">
      <c r="I249" s="82"/>
      <c r="M249" s="85"/>
    </row>
    <row r="250" spans="9:13" x14ac:dyDescent="0.3">
      <c r="I250" s="82"/>
      <c r="M250" s="85"/>
    </row>
    <row r="251" spans="9:13" x14ac:dyDescent="0.3">
      <c r="I251" s="82"/>
      <c r="M251" s="85"/>
    </row>
    <row r="252" spans="9:13" x14ac:dyDescent="0.3">
      <c r="I252" s="82"/>
      <c r="M252" s="85"/>
    </row>
    <row r="253" spans="9:13" x14ac:dyDescent="0.3">
      <c r="I253" s="82"/>
      <c r="M253" s="85"/>
    </row>
    <row r="254" spans="9:13" x14ac:dyDescent="0.3">
      <c r="I254" s="82"/>
      <c r="M254" s="85"/>
    </row>
    <row r="255" spans="9:13" x14ac:dyDescent="0.3">
      <c r="I255" s="82"/>
      <c r="M255" s="85"/>
    </row>
    <row r="256" spans="9:13" x14ac:dyDescent="0.3">
      <c r="I256" s="82"/>
      <c r="M256" s="85"/>
    </row>
    <row r="257" spans="9:13" x14ac:dyDescent="0.3">
      <c r="I257" s="82"/>
      <c r="M257" s="85"/>
    </row>
    <row r="258" spans="9:13" x14ac:dyDescent="0.3">
      <c r="I258" s="82"/>
      <c r="M258" s="85"/>
    </row>
    <row r="259" spans="9:13" x14ac:dyDescent="0.3">
      <c r="I259" s="82"/>
      <c r="M259" s="85"/>
    </row>
    <row r="260" spans="9:13" x14ac:dyDescent="0.3">
      <c r="I260" s="82"/>
      <c r="M260" s="85"/>
    </row>
    <row r="261" spans="9:13" x14ac:dyDescent="0.3">
      <c r="I261" s="82"/>
      <c r="M261" s="85"/>
    </row>
    <row r="262" spans="9:13" x14ac:dyDescent="0.3">
      <c r="I262" s="82"/>
      <c r="M262" s="85"/>
    </row>
    <row r="263" spans="9:13" x14ac:dyDescent="0.3">
      <c r="I263" s="82"/>
      <c r="M263" s="85"/>
    </row>
    <row r="264" spans="9:13" x14ac:dyDescent="0.3">
      <c r="I264" s="82"/>
      <c r="M264" s="85"/>
    </row>
    <row r="265" spans="9:13" x14ac:dyDescent="0.3">
      <c r="I265" s="82"/>
      <c r="M265" s="85"/>
    </row>
    <row r="266" spans="9:13" x14ac:dyDescent="0.3">
      <c r="I266" s="82"/>
      <c r="M266" s="85"/>
    </row>
    <row r="267" spans="9:13" x14ac:dyDescent="0.3">
      <c r="I267" s="82"/>
      <c r="M267" s="85"/>
    </row>
    <row r="268" spans="9:13" x14ac:dyDescent="0.3">
      <c r="I268" s="82"/>
      <c r="M268" s="85"/>
    </row>
    <row r="269" spans="9:13" x14ac:dyDescent="0.3">
      <c r="I269" s="82"/>
      <c r="M269" s="85"/>
    </row>
    <row r="270" spans="9:13" x14ac:dyDescent="0.3">
      <c r="I270" s="82"/>
      <c r="M270" s="85"/>
    </row>
    <row r="271" spans="9:13" x14ac:dyDescent="0.3">
      <c r="I271" s="82"/>
      <c r="M271" s="85"/>
    </row>
    <row r="272" spans="9:13" x14ac:dyDescent="0.3">
      <c r="I272" s="82"/>
      <c r="M272" s="85"/>
    </row>
    <row r="273" spans="9:13" x14ac:dyDescent="0.3">
      <c r="I273" s="82"/>
      <c r="M273" s="85"/>
    </row>
    <row r="274" spans="9:13" x14ac:dyDescent="0.3">
      <c r="I274" s="82"/>
      <c r="M274" s="85"/>
    </row>
    <row r="275" spans="9:13" x14ac:dyDescent="0.3">
      <c r="I275" s="82"/>
      <c r="M275" s="85"/>
    </row>
    <row r="276" spans="9:13" x14ac:dyDescent="0.3">
      <c r="I276" s="82"/>
      <c r="M276" s="85"/>
    </row>
    <row r="277" spans="9:13" x14ac:dyDescent="0.3">
      <c r="I277" s="82"/>
      <c r="M277" s="85"/>
    </row>
    <row r="278" spans="9:13" x14ac:dyDescent="0.3">
      <c r="I278" s="82"/>
      <c r="M278" s="85"/>
    </row>
    <row r="279" spans="9:13" x14ac:dyDescent="0.3">
      <c r="I279" s="82"/>
      <c r="M279" s="85"/>
    </row>
    <row r="280" spans="9:13" x14ac:dyDescent="0.3">
      <c r="I280" s="82"/>
      <c r="M280" s="85"/>
    </row>
    <row r="281" spans="9:13" x14ac:dyDescent="0.3">
      <c r="I281" s="82"/>
      <c r="M281" s="85"/>
    </row>
    <row r="282" spans="9:13" x14ac:dyDescent="0.3">
      <c r="I282" s="82"/>
      <c r="M282" s="85"/>
    </row>
    <row r="283" spans="9:13" x14ac:dyDescent="0.3">
      <c r="I283" s="82"/>
      <c r="M283" s="85"/>
    </row>
    <row r="284" spans="9:13" x14ac:dyDescent="0.3">
      <c r="I284" s="82"/>
      <c r="M284" s="85"/>
    </row>
    <row r="285" spans="9:13" x14ac:dyDescent="0.3">
      <c r="I285" s="82"/>
      <c r="M285" s="85"/>
    </row>
    <row r="286" spans="9:13" x14ac:dyDescent="0.3">
      <c r="I286" s="82"/>
      <c r="M286" s="85"/>
    </row>
    <row r="287" spans="9:13" x14ac:dyDescent="0.3">
      <c r="I287" s="82"/>
      <c r="M287" s="85"/>
    </row>
    <row r="288" spans="9:13" x14ac:dyDescent="0.3">
      <c r="I288" s="82"/>
      <c r="M288" s="85"/>
    </row>
    <row r="289" spans="9:13" x14ac:dyDescent="0.3">
      <c r="I289" s="82"/>
      <c r="M289" s="85"/>
    </row>
    <row r="290" spans="9:13" x14ac:dyDescent="0.3">
      <c r="I290" s="82"/>
      <c r="M290" s="85"/>
    </row>
    <row r="291" spans="9:13" x14ac:dyDescent="0.3">
      <c r="I291" s="82"/>
      <c r="M291" s="85"/>
    </row>
    <row r="292" spans="9:13" x14ac:dyDescent="0.3">
      <c r="I292" s="82"/>
      <c r="M292" s="85"/>
    </row>
    <row r="293" spans="9:13" x14ac:dyDescent="0.3">
      <c r="I293" s="82"/>
      <c r="M293" s="85"/>
    </row>
    <row r="294" spans="9:13" x14ac:dyDescent="0.3">
      <c r="I294" s="82"/>
      <c r="M294" s="85"/>
    </row>
    <row r="295" spans="9:13" x14ac:dyDescent="0.3">
      <c r="I295" s="82"/>
      <c r="M295" s="85"/>
    </row>
    <row r="296" spans="9:13" x14ac:dyDescent="0.3">
      <c r="I296" s="82"/>
      <c r="M296" s="85"/>
    </row>
    <row r="297" spans="9:13" x14ac:dyDescent="0.3">
      <c r="I297" s="82"/>
      <c r="M297" s="85"/>
    </row>
    <row r="298" spans="9:13" x14ac:dyDescent="0.3">
      <c r="I298" s="82"/>
      <c r="M298" s="85"/>
    </row>
    <row r="299" spans="9:13" x14ac:dyDescent="0.3">
      <c r="I299" s="82"/>
      <c r="M299" s="85"/>
    </row>
    <row r="300" spans="9:13" x14ac:dyDescent="0.3">
      <c r="I300" s="82"/>
      <c r="M300" s="85"/>
    </row>
    <row r="301" spans="9:13" x14ac:dyDescent="0.3">
      <c r="I301" s="82"/>
      <c r="M301" s="85"/>
    </row>
    <row r="302" spans="9:13" x14ac:dyDescent="0.3">
      <c r="I302" s="82"/>
      <c r="M302" s="85"/>
    </row>
    <row r="303" spans="9:13" x14ac:dyDescent="0.3">
      <c r="I303" s="82"/>
      <c r="M303" s="85"/>
    </row>
    <row r="304" spans="9:13" x14ac:dyDescent="0.3">
      <c r="I304" s="82"/>
      <c r="M304" s="85"/>
    </row>
    <row r="305" spans="9:13" x14ac:dyDescent="0.3">
      <c r="I305" s="82"/>
      <c r="M305" s="85"/>
    </row>
    <row r="306" spans="9:13" x14ac:dyDescent="0.3">
      <c r="I306" s="82"/>
      <c r="M306" s="85"/>
    </row>
    <row r="307" spans="9:13" x14ac:dyDescent="0.3">
      <c r="I307" s="82"/>
      <c r="M307" s="85"/>
    </row>
    <row r="308" spans="9:13" x14ac:dyDescent="0.3">
      <c r="I308" s="82"/>
      <c r="M308" s="85"/>
    </row>
    <row r="309" spans="9:13" x14ac:dyDescent="0.3">
      <c r="I309" s="82"/>
      <c r="M309" s="85"/>
    </row>
    <row r="310" spans="9:13" x14ac:dyDescent="0.3">
      <c r="I310" s="82"/>
      <c r="M310" s="85"/>
    </row>
    <row r="311" spans="9:13" x14ac:dyDescent="0.3">
      <c r="I311" s="82"/>
      <c r="M311" s="85"/>
    </row>
    <row r="312" spans="9:13" x14ac:dyDescent="0.3">
      <c r="I312" s="82"/>
      <c r="M312" s="85"/>
    </row>
    <row r="313" spans="9:13" x14ac:dyDescent="0.3">
      <c r="I313" s="82"/>
      <c r="M313" s="85"/>
    </row>
    <row r="314" spans="9:13" x14ac:dyDescent="0.3">
      <c r="I314" s="82"/>
      <c r="M314" s="85"/>
    </row>
    <row r="315" spans="9:13" x14ac:dyDescent="0.3">
      <c r="I315" s="82"/>
      <c r="M315" s="85"/>
    </row>
    <row r="316" spans="9:13" x14ac:dyDescent="0.3">
      <c r="I316" s="82"/>
      <c r="M316" s="85"/>
    </row>
    <row r="317" spans="9:13" x14ac:dyDescent="0.3">
      <c r="I317" s="82"/>
      <c r="M317" s="85"/>
    </row>
    <row r="318" spans="9:13" x14ac:dyDescent="0.3">
      <c r="I318" s="82"/>
      <c r="M318" s="85"/>
    </row>
    <row r="319" spans="9:13" x14ac:dyDescent="0.3">
      <c r="I319" s="82"/>
      <c r="M319" s="85"/>
    </row>
    <row r="320" spans="9:13" x14ac:dyDescent="0.3">
      <c r="I320" s="82"/>
      <c r="M320" s="85"/>
    </row>
    <row r="321" spans="9:13" x14ac:dyDescent="0.3">
      <c r="I321" s="82"/>
      <c r="M321" s="85"/>
    </row>
    <row r="322" spans="9:13" x14ac:dyDescent="0.3">
      <c r="I322" s="82"/>
      <c r="M322" s="85"/>
    </row>
    <row r="323" spans="9:13" x14ac:dyDescent="0.3">
      <c r="I323" s="82"/>
      <c r="M323" s="85"/>
    </row>
    <row r="324" spans="9:13" x14ac:dyDescent="0.3">
      <c r="I324" s="82"/>
      <c r="M324" s="85"/>
    </row>
    <row r="325" spans="9:13" x14ac:dyDescent="0.3">
      <c r="I325" s="82"/>
      <c r="M325" s="85"/>
    </row>
    <row r="326" spans="9:13" x14ac:dyDescent="0.3">
      <c r="I326" s="82"/>
      <c r="M326" s="85"/>
    </row>
    <row r="327" spans="9:13" x14ac:dyDescent="0.3">
      <c r="I327" s="82"/>
      <c r="M327" s="85"/>
    </row>
    <row r="328" spans="9:13" x14ac:dyDescent="0.3">
      <c r="I328" s="82"/>
      <c r="M328" s="85"/>
    </row>
    <row r="329" spans="9:13" x14ac:dyDescent="0.3">
      <c r="I329" s="82"/>
      <c r="M329" s="85"/>
    </row>
    <row r="330" spans="9:13" x14ac:dyDescent="0.3">
      <c r="I330" s="82"/>
      <c r="M330" s="85"/>
    </row>
    <row r="331" spans="9:13" x14ac:dyDescent="0.3">
      <c r="I331" s="82"/>
      <c r="M331" s="85"/>
    </row>
    <row r="332" spans="9:13" x14ac:dyDescent="0.3">
      <c r="I332" s="82"/>
      <c r="M332" s="85"/>
    </row>
    <row r="333" spans="9:13" x14ac:dyDescent="0.3">
      <c r="I333" s="82"/>
      <c r="M333" s="85"/>
    </row>
    <row r="334" spans="9:13" x14ac:dyDescent="0.3">
      <c r="I334" s="82"/>
      <c r="M334" s="85"/>
    </row>
    <row r="335" spans="9:13" x14ac:dyDescent="0.3">
      <c r="I335" s="82"/>
      <c r="M335" s="85"/>
    </row>
    <row r="336" spans="9:13" x14ac:dyDescent="0.3">
      <c r="I336" s="82"/>
      <c r="M336" s="85"/>
    </row>
    <row r="337" spans="9:13" x14ac:dyDescent="0.3">
      <c r="I337" s="82"/>
      <c r="M337" s="85"/>
    </row>
    <row r="338" spans="9:13" x14ac:dyDescent="0.3">
      <c r="I338" s="82"/>
      <c r="M338" s="85"/>
    </row>
    <row r="339" spans="9:13" x14ac:dyDescent="0.3">
      <c r="I339" s="82"/>
      <c r="M339" s="85"/>
    </row>
    <row r="340" spans="9:13" x14ac:dyDescent="0.3">
      <c r="I340" s="82"/>
      <c r="M340" s="85"/>
    </row>
    <row r="341" spans="9:13" x14ac:dyDescent="0.3">
      <c r="I341" s="82"/>
      <c r="M341" s="85"/>
    </row>
    <row r="342" spans="9:13" x14ac:dyDescent="0.3">
      <c r="I342" s="82"/>
      <c r="M342" s="85"/>
    </row>
    <row r="343" spans="9:13" x14ac:dyDescent="0.3">
      <c r="I343" s="82"/>
      <c r="M343" s="85"/>
    </row>
    <row r="344" spans="9:13" x14ac:dyDescent="0.3">
      <c r="I344" s="82"/>
      <c r="M344" s="85"/>
    </row>
    <row r="345" spans="9:13" x14ac:dyDescent="0.3">
      <c r="I345" s="82"/>
      <c r="M345" s="85"/>
    </row>
    <row r="346" spans="9:13" x14ac:dyDescent="0.3">
      <c r="I346" s="82"/>
      <c r="M346" s="85"/>
    </row>
    <row r="347" spans="9:13" x14ac:dyDescent="0.3">
      <c r="I347" s="82"/>
      <c r="M347" s="85"/>
    </row>
    <row r="348" spans="9:13" x14ac:dyDescent="0.3">
      <c r="I348" s="82"/>
      <c r="M348" s="85"/>
    </row>
    <row r="349" spans="9:13" x14ac:dyDescent="0.3">
      <c r="I349" s="82"/>
      <c r="M349" s="85"/>
    </row>
    <row r="350" spans="9:13" x14ac:dyDescent="0.3">
      <c r="I350" s="82"/>
      <c r="M350" s="85"/>
    </row>
    <row r="351" spans="9:13" x14ac:dyDescent="0.3">
      <c r="I351" s="82"/>
      <c r="M351" s="85"/>
    </row>
    <row r="352" spans="9:13" x14ac:dyDescent="0.3">
      <c r="I352" s="82"/>
      <c r="M352" s="85"/>
    </row>
    <row r="353" spans="9:13" x14ac:dyDescent="0.3">
      <c r="I353" s="82"/>
      <c r="M353" s="85"/>
    </row>
    <row r="354" spans="9:13" x14ac:dyDescent="0.3">
      <c r="I354" s="82"/>
      <c r="M354" s="85"/>
    </row>
    <row r="355" spans="9:13" x14ac:dyDescent="0.3">
      <c r="I355" s="82"/>
      <c r="M355" s="85"/>
    </row>
    <row r="356" spans="9:13" x14ac:dyDescent="0.3">
      <c r="I356" s="82"/>
      <c r="M356" s="85"/>
    </row>
    <row r="357" spans="9:13" x14ac:dyDescent="0.3">
      <c r="I357" s="82"/>
      <c r="M357" s="85"/>
    </row>
    <row r="358" spans="9:13" x14ac:dyDescent="0.3">
      <c r="I358" s="82"/>
      <c r="M358" s="85"/>
    </row>
    <row r="359" spans="9:13" x14ac:dyDescent="0.3">
      <c r="I359" s="82"/>
      <c r="M359" s="85"/>
    </row>
    <row r="360" spans="9:13" x14ac:dyDescent="0.3">
      <c r="I360" s="82"/>
      <c r="M360" s="85"/>
    </row>
    <row r="361" spans="9:13" x14ac:dyDescent="0.3">
      <c r="I361" s="82"/>
      <c r="M361" s="85"/>
    </row>
    <row r="362" spans="9:13" x14ac:dyDescent="0.3">
      <c r="I362" s="82"/>
      <c r="M362" s="85"/>
    </row>
    <row r="363" spans="9:13" x14ac:dyDescent="0.3">
      <c r="I363" s="82"/>
      <c r="M363" s="85"/>
    </row>
    <row r="364" spans="9:13" x14ac:dyDescent="0.3">
      <c r="I364" s="82"/>
      <c r="M364" s="85"/>
    </row>
    <row r="365" spans="9:13" x14ac:dyDescent="0.3">
      <c r="I365" s="82"/>
      <c r="M365" s="85"/>
    </row>
    <row r="366" spans="9:13" x14ac:dyDescent="0.3">
      <c r="I366" s="82"/>
      <c r="M366" s="85"/>
    </row>
    <row r="367" spans="9:13" x14ac:dyDescent="0.3">
      <c r="I367" s="82"/>
      <c r="M367" s="85"/>
    </row>
    <row r="368" spans="9:13" x14ac:dyDescent="0.3">
      <c r="I368" s="82"/>
      <c r="M368" s="85"/>
    </row>
    <row r="369" spans="9:13" x14ac:dyDescent="0.3">
      <c r="I369" s="82"/>
      <c r="M369" s="85"/>
    </row>
    <row r="370" spans="9:13" x14ac:dyDescent="0.3">
      <c r="I370" s="82"/>
      <c r="M370" s="85"/>
    </row>
    <row r="371" spans="9:13" x14ac:dyDescent="0.3">
      <c r="I371" s="82"/>
      <c r="M371" s="85"/>
    </row>
    <row r="372" spans="9:13" x14ac:dyDescent="0.3">
      <c r="I372" s="82"/>
      <c r="M372" s="85"/>
    </row>
    <row r="373" spans="9:13" x14ac:dyDescent="0.3">
      <c r="I373" s="82"/>
      <c r="M373" s="85"/>
    </row>
    <row r="374" spans="9:13" x14ac:dyDescent="0.3">
      <c r="I374" s="82"/>
      <c r="M374" s="85"/>
    </row>
    <row r="375" spans="9:13" x14ac:dyDescent="0.3">
      <c r="I375" s="82"/>
      <c r="M375" s="85"/>
    </row>
    <row r="376" spans="9:13" x14ac:dyDescent="0.3">
      <c r="I376" s="82"/>
      <c r="M376" s="85"/>
    </row>
    <row r="377" spans="9:13" x14ac:dyDescent="0.3">
      <c r="I377" s="82"/>
      <c r="M377" s="85"/>
    </row>
    <row r="378" spans="9:13" x14ac:dyDescent="0.3">
      <c r="I378" s="82"/>
      <c r="M378" s="85"/>
    </row>
    <row r="379" spans="9:13" x14ac:dyDescent="0.3">
      <c r="I379" s="82"/>
      <c r="M379" s="85"/>
    </row>
    <row r="380" spans="9:13" x14ac:dyDescent="0.3">
      <c r="I380" s="82"/>
      <c r="M380" s="85"/>
    </row>
    <row r="381" spans="9:13" x14ac:dyDescent="0.3">
      <c r="I381" s="82"/>
      <c r="M381" s="85"/>
    </row>
    <row r="382" spans="9:13" x14ac:dyDescent="0.3">
      <c r="I382" s="82"/>
      <c r="M382" s="85"/>
    </row>
    <row r="383" spans="9:13" x14ac:dyDescent="0.3">
      <c r="I383" s="82"/>
      <c r="M383" s="85"/>
    </row>
    <row r="384" spans="9:13" x14ac:dyDescent="0.3">
      <c r="I384" s="82"/>
      <c r="M384" s="85"/>
    </row>
    <row r="385" spans="9:13" x14ac:dyDescent="0.3">
      <c r="I385" s="82"/>
      <c r="M385" s="85"/>
    </row>
    <row r="386" spans="9:13" x14ac:dyDescent="0.3">
      <c r="I386" s="82"/>
      <c r="M386" s="85"/>
    </row>
    <row r="387" spans="9:13" x14ac:dyDescent="0.3">
      <c r="I387" s="82"/>
      <c r="M387" s="85"/>
    </row>
    <row r="388" spans="9:13" x14ac:dyDescent="0.3">
      <c r="I388" s="82"/>
      <c r="M388" s="85"/>
    </row>
    <row r="389" spans="9:13" x14ac:dyDescent="0.3">
      <c r="I389" s="82"/>
      <c r="M389" s="85"/>
    </row>
    <row r="390" spans="9:13" x14ac:dyDescent="0.3">
      <c r="I390" s="82"/>
      <c r="M390" s="85"/>
    </row>
    <row r="391" spans="9:13" x14ac:dyDescent="0.3">
      <c r="I391" s="82"/>
      <c r="M391" s="85"/>
    </row>
    <row r="392" spans="9:13" x14ac:dyDescent="0.3">
      <c r="I392" s="82"/>
      <c r="M392" s="85"/>
    </row>
    <row r="393" spans="9:13" x14ac:dyDescent="0.3">
      <c r="I393" s="82"/>
      <c r="M393" s="85"/>
    </row>
    <row r="394" spans="9:13" x14ac:dyDescent="0.3">
      <c r="I394" s="82"/>
      <c r="M394" s="85"/>
    </row>
    <row r="395" spans="9:13" x14ac:dyDescent="0.3">
      <c r="I395" s="82"/>
      <c r="M395" s="85"/>
    </row>
    <row r="396" spans="9:13" x14ac:dyDescent="0.3">
      <c r="I396" s="82"/>
      <c r="M396" s="85"/>
    </row>
    <row r="397" spans="9:13" x14ac:dyDescent="0.3">
      <c r="I397" s="82"/>
      <c r="M397" s="85"/>
    </row>
    <row r="398" spans="9:13" x14ac:dyDescent="0.3">
      <c r="I398" s="82"/>
      <c r="M398" s="85"/>
    </row>
    <row r="399" spans="9:13" x14ac:dyDescent="0.3">
      <c r="I399" s="82"/>
      <c r="M399" s="85"/>
    </row>
    <row r="400" spans="9:13" x14ac:dyDescent="0.3">
      <c r="I400" s="82"/>
      <c r="M400" s="85"/>
    </row>
    <row r="401" spans="9:13" x14ac:dyDescent="0.3">
      <c r="I401" s="82"/>
      <c r="M401" s="85"/>
    </row>
    <row r="402" spans="9:13" x14ac:dyDescent="0.3">
      <c r="I402" s="82"/>
      <c r="M402" s="85"/>
    </row>
    <row r="403" spans="9:13" x14ac:dyDescent="0.3">
      <c r="I403" s="82"/>
      <c r="M403" s="85"/>
    </row>
    <row r="404" spans="9:13" x14ac:dyDescent="0.3">
      <c r="I404" s="82"/>
      <c r="M404" s="85"/>
    </row>
    <row r="405" spans="9:13" x14ac:dyDescent="0.3">
      <c r="I405" s="82"/>
      <c r="M405" s="85"/>
    </row>
    <row r="406" spans="9:13" x14ac:dyDescent="0.3">
      <c r="I406" s="82"/>
      <c r="M406" s="85"/>
    </row>
    <row r="407" spans="9:13" x14ac:dyDescent="0.3">
      <c r="I407" s="82"/>
      <c r="M407" s="85"/>
    </row>
    <row r="408" spans="9:13" x14ac:dyDescent="0.3">
      <c r="I408" s="82"/>
      <c r="M408" s="85"/>
    </row>
    <row r="409" spans="9:13" x14ac:dyDescent="0.3">
      <c r="I409" s="82"/>
      <c r="M409" s="85"/>
    </row>
    <row r="410" spans="9:13" x14ac:dyDescent="0.3">
      <c r="I410" s="82"/>
      <c r="M410" s="85"/>
    </row>
    <row r="411" spans="9:13" x14ac:dyDescent="0.3">
      <c r="I411" s="82"/>
      <c r="M411" s="85"/>
    </row>
    <row r="412" spans="9:13" x14ac:dyDescent="0.3">
      <c r="I412" s="82"/>
      <c r="M412" s="85"/>
    </row>
    <row r="413" spans="9:13" x14ac:dyDescent="0.3">
      <c r="I413" s="82"/>
      <c r="M413" s="85"/>
    </row>
    <row r="414" spans="9:13" x14ac:dyDescent="0.3">
      <c r="I414" s="82"/>
      <c r="M414" s="85"/>
    </row>
    <row r="415" spans="9:13" x14ac:dyDescent="0.3">
      <c r="I415" s="82"/>
      <c r="M415" s="85"/>
    </row>
    <row r="416" spans="9:13" x14ac:dyDescent="0.3">
      <c r="I416" s="82"/>
      <c r="M416" s="85"/>
    </row>
    <row r="417" spans="9:13" x14ac:dyDescent="0.3">
      <c r="I417" s="82"/>
      <c r="M417" s="85"/>
    </row>
    <row r="418" spans="9:13" x14ac:dyDescent="0.3">
      <c r="I418" s="82"/>
      <c r="M418" s="85"/>
    </row>
    <row r="419" spans="9:13" x14ac:dyDescent="0.3">
      <c r="I419" s="82"/>
      <c r="M419" s="85"/>
    </row>
    <row r="420" spans="9:13" x14ac:dyDescent="0.3">
      <c r="I420" s="82"/>
      <c r="M420" s="85"/>
    </row>
    <row r="421" spans="9:13" x14ac:dyDescent="0.3">
      <c r="I421" s="82"/>
      <c r="M421" s="85"/>
    </row>
    <row r="422" spans="9:13" x14ac:dyDescent="0.3">
      <c r="I422" s="82"/>
      <c r="M422" s="85"/>
    </row>
    <row r="423" spans="9:13" x14ac:dyDescent="0.3">
      <c r="I423" s="82"/>
      <c r="M423" s="85"/>
    </row>
    <row r="424" spans="9:13" x14ac:dyDescent="0.3">
      <c r="I424" s="82"/>
      <c r="M424" s="85"/>
    </row>
    <row r="425" spans="9:13" x14ac:dyDescent="0.3">
      <c r="I425" s="82"/>
      <c r="M425" s="85"/>
    </row>
    <row r="426" spans="9:13" x14ac:dyDescent="0.3">
      <c r="I426" s="82"/>
      <c r="M426" s="85"/>
    </row>
    <row r="427" spans="9:13" x14ac:dyDescent="0.3">
      <c r="I427" s="82"/>
      <c r="M427" s="85"/>
    </row>
    <row r="428" spans="9:13" x14ac:dyDescent="0.3">
      <c r="I428" s="82"/>
      <c r="M428" s="85"/>
    </row>
    <row r="429" spans="9:13" x14ac:dyDescent="0.3">
      <c r="I429" s="82"/>
      <c r="M429" s="85"/>
    </row>
    <row r="430" spans="9:13" x14ac:dyDescent="0.3">
      <c r="I430" s="82"/>
      <c r="M430" s="85"/>
    </row>
    <row r="431" spans="9:13" x14ac:dyDescent="0.3">
      <c r="I431" s="82"/>
      <c r="M431" s="85"/>
    </row>
    <row r="432" spans="9:13" x14ac:dyDescent="0.3">
      <c r="I432" s="82"/>
      <c r="M432" s="85"/>
    </row>
    <row r="433" spans="9:13" x14ac:dyDescent="0.3">
      <c r="I433" s="82"/>
      <c r="M433" s="85"/>
    </row>
    <row r="434" spans="9:13" x14ac:dyDescent="0.3">
      <c r="I434" s="82"/>
      <c r="M434" s="85"/>
    </row>
    <row r="435" spans="9:13" x14ac:dyDescent="0.3">
      <c r="I435" s="82"/>
      <c r="M435" s="85"/>
    </row>
    <row r="436" spans="9:13" x14ac:dyDescent="0.3">
      <c r="I436" s="82"/>
      <c r="M436" s="85"/>
    </row>
    <row r="437" spans="9:13" x14ac:dyDescent="0.3">
      <c r="I437" s="82"/>
      <c r="M437" s="85"/>
    </row>
    <row r="438" spans="9:13" x14ac:dyDescent="0.3">
      <c r="I438" s="82"/>
      <c r="M438" s="85"/>
    </row>
    <row r="439" spans="9:13" x14ac:dyDescent="0.3">
      <c r="I439" s="82"/>
      <c r="M439" s="85"/>
    </row>
    <row r="440" spans="9:13" x14ac:dyDescent="0.3">
      <c r="I440" s="82"/>
      <c r="M440" s="85"/>
    </row>
    <row r="441" spans="9:13" x14ac:dyDescent="0.3">
      <c r="I441" s="82"/>
      <c r="M441" s="85"/>
    </row>
    <row r="442" spans="9:13" x14ac:dyDescent="0.3">
      <c r="I442" s="82"/>
      <c r="M442" s="85"/>
    </row>
    <row r="443" spans="9:13" x14ac:dyDescent="0.3">
      <c r="I443" s="82"/>
      <c r="M443" s="85"/>
    </row>
    <row r="444" spans="9:13" x14ac:dyDescent="0.3">
      <c r="I444" s="82"/>
      <c r="M444" s="85"/>
    </row>
    <row r="445" spans="9:13" x14ac:dyDescent="0.3">
      <c r="I445" s="82"/>
      <c r="M445" s="85"/>
    </row>
    <row r="446" spans="9:13" x14ac:dyDescent="0.3">
      <c r="I446" s="82"/>
      <c r="M446" s="85"/>
    </row>
    <row r="447" spans="9:13" x14ac:dyDescent="0.3">
      <c r="I447" s="82"/>
      <c r="M447" s="85"/>
    </row>
    <row r="448" spans="9:13" x14ac:dyDescent="0.3">
      <c r="I448" s="82"/>
      <c r="M448" s="85"/>
    </row>
    <row r="449" spans="9:13" x14ac:dyDescent="0.3">
      <c r="I449" s="82"/>
      <c r="M449" s="85"/>
    </row>
    <row r="450" spans="9:13" x14ac:dyDescent="0.3">
      <c r="I450" s="82"/>
      <c r="M450" s="85"/>
    </row>
    <row r="451" spans="9:13" x14ac:dyDescent="0.3">
      <c r="I451" s="82"/>
      <c r="M451" s="85"/>
    </row>
    <row r="452" spans="9:13" x14ac:dyDescent="0.3">
      <c r="I452" s="82"/>
      <c r="M452" s="85"/>
    </row>
    <row r="453" spans="9:13" x14ac:dyDescent="0.3">
      <c r="I453" s="82"/>
      <c r="M453" s="85"/>
    </row>
    <row r="454" spans="9:13" x14ac:dyDescent="0.3">
      <c r="I454" s="82"/>
      <c r="M454" s="85"/>
    </row>
    <row r="455" spans="9:13" x14ac:dyDescent="0.3">
      <c r="I455" s="82"/>
      <c r="M455" s="85"/>
    </row>
    <row r="456" spans="9:13" x14ac:dyDescent="0.3">
      <c r="I456" s="82"/>
      <c r="M456" s="85"/>
    </row>
    <row r="457" spans="9:13" x14ac:dyDescent="0.3">
      <c r="I457" s="82"/>
      <c r="M457" s="85"/>
    </row>
    <row r="458" spans="9:13" x14ac:dyDescent="0.3">
      <c r="I458" s="82"/>
      <c r="M458" s="85"/>
    </row>
    <row r="459" spans="9:13" x14ac:dyDescent="0.3">
      <c r="I459" s="82"/>
      <c r="M459" s="85"/>
    </row>
    <row r="460" spans="9:13" x14ac:dyDescent="0.3">
      <c r="I460" s="82"/>
      <c r="M460" s="85"/>
    </row>
    <row r="461" spans="9:13" x14ac:dyDescent="0.3">
      <c r="I461" s="82"/>
      <c r="M461" s="85"/>
    </row>
    <row r="462" spans="9:13" x14ac:dyDescent="0.3">
      <c r="I462" s="82"/>
      <c r="M462" s="85"/>
    </row>
    <row r="463" spans="9:13" x14ac:dyDescent="0.3">
      <c r="I463" s="82"/>
      <c r="M463" s="85"/>
    </row>
    <row r="464" spans="9:13" x14ac:dyDescent="0.3">
      <c r="I464" s="82"/>
      <c r="M464" s="85"/>
    </row>
    <row r="465" spans="9:13" x14ac:dyDescent="0.3">
      <c r="I465" s="82"/>
      <c r="M465" s="85"/>
    </row>
    <row r="466" spans="9:13" x14ac:dyDescent="0.3">
      <c r="I466" s="82"/>
      <c r="M466" s="85"/>
    </row>
    <row r="467" spans="9:13" x14ac:dyDescent="0.3">
      <c r="I467" s="82"/>
      <c r="M467" s="85"/>
    </row>
    <row r="468" spans="9:13" x14ac:dyDescent="0.3">
      <c r="I468" s="82"/>
      <c r="M468" s="85"/>
    </row>
    <row r="469" spans="9:13" x14ac:dyDescent="0.3">
      <c r="I469" s="82"/>
      <c r="M469" s="85"/>
    </row>
    <row r="470" spans="9:13" x14ac:dyDescent="0.3">
      <c r="I470" s="82"/>
      <c r="M470" s="85"/>
    </row>
    <row r="471" spans="9:13" x14ac:dyDescent="0.3">
      <c r="I471" s="82"/>
      <c r="M471" s="85"/>
    </row>
    <row r="472" spans="9:13" x14ac:dyDescent="0.3">
      <c r="I472" s="82"/>
      <c r="M472" s="85"/>
    </row>
    <row r="473" spans="9:13" x14ac:dyDescent="0.3">
      <c r="I473" s="82"/>
      <c r="M473" s="85"/>
    </row>
    <row r="474" spans="9:13" x14ac:dyDescent="0.3">
      <c r="I474" s="82"/>
      <c r="M474" s="85"/>
    </row>
    <row r="475" spans="9:13" x14ac:dyDescent="0.3">
      <c r="I475" s="82"/>
      <c r="M475" s="85"/>
    </row>
    <row r="476" spans="9:13" x14ac:dyDescent="0.3">
      <c r="I476" s="82"/>
      <c r="M476" s="85"/>
    </row>
    <row r="477" spans="9:13" x14ac:dyDescent="0.3">
      <c r="I477" s="82"/>
      <c r="M477" s="85"/>
    </row>
    <row r="478" spans="9:13" x14ac:dyDescent="0.3">
      <c r="I478" s="82"/>
      <c r="M478" s="85"/>
    </row>
    <row r="479" spans="9:13" x14ac:dyDescent="0.3">
      <c r="I479" s="82"/>
      <c r="M479" s="85"/>
    </row>
    <row r="480" spans="9:13" x14ac:dyDescent="0.3">
      <c r="I480" s="82"/>
      <c r="M480" s="85"/>
    </row>
    <row r="481" spans="9:13" x14ac:dyDescent="0.3">
      <c r="I481" s="82"/>
      <c r="M481" s="85"/>
    </row>
    <row r="482" spans="9:13" x14ac:dyDescent="0.3">
      <c r="I482" s="82"/>
      <c r="M482" s="85"/>
    </row>
    <row r="483" spans="9:13" x14ac:dyDescent="0.3">
      <c r="I483" s="82"/>
      <c r="M483" s="85"/>
    </row>
    <row r="484" spans="9:13" x14ac:dyDescent="0.3">
      <c r="I484" s="82"/>
      <c r="M484" s="85"/>
    </row>
    <row r="485" spans="9:13" x14ac:dyDescent="0.3">
      <c r="I485" s="82"/>
      <c r="M485" s="85"/>
    </row>
    <row r="486" spans="9:13" x14ac:dyDescent="0.3">
      <c r="I486" s="82"/>
      <c r="M486" s="85"/>
    </row>
    <row r="487" spans="9:13" x14ac:dyDescent="0.3">
      <c r="I487" s="82"/>
      <c r="M487" s="85"/>
    </row>
    <row r="488" spans="9:13" x14ac:dyDescent="0.3">
      <c r="I488" s="82"/>
      <c r="M488" s="85"/>
    </row>
    <row r="489" spans="9:13" x14ac:dyDescent="0.3">
      <c r="I489" s="82"/>
      <c r="M489" s="85"/>
    </row>
    <row r="490" spans="9:13" x14ac:dyDescent="0.3">
      <c r="I490" s="82"/>
      <c r="M490" s="85"/>
    </row>
    <row r="491" spans="9:13" x14ac:dyDescent="0.3">
      <c r="I491" s="82"/>
      <c r="M491" s="85"/>
    </row>
    <row r="492" spans="9:13" x14ac:dyDescent="0.3">
      <c r="I492" s="82"/>
      <c r="M492" s="85"/>
    </row>
    <row r="493" spans="9:13" x14ac:dyDescent="0.3">
      <c r="I493" s="82"/>
      <c r="M493" s="85"/>
    </row>
    <row r="494" spans="9:13" x14ac:dyDescent="0.3">
      <c r="I494" s="82"/>
      <c r="M494" s="85"/>
    </row>
    <row r="495" spans="9:13" x14ac:dyDescent="0.3">
      <c r="I495" s="82"/>
      <c r="M495" s="85"/>
    </row>
    <row r="496" spans="9:13" x14ac:dyDescent="0.3">
      <c r="I496" s="82"/>
      <c r="M496" s="85"/>
    </row>
    <row r="497" spans="9:13" x14ac:dyDescent="0.3">
      <c r="I497" s="82"/>
      <c r="M497" s="85"/>
    </row>
    <row r="498" spans="9:13" x14ac:dyDescent="0.3">
      <c r="I498" s="82"/>
      <c r="M498" s="85"/>
    </row>
    <row r="499" spans="9:13" x14ac:dyDescent="0.3">
      <c r="I499" s="82"/>
      <c r="M499" s="85"/>
    </row>
    <row r="500" spans="9:13" x14ac:dyDescent="0.3">
      <c r="I500" s="82"/>
      <c r="M500" s="85"/>
    </row>
    <row r="501" spans="9:13" x14ac:dyDescent="0.3">
      <c r="I501" s="82"/>
      <c r="M501" s="85"/>
    </row>
    <row r="502" spans="9:13" x14ac:dyDescent="0.3">
      <c r="I502" s="82"/>
      <c r="M502" s="85"/>
    </row>
    <row r="503" spans="9:13" x14ac:dyDescent="0.3">
      <c r="I503" s="82"/>
      <c r="M503" s="85"/>
    </row>
    <row r="504" spans="9:13" x14ac:dyDescent="0.3">
      <c r="I504" s="82"/>
      <c r="M504" s="85"/>
    </row>
    <row r="505" spans="9:13" x14ac:dyDescent="0.3">
      <c r="I505" s="82"/>
      <c r="M505" s="85"/>
    </row>
    <row r="506" spans="9:13" x14ac:dyDescent="0.3">
      <c r="I506" s="82"/>
      <c r="M506" s="85"/>
    </row>
    <row r="507" spans="9:13" x14ac:dyDescent="0.3">
      <c r="I507" s="82"/>
      <c r="M507" s="85"/>
    </row>
    <row r="508" spans="9:13" x14ac:dyDescent="0.3">
      <c r="I508" s="82"/>
      <c r="M508" s="85"/>
    </row>
    <row r="509" spans="9:13" x14ac:dyDescent="0.3">
      <c r="I509" s="82"/>
      <c r="M509" s="85"/>
    </row>
    <row r="510" spans="9:13" x14ac:dyDescent="0.3">
      <c r="I510" s="82"/>
      <c r="M510" s="85"/>
    </row>
    <row r="511" spans="9:13" x14ac:dyDescent="0.3">
      <c r="I511" s="82"/>
      <c r="M511" s="85"/>
    </row>
    <row r="512" spans="9:13" x14ac:dyDescent="0.3">
      <c r="I512" s="82"/>
      <c r="M512" s="85"/>
    </row>
    <row r="513" spans="9:13" x14ac:dyDescent="0.3">
      <c r="I513" s="82"/>
      <c r="M513" s="85"/>
    </row>
    <row r="514" spans="9:13" x14ac:dyDescent="0.3">
      <c r="I514" s="82"/>
      <c r="M514" s="85"/>
    </row>
    <row r="515" spans="9:13" x14ac:dyDescent="0.3">
      <c r="I515" s="82"/>
      <c r="M515" s="85"/>
    </row>
    <row r="516" spans="9:13" x14ac:dyDescent="0.3">
      <c r="I516" s="82"/>
      <c r="M516" s="85"/>
    </row>
    <row r="517" spans="9:13" x14ac:dyDescent="0.3">
      <c r="I517" s="82"/>
      <c r="M517" s="85"/>
    </row>
    <row r="518" spans="9:13" x14ac:dyDescent="0.3">
      <c r="I518" s="82"/>
      <c r="M518" s="85"/>
    </row>
    <row r="519" spans="9:13" x14ac:dyDescent="0.3">
      <c r="I519" s="82"/>
      <c r="M519" s="85"/>
    </row>
    <row r="520" spans="9:13" x14ac:dyDescent="0.3">
      <c r="I520" s="82"/>
      <c r="M520" s="85"/>
    </row>
    <row r="521" spans="9:13" x14ac:dyDescent="0.3">
      <c r="I521" s="82"/>
      <c r="M521" s="85"/>
    </row>
    <row r="522" spans="9:13" x14ac:dyDescent="0.3">
      <c r="I522" s="82"/>
      <c r="M522" s="85"/>
    </row>
    <row r="523" spans="9:13" x14ac:dyDescent="0.3">
      <c r="I523" s="82"/>
      <c r="M523" s="85"/>
    </row>
    <row r="524" spans="9:13" x14ac:dyDescent="0.3">
      <c r="I524" s="82"/>
      <c r="M524" s="85"/>
    </row>
    <row r="525" spans="9:13" x14ac:dyDescent="0.3">
      <c r="I525" s="82"/>
      <c r="M525" s="85"/>
    </row>
    <row r="526" spans="9:13" x14ac:dyDescent="0.3">
      <c r="I526" s="82"/>
      <c r="M526" s="85"/>
    </row>
    <row r="527" spans="9:13" x14ac:dyDescent="0.3">
      <c r="I527" s="82"/>
      <c r="M527" s="85"/>
    </row>
    <row r="528" spans="9:13" x14ac:dyDescent="0.3">
      <c r="I528" s="82"/>
      <c r="M528" s="85"/>
    </row>
    <row r="529" spans="9:13" x14ac:dyDescent="0.3">
      <c r="I529" s="82"/>
      <c r="M529" s="85"/>
    </row>
    <row r="530" spans="9:13" x14ac:dyDescent="0.3">
      <c r="I530" s="82"/>
      <c r="M530" s="85"/>
    </row>
    <row r="531" spans="9:13" x14ac:dyDescent="0.3">
      <c r="I531" s="82"/>
      <c r="M531" s="85"/>
    </row>
    <row r="532" spans="9:13" x14ac:dyDescent="0.3">
      <c r="I532" s="82"/>
      <c r="M532" s="85"/>
    </row>
    <row r="533" spans="9:13" x14ac:dyDescent="0.3">
      <c r="I533" s="82"/>
      <c r="M533" s="85"/>
    </row>
    <row r="534" spans="9:13" x14ac:dyDescent="0.3">
      <c r="I534" s="82"/>
      <c r="M534" s="85"/>
    </row>
    <row r="535" spans="9:13" x14ac:dyDescent="0.3">
      <c r="I535" s="82"/>
      <c r="M535" s="85"/>
    </row>
    <row r="536" spans="9:13" x14ac:dyDescent="0.3">
      <c r="I536" s="82"/>
      <c r="M536" s="85"/>
    </row>
    <row r="537" spans="9:13" x14ac:dyDescent="0.3">
      <c r="I537" s="82"/>
      <c r="M537" s="85"/>
    </row>
    <row r="538" spans="9:13" x14ac:dyDescent="0.3">
      <c r="I538" s="82"/>
      <c r="M538" s="85"/>
    </row>
    <row r="539" spans="9:13" x14ac:dyDescent="0.3">
      <c r="I539" s="82"/>
      <c r="M539" s="85"/>
    </row>
    <row r="540" spans="9:13" x14ac:dyDescent="0.3">
      <c r="I540" s="82"/>
      <c r="M540" s="85"/>
    </row>
    <row r="541" spans="9:13" x14ac:dyDescent="0.3">
      <c r="I541" s="82"/>
      <c r="M541" s="85"/>
    </row>
    <row r="542" spans="9:13" x14ac:dyDescent="0.3">
      <c r="I542" s="82"/>
      <c r="M542" s="85"/>
    </row>
    <row r="543" spans="9:13" x14ac:dyDescent="0.3">
      <c r="I543" s="82"/>
      <c r="M543" s="85"/>
    </row>
    <row r="544" spans="9:13" x14ac:dyDescent="0.3">
      <c r="I544" s="82"/>
      <c r="M544" s="85"/>
    </row>
    <row r="545" spans="9:13" x14ac:dyDescent="0.3">
      <c r="I545" s="82"/>
      <c r="M545" s="85"/>
    </row>
    <row r="546" spans="9:13" x14ac:dyDescent="0.3">
      <c r="I546" s="82"/>
      <c r="M546" s="85"/>
    </row>
    <row r="547" spans="9:13" x14ac:dyDescent="0.3">
      <c r="I547" s="82"/>
      <c r="M547" s="85"/>
    </row>
    <row r="548" spans="9:13" x14ac:dyDescent="0.3">
      <c r="I548" s="82"/>
      <c r="M548" s="85"/>
    </row>
    <row r="549" spans="9:13" x14ac:dyDescent="0.3">
      <c r="I549" s="82"/>
      <c r="M549" s="85"/>
    </row>
    <row r="550" spans="9:13" x14ac:dyDescent="0.3">
      <c r="I550" s="82"/>
      <c r="M550" s="85"/>
    </row>
    <row r="551" spans="9:13" x14ac:dyDescent="0.3">
      <c r="I551" s="82"/>
      <c r="M551" s="85"/>
    </row>
    <row r="552" spans="9:13" x14ac:dyDescent="0.3">
      <c r="I552" s="82"/>
      <c r="M552" s="85"/>
    </row>
    <row r="553" spans="9:13" x14ac:dyDescent="0.3">
      <c r="I553" s="82"/>
      <c r="M553" s="85"/>
    </row>
    <row r="554" spans="9:13" x14ac:dyDescent="0.3">
      <c r="I554" s="82"/>
      <c r="M554" s="85"/>
    </row>
    <row r="555" spans="9:13" x14ac:dyDescent="0.3">
      <c r="I555" s="82"/>
      <c r="M555" s="85"/>
    </row>
    <row r="556" spans="9:13" x14ac:dyDescent="0.3">
      <c r="I556" s="82"/>
      <c r="M556" s="85"/>
    </row>
    <row r="557" spans="9:13" x14ac:dyDescent="0.3">
      <c r="I557" s="82"/>
      <c r="M557" s="85"/>
    </row>
    <row r="558" spans="9:13" x14ac:dyDescent="0.3">
      <c r="I558" s="82"/>
      <c r="M558" s="85"/>
    </row>
    <row r="559" spans="9:13" x14ac:dyDescent="0.3">
      <c r="I559" s="82"/>
      <c r="M559" s="85"/>
    </row>
    <row r="560" spans="9:13" x14ac:dyDescent="0.3">
      <c r="I560" s="82"/>
      <c r="M560" s="85"/>
    </row>
    <row r="561" spans="9:13" x14ac:dyDescent="0.3">
      <c r="I561" s="82"/>
      <c r="M561" s="85"/>
    </row>
    <row r="562" spans="9:13" x14ac:dyDescent="0.3">
      <c r="I562" s="82"/>
      <c r="M562" s="85"/>
    </row>
    <row r="563" spans="9:13" x14ac:dyDescent="0.3">
      <c r="I563" s="82"/>
      <c r="M563" s="85"/>
    </row>
    <row r="564" spans="9:13" x14ac:dyDescent="0.3">
      <c r="I564" s="82"/>
      <c r="M564" s="85"/>
    </row>
    <row r="565" spans="9:13" x14ac:dyDescent="0.3">
      <c r="I565" s="82"/>
      <c r="M565" s="85"/>
    </row>
    <row r="566" spans="9:13" x14ac:dyDescent="0.3">
      <c r="I566" s="82"/>
      <c r="M566" s="85"/>
    </row>
    <row r="567" spans="9:13" x14ac:dyDescent="0.3">
      <c r="I567" s="82"/>
      <c r="M567" s="85"/>
    </row>
    <row r="568" spans="9:13" x14ac:dyDescent="0.3">
      <c r="I568" s="82"/>
      <c r="M568" s="85"/>
    </row>
    <row r="569" spans="9:13" x14ac:dyDescent="0.3">
      <c r="I569" s="82"/>
      <c r="M569" s="85"/>
    </row>
    <row r="570" spans="9:13" x14ac:dyDescent="0.3">
      <c r="I570" s="82"/>
      <c r="M570" s="85"/>
    </row>
    <row r="571" spans="9:13" x14ac:dyDescent="0.3">
      <c r="I571" s="82"/>
      <c r="M571" s="85"/>
    </row>
    <row r="572" spans="9:13" x14ac:dyDescent="0.3">
      <c r="I572" s="82"/>
      <c r="M572" s="85"/>
    </row>
    <row r="573" spans="9:13" x14ac:dyDescent="0.3">
      <c r="I573" s="82"/>
      <c r="M573" s="85"/>
    </row>
    <row r="574" spans="9:13" x14ac:dyDescent="0.3">
      <c r="I574" s="82"/>
      <c r="M574" s="85"/>
    </row>
    <row r="575" spans="9:13" x14ac:dyDescent="0.3">
      <c r="I575" s="82"/>
      <c r="M575" s="85"/>
    </row>
    <row r="576" spans="9:13" x14ac:dyDescent="0.3">
      <c r="I576" s="82"/>
      <c r="M576" s="85"/>
    </row>
    <row r="577" spans="9:13" x14ac:dyDescent="0.3">
      <c r="I577" s="82"/>
      <c r="M577" s="85"/>
    </row>
    <row r="578" spans="9:13" x14ac:dyDescent="0.3">
      <c r="I578" s="82"/>
      <c r="M578" s="85"/>
    </row>
    <row r="579" spans="9:13" x14ac:dyDescent="0.3">
      <c r="I579" s="82"/>
      <c r="M579" s="85"/>
    </row>
    <row r="580" spans="9:13" x14ac:dyDescent="0.3">
      <c r="I580" s="82"/>
      <c r="M580" s="85"/>
    </row>
    <row r="581" spans="9:13" x14ac:dyDescent="0.3">
      <c r="I581" s="82"/>
      <c r="M581" s="85"/>
    </row>
    <row r="582" spans="9:13" x14ac:dyDescent="0.3">
      <c r="I582" s="82"/>
      <c r="M582" s="85"/>
    </row>
    <row r="583" spans="9:13" x14ac:dyDescent="0.3">
      <c r="I583" s="82"/>
      <c r="M583" s="85"/>
    </row>
    <row r="584" spans="9:13" x14ac:dyDescent="0.3">
      <c r="I584" s="82"/>
      <c r="M584" s="85"/>
    </row>
    <row r="585" spans="9:13" x14ac:dyDescent="0.3">
      <c r="I585" s="82"/>
      <c r="M585" s="85"/>
    </row>
    <row r="586" spans="9:13" x14ac:dyDescent="0.3">
      <c r="I586" s="82"/>
      <c r="M586" s="85"/>
    </row>
    <row r="587" spans="9:13" x14ac:dyDescent="0.3">
      <c r="I587" s="82"/>
      <c r="M587" s="85"/>
    </row>
    <row r="588" spans="9:13" x14ac:dyDescent="0.3">
      <c r="I588" s="82"/>
      <c r="M588" s="85"/>
    </row>
    <row r="589" spans="9:13" x14ac:dyDescent="0.3">
      <c r="I589" s="82"/>
      <c r="M589" s="85"/>
    </row>
    <row r="590" spans="9:13" x14ac:dyDescent="0.3">
      <c r="I590" s="82"/>
      <c r="M590" s="85"/>
    </row>
    <row r="591" spans="9:13" x14ac:dyDescent="0.3">
      <c r="I591" s="82"/>
      <c r="M591" s="85"/>
    </row>
    <row r="592" spans="9:13" x14ac:dyDescent="0.3">
      <c r="I592" s="82"/>
      <c r="M592" s="85"/>
    </row>
    <row r="593" spans="9:13" x14ac:dyDescent="0.3">
      <c r="I593" s="82"/>
      <c r="M593" s="85"/>
    </row>
    <row r="594" spans="9:13" x14ac:dyDescent="0.3">
      <c r="I594" s="82"/>
      <c r="M594" s="85"/>
    </row>
    <row r="595" spans="9:13" x14ac:dyDescent="0.3">
      <c r="I595" s="82"/>
      <c r="M595" s="85"/>
    </row>
    <row r="596" spans="9:13" x14ac:dyDescent="0.3">
      <c r="I596" s="82"/>
      <c r="M596" s="85"/>
    </row>
    <row r="597" spans="9:13" x14ac:dyDescent="0.3">
      <c r="I597" s="82"/>
      <c r="M597" s="85"/>
    </row>
    <row r="598" spans="9:13" x14ac:dyDescent="0.3">
      <c r="I598" s="82"/>
      <c r="M598" s="85"/>
    </row>
    <row r="599" spans="9:13" x14ac:dyDescent="0.3">
      <c r="I599" s="82"/>
      <c r="M599" s="85"/>
    </row>
    <row r="600" spans="9:13" x14ac:dyDescent="0.3">
      <c r="I600" s="82"/>
      <c r="M600" s="85"/>
    </row>
    <row r="601" spans="9:13" x14ac:dyDescent="0.3">
      <c r="I601" s="82"/>
      <c r="M601" s="85"/>
    </row>
    <row r="602" spans="9:13" x14ac:dyDescent="0.3">
      <c r="I602" s="82"/>
      <c r="M602" s="85"/>
    </row>
    <row r="603" spans="9:13" x14ac:dyDescent="0.3">
      <c r="I603" s="82"/>
      <c r="M603" s="85"/>
    </row>
    <row r="604" spans="9:13" x14ac:dyDescent="0.3">
      <c r="I604" s="82"/>
      <c r="M604" s="85"/>
    </row>
    <row r="605" spans="9:13" x14ac:dyDescent="0.3">
      <c r="I605" s="82"/>
      <c r="M605" s="85"/>
    </row>
    <row r="606" spans="9:13" x14ac:dyDescent="0.3">
      <c r="I606" s="82"/>
      <c r="M606" s="85"/>
    </row>
    <row r="607" spans="9:13" x14ac:dyDescent="0.3">
      <c r="I607" s="82"/>
      <c r="M607" s="85"/>
    </row>
    <row r="608" spans="9:13" x14ac:dyDescent="0.3">
      <c r="I608" s="82"/>
      <c r="M608" s="85"/>
    </row>
    <row r="609" spans="9:13" x14ac:dyDescent="0.3">
      <c r="I609" s="82"/>
      <c r="M609" s="85"/>
    </row>
    <row r="610" spans="9:13" x14ac:dyDescent="0.3">
      <c r="I610" s="82"/>
      <c r="M610" s="85"/>
    </row>
    <row r="611" spans="9:13" x14ac:dyDescent="0.3">
      <c r="I611" s="82"/>
      <c r="M611" s="85"/>
    </row>
    <row r="612" spans="9:13" x14ac:dyDescent="0.3">
      <c r="I612" s="82"/>
      <c r="M612" s="85"/>
    </row>
    <row r="613" spans="9:13" x14ac:dyDescent="0.3">
      <c r="I613" s="82"/>
      <c r="M613" s="85"/>
    </row>
    <row r="614" spans="9:13" x14ac:dyDescent="0.3">
      <c r="I614" s="82"/>
      <c r="M614" s="85"/>
    </row>
    <row r="615" spans="9:13" x14ac:dyDescent="0.3">
      <c r="I615" s="82"/>
      <c r="M615" s="85"/>
    </row>
    <row r="616" spans="9:13" x14ac:dyDescent="0.3">
      <c r="I616" s="82"/>
      <c r="M616" s="85"/>
    </row>
    <row r="617" spans="9:13" x14ac:dyDescent="0.3">
      <c r="I617" s="82"/>
      <c r="M617" s="85"/>
    </row>
    <row r="618" spans="9:13" x14ac:dyDescent="0.3">
      <c r="I618" s="82"/>
      <c r="M618" s="85"/>
    </row>
    <row r="619" spans="9:13" x14ac:dyDescent="0.3">
      <c r="I619" s="82"/>
      <c r="M619" s="85"/>
    </row>
    <row r="620" spans="9:13" x14ac:dyDescent="0.3">
      <c r="I620" s="82"/>
      <c r="M620" s="85"/>
    </row>
    <row r="621" spans="9:13" x14ac:dyDescent="0.3">
      <c r="I621" s="82"/>
      <c r="M621" s="85"/>
    </row>
    <row r="622" spans="9:13" x14ac:dyDescent="0.3">
      <c r="I622" s="82"/>
      <c r="M622" s="85"/>
    </row>
    <row r="623" spans="9:13" x14ac:dyDescent="0.3">
      <c r="I623" s="82"/>
      <c r="M623" s="85"/>
    </row>
    <row r="624" spans="9:13" x14ac:dyDescent="0.3">
      <c r="I624" s="82"/>
      <c r="M624" s="85"/>
    </row>
    <row r="625" spans="9:13" x14ac:dyDescent="0.3">
      <c r="I625" s="82"/>
      <c r="M625" s="85"/>
    </row>
    <row r="626" spans="9:13" x14ac:dyDescent="0.3">
      <c r="I626" s="82"/>
      <c r="M626" s="85"/>
    </row>
    <row r="627" spans="9:13" x14ac:dyDescent="0.3">
      <c r="I627" s="82"/>
      <c r="M627" s="85"/>
    </row>
    <row r="628" spans="9:13" x14ac:dyDescent="0.3">
      <c r="I628" s="82"/>
      <c r="M628" s="85"/>
    </row>
    <row r="629" spans="9:13" x14ac:dyDescent="0.3">
      <c r="I629" s="82"/>
      <c r="M629" s="85"/>
    </row>
    <row r="630" spans="9:13" x14ac:dyDescent="0.3">
      <c r="I630" s="82"/>
      <c r="M630" s="85"/>
    </row>
    <row r="631" spans="9:13" x14ac:dyDescent="0.3">
      <c r="I631" s="82"/>
      <c r="M631" s="85"/>
    </row>
    <row r="632" spans="9:13" x14ac:dyDescent="0.3">
      <c r="I632" s="82"/>
      <c r="M632" s="85"/>
    </row>
    <row r="633" spans="9:13" x14ac:dyDescent="0.3">
      <c r="I633" s="82"/>
      <c r="M633" s="85"/>
    </row>
    <row r="634" spans="9:13" x14ac:dyDescent="0.3">
      <c r="I634" s="82"/>
      <c r="M634" s="85"/>
    </row>
    <row r="635" spans="9:13" x14ac:dyDescent="0.3">
      <c r="I635" s="82"/>
      <c r="M635" s="85"/>
    </row>
    <row r="636" spans="9:13" x14ac:dyDescent="0.3">
      <c r="I636" s="82"/>
      <c r="M636" s="85"/>
    </row>
    <row r="637" spans="9:13" x14ac:dyDescent="0.3">
      <c r="I637" s="82"/>
      <c r="M637" s="85"/>
    </row>
    <row r="638" spans="9:13" x14ac:dyDescent="0.3">
      <c r="I638" s="82"/>
      <c r="M638" s="85"/>
    </row>
    <row r="639" spans="9:13" x14ac:dyDescent="0.3">
      <c r="I639" s="82"/>
      <c r="M639" s="85"/>
    </row>
    <row r="640" spans="9:13" x14ac:dyDescent="0.3">
      <c r="I640" s="82"/>
      <c r="M640" s="85"/>
    </row>
    <row r="641" spans="9:13" x14ac:dyDescent="0.3">
      <c r="I641" s="82"/>
      <c r="M641" s="85"/>
    </row>
    <row r="642" spans="9:13" x14ac:dyDescent="0.3">
      <c r="I642" s="82"/>
      <c r="M642" s="85"/>
    </row>
    <row r="643" spans="9:13" x14ac:dyDescent="0.3">
      <c r="I643" s="82"/>
      <c r="M643" s="85"/>
    </row>
    <row r="644" spans="9:13" x14ac:dyDescent="0.3">
      <c r="I644" s="82"/>
      <c r="M644" s="85"/>
    </row>
    <row r="645" spans="9:13" x14ac:dyDescent="0.3">
      <c r="I645" s="82"/>
      <c r="M645" s="85"/>
    </row>
    <row r="646" spans="9:13" x14ac:dyDescent="0.3">
      <c r="I646" s="82"/>
      <c r="M646" s="85"/>
    </row>
    <row r="647" spans="9:13" x14ac:dyDescent="0.3">
      <c r="I647" s="82"/>
      <c r="M647" s="85"/>
    </row>
    <row r="648" spans="9:13" x14ac:dyDescent="0.3">
      <c r="I648" s="82"/>
      <c r="M648" s="85"/>
    </row>
    <row r="649" spans="9:13" x14ac:dyDescent="0.3">
      <c r="I649" s="82"/>
      <c r="M649" s="85"/>
    </row>
    <row r="650" spans="9:13" x14ac:dyDescent="0.3">
      <c r="I650" s="82"/>
      <c r="M650" s="85"/>
    </row>
    <row r="651" spans="9:13" x14ac:dyDescent="0.3">
      <c r="I651" s="82"/>
      <c r="M651" s="85"/>
    </row>
    <row r="652" spans="9:13" x14ac:dyDescent="0.3">
      <c r="I652" s="82"/>
      <c r="M652" s="85"/>
    </row>
    <row r="653" spans="9:13" x14ac:dyDescent="0.3">
      <c r="I653" s="82"/>
      <c r="M653" s="85"/>
    </row>
    <row r="654" spans="9:13" x14ac:dyDescent="0.3">
      <c r="I654" s="82"/>
      <c r="M654" s="85"/>
    </row>
    <row r="655" spans="9:13" x14ac:dyDescent="0.3">
      <c r="I655" s="82"/>
      <c r="M655" s="85"/>
    </row>
    <row r="656" spans="9:13" x14ac:dyDescent="0.3">
      <c r="I656" s="82"/>
      <c r="M656" s="85"/>
    </row>
    <row r="657" spans="9:13" x14ac:dyDescent="0.3">
      <c r="I657" s="82"/>
      <c r="M657" s="85"/>
    </row>
    <row r="658" spans="9:13" x14ac:dyDescent="0.3">
      <c r="I658" s="82"/>
      <c r="M658" s="85"/>
    </row>
    <row r="659" spans="9:13" x14ac:dyDescent="0.3">
      <c r="I659" s="82"/>
      <c r="M659" s="85"/>
    </row>
    <row r="660" spans="9:13" x14ac:dyDescent="0.3">
      <c r="I660" s="82"/>
      <c r="M660" s="85"/>
    </row>
    <row r="661" spans="9:13" x14ac:dyDescent="0.3">
      <c r="I661" s="82"/>
      <c r="M661" s="85"/>
    </row>
    <row r="662" spans="9:13" x14ac:dyDescent="0.3">
      <c r="I662" s="82"/>
      <c r="M662" s="85"/>
    </row>
    <row r="663" spans="9:13" x14ac:dyDescent="0.3">
      <c r="I663" s="82"/>
      <c r="M663" s="85"/>
    </row>
    <row r="664" spans="9:13" x14ac:dyDescent="0.3">
      <c r="I664" s="82"/>
      <c r="M664" s="85"/>
    </row>
    <row r="665" spans="9:13" x14ac:dyDescent="0.3">
      <c r="I665" s="82"/>
      <c r="M665" s="85"/>
    </row>
    <row r="666" spans="9:13" x14ac:dyDescent="0.3">
      <c r="I666" s="82"/>
      <c r="M666" s="85"/>
    </row>
    <row r="667" spans="9:13" x14ac:dyDescent="0.3">
      <c r="I667" s="82"/>
      <c r="M667" s="85"/>
    </row>
    <row r="668" spans="9:13" x14ac:dyDescent="0.3">
      <c r="I668" s="82"/>
      <c r="M668" s="85"/>
    </row>
    <row r="669" spans="9:13" x14ac:dyDescent="0.3">
      <c r="I669" s="82"/>
      <c r="M669" s="85"/>
    </row>
    <row r="670" spans="9:13" x14ac:dyDescent="0.3">
      <c r="I670" s="82"/>
      <c r="M670" s="85"/>
    </row>
    <row r="671" spans="9:13" x14ac:dyDescent="0.3">
      <c r="I671" s="82"/>
      <c r="M671" s="85"/>
    </row>
    <row r="672" spans="9:13" x14ac:dyDescent="0.3">
      <c r="I672" s="82"/>
      <c r="M672" s="85"/>
    </row>
    <row r="673" spans="9:13" x14ac:dyDescent="0.3">
      <c r="I673" s="82"/>
      <c r="M673" s="85"/>
    </row>
    <row r="674" spans="9:13" x14ac:dyDescent="0.3">
      <c r="I674" s="82"/>
      <c r="M674" s="85"/>
    </row>
    <row r="675" spans="9:13" x14ac:dyDescent="0.3">
      <c r="I675" s="82"/>
      <c r="M675" s="85"/>
    </row>
    <row r="676" spans="9:13" x14ac:dyDescent="0.3">
      <c r="I676" s="82"/>
      <c r="M676" s="85"/>
    </row>
    <row r="677" spans="9:13" x14ac:dyDescent="0.3">
      <c r="I677" s="82"/>
      <c r="M677" s="85"/>
    </row>
    <row r="678" spans="9:13" x14ac:dyDescent="0.3">
      <c r="I678" s="82"/>
      <c r="M678" s="85"/>
    </row>
    <row r="679" spans="9:13" x14ac:dyDescent="0.3">
      <c r="I679" s="82"/>
      <c r="M679" s="85"/>
    </row>
    <row r="680" spans="9:13" x14ac:dyDescent="0.3">
      <c r="I680" s="82"/>
      <c r="M680" s="85"/>
    </row>
    <row r="681" spans="9:13" x14ac:dyDescent="0.3">
      <c r="I681" s="82"/>
      <c r="M681" s="85"/>
    </row>
    <row r="682" spans="9:13" x14ac:dyDescent="0.3">
      <c r="I682" s="82"/>
      <c r="M682" s="85"/>
    </row>
    <row r="683" spans="9:13" x14ac:dyDescent="0.3">
      <c r="I683" s="82"/>
      <c r="M683" s="85"/>
    </row>
    <row r="684" spans="9:13" x14ac:dyDescent="0.3">
      <c r="I684" s="82"/>
      <c r="M684" s="85"/>
    </row>
    <row r="685" spans="9:13" x14ac:dyDescent="0.3">
      <c r="I685" s="82"/>
      <c r="M685" s="85"/>
    </row>
    <row r="686" spans="9:13" x14ac:dyDescent="0.3">
      <c r="I686" s="82"/>
      <c r="M686" s="85"/>
    </row>
    <row r="687" spans="9:13" x14ac:dyDescent="0.3">
      <c r="I687" s="82"/>
      <c r="M687" s="85"/>
    </row>
    <row r="688" spans="9:13" x14ac:dyDescent="0.3">
      <c r="I688" s="82"/>
      <c r="M688" s="85"/>
    </row>
    <row r="689" spans="9:13" x14ac:dyDescent="0.3">
      <c r="I689" s="82"/>
      <c r="M689" s="85"/>
    </row>
    <row r="690" spans="9:13" x14ac:dyDescent="0.3">
      <c r="I690" s="82"/>
      <c r="M690" s="85"/>
    </row>
    <row r="691" spans="9:13" x14ac:dyDescent="0.3">
      <c r="I691" s="82"/>
      <c r="M691" s="85"/>
    </row>
    <row r="692" spans="9:13" x14ac:dyDescent="0.3">
      <c r="I692" s="82"/>
      <c r="M692" s="85"/>
    </row>
    <row r="693" spans="9:13" x14ac:dyDescent="0.3">
      <c r="I693" s="82"/>
      <c r="M693" s="85"/>
    </row>
    <row r="694" spans="9:13" x14ac:dyDescent="0.3">
      <c r="I694" s="82"/>
      <c r="M694" s="85"/>
    </row>
    <row r="695" spans="9:13" x14ac:dyDescent="0.3">
      <c r="I695" s="82"/>
      <c r="M695" s="85"/>
    </row>
    <row r="696" spans="9:13" x14ac:dyDescent="0.3">
      <c r="I696" s="82"/>
      <c r="M696" s="85"/>
    </row>
    <row r="697" spans="9:13" x14ac:dyDescent="0.3">
      <c r="I697" s="82"/>
      <c r="M697" s="85"/>
    </row>
    <row r="698" spans="9:13" x14ac:dyDescent="0.3">
      <c r="I698" s="82"/>
      <c r="M698" s="85"/>
    </row>
    <row r="699" spans="9:13" x14ac:dyDescent="0.3">
      <c r="I699" s="82"/>
      <c r="M699" s="85"/>
    </row>
    <row r="700" spans="9:13" x14ac:dyDescent="0.3">
      <c r="I700" s="82"/>
      <c r="M700" s="85"/>
    </row>
    <row r="701" spans="9:13" x14ac:dyDescent="0.3">
      <c r="I701" s="82"/>
      <c r="M701" s="85"/>
    </row>
    <row r="702" spans="9:13" x14ac:dyDescent="0.3">
      <c r="I702" s="82"/>
      <c r="M702" s="85"/>
    </row>
    <row r="703" spans="9:13" x14ac:dyDescent="0.3">
      <c r="I703" s="82"/>
      <c r="M703" s="85"/>
    </row>
    <row r="704" spans="9:13" x14ac:dyDescent="0.3">
      <c r="I704" s="82"/>
      <c r="M704" s="85"/>
    </row>
    <row r="705" spans="9:13" x14ac:dyDescent="0.3">
      <c r="I705" s="82"/>
      <c r="M705" s="85"/>
    </row>
    <row r="706" spans="9:13" x14ac:dyDescent="0.3">
      <c r="I706" s="82"/>
      <c r="M706" s="85"/>
    </row>
    <row r="707" spans="9:13" x14ac:dyDescent="0.3">
      <c r="I707" s="82"/>
      <c r="M707" s="85"/>
    </row>
    <row r="708" spans="9:13" x14ac:dyDescent="0.3">
      <c r="I708" s="82"/>
      <c r="M708" s="85"/>
    </row>
    <row r="709" spans="9:13" x14ac:dyDescent="0.3">
      <c r="I709" s="82"/>
      <c r="M709" s="85"/>
    </row>
    <row r="710" spans="9:13" x14ac:dyDescent="0.3">
      <c r="I710" s="82"/>
      <c r="M710" s="85"/>
    </row>
    <row r="711" spans="9:13" x14ac:dyDescent="0.3">
      <c r="I711" s="82"/>
      <c r="M711" s="85"/>
    </row>
    <row r="712" spans="9:13" x14ac:dyDescent="0.3">
      <c r="I712" s="82"/>
      <c r="M712" s="85"/>
    </row>
    <row r="713" spans="9:13" x14ac:dyDescent="0.3">
      <c r="I713" s="82"/>
      <c r="M713" s="85"/>
    </row>
    <row r="714" spans="9:13" x14ac:dyDescent="0.3">
      <c r="I714" s="82"/>
      <c r="M714" s="85"/>
    </row>
    <row r="715" spans="9:13" x14ac:dyDescent="0.3">
      <c r="I715" s="82"/>
      <c r="M715" s="85"/>
    </row>
    <row r="716" spans="9:13" x14ac:dyDescent="0.3">
      <c r="I716" s="82"/>
      <c r="M716" s="85"/>
    </row>
    <row r="717" spans="9:13" x14ac:dyDescent="0.3">
      <c r="I717" s="82"/>
      <c r="M717" s="85"/>
    </row>
    <row r="718" spans="9:13" x14ac:dyDescent="0.3">
      <c r="I718" s="82"/>
      <c r="M718" s="85"/>
    </row>
    <row r="719" spans="9:13" x14ac:dyDescent="0.3">
      <c r="I719" s="82"/>
      <c r="M719" s="85"/>
    </row>
    <row r="720" spans="9:13" x14ac:dyDescent="0.3">
      <c r="I720" s="82"/>
      <c r="M720" s="85"/>
    </row>
    <row r="721" spans="9:13" x14ac:dyDescent="0.3">
      <c r="I721" s="82"/>
      <c r="M721" s="85"/>
    </row>
    <row r="722" spans="9:13" x14ac:dyDescent="0.3">
      <c r="I722" s="82"/>
      <c r="M722" s="85"/>
    </row>
    <row r="723" spans="9:13" x14ac:dyDescent="0.3">
      <c r="I723" s="82"/>
      <c r="M723" s="85"/>
    </row>
    <row r="724" spans="9:13" x14ac:dyDescent="0.3">
      <c r="I724" s="82"/>
      <c r="M724" s="85"/>
    </row>
    <row r="725" spans="9:13" x14ac:dyDescent="0.3">
      <c r="I725" s="82"/>
      <c r="M725" s="85"/>
    </row>
    <row r="726" spans="9:13" x14ac:dyDescent="0.3">
      <c r="I726" s="82"/>
      <c r="M726" s="85"/>
    </row>
    <row r="727" spans="9:13" x14ac:dyDescent="0.3">
      <c r="I727" s="82"/>
      <c r="M727" s="85"/>
    </row>
    <row r="728" spans="9:13" x14ac:dyDescent="0.3">
      <c r="I728" s="82"/>
      <c r="M728" s="85"/>
    </row>
    <row r="729" spans="9:13" x14ac:dyDescent="0.3">
      <c r="I729" s="82"/>
      <c r="M729" s="85"/>
    </row>
    <row r="730" spans="9:13" x14ac:dyDescent="0.3">
      <c r="I730" s="82"/>
      <c r="M730" s="85"/>
    </row>
    <row r="731" spans="9:13" x14ac:dyDescent="0.3">
      <c r="I731" s="82"/>
      <c r="M731" s="85"/>
    </row>
    <row r="732" spans="9:13" x14ac:dyDescent="0.3">
      <c r="I732" s="82"/>
      <c r="M732" s="85"/>
    </row>
    <row r="733" spans="9:13" x14ac:dyDescent="0.3">
      <c r="I733" s="82"/>
      <c r="M733" s="85"/>
    </row>
    <row r="734" spans="9:13" x14ac:dyDescent="0.3">
      <c r="I734" s="82"/>
      <c r="M734" s="85"/>
    </row>
    <row r="735" spans="9:13" x14ac:dyDescent="0.3">
      <c r="I735" s="82"/>
      <c r="M735" s="85"/>
    </row>
    <row r="736" spans="9:13" x14ac:dyDescent="0.3">
      <c r="I736" s="82"/>
      <c r="M736" s="85"/>
    </row>
    <row r="737" spans="9:13" x14ac:dyDescent="0.3">
      <c r="I737" s="82"/>
      <c r="M737" s="85"/>
    </row>
    <row r="738" spans="9:13" x14ac:dyDescent="0.3">
      <c r="I738" s="82"/>
      <c r="M738" s="85"/>
    </row>
    <row r="739" spans="9:13" x14ac:dyDescent="0.3">
      <c r="I739" s="82"/>
      <c r="M739" s="85"/>
    </row>
    <row r="740" spans="9:13" x14ac:dyDescent="0.3">
      <c r="I740" s="82"/>
      <c r="M740" s="85"/>
    </row>
    <row r="741" spans="9:13" x14ac:dyDescent="0.3">
      <c r="I741" s="82"/>
      <c r="M741" s="85"/>
    </row>
    <row r="742" spans="9:13" x14ac:dyDescent="0.3">
      <c r="I742" s="82"/>
      <c r="M742" s="85"/>
    </row>
    <row r="743" spans="9:13" x14ac:dyDescent="0.3">
      <c r="I743" s="82"/>
      <c r="M743" s="85"/>
    </row>
    <row r="744" spans="9:13" x14ac:dyDescent="0.3">
      <c r="I744" s="82"/>
      <c r="M744" s="85"/>
    </row>
    <row r="745" spans="9:13" x14ac:dyDescent="0.3">
      <c r="I745" s="82"/>
      <c r="M745" s="85"/>
    </row>
    <row r="746" spans="9:13" x14ac:dyDescent="0.3">
      <c r="I746" s="82"/>
      <c r="M746" s="85"/>
    </row>
    <row r="747" spans="9:13" x14ac:dyDescent="0.3">
      <c r="I747" s="82"/>
      <c r="M747" s="85"/>
    </row>
    <row r="748" spans="9:13" x14ac:dyDescent="0.3">
      <c r="I748" s="82"/>
      <c r="M748" s="85"/>
    </row>
    <row r="749" spans="9:13" x14ac:dyDescent="0.3">
      <c r="I749" s="82"/>
      <c r="M749" s="85"/>
    </row>
    <row r="750" spans="9:13" x14ac:dyDescent="0.3">
      <c r="I750" s="82"/>
      <c r="M750" s="85"/>
    </row>
    <row r="751" spans="9:13" x14ac:dyDescent="0.3">
      <c r="I751" s="82"/>
      <c r="M751" s="85"/>
    </row>
    <row r="752" spans="9:13" x14ac:dyDescent="0.3">
      <c r="I752" s="82"/>
      <c r="M752" s="85"/>
    </row>
    <row r="753" spans="9:13" x14ac:dyDescent="0.3">
      <c r="I753" s="82"/>
      <c r="M753" s="85"/>
    </row>
    <row r="754" spans="9:13" x14ac:dyDescent="0.3">
      <c r="I754" s="82"/>
      <c r="M754" s="85"/>
    </row>
    <row r="755" spans="9:13" x14ac:dyDescent="0.3">
      <c r="I755" s="82"/>
      <c r="M755" s="85"/>
    </row>
    <row r="756" spans="9:13" x14ac:dyDescent="0.3">
      <c r="I756" s="82"/>
      <c r="M756" s="85"/>
    </row>
    <row r="757" spans="9:13" x14ac:dyDescent="0.3">
      <c r="I757" s="82"/>
      <c r="M757" s="85"/>
    </row>
    <row r="758" spans="9:13" x14ac:dyDescent="0.3">
      <c r="I758" s="82"/>
      <c r="M758" s="85"/>
    </row>
    <row r="759" spans="9:13" x14ac:dyDescent="0.3">
      <c r="I759" s="82"/>
      <c r="M759" s="85"/>
    </row>
    <row r="760" spans="9:13" x14ac:dyDescent="0.3">
      <c r="I760" s="82"/>
      <c r="M760" s="85"/>
    </row>
    <row r="761" spans="9:13" x14ac:dyDescent="0.3">
      <c r="I761" s="82"/>
      <c r="M761" s="85"/>
    </row>
    <row r="762" spans="9:13" x14ac:dyDescent="0.3">
      <c r="I762" s="82"/>
      <c r="M762" s="85"/>
    </row>
    <row r="763" spans="9:13" x14ac:dyDescent="0.3">
      <c r="I763" s="82"/>
      <c r="M763" s="85"/>
    </row>
    <row r="764" spans="9:13" x14ac:dyDescent="0.3">
      <c r="I764" s="82"/>
      <c r="M764" s="85"/>
    </row>
    <row r="765" spans="9:13" x14ac:dyDescent="0.3">
      <c r="I765" s="82"/>
      <c r="M765" s="85"/>
    </row>
    <row r="766" spans="9:13" x14ac:dyDescent="0.3">
      <c r="I766" s="82"/>
      <c r="M766" s="85"/>
    </row>
    <row r="767" spans="9:13" x14ac:dyDescent="0.3">
      <c r="I767" s="82"/>
      <c r="M767" s="85"/>
    </row>
    <row r="768" spans="9:13" x14ac:dyDescent="0.3">
      <c r="I768" s="82"/>
      <c r="M768" s="85"/>
    </row>
    <row r="769" spans="9:13" x14ac:dyDescent="0.3">
      <c r="I769" s="82"/>
      <c r="M769" s="85"/>
    </row>
    <row r="770" spans="9:13" x14ac:dyDescent="0.3">
      <c r="I770" s="82"/>
      <c r="M770" s="85"/>
    </row>
    <row r="771" spans="9:13" x14ac:dyDescent="0.3">
      <c r="I771" s="82"/>
      <c r="M771" s="85"/>
    </row>
    <row r="772" spans="9:13" x14ac:dyDescent="0.3">
      <c r="I772" s="82"/>
      <c r="M772" s="85"/>
    </row>
    <row r="773" spans="9:13" x14ac:dyDescent="0.3">
      <c r="I773" s="82"/>
      <c r="M773" s="85"/>
    </row>
    <row r="774" spans="9:13" x14ac:dyDescent="0.3">
      <c r="I774" s="82"/>
      <c r="M774" s="85"/>
    </row>
    <row r="775" spans="9:13" x14ac:dyDescent="0.3">
      <c r="I775" s="82"/>
      <c r="M775" s="85"/>
    </row>
    <row r="776" spans="9:13" x14ac:dyDescent="0.3">
      <c r="I776" s="82"/>
      <c r="M776" s="85"/>
    </row>
    <row r="777" spans="9:13" x14ac:dyDescent="0.3">
      <c r="I777" s="82"/>
      <c r="M777" s="85"/>
    </row>
    <row r="778" spans="9:13" x14ac:dyDescent="0.3">
      <c r="I778" s="82"/>
      <c r="M778" s="85"/>
    </row>
    <row r="779" spans="9:13" x14ac:dyDescent="0.3">
      <c r="I779" s="82"/>
      <c r="M779" s="85"/>
    </row>
    <row r="780" spans="9:13" x14ac:dyDescent="0.3">
      <c r="I780" s="82"/>
      <c r="M780" s="85"/>
    </row>
    <row r="781" spans="9:13" x14ac:dyDescent="0.3">
      <c r="I781" s="82"/>
      <c r="M781" s="85"/>
    </row>
    <row r="782" spans="9:13" x14ac:dyDescent="0.3">
      <c r="I782" s="82"/>
      <c r="M782" s="85"/>
    </row>
    <row r="783" spans="9:13" x14ac:dyDescent="0.3">
      <c r="I783" s="82"/>
      <c r="M783" s="85"/>
    </row>
    <row r="784" spans="9:13" x14ac:dyDescent="0.3">
      <c r="I784" s="82"/>
      <c r="M784" s="85"/>
    </row>
    <row r="785" spans="9:13" x14ac:dyDescent="0.3">
      <c r="I785" s="82"/>
      <c r="M785" s="85"/>
    </row>
    <row r="786" spans="9:13" x14ac:dyDescent="0.3">
      <c r="I786" s="82"/>
      <c r="M786" s="85"/>
    </row>
    <row r="787" spans="9:13" x14ac:dyDescent="0.3">
      <c r="I787" s="82"/>
      <c r="M787" s="85"/>
    </row>
    <row r="788" spans="9:13" x14ac:dyDescent="0.3">
      <c r="I788" s="82"/>
      <c r="M788" s="85"/>
    </row>
    <row r="789" spans="9:13" x14ac:dyDescent="0.3">
      <c r="I789" s="82"/>
      <c r="M789" s="85"/>
    </row>
    <row r="790" spans="9:13" x14ac:dyDescent="0.3">
      <c r="I790" s="82"/>
      <c r="M790" s="85"/>
    </row>
    <row r="791" spans="9:13" x14ac:dyDescent="0.3">
      <c r="I791" s="82"/>
      <c r="M791" s="85"/>
    </row>
    <row r="792" spans="9:13" x14ac:dyDescent="0.3">
      <c r="I792" s="82"/>
      <c r="M792" s="85"/>
    </row>
    <row r="793" spans="9:13" x14ac:dyDescent="0.3">
      <c r="I793" s="82"/>
      <c r="M793" s="85"/>
    </row>
    <row r="794" spans="9:13" x14ac:dyDescent="0.3">
      <c r="I794" s="82"/>
      <c r="M794" s="85"/>
    </row>
    <row r="795" spans="9:13" x14ac:dyDescent="0.3">
      <c r="I795" s="82"/>
      <c r="M795" s="85"/>
    </row>
    <row r="796" spans="9:13" x14ac:dyDescent="0.3">
      <c r="I796" s="82"/>
      <c r="M796" s="85"/>
    </row>
    <row r="797" spans="9:13" x14ac:dyDescent="0.3">
      <c r="I797" s="82"/>
      <c r="M797" s="85"/>
    </row>
    <row r="798" spans="9:13" x14ac:dyDescent="0.3">
      <c r="I798" s="82"/>
      <c r="M798" s="85"/>
    </row>
    <row r="799" spans="9:13" x14ac:dyDescent="0.3">
      <c r="I799" s="82"/>
      <c r="M799" s="85"/>
    </row>
    <row r="800" spans="9:13" x14ac:dyDescent="0.3">
      <c r="I800" s="82"/>
      <c r="M800" s="85"/>
    </row>
    <row r="801" spans="9:13" x14ac:dyDescent="0.3">
      <c r="I801" s="82"/>
      <c r="M801" s="85"/>
    </row>
    <row r="802" spans="9:13" x14ac:dyDescent="0.3">
      <c r="I802" s="82"/>
      <c r="M802" s="85"/>
    </row>
    <row r="803" spans="9:13" x14ac:dyDescent="0.3">
      <c r="I803" s="82"/>
      <c r="M803" s="85"/>
    </row>
    <row r="804" spans="9:13" x14ac:dyDescent="0.3">
      <c r="I804" s="82"/>
      <c r="M804" s="85"/>
    </row>
    <row r="805" spans="9:13" x14ac:dyDescent="0.3">
      <c r="I805" s="82"/>
      <c r="M805" s="85"/>
    </row>
    <row r="806" spans="9:13" x14ac:dyDescent="0.3">
      <c r="I806" s="82"/>
      <c r="M806" s="85"/>
    </row>
    <row r="807" spans="9:13" x14ac:dyDescent="0.3">
      <c r="I807" s="82"/>
      <c r="M807" s="85"/>
    </row>
    <row r="808" spans="9:13" x14ac:dyDescent="0.3">
      <c r="I808" s="82"/>
      <c r="M808" s="85"/>
    </row>
    <row r="809" spans="9:13" x14ac:dyDescent="0.3">
      <c r="I809" s="82"/>
      <c r="M809" s="85"/>
    </row>
    <row r="810" spans="9:13" x14ac:dyDescent="0.3">
      <c r="I810" s="82"/>
      <c r="M810" s="85"/>
    </row>
    <row r="811" spans="9:13" x14ac:dyDescent="0.3">
      <c r="I811" s="82"/>
      <c r="M811" s="85"/>
    </row>
    <row r="812" spans="9:13" x14ac:dyDescent="0.3">
      <c r="I812" s="82"/>
      <c r="M812" s="85"/>
    </row>
    <row r="813" spans="9:13" x14ac:dyDescent="0.3">
      <c r="I813" s="82"/>
      <c r="M813" s="85"/>
    </row>
    <row r="814" spans="9:13" x14ac:dyDescent="0.3">
      <c r="I814" s="82"/>
      <c r="M814" s="85"/>
    </row>
    <row r="815" spans="9:13" x14ac:dyDescent="0.3">
      <c r="I815" s="82"/>
      <c r="M815" s="85"/>
    </row>
    <row r="816" spans="9:13" x14ac:dyDescent="0.3">
      <c r="I816" s="82"/>
      <c r="M816" s="85"/>
    </row>
    <row r="817" spans="9:13" x14ac:dyDescent="0.3">
      <c r="I817" s="82"/>
      <c r="M817" s="85"/>
    </row>
    <row r="818" spans="9:13" x14ac:dyDescent="0.3">
      <c r="I818" s="82"/>
      <c r="M818" s="85"/>
    </row>
    <row r="819" spans="9:13" x14ac:dyDescent="0.3">
      <c r="I819" s="82"/>
      <c r="M819" s="85"/>
    </row>
    <row r="820" spans="9:13" x14ac:dyDescent="0.3">
      <c r="I820" s="82"/>
      <c r="M820" s="85"/>
    </row>
    <row r="821" spans="9:13" x14ac:dyDescent="0.3">
      <c r="I821" s="82"/>
      <c r="M821" s="85"/>
    </row>
    <row r="822" spans="9:13" x14ac:dyDescent="0.3">
      <c r="I822" s="82"/>
      <c r="M822" s="85"/>
    </row>
    <row r="823" spans="9:13" x14ac:dyDescent="0.3">
      <c r="I823" s="82"/>
      <c r="M823" s="85"/>
    </row>
    <row r="824" spans="9:13" x14ac:dyDescent="0.3">
      <c r="I824" s="82"/>
      <c r="M824" s="85"/>
    </row>
    <row r="825" spans="9:13" x14ac:dyDescent="0.3">
      <c r="I825" s="82"/>
      <c r="M825" s="85"/>
    </row>
    <row r="826" spans="9:13" x14ac:dyDescent="0.3">
      <c r="I826" s="82"/>
      <c r="M826" s="85"/>
    </row>
    <row r="827" spans="9:13" x14ac:dyDescent="0.3">
      <c r="I827" s="82"/>
      <c r="M827" s="85"/>
    </row>
    <row r="828" spans="9:13" x14ac:dyDescent="0.3">
      <c r="I828" s="82"/>
      <c r="M828" s="85"/>
    </row>
    <row r="829" spans="9:13" x14ac:dyDescent="0.3">
      <c r="I829" s="82"/>
      <c r="M829" s="85"/>
    </row>
    <row r="830" spans="9:13" x14ac:dyDescent="0.3">
      <c r="I830" s="82"/>
      <c r="M830" s="85"/>
    </row>
    <row r="831" spans="9:13" x14ac:dyDescent="0.3">
      <c r="I831" s="82"/>
      <c r="M831" s="85"/>
    </row>
    <row r="832" spans="9:13" x14ac:dyDescent="0.3">
      <c r="I832" s="82"/>
      <c r="M832" s="85"/>
    </row>
    <row r="833" spans="9:13" x14ac:dyDescent="0.3">
      <c r="I833" s="82"/>
      <c r="M833" s="85"/>
    </row>
    <row r="834" spans="9:13" x14ac:dyDescent="0.3">
      <c r="I834" s="82"/>
      <c r="M834" s="85"/>
    </row>
    <row r="835" spans="9:13" x14ac:dyDescent="0.3">
      <c r="I835" s="82"/>
      <c r="M835" s="85"/>
    </row>
    <row r="836" spans="9:13" x14ac:dyDescent="0.3">
      <c r="I836" s="82"/>
      <c r="M836" s="85"/>
    </row>
    <row r="837" spans="9:13" x14ac:dyDescent="0.3">
      <c r="I837" s="82"/>
      <c r="M837" s="85"/>
    </row>
    <row r="838" spans="9:13" x14ac:dyDescent="0.3">
      <c r="I838" s="82"/>
      <c r="M838" s="85"/>
    </row>
    <row r="839" spans="9:13" x14ac:dyDescent="0.3">
      <c r="I839" s="82"/>
      <c r="M839" s="85"/>
    </row>
    <row r="840" spans="9:13" x14ac:dyDescent="0.3">
      <c r="I840" s="82"/>
      <c r="M840" s="85"/>
    </row>
    <row r="841" spans="9:13" x14ac:dyDescent="0.3">
      <c r="I841" s="82"/>
      <c r="M841" s="85"/>
    </row>
    <row r="842" spans="9:13" x14ac:dyDescent="0.3">
      <c r="I842" s="82"/>
      <c r="M842" s="85"/>
    </row>
    <row r="843" spans="9:13" x14ac:dyDescent="0.3">
      <c r="I843" s="82"/>
      <c r="M843" s="85"/>
    </row>
    <row r="844" spans="9:13" x14ac:dyDescent="0.3">
      <c r="I844" s="82"/>
      <c r="M844" s="85"/>
    </row>
    <row r="845" spans="9:13" x14ac:dyDescent="0.3">
      <c r="I845" s="82"/>
      <c r="M845" s="85"/>
    </row>
    <row r="846" spans="9:13" x14ac:dyDescent="0.3">
      <c r="I846" s="82"/>
      <c r="M846" s="85"/>
    </row>
    <row r="847" spans="9:13" x14ac:dyDescent="0.3">
      <c r="I847" s="82"/>
      <c r="M847" s="85"/>
    </row>
    <row r="848" spans="9:13" x14ac:dyDescent="0.3">
      <c r="I848" s="82"/>
      <c r="M848" s="85"/>
    </row>
    <row r="849" spans="9:13" x14ac:dyDescent="0.3">
      <c r="I849" s="82"/>
      <c r="M849" s="85"/>
    </row>
    <row r="850" spans="9:13" x14ac:dyDescent="0.3">
      <c r="I850" s="82"/>
      <c r="M850" s="85"/>
    </row>
    <row r="851" spans="9:13" x14ac:dyDescent="0.3">
      <c r="I851" s="82"/>
      <c r="M851" s="85"/>
    </row>
    <row r="852" spans="9:13" x14ac:dyDescent="0.3">
      <c r="I852" s="82"/>
      <c r="M852" s="85"/>
    </row>
    <row r="853" spans="9:13" x14ac:dyDescent="0.3">
      <c r="I853" s="82"/>
      <c r="M853" s="85"/>
    </row>
    <row r="854" spans="9:13" x14ac:dyDescent="0.3">
      <c r="I854" s="82"/>
      <c r="M854" s="85"/>
    </row>
    <row r="855" spans="9:13" x14ac:dyDescent="0.3">
      <c r="I855" s="82"/>
      <c r="M855" s="85"/>
    </row>
    <row r="856" spans="9:13" x14ac:dyDescent="0.3">
      <c r="I856" s="82"/>
      <c r="M856" s="85"/>
    </row>
    <row r="857" spans="9:13" x14ac:dyDescent="0.3">
      <c r="I857" s="82"/>
      <c r="M857" s="85"/>
    </row>
    <row r="858" spans="9:13" x14ac:dyDescent="0.3">
      <c r="I858" s="82"/>
      <c r="M858" s="85"/>
    </row>
    <row r="859" spans="9:13" x14ac:dyDescent="0.3">
      <c r="I859" s="82"/>
      <c r="M859" s="85"/>
    </row>
    <row r="860" spans="9:13" x14ac:dyDescent="0.3">
      <c r="I860" s="82"/>
      <c r="M860" s="85"/>
    </row>
    <row r="861" spans="9:13" x14ac:dyDescent="0.3">
      <c r="I861" s="82"/>
      <c r="M861" s="85"/>
    </row>
    <row r="862" spans="9:13" x14ac:dyDescent="0.3">
      <c r="I862" s="82"/>
      <c r="M862" s="85"/>
    </row>
    <row r="863" spans="9:13" x14ac:dyDescent="0.3">
      <c r="I863" s="82"/>
      <c r="M863" s="85"/>
    </row>
    <row r="864" spans="9:13" x14ac:dyDescent="0.3">
      <c r="I864" s="82"/>
      <c r="M864" s="85"/>
    </row>
    <row r="865" spans="9:13" x14ac:dyDescent="0.3">
      <c r="I865" s="82"/>
      <c r="M865" s="85"/>
    </row>
    <row r="866" spans="9:13" x14ac:dyDescent="0.3">
      <c r="I866" s="82"/>
      <c r="M866" s="85"/>
    </row>
    <row r="867" spans="9:13" x14ac:dyDescent="0.3">
      <c r="I867" s="82"/>
      <c r="M867" s="85"/>
    </row>
    <row r="868" spans="9:13" x14ac:dyDescent="0.3">
      <c r="I868" s="82"/>
      <c r="M868" s="85"/>
    </row>
    <row r="869" spans="9:13" x14ac:dyDescent="0.3">
      <c r="I869" s="82"/>
      <c r="M869" s="85"/>
    </row>
    <row r="870" spans="9:13" x14ac:dyDescent="0.3">
      <c r="I870" s="82"/>
      <c r="M870" s="85"/>
    </row>
    <row r="871" spans="9:13" x14ac:dyDescent="0.3">
      <c r="I871" s="82"/>
      <c r="M871" s="85"/>
    </row>
    <row r="872" spans="9:13" x14ac:dyDescent="0.3">
      <c r="I872" s="82"/>
      <c r="M872" s="85"/>
    </row>
    <row r="873" spans="9:13" x14ac:dyDescent="0.3">
      <c r="I873" s="82"/>
      <c r="M873" s="85"/>
    </row>
    <row r="874" spans="9:13" x14ac:dyDescent="0.3">
      <c r="I874" s="82"/>
      <c r="M874" s="85"/>
    </row>
    <row r="875" spans="9:13" x14ac:dyDescent="0.3">
      <c r="I875" s="82"/>
      <c r="M875" s="85"/>
    </row>
    <row r="876" spans="9:13" x14ac:dyDescent="0.3">
      <c r="I876" s="82"/>
      <c r="M876" s="85"/>
    </row>
    <row r="877" spans="9:13" x14ac:dyDescent="0.3">
      <c r="I877" s="82"/>
      <c r="M877" s="85"/>
    </row>
    <row r="878" spans="9:13" x14ac:dyDescent="0.3">
      <c r="I878" s="82"/>
      <c r="M878" s="85"/>
    </row>
    <row r="879" spans="9:13" x14ac:dyDescent="0.3">
      <c r="I879" s="82"/>
      <c r="M879" s="85"/>
    </row>
    <row r="880" spans="9:13" x14ac:dyDescent="0.3">
      <c r="I880" s="82"/>
      <c r="M880" s="85"/>
    </row>
    <row r="881" spans="9:13" x14ac:dyDescent="0.3">
      <c r="I881" s="82"/>
      <c r="M881" s="85"/>
    </row>
    <row r="882" spans="9:13" x14ac:dyDescent="0.3">
      <c r="I882" s="82"/>
      <c r="M882" s="85"/>
    </row>
    <row r="883" spans="9:13" x14ac:dyDescent="0.3">
      <c r="I883" s="82"/>
      <c r="M883" s="85"/>
    </row>
    <row r="884" spans="9:13" x14ac:dyDescent="0.3">
      <c r="I884" s="82"/>
      <c r="M884" s="85"/>
    </row>
    <row r="885" spans="9:13" x14ac:dyDescent="0.3">
      <c r="I885" s="82"/>
      <c r="M885" s="85"/>
    </row>
    <row r="886" spans="9:13" x14ac:dyDescent="0.3">
      <c r="I886" s="82"/>
      <c r="M886" s="85"/>
    </row>
    <row r="887" spans="9:13" x14ac:dyDescent="0.3">
      <c r="I887" s="82"/>
      <c r="M887" s="85"/>
    </row>
    <row r="888" spans="9:13" x14ac:dyDescent="0.3">
      <c r="I888" s="82"/>
      <c r="M888" s="85"/>
    </row>
    <row r="889" spans="9:13" x14ac:dyDescent="0.3">
      <c r="I889" s="82"/>
      <c r="M889" s="85"/>
    </row>
    <row r="890" spans="9:13" x14ac:dyDescent="0.3">
      <c r="I890" s="82"/>
      <c r="M890" s="85"/>
    </row>
    <row r="891" spans="9:13" x14ac:dyDescent="0.3">
      <c r="I891" s="82"/>
      <c r="M891" s="85"/>
    </row>
    <row r="892" spans="9:13" x14ac:dyDescent="0.3">
      <c r="I892" s="82"/>
      <c r="M892" s="85"/>
    </row>
    <row r="893" spans="9:13" x14ac:dyDescent="0.3">
      <c r="I893" s="82"/>
      <c r="M893" s="85"/>
    </row>
    <row r="894" spans="9:13" x14ac:dyDescent="0.3">
      <c r="I894" s="82"/>
      <c r="M894" s="85"/>
    </row>
    <row r="895" spans="9:13" x14ac:dyDescent="0.3">
      <c r="I895" s="82"/>
      <c r="M895" s="85"/>
    </row>
    <row r="896" spans="9:13" x14ac:dyDescent="0.3">
      <c r="I896" s="82"/>
      <c r="M896" s="85"/>
    </row>
    <row r="897" spans="9:13" x14ac:dyDescent="0.3">
      <c r="I897" s="82"/>
      <c r="M897" s="85"/>
    </row>
    <row r="898" spans="9:13" x14ac:dyDescent="0.3">
      <c r="I898" s="82"/>
      <c r="M898" s="85"/>
    </row>
    <row r="899" spans="9:13" x14ac:dyDescent="0.3">
      <c r="I899" s="82"/>
      <c r="M899" s="85"/>
    </row>
    <row r="900" spans="9:13" x14ac:dyDescent="0.3">
      <c r="I900" s="82"/>
      <c r="M900" s="85"/>
    </row>
    <row r="901" spans="9:13" x14ac:dyDescent="0.3">
      <c r="I901" s="82"/>
      <c r="M901" s="85"/>
    </row>
    <row r="902" spans="9:13" x14ac:dyDescent="0.3">
      <c r="I902" s="82"/>
      <c r="M902" s="85"/>
    </row>
    <row r="903" spans="9:13" x14ac:dyDescent="0.3">
      <c r="I903" s="82"/>
      <c r="M903" s="85"/>
    </row>
    <row r="904" spans="9:13" x14ac:dyDescent="0.3">
      <c r="I904" s="82"/>
      <c r="M904" s="85"/>
    </row>
    <row r="905" spans="9:13" x14ac:dyDescent="0.3">
      <c r="I905" s="82"/>
      <c r="M905" s="85"/>
    </row>
    <row r="906" spans="9:13" x14ac:dyDescent="0.3">
      <c r="I906" s="82"/>
      <c r="M906" s="85"/>
    </row>
    <row r="907" spans="9:13" x14ac:dyDescent="0.3">
      <c r="I907" s="82"/>
      <c r="M907" s="85"/>
    </row>
    <row r="908" spans="9:13" x14ac:dyDescent="0.3">
      <c r="I908" s="82"/>
      <c r="M908" s="85"/>
    </row>
    <row r="909" spans="9:13" x14ac:dyDescent="0.3">
      <c r="I909" s="82"/>
      <c r="M909" s="85"/>
    </row>
    <row r="910" spans="9:13" x14ac:dyDescent="0.3">
      <c r="I910" s="82"/>
      <c r="M910" s="85"/>
    </row>
    <row r="911" spans="9:13" x14ac:dyDescent="0.3">
      <c r="I911" s="82"/>
      <c r="M911" s="85"/>
    </row>
    <row r="912" spans="9:13" x14ac:dyDescent="0.3">
      <c r="I912" s="82"/>
      <c r="M912" s="85"/>
    </row>
    <row r="913" spans="9:13" x14ac:dyDescent="0.3">
      <c r="I913" s="82"/>
      <c r="M913" s="85"/>
    </row>
    <row r="914" spans="9:13" x14ac:dyDescent="0.3">
      <c r="I914" s="82"/>
      <c r="M914" s="85"/>
    </row>
    <row r="915" spans="9:13" x14ac:dyDescent="0.3">
      <c r="I915" s="82"/>
      <c r="M915" s="85"/>
    </row>
    <row r="916" spans="9:13" x14ac:dyDescent="0.3">
      <c r="I916" s="82"/>
      <c r="M916" s="85"/>
    </row>
    <row r="917" spans="9:13" x14ac:dyDescent="0.3">
      <c r="I917" s="82"/>
      <c r="M917" s="85"/>
    </row>
    <row r="918" spans="9:13" x14ac:dyDescent="0.3">
      <c r="I918" s="82"/>
      <c r="M918" s="85"/>
    </row>
    <row r="919" spans="9:13" x14ac:dyDescent="0.3">
      <c r="I919" s="82"/>
      <c r="M919" s="85"/>
    </row>
    <row r="920" spans="9:13" x14ac:dyDescent="0.3">
      <c r="I920" s="82"/>
      <c r="M920" s="85"/>
    </row>
    <row r="921" spans="9:13" x14ac:dyDescent="0.3">
      <c r="I921" s="82"/>
      <c r="M921" s="85"/>
    </row>
    <row r="922" spans="9:13" x14ac:dyDescent="0.3">
      <c r="I922" s="82"/>
      <c r="M922" s="85"/>
    </row>
    <row r="923" spans="9:13" x14ac:dyDescent="0.3">
      <c r="I923" s="82"/>
      <c r="M923" s="85"/>
    </row>
    <row r="924" spans="9:13" x14ac:dyDescent="0.3">
      <c r="I924" s="82"/>
      <c r="M924" s="85"/>
    </row>
    <row r="925" spans="9:13" x14ac:dyDescent="0.3">
      <c r="I925" s="82"/>
      <c r="M925" s="85"/>
    </row>
    <row r="926" spans="9:13" x14ac:dyDescent="0.3">
      <c r="I926" s="82"/>
      <c r="M926" s="85"/>
    </row>
    <row r="927" spans="9:13" x14ac:dyDescent="0.3">
      <c r="I927" s="82"/>
      <c r="M927" s="85"/>
    </row>
    <row r="928" spans="9:13" x14ac:dyDescent="0.3">
      <c r="I928" s="82"/>
      <c r="M928" s="85"/>
    </row>
    <row r="929" spans="9:13" x14ac:dyDescent="0.3">
      <c r="I929" s="82"/>
      <c r="M929" s="85"/>
    </row>
    <row r="930" spans="9:13" x14ac:dyDescent="0.3">
      <c r="I930" s="82"/>
      <c r="M930" s="85"/>
    </row>
    <row r="931" spans="9:13" x14ac:dyDescent="0.3">
      <c r="I931" s="82"/>
      <c r="M931" s="85"/>
    </row>
    <row r="932" spans="9:13" x14ac:dyDescent="0.3">
      <c r="I932" s="82"/>
      <c r="M932" s="85"/>
    </row>
    <row r="933" spans="9:13" x14ac:dyDescent="0.3">
      <c r="I933" s="82"/>
      <c r="M933" s="85"/>
    </row>
    <row r="934" spans="9:13" x14ac:dyDescent="0.3">
      <c r="I934" s="82"/>
      <c r="M934" s="85"/>
    </row>
    <row r="935" spans="9:13" x14ac:dyDescent="0.3">
      <c r="I935" s="82"/>
      <c r="M935" s="85"/>
    </row>
    <row r="936" spans="9:13" x14ac:dyDescent="0.3">
      <c r="I936" s="82"/>
      <c r="M936" s="85"/>
    </row>
    <row r="937" spans="9:13" x14ac:dyDescent="0.3">
      <c r="I937" s="82"/>
      <c r="M937" s="85"/>
    </row>
    <row r="938" spans="9:13" x14ac:dyDescent="0.3">
      <c r="I938" s="82"/>
      <c r="M938" s="85"/>
    </row>
    <row r="939" spans="9:13" x14ac:dyDescent="0.3">
      <c r="I939" s="82"/>
      <c r="M939" s="85"/>
    </row>
    <row r="940" spans="9:13" x14ac:dyDescent="0.3">
      <c r="I940" s="82"/>
      <c r="M940" s="85"/>
    </row>
    <row r="941" spans="9:13" x14ac:dyDescent="0.3">
      <c r="I941" s="82"/>
      <c r="M941" s="85"/>
    </row>
    <row r="942" spans="9:13" x14ac:dyDescent="0.3">
      <c r="I942" s="82"/>
      <c r="M942" s="85"/>
    </row>
    <row r="943" spans="9:13" x14ac:dyDescent="0.3">
      <c r="I943" s="82"/>
      <c r="M943" s="85"/>
    </row>
    <row r="944" spans="9:13" x14ac:dyDescent="0.3">
      <c r="I944" s="82"/>
      <c r="M944" s="85"/>
    </row>
    <row r="945" spans="9:13" x14ac:dyDescent="0.3">
      <c r="I945" s="82"/>
      <c r="M945" s="85"/>
    </row>
    <row r="946" spans="9:13" x14ac:dyDescent="0.3">
      <c r="I946" s="82"/>
      <c r="M946" s="85"/>
    </row>
    <row r="947" spans="9:13" x14ac:dyDescent="0.3">
      <c r="I947" s="82"/>
      <c r="M947" s="85"/>
    </row>
    <row r="948" spans="9:13" x14ac:dyDescent="0.3">
      <c r="I948" s="82"/>
      <c r="M948" s="85"/>
    </row>
    <row r="949" spans="9:13" x14ac:dyDescent="0.3">
      <c r="I949" s="82"/>
      <c r="M949" s="85"/>
    </row>
    <row r="950" spans="9:13" x14ac:dyDescent="0.3">
      <c r="I950" s="82"/>
      <c r="M950" s="85"/>
    </row>
    <row r="951" spans="9:13" x14ac:dyDescent="0.3">
      <c r="I951" s="82"/>
      <c r="M951" s="85"/>
    </row>
    <row r="952" spans="9:13" x14ac:dyDescent="0.3">
      <c r="I952" s="82"/>
      <c r="M952" s="85"/>
    </row>
    <row r="953" spans="9:13" x14ac:dyDescent="0.3">
      <c r="I953" s="82"/>
      <c r="M953" s="85"/>
    </row>
    <row r="954" spans="9:13" x14ac:dyDescent="0.3">
      <c r="I954" s="82"/>
      <c r="M954" s="85"/>
    </row>
    <row r="955" spans="9:13" x14ac:dyDescent="0.3">
      <c r="I955" s="82"/>
      <c r="M955" s="85"/>
    </row>
    <row r="956" spans="9:13" x14ac:dyDescent="0.3">
      <c r="I956" s="82"/>
      <c r="M956" s="85"/>
    </row>
    <row r="957" spans="9:13" x14ac:dyDescent="0.3">
      <c r="I957" s="82"/>
      <c r="M957" s="85"/>
    </row>
    <row r="958" spans="9:13" x14ac:dyDescent="0.3">
      <c r="I958" s="82"/>
      <c r="M958" s="85"/>
    </row>
    <row r="959" spans="9:13" x14ac:dyDescent="0.3">
      <c r="I959" s="82"/>
      <c r="M959" s="85"/>
    </row>
    <row r="960" spans="9:13" x14ac:dyDescent="0.3">
      <c r="I960" s="82"/>
      <c r="M960" s="85"/>
    </row>
    <row r="961" spans="9:13" x14ac:dyDescent="0.3">
      <c r="I961" s="82"/>
      <c r="M961" s="85"/>
    </row>
    <row r="962" spans="9:13" x14ac:dyDescent="0.3">
      <c r="I962" s="82"/>
      <c r="M962" s="85"/>
    </row>
    <row r="963" spans="9:13" x14ac:dyDescent="0.3">
      <c r="I963" s="82"/>
      <c r="M963" s="85"/>
    </row>
    <row r="964" spans="9:13" x14ac:dyDescent="0.3">
      <c r="I964" s="82"/>
      <c r="M964" s="85"/>
    </row>
    <row r="965" spans="9:13" x14ac:dyDescent="0.3">
      <c r="I965" s="82"/>
      <c r="M965" s="85"/>
    </row>
    <row r="966" spans="9:13" x14ac:dyDescent="0.3">
      <c r="I966" s="82"/>
      <c r="M966" s="85"/>
    </row>
    <row r="967" spans="9:13" x14ac:dyDescent="0.3">
      <c r="I967" s="82"/>
      <c r="M967" s="85"/>
    </row>
    <row r="968" spans="9:13" x14ac:dyDescent="0.3">
      <c r="I968" s="82"/>
      <c r="M968" s="85"/>
    </row>
    <row r="969" spans="9:13" x14ac:dyDescent="0.3">
      <c r="I969" s="82"/>
      <c r="M969" s="85"/>
    </row>
    <row r="970" spans="9:13" x14ac:dyDescent="0.3">
      <c r="I970" s="82"/>
      <c r="M970" s="85"/>
    </row>
    <row r="971" spans="9:13" x14ac:dyDescent="0.3">
      <c r="I971" s="82"/>
      <c r="M971" s="85"/>
    </row>
    <row r="972" spans="9:13" x14ac:dyDescent="0.3">
      <c r="I972" s="82"/>
      <c r="M972" s="85"/>
    </row>
    <row r="973" spans="9:13" x14ac:dyDescent="0.3">
      <c r="I973" s="82"/>
      <c r="M973" s="85"/>
    </row>
    <row r="974" spans="9:13" x14ac:dyDescent="0.3">
      <c r="I974" s="82"/>
      <c r="M974" s="85"/>
    </row>
    <row r="975" spans="9:13" x14ac:dyDescent="0.3">
      <c r="I975" s="82"/>
      <c r="M975" s="85"/>
    </row>
    <row r="976" spans="9:13" x14ac:dyDescent="0.3">
      <c r="I976" s="82"/>
      <c r="M976" s="85"/>
    </row>
    <row r="977" spans="9:13" x14ac:dyDescent="0.3">
      <c r="I977" s="82"/>
      <c r="M977" s="85"/>
    </row>
    <row r="978" spans="9:13" x14ac:dyDescent="0.3">
      <c r="I978" s="82"/>
      <c r="M978" s="85"/>
    </row>
    <row r="979" spans="9:13" x14ac:dyDescent="0.3">
      <c r="I979" s="82"/>
      <c r="M979" s="85"/>
    </row>
    <row r="980" spans="9:13" x14ac:dyDescent="0.3">
      <c r="I980" s="82"/>
      <c r="M980" s="85"/>
    </row>
    <row r="981" spans="9:13" x14ac:dyDescent="0.3">
      <c r="I981" s="82"/>
      <c r="M981" s="85"/>
    </row>
    <row r="982" spans="9:13" x14ac:dyDescent="0.3">
      <c r="I982" s="82"/>
      <c r="M982" s="85"/>
    </row>
    <row r="983" spans="9:13" x14ac:dyDescent="0.3">
      <c r="I983" s="82"/>
      <c r="M983" s="85"/>
    </row>
    <row r="984" spans="9:13" x14ac:dyDescent="0.3">
      <c r="I984" s="82"/>
      <c r="M984" s="85"/>
    </row>
    <row r="985" spans="9:13" x14ac:dyDescent="0.3">
      <c r="I985" s="82"/>
      <c r="M985" s="85"/>
    </row>
    <row r="986" spans="9:13" x14ac:dyDescent="0.3">
      <c r="I986" s="82"/>
      <c r="M986" s="85"/>
    </row>
    <row r="987" spans="9:13" x14ac:dyDescent="0.3">
      <c r="I987" s="82"/>
      <c r="M987" s="85"/>
    </row>
    <row r="988" spans="9:13" x14ac:dyDescent="0.3">
      <c r="I988" s="82"/>
      <c r="M988" s="85"/>
    </row>
    <row r="989" spans="9:13" x14ac:dyDescent="0.3">
      <c r="I989" s="82"/>
      <c r="M989" s="85"/>
    </row>
    <row r="990" spans="9:13" x14ac:dyDescent="0.3">
      <c r="I990" s="82"/>
      <c r="M990" s="85"/>
    </row>
    <row r="991" spans="9:13" x14ac:dyDescent="0.3">
      <c r="I991" s="82"/>
      <c r="M991" s="85"/>
    </row>
    <row r="992" spans="9:13" x14ac:dyDescent="0.3">
      <c r="I992" s="82"/>
      <c r="M992" s="85"/>
    </row>
    <row r="993" spans="9:13" x14ac:dyDescent="0.3">
      <c r="I993" s="82"/>
      <c r="M993" s="85"/>
    </row>
    <row r="994" spans="9:13" x14ac:dyDescent="0.3">
      <c r="I994" s="82"/>
      <c r="M994" s="85"/>
    </row>
    <row r="995" spans="9:13" x14ac:dyDescent="0.3">
      <c r="I995" s="82"/>
      <c r="M995" s="85"/>
    </row>
    <row r="996" spans="9:13" x14ac:dyDescent="0.3">
      <c r="I996" s="82"/>
      <c r="M996" s="85"/>
    </row>
    <row r="997" spans="9:13" x14ac:dyDescent="0.3">
      <c r="I997" s="82"/>
      <c r="M997" s="85"/>
    </row>
    <row r="998" spans="9:13" x14ac:dyDescent="0.3">
      <c r="I998" s="82"/>
      <c r="M998" s="85"/>
    </row>
    <row r="999" spans="9:13" x14ac:dyDescent="0.3">
      <c r="I999" s="82"/>
      <c r="M999" s="85"/>
    </row>
    <row r="1000" spans="9:13" x14ac:dyDescent="0.3">
      <c r="I1000" s="82"/>
      <c r="M1000" s="85"/>
    </row>
    <row r="1001" spans="9:13" x14ac:dyDescent="0.3">
      <c r="I1001" s="82"/>
      <c r="M1001" s="85"/>
    </row>
    <row r="1002" spans="9:13" x14ac:dyDescent="0.3">
      <c r="I1002" s="82"/>
      <c r="M1002" s="85"/>
    </row>
    <row r="1003" spans="9:13" x14ac:dyDescent="0.3">
      <c r="I1003" s="82"/>
      <c r="M1003" s="85"/>
    </row>
    <row r="1004" spans="9:13" x14ac:dyDescent="0.3">
      <c r="I1004" s="82"/>
      <c r="M1004" s="85"/>
    </row>
    <row r="1005" spans="9:13" x14ac:dyDescent="0.3">
      <c r="I1005" s="82"/>
      <c r="M1005" s="85"/>
    </row>
    <row r="1006" spans="9:13" x14ac:dyDescent="0.3">
      <c r="I1006" s="82"/>
      <c r="M1006" s="85"/>
    </row>
    <row r="1007" spans="9:13" x14ac:dyDescent="0.3">
      <c r="I1007" s="82"/>
      <c r="M1007" s="85"/>
    </row>
    <row r="1008" spans="9:13" x14ac:dyDescent="0.3">
      <c r="I1008" s="82"/>
      <c r="M1008" s="85"/>
    </row>
    <row r="1009" spans="9:13" x14ac:dyDescent="0.3">
      <c r="I1009" s="82"/>
      <c r="M1009" s="85"/>
    </row>
    <row r="1010" spans="9:13" x14ac:dyDescent="0.3">
      <c r="I1010" s="82"/>
      <c r="M1010" s="85"/>
    </row>
    <row r="1011" spans="9:13" x14ac:dyDescent="0.3">
      <c r="I1011" s="82"/>
      <c r="M1011" s="85"/>
    </row>
    <row r="1012" spans="9:13" x14ac:dyDescent="0.3">
      <c r="I1012" s="82"/>
      <c r="M1012" s="85"/>
    </row>
    <row r="1013" spans="9:13" x14ac:dyDescent="0.3">
      <c r="I1013" s="82"/>
      <c r="M1013" s="85"/>
    </row>
    <row r="1014" spans="9:13" x14ac:dyDescent="0.3">
      <c r="I1014" s="82"/>
      <c r="M1014" s="85"/>
    </row>
    <row r="1015" spans="9:13" x14ac:dyDescent="0.3">
      <c r="I1015" s="82"/>
      <c r="M1015" s="85"/>
    </row>
    <row r="1016" spans="9:13" x14ac:dyDescent="0.3">
      <c r="I1016" s="82"/>
      <c r="M1016" s="85"/>
    </row>
    <row r="1017" spans="9:13" x14ac:dyDescent="0.3">
      <c r="I1017" s="82"/>
      <c r="M1017" s="85"/>
    </row>
    <row r="1018" spans="9:13" x14ac:dyDescent="0.3">
      <c r="I1018" s="82"/>
      <c r="M1018" s="85"/>
    </row>
    <row r="1019" spans="9:13" x14ac:dyDescent="0.3">
      <c r="I1019" s="82"/>
      <c r="M1019" s="85"/>
    </row>
    <row r="1020" spans="9:13" x14ac:dyDescent="0.3">
      <c r="I1020" s="82"/>
      <c r="M1020" s="85"/>
    </row>
    <row r="1021" spans="9:13" x14ac:dyDescent="0.3">
      <c r="I1021" s="82"/>
      <c r="M1021" s="85"/>
    </row>
    <row r="1022" spans="9:13" x14ac:dyDescent="0.3">
      <c r="I1022" s="82"/>
      <c r="M1022" s="85"/>
    </row>
    <row r="1023" spans="9:13" x14ac:dyDescent="0.3">
      <c r="I1023" s="82"/>
      <c r="M1023" s="85"/>
    </row>
    <row r="1024" spans="9:13" x14ac:dyDescent="0.3">
      <c r="I1024" s="82"/>
      <c r="M1024" s="85"/>
    </row>
    <row r="1025" spans="9:13" x14ac:dyDescent="0.3">
      <c r="I1025" s="82"/>
      <c r="M1025" s="85"/>
    </row>
    <row r="1026" spans="9:13" x14ac:dyDescent="0.3">
      <c r="I1026" s="82"/>
      <c r="M1026" s="85"/>
    </row>
    <row r="1027" spans="9:13" x14ac:dyDescent="0.3">
      <c r="I1027" s="82"/>
      <c r="M1027" s="85"/>
    </row>
    <row r="1028" spans="9:13" x14ac:dyDescent="0.3">
      <c r="I1028" s="82"/>
      <c r="M1028" s="85"/>
    </row>
    <row r="1029" spans="9:13" x14ac:dyDescent="0.3">
      <c r="I1029" s="82"/>
      <c r="M1029" s="85"/>
    </row>
    <row r="1030" spans="9:13" x14ac:dyDescent="0.3">
      <c r="I1030" s="82"/>
      <c r="M1030" s="85"/>
    </row>
    <row r="1031" spans="9:13" x14ac:dyDescent="0.3">
      <c r="I1031" s="82"/>
      <c r="M1031" s="85"/>
    </row>
    <row r="1032" spans="9:13" x14ac:dyDescent="0.3">
      <c r="I1032" s="82"/>
      <c r="M1032" s="85"/>
    </row>
    <row r="1033" spans="9:13" x14ac:dyDescent="0.3">
      <c r="I1033" s="82"/>
      <c r="M1033" s="85"/>
    </row>
    <row r="1034" spans="9:13" x14ac:dyDescent="0.3">
      <c r="I1034" s="82"/>
      <c r="M1034" s="85"/>
    </row>
    <row r="1035" spans="9:13" x14ac:dyDescent="0.3">
      <c r="I1035" s="82"/>
      <c r="M1035" s="85"/>
    </row>
    <row r="1036" spans="9:13" x14ac:dyDescent="0.3">
      <c r="I1036" s="82"/>
      <c r="M1036" s="85"/>
    </row>
    <row r="1037" spans="9:13" x14ac:dyDescent="0.3">
      <c r="I1037" s="82"/>
      <c r="M1037" s="85"/>
    </row>
    <row r="1038" spans="9:13" x14ac:dyDescent="0.3">
      <c r="I1038" s="82"/>
      <c r="M1038" s="85"/>
    </row>
    <row r="1039" spans="9:13" x14ac:dyDescent="0.3">
      <c r="I1039" s="82"/>
      <c r="M1039" s="85"/>
    </row>
    <row r="1040" spans="9:13" x14ac:dyDescent="0.3">
      <c r="I1040" s="82"/>
      <c r="M1040" s="85"/>
    </row>
    <row r="1041" spans="9:13" x14ac:dyDescent="0.3">
      <c r="I1041" s="82"/>
      <c r="M1041" s="85"/>
    </row>
    <row r="1042" spans="9:13" x14ac:dyDescent="0.3">
      <c r="I1042" s="82"/>
      <c r="M1042" s="85"/>
    </row>
    <row r="1043" spans="9:13" x14ac:dyDescent="0.3">
      <c r="I1043" s="82"/>
      <c r="M1043" s="85"/>
    </row>
    <row r="1044" spans="9:13" x14ac:dyDescent="0.3">
      <c r="I1044" s="82"/>
      <c r="M1044" s="85"/>
    </row>
    <row r="1045" spans="9:13" x14ac:dyDescent="0.3">
      <c r="I1045" s="82"/>
      <c r="M1045" s="85"/>
    </row>
    <row r="1046" spans="9:13" x14ac:dyDescent="0.3">
      <c r="I1046" s="82"/>
      <c r="M1046" s="85"/>
    </row>
    <row r="1047" spans="9:13" x14ac:dyDescent="0.3">
      <c r="I1047" s="82"/>
      <c r="M1047" s="85"/>
    </row>
    <row r="1048" spans="9:13" x14ac:dyDescent="0.3">
      <c r="I1048" s="82"/>
      <c r="M1048" s="85"/>
    </row>
    <row r="1049" spans="9:13" x14ac:dyDescent="0.3">
      <c r="I1049" s="82"/>
      <c r="M1049" s="85"/>
    </row>
    <row r="1050" spans="9:13" x14ac:dyDescent="0.3">
      <c r="I1050" s="82"/>
      <c r="M1050" s="85"/>
    </row>
    <row r="1051" spans="9:13" x14ac:dyDescent="0.3">
      <c r="I1051" s="82"/>
      <c r="M1051" s="85"/>
    </row>
    <row r="1052" spans="9:13" x14ac:dyDescent="0.3">
      <c r="I1052" s="82"/>
      <c r="M1052" s="85"/>
    </row>
    <row r="1053" spans="9:13" x14ac:dyDescent="0.3">
      <c r="I1053" s="82"/>
      <c r="M1053" s="85"/>
    </row>
    <row r="1054" spans="9:13" x14ac:dyDescent="0.3">
      <c r="I1054" s="82"/>
      <c r="M1054" s="85"/>
    </row>
    <row r="1055" spans="9:13" x14ac:dyDescent="0.3">
      <c r="I1055" s="82"/>
      <c r="M1055" s="85"/>
    </row>
    <row r="1056" spans="9:13" x14ac:dyDescent="0.3">
      <c r="I1056" s="82"/>
      <c r="M1056" s="85"/>
    </row>
    <row r="1057" spans="9:13" x14ac:dyDescent="0.3">
      <c r="I1057" s="82"/>
      <c r="M1057" s="85"/>
    </row>
    <row r="1058" spans="9:13" x14ac:dyDescent="0.3">
      <c r="I1058" s="82"/>
      <c r="M1058" s="85"/>
    </row>
    <row r="1059" spans="9:13" x14ac:dyDescent="0.3">
      <c r="I1059" s="82"/>
      <c r="M1059" s="85"/>
    </row>
    <row r="1060" spans="9:13" x14ac:dyDescent="0.3">
      <c r="I1060" s="82"/>
      <c r="M1060" s="85"/>
    </row>
    <row r="1061" spans="9:13" x14ac:dyDescent="0.3">
      <c r="I1061" s="82"/>
      <c r="M1061" s="85"/>
    </row>
    <row r="1062" spans="9:13" x14ac:dyDescent="0.3">
      <c r="I1062" s="82"/>
      <c r="M1062" s="85"/>
    </row>
    <row r="1063" spans="9:13" x14ac:dyDescent="0.3">
      <c r="I1063" s="82"/>
      <c r="M1063" s="85"/>
    </row>
    <row r="1064" spans="9:13" x14ac:dyDescent="0.3">
      <c r="I1064" s="82"/>
      <c r="M1064" s="85"/>
    </row>
    <row r="1065" spans="9:13" x14ac:dyDescent="0.3">
      <c r="I1065" s="82"/>
      <c r="M1065" s="85"/>
    </row>
    <row r="1066" spans="9:13" x14ac:dyDescent="0.3">
      <c r="I1066" s="82"/>
      <c r="M1066" s="85"/>
    </row>
    <row r="1067" spans="9:13" x14ac:dyDescent="0.3">
      <c r="I1067" s="82"/>
      <c r="M1067" s="85"/>
    </row>
    <row r="1068" spans="9:13" x14ac:dyDescent="0.3">
      <c r="I1068" s="82"/>
      <c r="M1068" s="85"/>
    </row>
    <row r="1069" spans="9:13" x14ac:dyDescent="0.3">
      <c r="I1069" s="82"/>
      <c r="M1069" s="85"/>
    </row>
    <row r="1070" spans="9:13" x14ac:dyDescent="0.3">
      <c r="I1070" s="82"/>
      <c r="M1070" s="85"/>
    </row>
    <row r="1071" spans="9:13" x14ac:dyDescent="0.3">
      <c r="I1071" s="82"/>
      <c r="M1071" s="85"/>
    </row>
    <row r="1072" spans="9:13" x14ac:dyDescent="0.3">
      <c r="I1072" s="82"/>
      <c r="M1072" s="85"/>
    </row>
    <row r="1073" spans="9:13" x14ac:dyDescent="0.3">
      <c r="I1073" s="82"/>
      <c r="M1073" s="85"/>
    </row>
    <row r="1074" spans="9:13" x14ac:dyDescent="0.3">
      <c r="I1074" s="82"/>
      <c r="M1074" s="85"/>
    </row>
    <row r="1075" spans="9:13" x14ac:dyDescent="0.3">
      <c r="I1075" s="82"/>
      <c r="M1075" s="85"/>
    </row>
    <row r="1076" spans="9:13" x14ac:dyDescent="0.3">
      <c r="I1076" s="82"/>
      <c r="M1076" s="85"/>
    </row>
    <row r="1077" spans="9:13" x14ac:dyDescent="0.3">
      <c r="I1077" s="82"/>
      <c r="M1077" s="85"/>
    </row>
    <row r="1078" spans="9:13" x14ac:dyDescent="0.3">
      <c r="I1078" s="82"/>
      <c r="M1078" s="85"/>
    </row>
    <row r="1079" spans="9:13" x14ac:dyDescent="0.3">
      <c r="I1079" s="82"/>
      <c r="M1079" s="85"/>
    </row>
    <row r="1080" spans="9:13" x14ac:dyDescent="0.3">
      <c r="I1080" s="82"/>
      <c r="M1080" s="85"/>
    </row>
    <row r="1081" spans="9:13" x14ac:dyDescent="0.3">
      <c r="I1081" s="82"/>
      <c r="M1081" s="85"/>
    </row>
    <row r="1082" spans="9:13" x14ac:dyDescent="0.3">
      <c r="I1082" s="82"/>
      <c r="M1082" s="85"/>
    </row>
    <row r="1083" spans="9:13" x14ac:dyDescent="0.3">
      <c r="I1083" s="82"/>
      <c r="M1083" s="85"/>
    </row>
    <row r="1084" spans="9:13" x14ac:dyDescent="0.3">
      <c r="I1084" s="82"/>
      <c r="M1084" s="85"/>
    </row>
    <row r="1085" spans="9:13" x14ac:dyDescent="0.3">
      <c r="I1085" s="82"/>
      <c r="M1085" s="85"/>
    </row>
    <row r="1086" spans="9:13" x14ac:dyDescent="0.3">
      <c r="I1086" s="82"/>
      <c r="M1086" s="85"/>
    </row>
    <row r="1087" spans="9:13" x14ac:dyDescent="0.3">
      <c r="I1087" s="82"/>
      <c r="M1087" s="85"/>
    </row>
    <row r="1088" spans="9:13" x14ac:dyDescent="0.3">
      <c r="I1088" s="82"/>
      <c r="M1088" s="85"/>
    </row>
    <row r="1089" spans="9:13" x14ac:dyDescent="0.3">
      <c r="I1089" s="82"/>
      <c r="M1089" s="85"/>
    </row>
    <row r="1090" spans="9:13" x14ac:dyDescent="0.3">
      <c r="I1090" s="82"/>
      <c r="M1090" s="85"/>
    </row>
    <row r="1091" spans="9:13" x14ac:dyDescent="0.3">
      <c r="I1091" s="82"/>
      <c r="M1091" s="85"/>
    </row>
    <row r="1092" spans="9:13" x14ac:dyDescent="0.3">
      <c r="I1092" s="82"/>
      <c r="M1092" s="85"/>
    </row>
    <row r="1093" spans="9:13" x14ac:dyDescent="0.3">
      <c r="I1093" s="82"/>
      <c r="M1093" s="85"/>
    </row>
    <row r="1094" spans="9:13" x14ac:dyDescent="0.3">
      <c r="I1094" s="82"/>
      <c r="M1094" s="85"/>
    </row>
    <row r="1095" spans="9:13" x14ac:dyDescent="0.3">
      <c r="I1095" s="82"/>
      <c r="M1095" s="85"/>
    </row>
    <row r="1096" spans="9:13" x14ac:dyDescent="0.3">
      <c r="I1096" s="82"/>
      <c r="M1096" s="85"/>
    </row>
    <row r="1097" spans="9:13" x14ac:dyDescent="0.3">
      <c r="I1097" s="82"/>
      <c r="M1097" s="85"/>
    </row>
    <row r="1098" spans="9:13" x14ac:dyDescent="0.3">
      <c r="I1098" s="82"/>
      <c r="M1098" s="85"/>
    </row>
    <row r="1099" spans="9:13" x14ac:dyDescent="0.3">
      <c r="I1099" s="82"/>
      <c r="M1099" s="85"/>
    </row>
    <row r="1100" spans="9:13" x14ac:dyDescent="0.3">
      <c r="I1100" s="82"/>
      <c r="M1100" s="85"/>
    </row>
    <row r="1101" spans="9:13" x14ac:dyDescent="0.3">
      <c r="I1101" s="82"/>
      <c r="M1101" s="85"/>
    </row>
    <row r="1102" spans="9:13" x14ac:dyDescent="0.3">
      <c r="I1102" s="82"/>
      <c r="M1102" s="85"/>
    </row>
    <row r="1103" spans="9:13" x14ac:dyDescent="0.3">
      <c r="I1103" s="82"/>
      <c r="M1103" s="85"/>
    </row>
    <row r="1104" spans="9:13" x14ac:dyDescent="0.3">
      <c r="I1104" s="82"/>
      <c r="M1104" s="85"/>
    </row>
    <row r="1105" spans="9:13" x14ac:dyDescent="0.3">
      <c r="I1105" s="82"/>
      <c r="M1105" s="85"/>
    </row>
    <row r="1106" spans="9:13" x14ac:dyDescent="0.3">
      <c r="I1106" s="82"/>
      <c r="M1106" s="85"/>
    </row>
    <row r="1107" spans="9:13" x14ac:dyDescent="0.3">
      <c r="I1107" s="82"/>
      <c r="M1107" s="85"/>
    </row>
    <row r="1108" spans="9:13" x14ac:dyDescent="0.3">
      <c r="I1108" s="82"/>
      <c r="M1108" s="85"/>
    </row>
    <row r="1109" spans="9:13" x14ac:dyDescent="0.3">
      <c r="I1109" s="82"/>
      <c r="M1109" s="85"/>
    </row>
    <row r="1110" spans="9:13" x14ac:dyDescent="0.3">
      <c r="I1110" s="82"/>
      <c r="M1110" s="85"/>
    </row>
    <row r="1111" spans="9:13" x14ac:dyDescent="0.3">
      <c r="I1111" s="82"/>
      <c r="M1111" s="85"/>
    </row>
    <row r="1112" spans="9:13" x14ac:dyDescent="0.3">
      <c r="I1112" s="82"/>
      <c r="M1112" s="85"/>
    </row>
    <row r="1113" spans="9:13" x14ac:dyDescent="0.3">
      <c r="I1113" s="82"/>
      <c r="M1113" s="85"/>
    </row>
    <row r="1114" spans="9:13" x14ac:dyDescent="0.3">
      <c r="I1114" s="82"/>
      <c r="M1114" s="85"/>
    </row>
    <row r="1115" spans="9:13" x14ac:dyDescent="0.3">
      <c r="I1115" s="82"/>
      <c r="M1115" s="85"/>
    </row>
    <row r="1116" spans="9:13" x14ac:dyDescent="0.3">
      <c r="I1116" s="82"/>
      <c r="M1116" s="85"/>
    </row>
    <row r="1117" spans="9:13" x14ac:dyDescent="0.3">
      <c r="I1117" s="82"/>
      <c r="M1117" s="85"/>
    </row>
    <row r="1118" spans="9:13" x14ac:dyDescent="0.3">
      <c r="I1118" s="82"/>
      <c r="M1118" s="85"/>
    </row>
    <row r="1119" spans="9:13" x14ac:dyDescent="0.3">
      <c r="I1119" s="82"/>
      <c r="M1119" s="85"/>
    </row>
    <row r="1120" spans="9:13" x14ac:dyDescent="0.3">
      <c r="I1120" s="82"/>
      <c r="M1120" s="85"/>
    </row>
    <row r="1121" spans="9:13" x14ac:dyDescent="0.3">
      <c r="I1121" s="82"/>
      <c r="M1121" s="85"/>
    </row>
    <row r="1122" spans="9:13" x14ac:dyDescent="0.3">
      <c r="I1122" s="82"/>
      <c r="M1122" s="85"/>
    </row>
    <row r="1123" spans="9:13" x14ac:dyDescent="0.3">
      <c r="I1123" s="82"/>
      <c r="M1123" s="85"/>
    </row>
    <row r="1124" spans="9:13" x14ac:dyDescent="0.3">
      <c r="I1124" s="82"/>
      <c r="M1124" s="85"/>
    </row>
    <row r="1125" spans="9:13" x14ac:dyDescent="0.3">
      <c r="I1125" s="82"/>
      <c r="M1125" s="85"/>
    </row>
    <row r="1126" spans="9:13" x14ac:dyDescent="0.3">
      <c r="I1126" s="82"/>
      <c r="M1126" s="85"/>
    </row>
    <row r="1127" spans="9:13" x14ac:dyDescent="0.3">
      <c r="I1127" s="82"/>
      <c r="M1127" s="85"/>
    </row>
    <row r="1128" spans="9:13" x14ac:dyDescent="0.3">
      <c r="I1128" s="82"/>
      <c r="M1128" s="85"/>
    </row>
    <row r="1129" spans="9:13" x14ac:dyDescent="0.3">
      <c r="I1129" s="82"/>
      <c r="M1129" s="85"/>
    </row>
    <row r="1130" spans="9:13" x14ac:dyDescent="0.3">
      <c r="I1130" s="82"/>
      <c r="M1130" s="85"/>
    </row>
    <row r="1131" spans="9:13" x14ac:dyDescent="0.3">
      <c r="I1131" s="82"/>
      <c r="M1131" s="85"/>
    </row>
    <row r="1132" spans="9:13" x14ac:dyDescent="0.3">
      <c r="I1132" s="82"/>
      <c r="M1132" s="85"/>
    </row>
    <row r="1133" spans="9:13" x14ac:dyDescent="0.3">
      <c r="I1133" s="82"/>
      <c r="M1133" s="85"/>
    </row>
    <row r="1134" spans="9:13" x14ac:dyDescent="0.3">
      <c r="I1134" s="82"/>
      <c r="M1134" s="85"/>
    </row>
    <row r="1135" spans="9:13" x14ac:dyDescent="0.3">
      <c r="I1135" s="82"/>
      <c r="M1135" s="85"/>
    </row>
    <row r="1136" spans="9:13" x14ac:dyDescent="0.3">
      <c r="I1136" s="82"/>
      <c r="M1136" s="85"/>
    </row>
    <row r="1137" spans="9:13" x14ac:dyDescent="0.3">
      <c r="I1137" s="82"/>
      <c r="M1137" s="85"/>
    </row>
    <row r="1138" spans="9:13" x14ac:dyDescent="0.3">
      <c r="I1138" s="82"/>
      <c r="M1138" s="85"/>
    </row>
    <row r="1139" spans="9:13" x14ac:dyDescent="0.3">
      <c r="I1139" s="82"/>
      <c r="M1139" s="85"/>
    </row>
    <row r="1140" spans="9:13" x14ac:dyDescent="0.3">
      <c r="I1140" s="82"/>
      <c r="M1140" s="85"/>
    </row>
    <row r="1141" spans="9:13" x14ac:dyDescent="0.3">
      <c r="I1141" s="82"/>
      <c r="M1141" s="85"/>
    </row>
    <row r="1142" spans="9:13" x14ac:dyDescent="0.3">
      <c r="I1142" s="82"/>
      <c r="M1142" s="85"/>
    </row>
    <row r="1143" spans="9:13" x14ac:dyDescent="0.3">
      <c r="I1143" s="82"/>
      <c r="M1143" s="85"/>
    </row>
    <row r="1144" spans="9:13" x14ac:dyDescent="0.3">
      <c r="I1144" s="82"/>
      <c r="M1144" s="85"/>
    </row>
    <row r="1145" spans="9:13" x14ac:dyDescent="0.3">
      <c r="I1145" s="82"/>
      <c r="M1145" s="85"/>
    </row>
    <row r="1146" spans="9:13" x14ac:dyDescent="0.3">
      <c r="I1146" s="82"/>
      <c r="M1146" s="85"/>
    </row>
    <row r="1147" spans="9:13" x14ac:dyDescent="0.3">
      <c r="I1147" s="82"/>
      <c r="M1147" s="85"/>
    </row>
    <row r="1148" spans="9:13" x14ac:dyDescent="0.3">
      <c r="I1148" s="82"/>
      <c r="M1148" s="85"/>
    </row>
    <row r="1149" spans="9:13" x14ac:dyDescent="0.3">
      <c r="I1149" s="82"/>
      <c r="M1149" s="85"/>
    </row>
    <row r="1150" spans="9:13" x14ac:dyDescent="0.3">
      <c r="I1150" s="82"/>
      <c r="M1150" s="85"/>
    </row>
    <row r="1151" spans="9:13" x14ac:dyDescent="0.3">
      <c r="I1151" s="82"/>
      <c r="M1151" s="85"/>
    </row>
    <row r="1152" spans="9:13" x14ac:dyDescent="0.3">
      <c r="I1152" s="82"/>
      <c r="M1152" s="85"/>
    </row>
    <row r="1153" spans="9:13" x14ac:dyDescent="0.3">
      <c r="I1153" s="82"/>
      <c r="M1153" s="85"/>
    </row>
    <row r="1154" spans="9:13" x14ac:dyDescent="0.3">
      <c r="I1154" s="82"/>
      <c r="M1154" s="85"/>
    </row>
    <row r="1155" spans="9:13" x14ac:dyDescent="0.3">
      <c r="I1155" s="82"/>
      <c r="M1155" s="85"/>
    </row>
    <row r="1156" spans="9:13" x14ac:dyDescent="0.3">
      <c r="I1156" s="82"/>
      <c r="M1156" s="85"/>
    </row>
    <row r="1157" spans="9:13" x14ac:dyDescent="0.3">
      <c r="I1157" s="82"/>
      <c r="M1157" s="85"/>
    </row>
    <row r="1158" spans="9:13" x14ac:dyDescent="0.3">
      <c r="I1158" s="82"/>
      <c r="M1158" s="85"/>
    </row>
    <row r="1159" spans="9:13" x14ac:dyDescent="0.3">
      <c r="I1159" s="82"/>
      <c r="M1159" s="85"/>
    </row>
    <row r="1160" spans="9:13" x14ac:dyDescent="0.3">
      <c r="I1160" s="82"/>
      <c r="M1160" s="85"/>
    </row>
    <row r="1161" spans="9:13" x14ac:dyDescent="0.3">
      <c r="I1161" s="82"/>
      <c r="M1161" s="85"/>
    </row>
    <row r="1162" spans="9:13" x14ac:dyDescent="0.3">
      <c r="I1162" s="82"/>
      <c r="M1162" s="85"/>
    </row>
    <row r="1163" spans="9:13" x14ac:dyDescent="0.3">
      <c r="I1163" s="82"/>
      <c r="M1163" s="85"/>
    </row>
    <row r="1164" spans="9:13" x14ac:dyDescent="0.3">
      <c r="I1164" s="82"/>
      <c r="M1164" s="85"/>
    </row>
    <row r="1165" spans="9:13" x14ac:dyDescent="0.3">
      <c r="I1165" s="82"/>
      <c r="M1165" s="85"/>
    </row>
    <row r="1166" spans="9:13" x14ac:dyDescent="0.3">
      <c r="I1166" s="82"/>
      <c r="M1166" s="85"/>
    </row>
    <row r="1167" spans="9:13" x14ac:dyDescent="0.3">
      <c r="I1167" s="82"/>
      <c r="M1167" s="85"/>
    </row>
    <row r="1168" spans="9:13" x14ac:dyDescent="0.3">
      <c r="I1168" s="82"/>
      <c r="M1168" s="85"/>
    </row>
    <row r="1169" spans="9:13" x14ac:dyDescent="0.3">
      <c r="I1169" s="82"/>
      <c r="M1169" s="85"/>
    </row>
    <row r="1170" spans="9:13" x14ac:dyDescent="0.3">
      <c r="I1170" s="82"/>
      <c r="M1170" s="85"/>
    </row>
    <row r="1171" spans="9:13" x14ac:dyDescent="0.3">
      <c r="I1171" s="82"/>
      <c r="M1171" s="85"/>
    </row>
    <row r="1172" spans="9:13" x14ac:dyDescent="0.3">
      <c r="I1172" s="82"/>
      <c r="M1172" s="85"/>
    </row>
    <row r="1173" spans="9:13" x14ac:dyDescent="0.3">
      <c r="I1173" s="82"/>
      <c r="M1173" s="85"/>
    </row>
    <row r="1174" spans="9:13" x14ac:dyDescent="0.3">
      <c r="I1174" s="82"/>
      <c r="M1174" s="85"/>
    </row>
    <row r="1175" spans="9:13" x14ac:dyDescent="0.3">
      <c r="I1175" s="82"/>
      <c r="M1175" s="85"/>
    </row>
    <row r="1176" spans="9:13" x14ac:dyDescent="0.3">
      <c r="I1176" s="82"/>
      <c r="M1176" s="85"/>
    </row>
    <row r="1177" spans="9:13" x14ac:dyDescent="0.3">
      <c r="I1177" s="82"/>
      <c r="M1177" s="85"/>
    </row>
    <row r="1178" spans="9:13" x14ac:dyDescent="0.3">
      <c r="I1178" s="82"/>
      <c r="M1178" s="85"/>
    </row>
    <row r="1179" spans="9:13" x14ac:dyDescent="0.3">
      <c r="I1179" s="82"/>
      <c r="M1179" s="85"/>
    </row>
    <row r="1180" spans="9:13" x14ac:dyDescent="0.3">
      <c r="I1180" s="82"/>
      <c r="M1180" s="85"/>
    </row>
    <row r="1181" spans="9:13" x14ac:dyDescent="0.3">
      <c r="I1181" s="82"/>
      <c r="M1181" s="85"/>
    </row>
    <row r="1182" spans="9:13" x14ac:dyDescent="0.3">
      <c r="I1182" s="82"/>
      <c r="M1182" s="85"/>
    </row>
    <row r="1183" spans="9:13" x14ac:dyDescent="0.3">
      <c r="I1183" s="82"/>
      <c r="M1183" s="85"/>
    </row>
    <row r="1184" spans="9:13" x14ac:dyDescent="0.3">
      <c r="I1184" s="82"/>
      <c r="M1184" s="85"/>
    </row>
    <row r="1185" spans="9:13" x14ac:dyDescent="0.3">
      <c r="I1185" s="82"/>
      <c r="M1185" s="85"/>
    </row>
    <row r="1186" spans="9:13" x14ac:dyDescent="0.3">
      <c r="I1186" s="82"/>
      <c r="M1186" s="85"/>
    </row>
    <row r="1187" spans="9:13" x14ac:dyDescent="0.3">
      <c r="I1187" s="82"/>
      <c r="M1187" s="85"/>
    </row>
    <row r="1188" spans="9:13" x14ac:dyDescent="0.3">
      <c r="I1188" s="82"/>
      <c r="M1188" s="85"/>
    </row>
    <row r="1189" spans="9:13" x14ac:dyDescent="0.3">
      <c r="I1189" s="82"/>
      <c r="M1189" s="85"/>
    </row>
    <row r="1190" spans="9:13" x14ac:dyDescent="0.3">
      <c r="I1190" s="82"/>
      <c r="M1190" s="85"/>
    </row>
    <row r="1191" spans="9:13" x14ac:dyDescent="0.3">
      <c r="I1191" s="82"/>
      <c r="M1191" s="85"/>
    </row>
    <row r="1192" spans="9:13" x14ac:dyDescent="0.3">
      <c r="I1192" s="82"/>
      <c r="M1192" s="85"/>
    </row>
    <row r="1193" spans="9:13" x14ac:dyDescent="0.3">
      <c r="I1193" s="82"/>
      <c r="M1193" s="85"/>
    </row>
    <row r="1194" spans="9:13" x14ac:dyDescent="0.3">
      <c r="I1194" s="82"/>
      <c r="M1194" s="85"/>
    </row>
    <row r="1195" spans="9:13" x14ac:dyDescent="0.3">
      <c r="I1195" s="82"/>
      <c r="M1195" s="85"/>
    </row>
    <row r="1196" spans="9:13" x14ac:dyDescent="0.3">
      <c r="I1196" s="82"/>
      <c r="M1196" s="85"/>
    </row>
    <row r="1197" spans="9:13" x14ac:dyDescent="0.3">
      <c r="I1197" s="82"/>
      <c r="M1197" s="85"/>
    </row>
    <row r="1198" spans="9:13" x14ac:dyDescent="0.3">
      <c r="I1198" s="82"/>
      <c r="M1198" s="85"/>
    </row>
    <row r="1199" spans="9:13" x14ac:dyDescent="0.3">
      <c r="I1199" s="82"/>
      <c r="M1199" s="85"/>
    </row>
    <row r="1200" spans="9:13" x14ac:dyDescent="0.3">
      <c r="I1200" s="82"/>
      <c r="M1200" s="85"/>
    </row>
    <row r="1201" spans="9:13" x14ac:dyDescent="0.3">
      <c r="I1201" s="82"/>
      <c r="M1201" s="85"/>
    </row>
    <row r="1202" spans="9:13" x14ac:dyDescent="0.3">
      <c r="I1202" s="82"/>
      <c r="M1202" s="85"/>
    </row>
    <row r="1203" spans="9:13" x14ac:dyDescent="0.3">
      <c r="I1203" s="82"/>
      <c r="M1203" s="85"/>
    </row>
    <row r="1204" spans="9:13" x14ac:dyDescent="0.3">
      <c r="I1204" s="82"/>
      <c r="M1204" s="85"/>
    </row>
    <row r="1205" spans="9:13" x14ac:dyDescent="0.3">
      <c r="I1205" s="82"/>
      <c r="M1205" s="85"/>
    </row>
    <row r="1206" spans="9:13" x14ac:dyDescent="0.3">
      <c r="I1206" s="82"/>
      <c r="M1206" s="85"/>
    </row>
    <row r="1207" spans="9:13" x14ac:dyDescent="0.3">
      <c r="I1207" s="82"/>
      <c r="M1207" s="85"/>
    </row>
    <row r="1208" spans="9:13" x14ac:dyDescent="0.3">
      <c r="I1208" s="82"/>
      <c r="M1208" s="85"/>
    </row>
    <row r="1209" spans="9:13" x14ac:dyDescent="0.3">
      <c r="I1209" s="82"/>
      <c r="M1209" s="85"/>
    </row>
    <row r="1210" spans="9:13" x14ac:dyDescent="0.3">
      <c r="I1210" s="82"/>
      <c r="M1210" s="85"/>
    </row>
    <row r="1211" spans="9:13" x14ac:dyDescent="0.3">
      <c r="I1211" s="82"/>
      <c r="M1211" s="85"/>
    </row>
    <row r="1212" spans="9:13" x14ac:dyDescent="0.3">
      <c r="I1212" s="82"/>
      <c r="M1212" s="85"/>
    </row>
    <row r="1213" spans="9:13" x14ac:dyDescent="0.3">
      <c r="I1213" s="82"/>
      <c r="M1213" s="85"/>
    </row>
    <row r="1214" spans="9:13" x14ac:dyDescent="0.3">
      <c r="I1214" s="82"/>
      <c r="M1214" s="85"/>
    </row>
    <row r="1215" spans="9:13" x14ac:dyDescent="0.3">
      <c r="I1215" s="82"/>
      <c r="M1215" s="85"/>
    </row>
    <row r="1216" spans="9:13" x14ac:dyDescent="0.3">
      <c r="I1216" s="82"/>
      <c r="M1216" s="85"/>
    </row>
    <row r="1217" spans="9:13" x14ac:dyDescent="0.3">
      <c r="I1217" s="82"/>
      <c r="M1217" s="85"/>
    </row>
    <row r="1218" spans="9:13" x14ac:dyDescent="0.3">
      <c r="I1218" s="82"/>
      <c r="M1218" s="85"/>
    </row>
    <row r="1219" spans="9:13" x14ac:dyDescent="0.3">
      <c r="I1219" s="82"/>
      <c r="M1219" s="85"/>
    </row>
    <row r="1220" spans="9:13" x14ac:dyDescent="0.3">
      <c r="I1220" s="82"/>
      <c r="M1220" s="85"/>
    </row>
    <row r="1221" spans="9:13" x14ac:dyDescent="0.3">
      <c r="I1221" s="82"/>
      <c r="M1221" s="85"/>
    </row>
    <row r="1222" spans="9:13" x14ac:dyDescent="0.3">
      <c r="I1222" s="82"/>
      <c r="M1222" s="85"/>
    </row>
    <row r="1223" spans="9:13" x14ac:dyDescent="0.3">
      <c r="I1223" s="82"/>
      <c r="M1223" s="85"/>
    </row>
    <row r="1224" spans="9:13" x14ac:dyDescent="0.3">
      <c r="I1224" s="82"/>
      <c r="M1224" s="85"/>
    </row>
    <row r="1225" spans="9:13" x14ac:dyDescent="0.3">
      <c r="I1225" s="82"/>
      <c r="M1225" s="85"/>
    </row>
    <row r="1226" spans="9:13" x14ac:dyDescent="0.3">
      <c r="I1226" s="82"/>
      <c r="M1226" s="85"/>
    </row>
    <row r="1227" spans="9:13" x14ac:dyDescent="0.3">
      <c r="I1227" s="82"/>
      <c r="M1227" s="85"/>
    </row>
    <row r="1228" spans="9:13" x14ac:dyDescent="0.3">
      <c r="I1228" s="82"/>
      <c r="M1228" s="85"/>
    </row>
    <row r="1229" spans="9:13" x14ac:dyDescent="0.3">
      <c r="I1229" s="82"/>
      <c r="M1229" s="85"/>
    </row>
    <row r="1230" spans="9:13" x14ac:dyDescent="0.3">
      <c r="I1230" s="82"/>
      <c r="M1230" s="85"/>
    </row>
    <row r="1231" spans="9:13" x14ac:dyDescent="0.3">
      <c r="I1231" s="82"/>
      <c r="M1231" s="85"/>
    </row>
    <row r="1232" spans="9:13" x14ac:dyDescent="0.3">
      <c r="I1232" s="82"/>
      <c r="M1232" s="85"/>
    </row>
    <row r="1233" spans="9:13" x14ac:dyDescent="0.3">
      <c r="I1233" s="82"/>
      <c r="M1233" s="85"/>
    </row>
    <row r="1234" spans="9:13" x14ac:dyDescent="0.3">
      <c r="I1234" s="82"/>
      <c r="M1234" s="85"/>
    </row>
    <row r="1235" spans="9:13" x14ac:dyDescent="0.3">
      <c r="I1235" s="82"/>
      <c r="M1235" s="85"/>
    </row>
    <row r="1236" spans="9:13" x14ac:dyDescent="0.3">
      <c r="I1236" s="82"/>
      <c r="M1236" s="85"/>
    </row>
    <row r="1237" spans="9:13" x14ac:dyDescent="0.3">
      <c r="I1237" s="82"/>
      <c r="M1237" s="85"/>
    </row>
    <row r="1238" spans="9:13" x14ac:dyDescent="0.3">
      <c r="I1238" s="82"/>
      <c r="M1238" s="85"/>
    </row>
    <row r="1239" spans="9:13" x14ac:dyDescent="0.3">
      <c r="I1239" s="82"/>
      <c r="M1239" s="85"/>
    </row>
    <row r="1240" spans="9:13" x14ac:dyDescent="0.3">
      <c r="I1240" s="82"/>
      <c r="M1240" s="85"/>
    </row>
    <row r="1241" spans="9:13" x14ac:dyDescent="0.3">
      <c r="I1241" s="82"/>
      <c r="M1241" s="85"/>
    </row>
    <row r="1242" spans="9:13" x14ac:dyDescent="0.3">
      <c r="I1242" s="82"/>
      <c r="M1242" s="85"/>
    </row>
    <row r="1243" spans="9:13" x14ac:dyDescent="0.3">
      <c r="I1243" s="82"/>
      <c r="M1243" s="85"/>
    </row>
    <row r="1244" spans="9:13" x14ac:dyDescent="0.3">
      <c r="I1244" s="82"/>
      <c r="M1244" s="85"/>
    </row>
    <row r="1245" spans="9:13" x14ac:dyDescent="0.3">
      <c r="I1245" s="82"/>
      <c r="M1245" s="85"/>
    </row>
    <row r="1246" spans="9:13" x14ac:dyDescent="0.3">
      <c r="I1246" s="82"/>
      <c r="M1246" s="85"/>
    </row>
    <row r="1247" spans="9:13" x14ac:dyDescent="0.3">
      <c r="I1247" s="82"/>
      <c r="M1247" s="85"/>
    </row>
    <row r="1248" spans="9:13" x14ac:dyDescent="0.3">
      <c r="I1248" s="82"/>
      <c r="M1248" s="85"/>
    </row>
    <row r="1249" spans="9:13" x14ac:dyDescent="0.3">
      <c r="I1249" s="82"/>
      <c r="M1249" s="85"/>
    </row>
    <row r="1250" spans="9:13" x14ac:dyDescent="0.3">
      <c r="I1250" s="82"/>
      <c r="M1250" s="85"/>
    </row>
    <row r="1251" spans="9:13" x14ac:dyDescent="0.3">
      <c r="I1251" s="82"/>
      <c r="M1251" s="85"/>
    </row>
    <row r="1252" spans="9:13" x14ac:dyDescent="0.3">
      <c r="I1252" s="82"/>
      <c r="M1252" s="85"/>
    </row>
    <row r="1253" spans="9:13" x14ac:dyDescent="0.3">
      <c r="I1253" s="82"/>
      <c r="M1253" s="85"/>
    </row>
    <row r="1254" spans="9:13" x14ac:dyDescent="0.3">
      <c r="I1254" s="82"/>
      <c r="M1254" s="85"/>
    </row>
    <row r="1255" spans="9:13" x14ac:dyDescent="0.3">
      <c r="I1255" s="82"/>
      <c r="M1255" s="85"/>
    </row>
    <row r="1256" spans="9:13" x14ac:dyDescent="0.3">
      <c r="I1256" s="82"/>
      <c r="M1256" s="85"/>
    </row>
    <row r="1257" spans="9:13" x14ac:dyDescent="0.3">
      <c r="I1257" s="82"/>
      <c r="M1257" s="85"/>
    </row>
    <row r="1258" spans="9:13" x14ac:dyDescent="0.3">
      <c r="I1258" s="82"/>
      <c r="M1258" s="85"/>
    </row>
    <row r="1259" spans="9:13" x14ac:dyDescent="0.3">
      <c r="I1259" s="82"/>
      <c r="M1259" s="85"/>
    </row>
    <row r="1260" spans="9:13" x14ac:dyDescent="0.3">
      <c r="I1260" s="82"/>
      <c r="M1260" s="85"/>
    </row>
    <row r="1261" spans="9:13" x14ac:dyDescent="0.3">
      <c r="I1261" s="82"/>
      <c r="M1261" s="85"/>
    </row>
    <row r="1262" spans="9:13" x14ac:dyDescent="0.3">
      <c r="I1262" s="82"/>
      <c r="M1262" s="85"/>
    </row>
    <row r="1263" spans="9:13" x14ac:dyDescent="0.3">
      <c r="I1263" s="82"/>
      <c r="M1263" s="85"/>
    </row>
    <row r="1264" spans="9:13" x14ac:dyDescent="0.3">
      <c r="I1264" s="82"/>
      <c r="M1264" s="85"/>
    </row>
    <row r="1265" spans="9:13" x14ac:dyDescent="0.3">
      <c r="I1265" s="82"/>
      <c r="M1265" s="85"/>
    </row>
    <row r="1266" spans="9:13" x14ac:dyDescent="0.3">
      <c r="I1266" s="82"/>
      <c r="M1266" s="85"/>
    </row>
    <row r="1267" spans="9:13" x14ac:dyDescent="0.3">
      <c r="I1267" s="82"/>
      <c r="M1267" s="85"/>
    </row>
    <row r="1268" spans="9:13" x14ac:dyDescent="0.3">
      <c r="I1268" s="82"/>
      <c r="M1268" s="85"/>
    </row>
    <row r="1269" spans="9:13" x14ac:dyDescent="0.3">
      <c r="I1269" s="82"/>
      <c r="M1269" s="85"/>
    </row>
    <row r="1270" spans="9:13" x14ac:dyDescent="0.3">
      <c r="I1270" s="82"/>
      <c r="M1270" s="85"/>
    </row>
    <row r="1271" spans="9:13" x14ac:dyDescent="0.3">
      <c r="I1271" s="82"/>
      <c r="M1271" s="85"/>
    </row>
    <row r="1272" spans="9:13" x14ac:dyDescent="0.3">
      <c r="I1272" s="82"/>
      <c r="M1272" s="85"/>
    </row>
    <row r="1273" spans="9:13" x14ac:dyDescent="0.3">
      <c r="I1273" s="82"/>
      <c r="M1273" s="85"/>
    </row>
    <row r="1274" spans="9:13" x14ac:dyDescent="0.3">
      <c r="I1274" s="82"/>
      <c r="M1274" s="85"/>
    </row>
    <row r="1275" spans="9:13" x14ac:dyDescent="0.3">
      <c r="I1275" s="82"/>
      <c r="M1275" s="85"/>
    </row>
    <row r="1276" spans="9:13" x14ac:dyDescent="0.3">
      <c r="I1276" s="82"/>
      <c r="M1276" s="85"/>
    </row>
    <row r="1277" spans="9:13" x14ac:dyDescent="0.3">
      <c r="I1277" s="82"/>
      <c r="M1277" s="85"/>
    </row>
    <row r="1278" spans="9:13" x14ac:dyDescent="0.3">
      <c r="I1278" s="82"/>
      <c r="M1278" s="85"/>
    </row>
    <row r="1279" spans="9:13" x14ac:dyDescent="0.3">
      <c r="I1279" s="82"/>
      <c r="M1279" s="85"/>
    </row>
    <row r="1280" spans="9:13" x14ac:dyDescent="0.3">
      <c r="I1280" s="82"/>
      <c r="M1280" s="85"/>
    </row>
    <row r="1281" spans="9:13" x14ac:dyDescent="0.3">
      <c r="I1281" s="82"/>
      <c r="M1281" s="85"/>
    </row>
    <row r="1282" spans="9:13" x14ac:dyDescent="0.3">
      <c r="I1282" s="82"/>
      <c r="M1282" s="85"/>
    </row>
    <row r="1283" spans="9:13" x14ac:dyDescent="0.3">
      <c r="I1283" s="82"/>
      <c r="M1283" s="85"/>
    </row>
    <row r="1284" spans="9:13" x14ac:dyDescent="0.3">
      <c r="I1284" s="82"/>
      <c r="M1284" s="85"/>
    </row>
    <row r="1285" spans="9:13" x14ac:dyDescent="0.3">
      <c r="I1285" s="82"/>
      <c r="M1285" s="85"/>
    </row>
    <row r="1286" spans="9:13" x14ac:dyDescent="0.3">
      <c r="I1286" s="82"/>
      <c r="M1286" s="85"/>
    </row>
    <row r="1287" spans="9:13" x14ac:dyDescent="0.3">
      <c r="I1287" s="82"/>
      <c r="M1287" s="85"/>
    </row>
    <row r="1288" spans="9:13" x14ac:dyDescent="0.3">
      <c r="I1288" s="82"/>
      <c r="M1288" s="85"/>
    </row>
    <row r="1289" spans="9:13" x14ac:dyDescent="0.3">
      <c r="I1289" s="82"/>
      <c r="M1289" s="85"/>
    </row>
    <row r="1290" spans="9:13" x14ac:dyDescent="0.3">
      <c r="I1290" s="82"/>
      <c r="M1290" s="85"/>
    </row>
    <row r="1291" spans="9:13" x14ac:dyDescent="0.3">
      <c r="I1291" s="82"/>
      <c r="M1291" s="85"/>
    </row>
    <row r="1292" spans="9:13" x14ac:dyDescent="0.3">
      <c r="I1292" s="82"/>
      <c r="M1292" s="85"/>
    </row>
    <row r="1293" spans="9:13" x14ac:dyDescent="0.3">
      <c r="I1293" s="82"/>
      <c r="M1293" s="85"/>
    </row>
    <row r="1294" spans="9:13" x14ac:dyDescent="0.3">
      <c r="I1294" s="82"/>
      <c r="M1294" s="85"/>
    </row>
    <row r="1295" spans="9:13" x14ac:dyDescent="0.3">
      <c r="I1295" s="82"/>
      <c r="M1295" s="85"/>
    </row>
    <row r="1296" spans="9:13" x14ac:dyDescent="0.3">
      <c r="I1296" s="82"/>
      <c r="M1296" s="85"/>
    </row>
    <row r="1297" spans="9:13" x14ac:dyDescent="0.3">
      <c r="I1297" s="82"/>
      <c r="M1297" s="85"/>
    </row>
    <row r="1298" spans="9:13" x14ac:dyDescent="0.3">
      <c r="I1298" s="82"/>
      <c r="M1298" s="85"/>
    </row>
    <row r="1299" spans="9:13" x14ac:dyDescent="0.3">
      <c r="I1299" s="82"/>
      <c r="M1299" s="85"/>
    </row>
    <row r="1300" spans="9:13" x14ac:dyDescent="0.3">
      <c r="I1300" s="82"/>
      <c r="M1300" s="85"/>
    </row>
    <row r="1301" spans="9:13" x14ac:dyDescent="0.3">
      <c r="I1301" s="82"/>
      <c r="M1301" s="85"/>
    </row>
    <row r="1302" spans="9:13" x14ac:dyDescent="0.3">
      <c r="I1302" s="82"/>
      <c r="M1302" s="85"/>
    </row>
    <row r="1303" spans="9:13" x14ac:dyDescent="0.3">
      <c r="I1303" s="82"/>
      <c r="M1303" s="85"/>
    </row>
    <row r="1304" spans="9:13" x14ac:dyDescent="0.3">
      <c r="I1304" s="82"/>
      <c r="M1304" s="85"/>
    </row>
    <row r="1305" spans="9:13" x14ac:dyDescent="0.3">
      <c r="I1305" s="82"/>
      <c r="M1305" s="85"/>
    </row>
    <row r="1306" spans="9:13" x14ac:dyDescent="0.3">
      <c r="I1306" s="82"/>
      <c r="M1306" s="85"/>
    </row>
    <row r="1307" spans="9:13" x14ac:dyDescent="0.3">
      <c r="I1307" s="82"/>
      <c r="M1307" s="85"/>
    </row>
    <row r="1308" spans="9:13" x14ac:dyDescent="0.3">
      <c r="I1308" s="82"/>
      <c r="M1308" s="85"/>
    </row>
    <row r="1309" spans="9:13" x14ac:dyDescent="0.3">
      <c r="I1309" s="82"/>
      <c r="M1309" s="85"/>
    </row>
    <row r="1310" spans="9:13" x14ac:dyDescent="0.3">
      <c r="I1310" s="82"/>
      <c r="M1310" s="85"/>
    </row>
    <row r="1311" spans="9:13" x14ac:dyDescent="0.3">
      <c r="I1311" s="82"/>
      <c r="M1311" s="85"/>
    </row>
    <row r="1312" spans="9:13" x14ac:dyDescent="0.3">
      <c r="I1312" s="82"/>
      <c r="M1312" s="85"/>
    </row>
    <row r="1313" spans="9:13" x14ac:dyDescent="0.3">
      <c r="I1313" s="82"/>
      <c r="M1313" s="85"/>
    </row>
    <row r="1314" spans="9:13" x14ac:dyDescent="0.3">
      <c r="I1314" s="82"/>
      <c r="M1314" s="85"/>
    </row>
    <row r="1315" spans="9:13" x14ac:dyDescent="0.3">
      <c r="I1315" s="82"/>
      <c r="M1315" s="85"/>
    </row>
    <row r="1316" spans="9:13" x14ac:dyDescent="0.3">
      <c r="I1316" s="82"/>
      <c r="M1316" s="85"/>
    </row>
    <row r="1317" spans="9:13" x14ac:dyDescent="0.3">
      <c r="I1317" s="82"/>
      <c r="M1317" s="85"/>
    </row>
    <row r="1318" spans="9:13" x14ac:dyDescent="0.3">
      <c r="I1318" s="82"/>
      <c r="M1318" s="85"/>
    </row>
    <row r="1319" spans="9:13" x14ac:dyDescent="0.3">
      <c r="I1319" s="82"/>
      <c r="M1319" s="85"/>
    </row>
    <row r="1320" spans="9:13" x14ac:dyDescent="0.3">
      <c r="I1320" s="82"/>
      <c r="M1320" s="85"/>
    </row>
    <row r="1321" spans="9:13" x14ac:dyDescent="0.3">
      <c r="I1321" s="82"/>
      <c r="M1321" s="85"/>
    </row>
    <row r="1322" spans="9:13" x14ac:dyDescent="0.3">
      <c r="I1322" s="82"/>
      <c r="M1322" s="85"/>
    </row>
    <row r="1323" spans="9:13" x14ac:dyDescent="0.3">
      <c r="I1323" s="82"/>
      <c r="M1323" s="85"/>
    </row>
    <row r="1324" spans="9:13" x14ac:dyDescent="0.3">
      <c r="I1324" s="82"/>
      <c r="M1324" s="85"/>
    </row>
    <row r="1325" spans="9:13" x14ac:dyDescent="0.3">
      <c r="I1325" s="82"/>
      <c r="M1325" s="85"/>
    </row>
    <row r="1326" spans="9:13" x14ac:dyDescent="0.3">
      <c r="I1326" s="82"/>
      <c r="M1326" s="85"/>
    </row>
    <row r="1327" spans="9:13" x14ac:dyDescent="0.3">
      <c r="I1327" s="82"/>
      <c r="M1327" s="85"/>
    </row>
    <row r="1328" spans="9:13" x14ac:dyDescent="0.3">
      <c r="I1328" s="82"/>
      <c r="M1328" s="85"/>
    </row>
    <row r="1329" spans="9:13" x14ac:dyDescent="0.3">
      <c r="I1329" s="82"/>
      <c r="M1329" s="85"/>
    </row>
    <row r="1330" spans="9:13" x14ac:dyDescent="0.3">
      <c r="I1330" s="82"/>
      <c r="M1330" s="85"/>
    </row>
    <row r="1331" spans="9:13" x14ac:dyDescent="0.3">
      <c r="I1331" s="82"/>
      <c r="M1331" s="85"/>
    </row>
    <row r="1332" spans="9:13" x14ac:dyDescent="0.3">
      <c r="I1332" s="82"/>
      <c r="M1332" s="85"/>
    </row>
    <row r="1333" spans="9:13" x14ac:dyDescent="0.3">
      <c r="I1333" s="82"/>
      <c r="M1333" s="85"/>
    </row>
    <row r="1334" spans="9:13" x14ac:dyDescent="0.3">
      <c r="I1334" s="82"/>
      <c r="M1334" s="85"/>
    </row>
    <row r="1335" spans="9:13" x14ac:dyDescent="0.3">
      <c r="I1335" s="82"/>
      <c r="M1335" s="85"/>
    </row>
    <row r="1336" spans="9:13" x14ac:dyDescent="0.3">
      <c r="I1336" s="82"/>
      <c r="M1336" s="85"/>
    </row>
    <row r="1337" spans="9:13" x14ac:dyDescent="0.3">
      <c r="I1337" s="82"/>
      <c r="M1337" s="85"/>
    </row>
    <row r="1338" spans="9:13" x14ac:dyDescent="0.3">
      <c r="I1338" s="82"/>
      <c r="M1338" s="85"/>
    </row>
    <row r="1339" spans="9:13" x14ac:dyDescent="0.3">
      <c r="I1339" s="82"/>
      <c r="M1339" s="85"/>
    </row>
    <row r="1340" spans="9:13" x14ac:dyDescent="0.3">
      <c r="I1340" s="82"/>
      <c r="M1340" s="85"/>
    </row>
    <row r="1341" spans="9:13" x14ac:dyDescent="0.3">
      <c r="I1341" s="82"/>
      <c r="M1341" s="85"/>
    </row>
    <row r="1342" spans="9:13" x14ac:dyDescent="0.3">
      <c r="I1342" s="82"/>
      <c r="M1342" s="85"/>
    </row>
    <row r="1343" spans="9:13" x14ac:dyDescent="0.3">
      <c r="I1343" s="82"/>
      <c r="M1343" s="85"/>
    </row>
    <row r="1344" spans="9:13" x14ac:dyDescent="0.3">
      <c r="I1344" s="82"/>
      <c r="M1344" s="85"/>
    </row>
    <row r="1345" spans="9:13" x14ac:dyDescent="0.3">
      <c r="I1345" s="82"/>
      <c r="M1345" s="85"/>
    </row>
    <row r="1346" spans="9:13" x14ac:dyDescent="0.3">
      <c r="I1346" s="82"/>
      <c r="M1346" s="85"/>
    </row>
    <row r="1347" spans="9:13" x14ac:dyDescent="0.3">
      <c r="I1347" s="82"/>
      <c r="M1347" s="85"/>
    </row>
    <row r="1348" spans="9:13" x14ac:dyDescent="0.3">
      <c r="I1348" s="82"/>
      <c r="M1348" s="85"/>
    </row>
    <row r="1349" spans="9:13" x14ac:dyDescent="0.3">
      <c r="I1349" s="82"/>
      <c r="M1349" s="85"/>
    </row>
    <row r="1350" spans="9:13" x14ac:dyDescent="0.3">
      <c r="I1350" s="82"/>
      <c r="M1350" s="85"/>
    </row>
    <row r="1351" spans="9:13" x14ac:dyDescent="0.3">
      <c r="I1351" s="82"/>
      <c r="M1351" s="85"/>
    </row>
    <row r="1352" spans="9:13" x14ac:dyDescent="0.3">
      <c r="I1352" s="82"/>
      <c r="M1352" s="85"/>
    </row>
    <row r="1353" spans="9:13" x14ac:dyDescent="0.3">
      <c r="I1353" s="82"/>
      <c r="M1353" s="85"/>
    </row>
    <row r="1354" spans="9:13" x14ac:dyDescent="0.3">
      <c r="I1354" s="82"/>
      <c r="M1354" s="85"/>
    </row>
    <row r="1355" spans="9:13" x14ac:dyDescent="0.3">
      <c r="I1355" s="82"/>
      <c r="M1355" s="85"/>
    </row>
    <row r="1356" spans="9:13" x14ac:dyDescent="0.3">
      <c r="I1356" s="82"/>
      <c r="M1356" s="85"/>
    </row>
    <row r="1357" spans="9:13" x14ac:dyDescent="0.3">
      <c r="I1357" s="82"/>
      <c r="M1357" s="85"/>
    </row>
    <row r="1358" spans="9:13" x14ac:dyDescent="0.3">
      <c r="I1358" s="82"/>
      <c r="M1358" s="85"/>
    </row>
    <row r="1359" spans="9:13" x14ac:dyDescent="0.3">
      <c r="I1359" s="82"/>
      <c r="M1359" s="85"/>
    </row>
    <row r="1360" spans="9:13" x14ac:dyDescent="0.3">
      <c r="I1360" s="82"/>
      <c r="M1360" s="85"/>
    </row>
    <row r="1361" spans="9:13" x14ac:dyDescent="0.3">
      <c r="I1361" s="82"/>
      <c r="M1361" s="85"/>
    </row>
    <row r="1362" spans="9:13" x14ac:dyDescent="0.3">
      <c r="I1362" s="82"/>
      <c r="M1362" s="85"/>
    </row>
    <row r="1363" spans="9:13" x14ac:dyDescent="0.3">
      <c r="I1363" s="82"/>
      <c r="M1363" s="85"/>
    </row>
    <row r="1364" spans="9:13" x14ac:dyDescent="0.3">
      <c r="I1364" s="82"/>
      <c r="M1364" s="85"/>
    </row>
    <row r="1365" spans="9:13" x14ac:dyDescent="0.3">
      <c r="I1365" s="82"/>
      <c r="M1365" s="85"/>
    </row>
    <row r="1366" spans="9:13" x14ac:dyDescent="0.3">
      <c r="I1366" s="82"/>
      <c r="M1366" s="85"/>
    </row>
    <row r="1367" spans="9:13" x14ac:dyDescent="0.3">
      <c r="I1367" s="82"/>
      <c r="M1367" s="85"/>
    </row>
    <row r="1368" spans="9:13" x14ac:dyDescent="0.3">
      <c r="I1368" s="82"/>
      <c r="M1368" s="85"/>
    </row>
    <row r="1369" spans="9:13" x14ac:dyDescent="0.3">
      <c r="I1369" s="82"/>
      <c r="M1369" s="85"/>
    </row>
    <row r="1370" spans="9:13" x14ac:dyDescent="0.3">
      <c r="I1370" s="82"/>
      <c r="M1370" s="85"/>
    </row>
    <row r="1371" spans="9:13" x14ac:dyDescent="0.3">
      <c r="I1371" s="82"/>
      <c r="M1371" s="85"/>
    </row>
    <row r="1372" spans="9:13" x14ac:dyDescent="0.3">
      <c r="I1372" s="82"/>
      <c r="M1372" s="85"/>
    </row>
    <row r="1373" spans="9:13" x14ac:dyDescent="0.3">
      <c r="I1373" s="82"/>
      <c r="M1373" s="85"/>
    </row>
    <row r="1374" spans="9:13" x14ac:dyDescent="0.3">
      <c r="I1374" s="82"/>
      <c r="M1374" s="85"/>
    </row>
    <row r="1375" spans="9:13" x14ac:dyDescent="0.3">
      <c r="I1375" s="82"/>
      <c r="M1375" s="85"/>
    </row>
    <row r="1376" spans="9:13" x14ac:dyDescent="0.3">
      <c r="I1376" s="82"/>
      <c r="M1376" s="85"/>
    </row>
    <row r="1377" spans="9:13" x14ac:dyDescent="0.3">
      <c r="I1377" s="82"/>
      <c r="M1377" s="85"/>
    </row>
    <row r="1378" spans="9:13" x14ac:dyDescent="0.3">
      <c r="I1378" s="82"/>
      <c r="M1378" s="85"/>
    </row>
    <row r="1379" spans="9:13" x14ac:dyDescent="0.3">
      <c r="I1379" s="82"/>
      <c r="M1379" s="85"/>
    </row>
    <row r="1380" spans="9:13" x14ac:dyDescent="0.3">
      <c r="I1380" s="82"/>
      <c r="M1380" s="85"/>
    </row>
    <row r="1381" spans="9:13" x14ac:dyDescent="0.3">
      <c r="I1381" s="82"/>
      <c r="M1381" s="85"/>
    </row>
    <row r="1382" spans="9:13" x14ac:dyDescent="0.3">
      <c r="I1382" s="82"/>
      <c r="M1382" s="85"/>
    </row>
    <row r="1383" spans="9:13" x14ac:dyDescent="0.3">
      <c r="I1383" s="82"/>
      <c r="M1383" s="85"/>
    </row>
    <row r="1384" spans="9:13" x14ac:dyDescent="0.3">
      <c r="I1384" s="82"/>
      <c r="M1384" s="85"/>
    </row>
    <row r="1385" spans="9:13" x14ac:dyDescent="0.3">
      <c r="I1385" s="82"/>
      <c r="M1385" s="85"/>
    </row>
    <row r="1386" spans="9:13" x14ac:dyDescent="0.3">
      <c r="I1386" s="82"/>
      <c r="M1386" s="85"/>
    </row>
    <row r="1387" spans="9:13" x14ac:dyDescent="0.3">
      <c r="I1387" s="82"/>
      <c r="M1387" s="85"/>
    </row>
    <row r="1388" spans="9:13" x14ac:dyDescent="0.3">
      <c r="I1388" s="82"/>
      <c r="M1388" s="85"/>
    </row>
    <row r="1389" spans="9:13" x14ac:dyDescent="0.3">
      <c r="I1389" s="82"/>
      <c r="M1389" s="85"/>
    </row>
    <row r="1390" spans="9:13" x14ac:dyDescent="0.3">
      <c r="I1390" s="82"/>
      <c r="M1390" s="85"/>
    </row>
    <row r="1391" spans="9:13" x14ac:dyDescent="0.3">
      <c r="I1391" s="82"/>
      <c r="M1391" s="85"/>
    </row>
    <row r="1392" spans="9:13" x14ac:dyDescent="0.3">
      <c r="I1392" s="82"/>
      <c r="M1392" s="85"/>
    </row>
    <row r="1393" spans="9:13" x14ac:dyDescent="0.3">
      <c r="I1393" s="82"/>
      <c r="M1393" s="85"/>
    </row>
    <row r="1394" spans="9:13" x14ac:dyDescent="0.3">
      <c r="I1394" s="82"/>
      <c r="M1394" s="85"/>
    </row>
    <row r="1395" spans="9:13" x14ac:dyDescent="0.3">
      <c r="I1395" s="82"/>
      <c r="M1395" s="85"/>
    </row>
    <row r="1396" spans="9:13" x14ac:dyDescent="0.3">
      <c r="I1396" s="82"/>
      <c r="M1396" s="85"/>
    </row>
    <row r="1397" spans="9:13" x14ac:dyDescent="0.3">
      <c r="I1397" s="82"/>
      <c r="M1397" s="85"/>
    </row>
    <row r="1398" spans="9:13" x14ac:dyDescent="0.3">
      <c r="I1398" s="82"/>
      <c r="M1398" s="85"/>
    </row>
    <row r="1399" spans="9:13" x14ac:dyDescent="0.3">
      <c r="I1399" s="82"/>
      <c r="M1399" s="85"/>
    </row>
    <row r="1400" spans="9:13" x14ac:dyDescent="0.3">
      <c r="I1400" s="82"/>
      <c r="M1400" s="85"/>
    </row>
    <row r="1401" spans="9:13" x14ac:dyDescent="0.3">
      <c r="I1401" s="82"/>
      <c r="M1401" s="85"/>
    </row>
    <row r="1402" spans="9:13" x14ac:dyDescent="0.3">
      <c r="I1402" s="82"/>
      <c r="M1402" s="85"/>
    </row>
    <row r="1403" spans="9:13" x14ac:dyDescent="0.3">
      <c r="I1403" s="82"/>
      <c r="M1403" s="85"/>
    </row>
    <row r="1404" spans="9:13" x14ac:dyDescent="0.3">
      <c r="I1404" s="82"/>
      <c r="M1404" s="85"/>
    </row>
    <row r="1405" spans="9:13" x14ac:dyDescent="0.3">
      <c r="I1405" s="82"/>
      <c r="M1405" s="85"/>
    </row>
    <row r="1406" spans="9:13" x14ac:dyDescent="0.3">
      <c r="I1406" s="82"/>
      <c r="M1406" s="85"/>
    </row>
    <row r="1407" spans="9:13" x14ac:dyDescent="0.3">
      <c r="I1407" s="82"/>
      <c r="M1407" s="85"/>
    </row>
    <row r="1408" spans="9:13" x14ac:dyDescent="0.3">
      <c r="I1408" s="82"/>
      <c r="M1408" s="85"/>
    </row>
    <row r="1409" spans="9:13" x14ac:dyDescent="0.3">
      <c r="I1409" s="82"/>
      <c r="M1409" s="85"/>
    </row>
    <row r="1410" spans="9:13" x14ac:dyDescent="0.3">
      <c r="I1410" s="82"/>
      <c r="M1410" s="85"/>
    </row>
    <row r="1411" spans="9:13" x14ac:dyDescent="0.3">
      <c r="I1411" s="82"/>
      <c r="M1411" s="85"/>
    </row>
    <row r="1412" spans="9:13" x14ac:dyDescent="0.3">
      <c r="I1412" s="82"/>
      <c r="M1412" s="85"/>
    </row>
    <row r="1413" spans="9:13" x14ac:dyDescent="0.3">
      <c r="I1413" s="82"/>
      <c r="M1413" s="85"/>
    </row>
    <row r="1414" spans="9:13" x14ac:dyDescent="0.3">
      <c r="I1414" s="82"/>
      <c r="M1414" s="85"/>
    </row>
    <row r="1415" spans="9:13" x14ac:dyDescent="0.3">
      <c r="I1415" s="82"/>
      <c r="M1415" s="85"/>
    </row>
    <row r="1416" spans="9:13" x14ac:dyDescent="0.3">
      <c r="I1416" s="82"/>
      <c r="M1416" s="85"/>
    </row>
    <row r="1417" spans="9:13" x14ac:dyDescent="0.3">
      <c r="I1417" s="82"/>
      <c r="M1417" s="85"/>
    </row>
    <row r="1418" spans="9:13" x14ac:dyDescent="0.3">
      <c r="I1418" s="82"/>
      <c r="M1418" s="85"/>
    </row>
    <row r="1419" spans="9:13" x14ac:dyDescent="0.3">
      <c r="I1419" s="82"/>
      <c r="M1419" s="85"/>
    </row>
    <row r="1420" spans="9:13" x14ac:dyDescent="0.3">
      <c r="I1420" s="82"/>
      <c r="M1420" s="85"/>
    </row>
    <row r="1421" spans="9:13" x14ac:dyDescent="0.3">
      <c r="I1421" s="82"/>
      <c r="M1421" s="85"/>
    </row>
    <row r="1422" spans="9:13" x14ac:dyDescent="0.3">
      <c r="I1422" s="82"/>
      <c r="M1422" s="85"/>
    </row>
    <row r="1423" spans="9:13" x14ac:dyDescent="0.3">
      <c r="I1423" s="82"/>
      <c r="M1423" s="85"/>
    </row>
    <row r="1424" spans="9:13" x14ac:dyDescent="0.3">
      <c r="I1424" s="82"/>
      <c r="M1424" s="85"/>
    </row>
    <row r="1425" spans="9:13" x14ac:dyDescent="0.3">
      <c r="I1425" s="82"/>
      <c r="M1425" s="85"/>
    </row>
    <row r="1426" spans="9:13" x14ac:dyDescent="0.3">
      <c r="I1426" s="82"/>
      <c r="M1426" s="85"/>
    </row>
    <row r="1427" spans="9:13" x14ac:dyDescent="0.3">
      <c r="I1427" s="82"/>
      <c r="M1427" s="85"/>
    </row>
    <row r="1428" spans="9:13" x14ac:dyDescent="0.3">
      <c r="I1428" s="82"/>
      <c r="M1428" s="85"/>
    </row>
    <row r="1429" spans="9:13" x14ac:dyDescent="0.3">
      <c r="I1429" s="82"/>
      <c r="M1429" s="85"/>
    </row>
    <row r="1430" spans="9:13" x14ac:dyDescent="0.3">
      <c r="I1430" s="82"/>
      <c r="M1430" s="85"/>
    </row>
    <row r="1431" spans="9:13" x14ac:dyDescent="0.3">
      <c r="I1431" s="82"/>
      <c r="M1431" s="85"/>
    </row>
    <row r="1432" spans="9:13" x14ac:dyDescent="0.3">
      <c r="I1432" s="82"/>
      <c r="M1432" s="85"/>
    </row>
    <row r="1433" spans="9:13" x14ac:dyDescent="0.3">
      <c r="I1433" s="82"/>
      <c r="M1433" s="85"/>
    </row>
    <row r="1434" spans="9:13" x14ac:dyDescent="0.3">
      <c r="I1434" s="82"/>
      <c r="M1434" s="85"/>
    </row>
    <row r="1435" spans="9:13" x14ac:dyDescent="0.3">
      <c r="I1435" s="82"/>
      <c r="M1435" s="85"/>
    </row>
    <row r="1436" spans="9:13" x14ac:dyDescent="0.3">
      <c r="I1436" s="82"/>
      <c r="M1436" s="85"/>
    </row>
    <row r="1437" spans="9:13" x14ac:dyDescent="0.3">
      <c r="I1437" s="82"/>
      <c r="M1437" s="85"/>
    </row>
    <row r="1438" spans="9:13" x14ac:dyDescent="0.3">
      <c r="I1438" s="82"/>
      <c r="M1438" s="85"/>
    </row>
    <row r="1439" spans="9:13" x14ac:dyDescent="0.3">
      <c r="I1439" s="82"/>
      <c r="M1439" s="85"/>
    </row>
    <row r="1440" spans="9:13" x14ac:dyDescent="0.3">
      <c r="I1440" s="82"/>
      <c r="M1440" s="85"/>
    </row>
    <row r="1441" spans="9:13" x14ac:dyDescent="0.3">
      <c r="I1441" s="82"/>
      <c r="M1441" s="85"/>
    </row>
    <row r="1442" spans="9:13" x14ac:dyDescent="0.3">
      <c r="I1442" s="82"/>
      <c r="M1442" s="85"/>
    </row>
    <row r="1443" spans="9:13" x14ac:dyDescent="0.3">
      <c r="I1443" s="82"/>
      <c r="M1443" s="85"/>
    </row>
    <row r="1444" spans="9:13" x14ac:dyDescent="0.3">
      <c r="I1444" s="82"/>
      <c r="M1444" s="85"/>
    </row>
    <row r="1445" spans="9:13" x14ac:dyDescent="0.3">
      <c r="I1445" s="82"/>
      <c r="M1445" s="85"/>
    </row>
    <row r="1446" spans="9:13" x14ac:dyDescent="0.3">
      <c r="I1446" s="82"/>
      <c r="M1446" s="85"/>
    </row>
    <row r="1447" spans="9:13" x14ac:dyDescent="0.3">
      <c r="I1447" s="82"/>
      <c r="M1447" s="85"/>
    </row>
    <row r="1448" spans="9:13" x14ac:dyDescent="0.3">
      <c r="I1448" s="82"/>
      <c r="M1448" s="85"/>
    </row>
    <row r="1449" spans="9:13" x14ac:dyDescent="0.3">
      <c r="I1449" s="82"/>
      <c r="M1449" s="85"/>
    </row>
    <row r="1450" spans="9:13" x14ac:dyDescent="0.3">
      <c r="I1450" s="82"/>
      <c r="M1450" s="85"/>
    </row>
    <row r="1451" spans="9:13" x14ac:dyDescent="0.3">
      <c r="I1451" s="82"/>
      <c r="M1451" s="85"/>
    </row>
    <row r="1452" spans="9:13" x14ac:dyDescent="0.3">
      <c r="I1452" s="82"/>
      <c r="M1452" s="85"/>
    </row>
    <row r="1453" spans="9:13" x14ac:dyDescent="0.3">
      <c r="I1453" s="82"/>
      <c r="M1453" s="85"/>
    </row>
    <row r="1454" spans="9:13" x14ac:dyDescent="0.3">
      <c r="I1454" s="82"/>
      <c r="M1454" s="85"/>
    </row>
    <row r="1455" spans="9:13" x14ac:dyDescent="0.3">
      <c r="I1455" s="82"/>
      <c r="M1455" s="85"/>
    </row>
    <row r="1456" spans="9:13" x14ac:dyDescent="0.3">
      <c r="I1456" s="82"/>
      <c r="M1456" s="85"/>
    </row>
    <row r="1457" spans="9:13" x14ac:dyDescent="0.3">
      <c r="I1457" s="82"/>
      <c r="M1457" s="85"/>
    </row>
    <row r="1458" spans="9:13" x14ac:dyDescent="0.3">
      <c r="I1458" s="82"/>
      <c r="M1458" s="85"/>
    </row>
    <row r="1459" spans="9:13" x14ac:dyDescent="0.3">
      <c r="I1459" s="82"/>
      <c r="M1459" s="85"/>
    </row>
    <row r="1460" spans="9:13" x14ac:dyDescent="0.3">
      <c r="I1460" s="82"/>
      <c r="M1460" s="85"/>
    </row>
    <row r="1461" spans="9:13" x14ac:dyDescent="0.3">
      <c r="I1461" s="82"/>
      <c r="M1461" s="85"/>
    </row>
    <row r="1462" spans="9:13" x14ac:dyDescent="0.3">
      <c r="I1462" s="82"/>
      <c r="M1462" s="85"/>
    </row>
    <row r="1463" spans="9:13" x14ac:dyDescent="0.3">
      <c r="I1463" s="82"/>
      <c r="M1463" s="85"/>
    </row>
    <row r="1464" spans="9:13" x14ac:dyDescent="0.3">
      <c r="I1464" s="82"/>
      <c r="M1464" s="85"/>
    </row>
    <row r="1465" spans="9:13" x14ac:dyDescent="0.3">
      <c r="I1465" s="82"/>
      <c r="M1465" s="85"/>
    </row>
    <row r="1466" spans="9:13" x14ac:dyDescent="0.3">
      <c r="I1466" s="82"/>
      <c r="M1466" s="85"/>
    </row>
    <row r="1467" spans="9:13" x14ac:dyDescent="0.3">
      <c r="I1467" s="82"/>
      <c r="M1467" s="85"/>
    </row>
    <row r="1468" spans="9:13" x14ac:dyDescent="0.3">
      <c r="I1468" s="82"/>
      <c r="M1468" s="85"/>
    </row>
    <row r="1469" spans="9:13" x14ac:dyDescent="0.3">
      <c r="I1469" s="82"/>
      <c r="M1469" s="85"/>
    </row>
    <row r="1470" spans="9:13" x14ac:dyDescent="0.3">
      <c r="I1470" s="82"/>
      <c r="M1470" s="85"/>
    </row>
    <row r="1471" spans="9:13" x14ac:dyDescent="0.3">
      <c r="I1471" s="82"/>
      <c r="M1471" s="85"/>
    </row>
    <row r="1472" spans="9:13" x14ac:dyDescent="0.3">
      <c r="I1472" s="82"/>
      <c r="M1472" s="85"/>
    </row>
    <row r="1473" spans="9:13" x14ac:dyDescent="0.3">
      <c r="I1473" s="82"/>
      <c r="M1473" s="85"/>
    </row>
    <row r="1474" spans="9:13" x14ac:dyDescent="0.3">
      <c r="I1474" s="82"/>
      <c r="M1474" s="85"/>
    </row>
    <row r="1475" spans="9:13" x14ac:dyDescent="0.3">
      <c r="I1475" s="82"/>
      <c r="M1475" s="85"/>
    </row>
    <row r="1476" spans="9:13" x14ac:dyDescent="0.3">
      <c r="I1476" s="82"/>
      <c r="M1476" s="85"/>
    </row>
    <row r="1477" spans="9:13" x14ac:dyDescent="0.3">
      <c r="I1477" s="82"/>
      <c r="M1477" s="85"/>
    </row>
    <row r="1478" spans="9:13" x14ac:dyDescent="0.3">
      <c r="I1478" s="82"/>
      <c r="M1478" s="85"/>
    </row>
    <row r="1479" spans="9:13" x14ac:dyDescent="0.3">
      <c r="I1479" s="82"/>
      <c r="M1479" s="85"/>
    </row>
    <row r="1480" spans="9:13" x14ac:dyDescent="0.3">
      <c r="I1480" s="82"/>
      <c r="M1480" s="85"/>
    </row>
    <row r="1481" spans="9:13" x14ac:dyDescent="0.3">
      <c r="I1481" s="82"/>
      <c r="M1481" s="85"/>
    </row>
    <row r="1482" spans="9:13" x14ac:dyDescent="0.3">
      <c r="I1482" s="82"/>
      <c r="M1482" s="85"/>
    </row>
    <row r="1483" spans="9:13" x14ac:dyDescent="0.3">
      <c r="I1483" s="82"/>
      <c r="M1483" s="85"/>
    </row>
    <row r="1484" spans="9:13" x14ac:dyDescent="0.3">
      <c r="I1484" s="82"/>
      <c r="M1484" s="85"/>
    </row>
    <row r="1485" spans="9:13" x14ac:dyDescent="0.3">
      <c r="I1485" s="82"/>
      <c r="M1485" s="85"/>
    </row>
    <row r="1486" spans="9:13" x14ac:dyDescent="0.3">
      <c r="I1486" s="82"/>
      <c r="M1486" s="85"/>
    </row>
    <row r="1487" spans="9:13" x14ac:dyDescent="0.3">
      <c r="I1487" s="82"/>
      <c r="M1487" s="85"/>
    </row>
    <row r="1488" spans="9:13" x14ac:dyDescent="0.3">
      <c r="I1488" s="82"/>
      <c r="M1488" s="85"/>
    </row>
    <row r="1489" spans="9:13" x14ac:dyDescent="0.3">
      <c r="I1489" s="82"/>
      <c r="M1489" s="85"/>
    </row>
    <row r="1490" spans="9:13" x14ac:dyDescent="0.3">
      <c r="I1490" s="82"/>
      <c r="M1490" s="85"/>
    </row>
    <row r="1491" spans="9:13" x14ac:dyDescent="0.3">
      <c r="I1491" s="82"/>
      <c r="M1491" s="85"/>
    </row>
    <row r="1492" spans="9:13" x14ac:dyDescent="0.3">
      <c r="I1492" s="82"/>
      <c r="M1492" s="85"/>
    </row>
    <row r="1493" spans="9:13" x14ac:dyDescent="0.3">
      <c r="I1493" s="82"/>
      <c r="M1493" s="85"/>
    </row>
    <row r="1494" spans="9:13" x14ac:dyDescent="0.3">
      <c r="I1494" s="82"/>
      <c r="M1494" s="85"/>
    </row>
    <row r="1495" spans="9:13" x14ac:dyDescent="0.3">
      <c r="I1495" s="82"/>
      <c r="M1495" s="85"/>
    </row>
    <row r="1496" spans="9:13" x14ac:dyDescent="0.3">
      <c r="I1496" s="82"/>
      <c r="M1496" s="85"/>
    </row>
    <row r="1497" spans="9:13" x14ac:dyDescent="0.3">
      <c r="I1497" s="82"/>
      <c r="M1497" s="85"/>
    </row>
    <row r="1498" spans="9:13" x14ac:dyDescent="0.3">
      <c r="I1498" s="82"/>
      <c r="M1498" s="85"/>
    </row>
    <row r="1499" spans="9:13" x14ac:dyDescent="0.3">
      <c r="I1499" s="82"/>
      <c r="M1499" s="85"/>
    </row>
    <row r="1500" spans="9:13" x14ac:dyDescent="0.3">
      <c r="I1500" s="82"/>
      <c r="M1500" s="85"/>
    </row>
    <row r="1501" spans="9:13" x14ac:dyDescent="0.3">
      <c r="I1501" s="82"/>
      <c r="M1501" s="85"/>
    </row>
    <row r="1502" spans="9:13" x14ac:dyDescent="0.3">
      <c r="I1502" s="82"/>
      <c r="M1502" s="85"/>
    </row>
    <row r="1503" spans="9:13" x14ac:dyDescent="0.3">
      <c r="I1503" s="82"/>
      <c r="M1503" s="85"/>
    </row>
    <row r="1504" spans="9:13" x14ac:dyDescent="0.3">
      <c r="I1504" s="82"/>
      <c r="M1504" s="85"/>
    </row>
    <row r="1505" spans="9:13" x14ac:dyDescent="0.3">
      <c r="I1505" s="82"/>
      <c r="M1505" s="85"/>
    </row>
    <row r="1506" spans="9:13" x14ac:dyDescent="0.3">
      <c r="I1506" s="82"/>
      <c r="M1506" s="85"/>
    </row>
    <row r="1507" spans="9:13" x14ac:dyDescent="0.3">
      <c r="I1507" s="82"/>
      <c r="M1507" s="85"/>
    </row>
    <row r="1508" spans="9:13" x14ac:dyDescent="0.3">
      <c r="I1508" s="82"/>
      <c r="M1508" s="85"/>
    </row>
    <row r="1509" spans="9:13" x14ac:dyDescent="0.3">
      <c r="I1509" s="82"/>
      <c r="M1509" s="85"/>
    </row>
    <row r="1510" spans="9:13" x14ac:dyDescent="0.3">
      <c r="I1510" s="82"/>
      <c r="M1510" s="85"/>
    </row>
    <row r="1511" spans="9:13" x14ac:dyDescent="0.3">
      <c r="I1511" s="82"/>
      <c r="M1511" s="85"/>
    </row>
    <row r="1512" spans="9:13" x14ac:dyDescent="0.3">
      <c r="I1512" s="82"/>
      <c r="M1512" s="85"/>
    </row>
    <row r="1513" spans="9:13" x14ac:dyDescent="0.3">
      <c r="I1513" s="82"/>
      <c r="M1513" s="85"/>
    </row>
    <row r="1514" spans="9:13" x14ac:dyDescent="0.3">
      <c r="I1514" s="82"/>
      <c r="M1514" s="85"/>
    </row>
    <row r="1515" spans="9:13" x14ac:dyDescent="0.3">
      <c r="I1515" s="82"/>
      <c r="M1515" s="85"/>
    </row>
    <row r="1516" spans="9:13" x14ac:dyDescent="0.3">
      <c r="I1516" s="82"/>
      <c r="M1516" s="85"/>
    </row>
    <row r="1517" spans="9:13" x14ac:dyDescent="0.3">
      <c r="I1517" s="82"/>
      <c r="M1517" s="85"/>
    </row>
    <row r="1518" spans="9:13" x14ac:dyDescent="0.3">
      <c r="I1518" s="82"/>
      <c r="M1518" s="85"/>
    </row>
    <row r="1519" spans="9:13" x14ac:dyDescent="0.3">
      <c r="I1519" s="82"/>
      <c r="M1519" s="85"/>
    </row>
    <row r="1520" spans="9:13" x14ac:dyDescent="0.3">
      <c r="I1520" s="82"/>
      <c r="M1520" s="85"/>
    </row>
    <row r="1521" spans="9:13" x14ac:dyDescent="0.3">
      <c r="I1521" s="82"/>
      <c r="M1521" s="85"/>
    </row>
    <row r="1522" spans="9:13" x14ac:dyDescent="0.3">
      <c r="I1522" s="82"/>
      <c r="M1522" s="85"/>
    </row>
    <row r="1523" spans="9:13" x14ac:dyDescent="0.3">
      <c r="I1523" s="82"/>
      <c r="M1523" s="85"/>
    </row>
    <row r="1524" spans="9:13" x14ac:dyDescent="0.3">
      <c r="I1524" s="82"/>
      <c r="M1524" s="85"/>
    </row>
    <row r="1525" spans="9:13" x14ac:dyDescent="0.3">
      <c r="I1525" s="82"/>
      <c r="M1525" s="85"/>
    </row>
    <row r="1526" spans="9:13" x14ac:dyDescent="0.3">
      <c r="I1526" s="82"/>
      <c r="M1526" s="85"/>
    </row>
    <row r="1527" spans="9:13" x14ac:dyDescent="0.3">
      <c r="I1527" s="82"/>
      <c r="M1527" s="85"/>
    </row>
    <row r="1528" spans="9:13" x14ac:dyDescent="0.3">
      <c r="I1528" s="82"/>
      <c r="M1528" s="85"/>
    </row>
    <row r="1529" spans="9:13" x14ac:dyDescent="0.3">
      <c r="I1529" s="82"/>
      <c r="M1529" s="85"/>
    </row>
    <row r="1530" spans="9:13" x14ac:dyDescent="0.3">
      <c r="I1530" s="82"/>
      <c r="M1530" s="85"/>
    </row>
    <row r="1531" spans="9:13" x14ac:dyDescent="0.3">
      <c r="I1531" s="82"/>
      <c r="M1531" s="85"/>
    </row>
    <row r="1532" spans="9:13" x14ac:dyDescent="0.3">
      <c r="I1532" s="82"/>
      <c r="M1532" s="85"/>
    </row>
    <row r="1533" spans="9:13" x14ac:dyDescent="0.3">
      <c r="I1533" s="82"/>
      <c r="M1533" s="85"/>
    </row>
    <row r="1534" spans="9:13" x14ac:dyDescent="0.3">
      <c r="I1534" s="82"/>
      <c r="M1534" s="85"/>
    </row>
    <row r="1535" spans="9:13" x14ac:dyDescent="0.3">
      <c r="I1535" s="82"/>
      <c r="M1535" s="85"/>
    </row>
    <row r="1536" spans="9:13" x14ac:dyDescent="0.3">
      <c r="I1536" s="82"/>
      <c r="M1536" s="85"/>
    </row>
    <row r="1537" spans="9:13" x14ac:dyDescent="0.3">
      <c r="I1537" s="82"/>
      <c r="M1537" s="85"/>
    </row>
    <row r="1538" spans="9:13" x14ac:dyDescent="0.3">
      <c r="I1538" s="82"/>
      <c r="M1538" s="85"/>
    </row>
    <row r="1539" spans="9:13" x14ac:dyDescent="0.3">
      <c r="I1539" s="82"/>
      <c r="M1539" s="85"/>
    </row>
    <row r="1540" spans="9:13" x14ac:dyDescent="0.3">
      <c r="I1540" s="82"/>
      <c r="M1540" s="85"/>
    </row>
    <row r="1541" spans="9:13" x14ac:dyDescent="0.3">
      <c r="I1541" s="82"/>
      <c r="M1541" s="85"/>
    </row>
    <row r="1542" spans="9:13" x14ac:dyDescent="0.3">
      <c r="I1542" s="82"/>
      <c r="M1542" s="85"/>
    </row>
    <row r="1543" spans="9:13" x14ac:dyDescent="0.3">
      <c r="I1543" s="82"/>
      <c r="M1543" s="85"/>
    </row>
    <row r="1544" spans="9:13" x14ac:dyDescent="0.3">
      <c r="I1544" s="82"/>
      <c r="M1544" s="85"/>
    </row>
    <row r="1545" spans="9:13" x14ac:dyDescent="0.3">
      <c r="I1545" s="82"/>
      <c r="M1545" s="85"/>
    </row>
    <row r="1546" spans="9:13" x14ac:dyDescent="0.3">
      <c r="I1546" s="82"/>
      <c r="M1546" s="85"/>
    </row>
    <row r="1547" spans="9:13" x14ac:dyDescent="0.3">
      <c r="I1547" s="82"/>
      <c r="M1547" s="85"/>
    </row>
    <row r="1548" spans="9:13" x14ac:dyDescent="0.3">
      <c r="I1548" s="82"/>
      <c r="M1548" s="85"/>
    </row>
    <row r="1549" spans="9:13" x14ac:dyDescent="0.3">
      <c r="I1549" s="82"/>
      <c r="M1549" s="85"/>
    </row>
    <row r="1550" spans="9:13" x14ac:dyDescent="0.3">
      <c r="I1550" s="82"/>
      <c r="M1550" s="85"/>
    </row>
    <row r="1551" spans="9:13" x14ac:dyDescent="0.3">
      <c r="I1551" s="82"/>
      <c r="M1551" s="85"/>
    </row>
    <row r="1552" spans="9:13" x14ac:dyDescent="0.3">
      <c r="I1552" s="82"/>
      <c r="M1552" s="85"/>
    </row>
    <row r="1553" spans="9:13" x14ac:dyDescent="0.3">
      <c r="I1553" s="82"/>
      <c r="M1553" s="85"/>
    </row>
    <row r="1554" spans="9:13" x14ac:dyDescent="0.3">
      <c r="I1554" s="82"/>
      <c r="M1554" s="85"/>
    </row>
    <row r="1555" spans="9:13" x14ac:dyDescent="0.3">
      <c r="I1555" s="82"/>
      <c r="M1555" s="85"/>
    </row>
    <row r="1556" spans="9:13" x14ac:dyDescent="0.3">
      <c r="I1556" s="82"/>
      <c r="M1556" s="85"/>
    </row>
    <row r="1557" spans="9:13" x14ac:dyDescent="0.3">
      <c r="I1557" s="82"/>
      <c r="M1557" s="85"/>
    </row>
    <row r="1558" spans="9:13" x14ac:dyDescent="0.3">
      <c r="I1558" s="82"/>
      <c r="M1558" s="85"/>
    </row>
    <row r="1559" spans="9:13" x14ac:dyDescent="0.3">
      <c r="I1559" s="82"/>
      <c r="M1559" s="85"/>
    </row>
    <row r="1560" spans="9:13" x14ac:dyDescent="0.3">
      <c r="I1560" s="82"/>
      <c r="M1560" s="85"/>
    </row>
    <row r="1561" spans="9:13" x14ac:dyDescent="0.3">
      <c r="I1561" s="82"/>
      <c r="M1561" s="85"/>
    </row>
    <row r="1562" spans="9:13" x14ac:dyDescent="0.3">
      <c r="I1562" s="82"/>
      <c r="M1562" s="85"/>
    </row>
    <row r="1563" spans="9:13" x14ac:dyDescent="0.3">
      <c r="I1563" s="82"/>
      <c r="M1563" s="85"/>
    </row>
    <row r="1564" spans="9:13" x14ac:dyDescent="0.3">
      <c r="I1564" s="82"/>
      <c r="M1564" s="85"/>
    </row>
    <row r="1565" spans="9:13" x14ac:dyDescent="0.3">
      <c r="I1565" s="82"/>
      <c r="M1565" s="85"/>
    </row>
    <row r="1566" spans="9:13" x14ac:dyDescent="0.3">
      <c r="I1566" s="82"/>
      <c r="M1566" s="85"/>
    </row>
    <row r="1567" spans="9:13" x14ac:dyDescent="0.3">
      <c r="I1567" s="82"/>
      <c r="M1567" s="85"/>
    </row>
    <row r="1568" spans="9:13" x14ac:dyDescent="0.3">
      <c r="I1568" s="82"/>
      <c r="M1568" s="85"/>
    </row>
    <row r="1569" spans="9:13" x14ac:dyDescent="0.3">
      <c r="I1569" s="82"/>
      <c r="M1569" s="85"/>
    </row>
    <row r="1570" spans="9:13" x14ac:dyDescent="0.3">
      <c r="I1570" s="82"/>
      <c r="M1570" s="85"/>
    </row>
    <row r="1571" spans="9:13" x14ac:dyDescent="0.3">
      <c r="I1571" s="82"/>
      <c r="M1571" s="85"/>
    </row>
    <row r="1572" spans="9:13" x14ac:dyDescent="0.3">
      <c r="I1572" s="82"/>
      <c r="M1572" s="85"/>
    </row>
    <row r="1573" spans="9:13" x14ac:dyDescent="0.3">
      <c r="I1573" s="82"/>
      <c r="M1573" s="85"/>
    </row>
    <row r="1574" spans="9:13" x14ac:dyDescent="0.3">
      <c r="I1574" s="82"/>
      <c r="M1574" s="85"/>
    </row>
    <row r="1575" spans="9:13" x14ac:dyDescent="0.3">
      <c r="I1575" s="82"/>
      <c r="M1575" s="85"/>
    </row>
    <row r="1576" spans="9:13" x14ac:dyDescent="0.3">
      <c r="I1576" s="82"/>
      <c r="M1576" s="85"/>
    </row>
    <row r="1577" spans="9:13" x14ac:dyDescent="0.3">
      <c r="I1577" s="82"/>
      <c r="M1577" s="85"/>
    </row>
    <row r="1578" spans="9:13" x14ac:dyDescent="0.3">
      <c r="I1578" s="82"/>
      <c r="M1578" s="85"/>
    </row>
    <row r="1579" spans="9:13" x14ac:dyDescent="0.3">
      <c r="I1579" s="82"/>
      <c r="M1579" s="85"/>
    </row>
    <row r="1580" spans="9:13" x14ac:dyDescent="0.3">
      <c r="I1580" s="82"/>
      <c r="M1580" s="85"/>
    </row>
    <row r="1581" spans="9:13" x14ac:dyDescent="0.3">
      <c r="I1581" s="82"/>
      <c r="M1581" s="85"/>
    </row>
    <row r="1582" spans="9:13" x14ac:dyDescent="0.3">
      <c r="I1582" s="82"/>
      <c r="M1582" s="85"/>
    </row>
    <row r="1583" spans="9:13" x14ac:dyDescent="0.3">
      <c r="I1583" s="82"/>
      <c r="M1583" s="85"/>
    </row>
    <row r="1584" spans="9:13" x14ac:dyDescent="0.3">
      <c r="I1584" s="82"/>
      <c r="M1584" s="85"/>
    </row>
    <row r="1585" spans="9:13" x14ac:dyDescent="0.3">
      <c r="I1585" s="82"/>
      <c r="M1585" s="85"/>
    </row>
    <row r="1586" spans="9:13" x14ac:dyDescent="0.3">
      <c r="I1586" s="82"/>
      <c r="M1586" s="85"/>
    </row>
    <row r="1587" spans="9:13" x14ac:dyDescent="0.3">
      <c r="I1587" s="82"/>
      <c r="M1587" s="85"/>
    </row>
    <row r="1588" spans="9:13" x14ac:dyDescent="0.3">
      <c r="I1588" s="82"/>
      <c r="M1588" s="85"/>
    </row>
    <row r="1589" spans="9:13" x14ac:dyDescent="0.3">
      <c r="I1589" s="82"/>
      <c r="M1589" s="85"/>
    </row>
    <row r="1590" spans="9:13" x14ac:dyDescent="0.3">
      <c r="I1590" s="82"/>
      <c r="M1590" s="85"/>
    </row>
    <row r="1591" spans="9:13" x14ac:dyDescent="0.3">
      <c r="I1591" s="82"/>
      <c r="M1591" s="85"/>
    </row>
    <row r="1592" spans="9:13" x14ac:dyDescent="0.3">
      <c r="I1592" s="82"/>
      <c r="M1592" s="85"/>
    </row>
    <row r="1593" spans="9:13" x14ac:dyDescent="0.3">
      <c r="I1593" s="82"/>
      <c r="M1593" s="85"/>
    </row>
    <row r="1594" spans="9:13" x14ac:dyDescent="0.3">
      <c r="I1594" s="82"/>
      <c r="M1594" s="85"/>
    </row>
    <row r="1595" spans="9:13" x14ac:dyDescent="0.3">
      <c r="I1595" s="82"/>
      <c r="M1595" s="85"/>
    </row>
    <row r="1596" spans="9:13" x14ac:dyDescent="0.3">
      <c r="I1596" s="82"/>
      <c r="M1596" s="85"/>
    </row>
    <row r="1597" spans="9:13" x14ac:dyDescent="0.3">
      <c r="I1597" s="82"/>
      <c r="M1597" s="85"/>
    </row>
    <row r="1598" spans="9:13" x14ac:dyDescent="0.3">
      <c r="I1598" s="82"/>
      <c r="M1598" s="85"/>
    </row>
    <row r="1599" spans="9:13" x14ac:dyDescent="0.3">
      <c r="I1599" s="82"/>
      <c r="M1599" s="85"/>
    </row>
    <row r="1600" spans="9:13" x14ac:dyDescent="0.3">
      <c r="I1600" s="82"/>
      <c r="M1600" s="85"/>
    </row>
    <row r="1601" spans="9:13" x14ac:dyDescent="0.3">
      <c r="I1601" s="82"/>
      <c r="M1601" s="85"/>
    </row>
    <row r="1602" spans="9:13" x14ac:dyDescent="0.3">
      <c r="I1602" s="82"/>
      <c r="M1602" s="85"/>
    </row>
    <row r="1603" spans="9:13" x14ac:dyDescent="0.3">
      <c r="I1603" s="82"/>
      <c r="M1603" s="85"/>
    </row>
    <row r="1604" spans="9:13" x14ac:dyDescent="0.3">
      <c r="I1604" s="82"/>
      <c r="M1604" s="85"/>
    </row>
    <row r="1605" spans="9:13" x14ac:dyDescent="0.3">
      <c r="I1605" s="82"/>
      <c r="M1605" s="85"/>
    </row>
    <row r="1606" spans="9:13" x14ac:dyDescent="0.3">
      <c r="I1606" s="82"/>
      <c r="M1606" s="85"/>
    </row>
    <row r="1607" spans="9:13" x14ac:dyDescent="0.3">
      <c r="I1607" s="82"/>
      <c r="M1607" s="85"/>
    </row>
    <row r="1608" spans="9:13" x14ac:dyDescent="0.3">
      <c r="I1608" s="82"/>
      <c r="M1608" s="85"/>
    </row>
    <row r="1609" spans="9:13" x14ac:dyDescent="0.3">
      <c r="I1609" s="82"/>
      <c r="M1609" s="85"/>
    </row>
    <row r="1610" spans="9:13" x14ac:dyDescent="0.3">
      <c r="I1610" s="82"/>
      <c r="M1610" s="85"/>
    </row>
    <row r="1611" spans="9:13" x14ac:dyDescent="0.3">
      <c r="I1611" s="82"/>
      <c r="M1611" s="85"/>
    </row>
    <row r="1612" spans="9:13" x14ac:dyDescent="0.3">
      <c r="I1612" s="82"/>
      <c r="M1612" s="85"/>
    </row>
    <row r="1613" spans="9:13" x14ac:dyDescent="0.3">
      <c r="I1613" s="82"/>
      <c r="M1613" s="85"/>
    </row>
    <row r="1614" spans="9:13" x14ac:dyDescent="0.3">
      <c r="I1614" s="82"/>
      <c r="M1614" s="85"/>
    </row>
    <row r="1615" spans="9:13" x14ac:dyDescent="0.3">
      <c r="I1615" s="82"/>
      <c r="M1615" s="85"/>
    </row>
    <row r="1616" spans="9:13" x14ac:dyDescent="0.3">
      <c r="I1616" s="82"/>
      <c r="M1616" s="85"/>
    </row>
    <row r="1617" spans="9:13" x14ac:dyDescent="0.3">
      <c r="I1617" s="82"/>
      <c r="M1617" s="85"/>
    </row>
    <row r="1618" spans="9:13" x14ac:dyDescent="0.3">
      <c r="I1618" s="82"/>
      <c r="M1618" s="85"/>
    </row>
    <row r="1619" spans="9:13" x14ac:dyDescent="0.3">
      <c r="I1619" s="82"/>
      <c r="M1619" s="85"/>
    </row>
    <row r="1620" spans="9:13" x14ac:dyDescent="0.3">
      <c r="I1620" s="82"/>
      <c r="M1620" s="85"/>
    </row>
    <row r="1621" spans="9:13" x14ac:dyDescent="0.3">
      <c r="I1621" s="82"/>
      <c r="M1621" s="85"/>
    </row>
    <row r="1622" spans="9:13" x14ac:dyDescent="0.3">
      <c r="I1622" s="82"/>
      <c r="M1622" s="85"/>
    </row>
    <row r="1623" spans="9:13" x14ac:dyDescent="0.3">
      <c r="I1623" s="82"/>
      <c r="M1623" s="85"/>
    </row>
    <row r="1624" spans="9:13" x14ac:dyDescent="0.3">
      <c r="I1624" s="82"/>
      <c r="M1624" s="85"/>
    </row>
    <row r="1625" spans="9:13" x14ac:dyDescent="0.3">
      <c r="I1625" s="82"/>
      <c r="M1625" s="85"/>
    </row>
    <row r="1626" spans="9:13" x14ac:dyDescent="0.3">
      <c r="I1626" s="82"/>
      <c r="M1626" s="85"/>
    </row>
    <row r="1627" spans="9:13" x14ac:dyDescent="0.3">
      <c r="I1627" s="82"/>
      <c r="M1627" s="85"/>
    </row>
    <row r="1628" spans="9:13" x14ac:dyDescent="0.3">
      <c r="I1628" s="82"/>
      <c r="M1628" s="85"/>
    </row>
    <row r="1629" spans="9:13" x14ac:dyDescent="0.3">
      <c r="I1629" s="82"/>
      <c r="M1629" s="85"/>
    </row>
    <row r="1630" spans="9:13" x14ac:dyDescent="0.3">
      <c r="I1630" s="82"/>
      <c r="M1630" s="85"/>
    </row>
    <row r="1631" spans="9:13" x14ac:dyDescent="0.3">
      <c r="I1631" s="82"/>
      <c r="M1631" s="85"/>
    </row>
    <row r="1632" spans="9:13" x14ac:dyDescent="0.3">
      <c r="I1632" s="82"/>
      <c r="M1632" s="85"/>
    </row>
    <row r="1633" spans="9:13" x14ac:dyDescent="0.3">
      <c r="I1633" s="82"/>
      <c r="M1633" s="85"/>
    </row>
    <row r="1634" spans="9:13" x14ac:dyDescent="0.3">
      <c r="I1634" s="82"/>
      <c r="M1634" s="85"/>
    </row>
    <row r="1635" spans="9:13" x14ac:dyDescent="0.3">
      <c r="I1635" s="82"/>
      <c r="M1635" s="85"/>
    </row>
    <row r="1636" spans="9:13" x14ac:dyDescent="0.3">
      <c r="I1636" s="82"/>
      <c r="M1636" s="85"/>
    </row>
    <row r="1637" spans="9:13" x14ac:dyDescent="0.3">
      <c r="I1637" s="82"/>
      <c r="M1637" s="85"/>
    </row>
    <row r="1638" spans="9:13" x14ac:dyDescent="0.3">
      <c r="I1638" s="82"/>
      <c r="M1638" s="85"/>
    </row>
    <row r="1639" spans="9:13" x14ac:dyDescent="0.3">
      <c r="I1639" s="82"/>
      <c r="M1639" s="85"/>
    </row>
    <row r="1640" spans="9:13" x14ac:dyDescent="0.3">
      <c r="I1640" s="82"/>
      <c r="M1640" s="85"/>
    </row>
    <row r="1641" spans="9:13" x14ac:dyDescent="0.3">
      <c r="I1641" s="82"/>
      <c r="M1641" s="85"/>
    </row>
    <row r="1642" spans="9:13" x14ac:dyDescent="0.3">
      <c r="I1642" s="82"/>
      <c r="M1642" s="85"/>
    </row>
    <row r="1643" spans="9:13" x14ac:dyDescent="0.3">
      <c r="I1643" s="82"/>
      <c r="M1643" s="85"/>
    </row>
    <row r="1644" spans="9:13" x14ac:dyDescent="0.3">
      <c r="I1644" s="82"/>
      <c r="M1644" s="85"/>
    </row>
    <row r="1645" spans="9:13" x14ac:dyDescent="0.3">
      <c r="I1645" s="82"/>
      <c r="M1645" s="85"/>
    </row>
    <row r="1646" spans="9:13" x14ac:dyDescent="0.3">
      <c r="I1646" s="82"/>
      <c r="M1646" s="85"/>
    </row>
    <row r="1647" spans="9:13" x14ac:dyDescent="0.3">
      <c r="I1647" s="82"/>
      <c r="M1647" s="85"/>
    </row>
    <row r="1648" spans="9:13" x14ac:dyDescent="0.3">
      <c r="I1648" s="82"/>
      <c r="M1648" s="85"/>
    </row>
    <row r="1649" spans="9:13" x14ac:dyDescent="0.3">
      <c r="I1649" s="82"/>
      <c r="M1649" s="85"/>
    </row>
    <row r="1650" spans="9:13" x14ac:dyDescent="0.3">
      <c r="I1650" s="82"/>
      <c r="M1650" s="85"/>
    </row>
    <row r="1651" spans="9:13" x14ac:dyDescent="0.3">
      <c r="I1651" s="82"/>
      <c r="M1651" s="85"/>
    </row>
    <row r="1652" spans="9:13" x14ac:dyDescent="0.3">
      <c r="I1652" s="82"/>
      <c r="M1652" s="85"/>
    </row>
    <row r="1653" spans="9:13" x14ac:dyDescent="0.3">
      <c r="I1653" s="82"/>
      <c r="M1653" s="85"/>
    </row>
    <row r="1654" spans="9:13" x14ac:dyDescent="0.3">
      <c r="I1654" s="82"/>
      <c r="M1654" s="85"/>
    </row>
    <row r="1655" spans="9:13" x14ac:dyDescent="0.3">
      <c r="I1655" s="82"/>
      <c r="M1655" s="85"/>
    </row>
    <row r="1656" spans="9:13" x14ac:dyDescent="0.3">
      <c r="I1656" s="82"/>
      <c r="M1656" s="85"/>
    </row>
    <row r="1657" spans="9:13" x14ac:dyDescent="0.3">
      <c r="I1657" s="82"/>
      <c r="M1657" s="85"/>
    </row>
    <row r="1658" spans="9:13" x14ac:dyDescent="0.3">
      <c r="I1658" s="82"/>
      <c r="M1658" s="85"/>
    </row>
    <row r="1659" spans="9:13" x14ac:dyDescent="0.3">
      <c r="I1659" s="82"/>
      <c r="M1659" s="85"/>
    </row>
    <row r="1660" spans="9:13" x14ac:dyDescent="0.3">
      <c r="I1660" s="82"/>
      <c r="M1660" s="85"/>
    </row>
    <row r="1661" spans="9:13" x14ac:dyDescent="0.3">
      <c r="I1661" s="82"/>
      <c r="M1661" s="85"/>
    </row>
    <row r="1662" spans="9:13" x14ac:dyDescent="0.3">
      <c r="I1662" s="82"/>
      <c r="M1662" s="85"/>
    </row>
    <row r="1663" spans="9:13" x14ac:dyDescent="0.3">
      <c r="I1663" s="82"/>
      <c r="M1663" s="85"/>
    </row>
    <row r="1664" spans="9:13" x14ac:dyDescent="0.3">
      <c r="I1664" s="82"/>
      <c r="M1664" s="85"/>
    </row>
    <row r="1665" spans="9:13" x14ac:dyDescent="0.3">
      <c r="I1665" s="82"/>
      <c r="M1665" s="85"/>
    </row>
    <row r="1666" spans="9:13" x14ac:dyDescent="0.3">
      <c r="I1666" s="82"/>
      <c r="M1666" s="85"/>
    </row>
    <row r="1667" spans="9:13" x14ac:dyDescent="0.3">
      <c r="I1667" s="82"/>
      <c r="M1667" s="85"/>
    </row>
    <row r="1668" spans="9:13" x14ac:dyDescent="0.3">
      <c r="I1668" s="82"/>
      <c r="M1668" s="85"/>
    </row>
    <row r="1669" spans="9:13" x14ac:dyDescent="0.3">
      <c r="I1669" s="82"/>
      <c r="M1669" s="85"/>
    </row>
    <row r="1670" spans="9:13" x14ac:dyDescent="0.3">
      <c r="I1670" s="82"/>
      <c r="M1670" s="85"/>
    </row>
    <row r="1671" spans="9:13" x14ac:dyDescent="0.3">
      <c r="I1671" s="82"/>
      <c r="M1671" s="85"/>
    </row>
    <row r="1672" spans="9:13" x14ac:dyDescent="0.3">
      <c r="I1672" s="82"/>
      <c r="M1672" s="85"/>
    </row>
    <row r="1673" spans="9:13" x14ac:dyDescent="0.3">
      <c r="I1673" s="82"/>
      <c r="M1673" s="85"/>
    </row>
    <row r="1674" spans="9:13" x14ac:dyDescent="0.3">
      <c r="I1674" s="82"/>
      <c r="M1674" s="85"/>
    </row>
    <row r="1675" spans="9:13" x14ac:dyDescent="0.3">
      <c r="I1675" s="82"/>
      <c r="M1675" s="85"/>
    </row>
    <row r="1676" spans="9:13" x14ac:dyDescent="0.3">
      <c r="I1676" s="82"/>
      <c r="M1676" s="85"/>
    </row>
    <row r="1677" spans="9:13" x14ac:dyDescent="0.3">
      <c r="I1677" s="82"/>
      <c r="M1677" s="85"/>
    </row>
    <row r="1678" spans="9:13" x14ac:dyDescent="0.3">
      <c r="I1678" s="82"/>
      <c r="M1678" s="85"/>
    </row>
    <row r="1679" spans="9:13" x14ac:dyDescent="0.3">
      <c r="I1679" s="82"/>
      <c r="M1679" s="85"/>
    </row>
    <row r="1680" spans="9:13" x14ac:dyDescent="0.3">
      <c r="I1680" s="82"/>
      <c r="M1680" s="85"/>
    </row>
    <row r="1681" spans="9:13" x14ac:dyDescent="0.3">
      <c r="I1681" s="82"/>
      <c r="M1681" s="85"/>
    </row>
    <row r="1682" spans="9:13" x14ac:dyDescent="0.3">
      <c r="I1682" s="82"/>
      <c r="M1682" s="85"/>
    </row>
    <row r="1683" spans="9:13" x14ac:dyDescent="0.3">
      <c r="I1683" s="82"/>
      <c r="M1683" s="85"/>
    </row>
    <row r="1684" spans="9:13" x14ac:dyDescent="0.3">
      <c r="I1684" s="82"/>
      <c r="M1684" s="85"/>
    </row>
    <row r="1685" spans="9:13" x14ac:dyDescent="0.3">
      <c r="I1685" s="82"/>
      <c r="M1685" s="85"/>
    </row>
    <row r="1686" spans="9:13" x14ac:dyDescent="0.3">
      <c r="I1686" s="82"/>
      <c r="M1686" s="85"/>
    </row>
    <row r="1687" spans="9:13" x14ac:dyDescent="0.3">
      <c r="I1687" s="82"/>
      <c r="M1687" s="85"/>
    </row>
    <row r="1688" spans="9:13" x14ac:dyDescent="0.3">
      <c r="I1688" s="82"/>
      <c r="M1688" s="85"/>
    </row>
    <row r="1689" spans="9:13" x14ac:dyDescent="0.3">
      <c r="I1689" s="82"/>
      <c r="M1689" s="85"/>
    </row>
    <row r="1690" spans="9:13" x14ac:dyDescent="0.3">
      <c r="I1690" s="82"/>
      <c r="M1690" s="85"/>
    </row>
    <row r="1691" spans="9:13" x14ac:dyDescent="0.3">
      <c r="I1691" s="82"/>
      <c r="M1691" s="85"/>
    </row>
    <row r="1692" spans="9:13" x14ac:dyDescent="0.3">
      <c r="I1692" s="82"/>
      <c r="M1692" s="85"/>
    </row>
    <row r="1693" spans="9:13" x14ac:dyDescent="0.3">
      <c r="I1693" s="82"/>
      <c r="M1693" s="85"/>
    </row>
    <row r="1694" spans="9:13" x14ac:dyDescent="0.3">
      <c r="I1694" s="82"/>
      <c r="M1694" s="85"/>
    </row>
    <row r="1695" spans="9:13" x14ac:dyDescent="0.3">
      <c r="I1695" s="82"/>
      <c r="M1695" s="85"/>
    </row>
    <row r="1696" spans="9:13" x14ac:dyDescent="0.3">
      <c r="I1696" s="82"/>
      <c r="M1696" s="85"/>
    </row>
    <row r="1697" spans="9:13" x14ac:dyDescent="0.3">
      <c r="I1697" s="82"/>
      <c r="M1697" s="85"/>
    </row>
    <row r="1698" spans="9:13" x14ac:dyDescent="0.3">
      <c r="I1698" s="82"/>
      <c r="M1698" s="85"/>
    </row>
    <row r="1699" spans="9:13" x14ac:dyDescent="0.3">
      <c r="I1699" s="82"/>
      <c r="M1699" s="85"/>
    </row>
    <row r="1700" spans="9:13" x14ac:dyDescent="0.3">
      <c r="I1700" s="82"/>
      <c r="M1700" s="85"/>
    </row>
    <row r="1701" spans="9:13" x14ac:dyDescent="0.3">
      <c r="I1701" s="82"/>
      <c r="M1701" s="85"/>
    </row>
    <row r="1702" spans="9:13" x14ac:dyDescent="0.3">
      <c r="I1702" s="82"/>
      <c r="M1702" s="85"/>
    </row>
    <row r="1703" spans="9:13" x14ac:dyDescent="0.3">
      <c r="I1703" s="82"/>
      <c r="M1703" s="85"/>
    </row>
    <row r="1704" spans="9:13" x14ac:dyDescent="0.3">
      <c r="I1704" s="82"/>
      <c r="M1704" s="85"/>
    </row>
    <row r="1705" spans="9:13" x14ac:dyDescent="0.3">
      <c r="I1705" s="82"/>
      <c r="M1705" s="85"/>
    </row>
    <row r="1706" spans="9:13" x14ac:dyDescent="0.3">
      <c r="I1706" s="82"/>
      <c r="M1706" s="85"/>
    </row>
    <row r="1707" spans="9:13" x14ac:dyDescent="0.3">
      <c r="I1707" s="82"/>
      <c r="M1707" s="85"/>
    </row>
    <row r="1708" spans="9:13" x14ac:dyDescent="0.3">
      <c r="I1708" s="82"/>
      <c r="M1708" s="85"/>
    </row>
    <row r="1709" spans="9:13" x14ac:dyDescent="0.3">
      <c r="I1709" s="82"/>
      <c r="M1709" s="85"/>
    </row>
    <row r="1710" spans="9:13" x14ac:dyDescent="0.3">
      <c r="I1710" s="82"/>
      <c r="M1710" s="85"/>
    </row>
    <row r="1711" spans="9:13" x14ac:dyDescent="0.3">
      <c r="I1711" s="82"/>
      <c r="M1711" s="85"/>
    </row>
    <row r="1712" spans="9:13" x14ac:dyDescent="0.3">
      <c r="I1712" s="82"/>
      <c r="M1712" s="85"/>
    </row>
    <row r="1713" spans="9:13" x14ac:dyDescent="0.3">
      <c r="I1713" s="82"/>
      <c r="M1713" s="85"/>
    </row>
    <row r="1714" spans="9:13" x14ac:dyDescent="0.3">
      <c r="I1714" s="82"/>
      <c r="M1714" s="85"/>
    </row>
    <row r="1715" spans="9:13" x14ac:dyDescent="0.3">
      <c r="I1715" s="82"/>
      <c r="M1715" s="85"/>
    </row>
    <row r="1716" spans="9:13" x14ac:dyDescent="0.3">
      <c r="I1716" s="82"/>
      <c r="M1716" s="85"/>
    </row>
    <row r="1717" spans="9:13" x14ac:dyDescent="0.3">
      <c r="I1717" s="82"/>
      <c r="M1717" s="85"/>
    </row>
    <row r="1718" spans="9:13" x14ac:dyDescent="0.3">
      <c r="I1718" s="82"/>
      <c r="M1718" s="85"/>
    </row>
    <row r="1719" spans="9:13" x14ac:dyDescent="0.3">
      <c r="I1719" s="82"/>
      <c r="M1719" s="85"/>
    </row>
    <row r="1720" spans="9:13" x14ac:dyDescent="0.3">
      <c r="I1720" s="82"/>
      <c r="M1720" s="85"/>
    </row>
    <row r="1721" spans="9:13" x14ac:dyDescent="0.3">
      <c r="I1721" s="82"/>
      <c r="M1721" s="85"/>
    </row>
    <row r="1722" spans="9:13" x14ac:dyDescent="0.3">
      <c r="I1722" s="82"/>
      <c r="M1722" s="85"/>
    </row>
    <row r="1723" spans="9:13" x14ac:dyDescent="0.3">
      <c r="I1723" s="82"/>
      <c r="M1723" s="85"/>
    </row>
    <row r="1724" spans="9:13" x14ac:dyDescent="0.3">
      <c r="I1724" s="82"/>
      <c r="M1724" s="85"/>
    </row>
    <row r="1725" spans="9:13" x14ac:dyDescent="0.3">
      <c r="I1725" s="82"/>
      <c r="M1725" s="85"/>
    </row>
    <row r="1726" spans="9:13" x14ac:dyDescent="0.3">
      <c r="I1726" s="82"/>
      <c r="M1726" s="85"/>
    </row>
    <row r="1727" spans="9:13" x14ac:dyDescent="0.3">
      <c r="I1727" s="82"/>
      <c r="M1727" s="85"/>
    </row>
    <row r="1728" spans="9:13" x14ac:dyDescent="0.3">
      <c r="I1728" s="82"/>
      <c r="M1728" s="85"/>
    </row>
    <row r="1729" spans="9:13" x14ac:dyDescent="0.3">
      <c r="I1729" s="82"/>
      <c r="M1729" s="85"/>
    </row>
    <row r="1730" spans="9:13" x14ac:dyDescent="0.3">
      <c r="I1730" s="82"/>
      <c r="M1730" s="85"/>
    </row>
    <row r="1731" spans="9:13" x14ac:dyDescent="0.3">
      <c r="I1731" s="82"/>
      <c r="M1731" s="85"/>
    </row>
    <row r="1732" spans="9:13" x14ac:dyDescent="0.3">
      <c r="I1732" s="82"/>
      <c r="M1732" s="85"/>
    </row>
    <row r="1733" spans="9:13" x14ac:dyDescent="0.3">
      <c r="I1733" s="82"/>
      <c r="M1733" s="85"/>
    </row>
    <row r="1734" spans="9:13" x14ac:dyDescent="0.3">
      <c r="I1734" s="82"/>
      <c r="M1734" s="85"/>
    </row>
    <row r="1735" spans="9:13" x14ac:dyDescent="0.3">
      <c r="I1735" s="82"/>
      <c r="M1735" s="85"/>
    </row>
    <row r="1736" spans="9:13" x14ac:dyDescent="0.3">
      <c r="I1736" s="82"/>
      <c r="M1736" s="85"/>
    </row>
    <row r="1737" spans="9:13" x14ac:dyDescent="0.3">
      <c r="I1737" s="82"/>
      <c r="M1737" s="85"/>
    </row>
    <row r="1738" spans="9:13" x14ac:dyDescent="0.3">
      <c r="I1738" s="82"/>
      <c r="M1738" s="85"/>
    </row>
    <row r="1739" spans="9:13" x14ac:dyDescent="0.3">
      <c r="I1739" s="82"/>
      <c r="M1739" s="85"/>
    </row>
    <row r="1740" spans="9:13" x14ac:dyDescent="0.3">
      <c r="I1740" s="82"/>
      <c r="M1740" s="85"/>
    </row>
    <row r="1741" spans="9:13" x14ac:dyDescent="0.3">
      <c r="I1741" s="82"/>
      <c r="M1741" s="85"/>
    </row>
    <row r="1742" spans="9:13" x14ac:dyDescent="0.3">
      <c r="I1742" s="82"/>
      <c r="M1742" s="85"/>
    </row>
    <row r="1743" spans="9:13" x14ac:dyDescent="0.3">
      <c r="I1743" s="82"/>
      <c r="M1743" s="85"/>
    </row>
    <row r="1744" spans="9:13" x14ac:dyDescent="0.3">
      <c r="I1744" s="82"/>
      <c r="M1744" s="85"/>
    </row>
    <row r="1745" spans="9:13" x14ac:dyDescent="0.3">
      <c r="I1745" s="82"/>
      <c r="M1745" s="85"/>
    </row>
    <row r="1746" spans="9:13" x14ac:dyDescent="0.3">
      <c r="I1746" s="82"/>
      <c r="M1746" s="85"/>
    </row>
    <row r="1747" spans="9:13" x14ac:dyDescent="0.3">
      <c r="I1747" s="82"/>
      <c r="M1747" s="85"/>
    </row>
    <row r="1748" spans="9:13" x14ac:dyDescent="0.3">
      <c r="I1748" s="82"/>
      <c r="M1748" s="85"/>
    </row>
    <row r="1749" spans="9:13" x14ac:dyDescent="0.3">
      <c r="I1749" s="82"/>
      <c r="M1749" s="85"/>
    </row>
    <row r="1750" spans="9:13" x14ac:dyDescent="0.3">
      <c r="I1750" s="82"/>
      <c r="M1750" s="85"/>
    </row>
    <row r="1751" spans="9:13" x14ac:dyDescent="0.3">
      <c r="I1751" s="82"/>
      <c r="M1751" s="85"/>
    </row>
    <row r="1752" spans="9:13" x14ac:dyDescent="0.3">
      <c r="I1752" s="82"/>
      <c r="M1752" s="85"/>
    </row>
    <row r="1753" spans="9:13" x14ac:dyDescent="0.3">
      <c r="I1753" s="82"/>
      <c r="M1753" s="85"/>
    </row>
    <row r="1754" spans="9:13" x14ac:dyDescent="0.3">
      <c r="I1754" s="82"/>
      <c r="M1754" s="85"/>
    </row>
    <row r="1755" spans="9:13" x14ac:dyDescent="0.3">
      <c r="I1755" s="82"/>
      <c r="M1755" s="85"/>
    </row>
    <row r="1756" spans="9:13" x14ac:dyDescent="0.3">
      <c r="I1756" s="82"/>
      <c r="M1756" s="85"/>
    </row>
    <row r="1757" spans="9:13" x14ac:dyDescent="0.3">
      <c r="I1757" s="82"/>
      <c r="M1757" s="85"/>
    </row>
    <row r="1758" spans="9:13" x14ac:dyDescent="0.3">
      <c r="I1758" s="82"/>
      <c r="M1758" s="85"/>
    </row>
    <row r="1759" spans="9:13" x14ac:dyDescent="0.3">
      <c r="I1759" s="82"/>
      <c r="M1759" s="85"/>
    </row>
    <row r="1760" spans="9:13" x14ac:dyDescent="0.3">
      <c r="I1760" s="82"/>
      <c r="M1760" s="85"/>
    </row>
    <row r="1761" spans="9:13" x14ac:dyDescent="0.3">
      <c r="I1761" s="82"/>
      <c r="M1761" s="85"/>
    </row>
    <row r="1762" spans="9:13" x14ac:dyDescent="0.3">
      <c r="I1762" s="82"/>
      <c r="M1762" s="85"/>
    </row>
    <row r="1763" spans="9:13" x14ac:dyDescent="0.3">
      <c r="I1763" s="82"/>
      <c r="M1763" s="85"/>
    </row>
    <row r="1764" spans="9:13" x14ac:dyDescent="0.3">
      <c r="I1764" s="82"/>
      <c r="M1764" s="85"/>
    </row>
    <row r="1765" spans="9:13" x14ac:dyDescent="0.3">
      <c r="I1765" s="82"/>
      <c r="M1765" s="85"/>
    </row>
    <row r="1766" spans="9:13" x14ac:dyDescent="0.3">
      <c r="I1766" s="82"/>
      <c r="M1766" s="85"/>
    </row>
    <row r="1767" spans="9:13" x14ac:dyDescent="0.3">
      <c r="I1767" s="82"/>
      <c r="M1767" s="85"/>
    </row>
    <row r="1768" spans="9:13" x14ac:dyDescent="0.3">
      <c r="I1768" s="82"/>
      <c r="M1768" s="85"/>
    </row>
    <row r="1769" spans="9:13" x14ac:dyDescent="0.3">
      <c r="I1769" s="82"/>
      <c r="M1769" s="85"/>
    </row>
    <row r="1770" spans="9:13" x14ac:dyDescent="0.3">
      <c r="I1770" s="82"/>
      <c r="M1770" s="85"/>
    </row>
    <row r="1771" spans="9:13" x14ac:dyDescent="0.3">
      <c r="I1771" s="82"/>
      <c r="M1771" s="85"/>
    </row>
    <row r="1772" spans="9:13" x14ac:dyDescent="0.3">
      <c r="I1772" s="82"/>
      <c r="M1772" s="85"/>
    </row>
    <row r="1773" spans="9:13" x14ac:dyDescent="0.3">
      <c r="I1773" s="82"/>
      <c r="M1773" s="85"/>
    </row>
    <row r="1774" spans="9:13" x14ac:dyDescent="0.3">
      <c r="I1774" s="82"/>
      <c r="M1774" s="85"/>
    </row>
    <row r="1775" spans="9:13" x14ac:dyDescent="0.3">
      <c r="I1775" s="82"/>
      <c r="M1775" s="85"/>
    </row>
    <row r="1776" spans="9:13" x14ac:dyDescent="0.3">
      <c r="I1776" s="82"/>
      <c r="M1776" s="85"/>
    </row>
    <row r="1777" spans="9:13" x14ac:dyDescent="0.3">
      <c r="I1777" s="82"/>
      <c r="M1777" s="85"/>
    </row>
    <row r="1778" spans="9:13" x14ac:dyDescent="0.3">
      <c r="I1778" s="82"/>
      <c r="M1778" s="85"/>
    </row>
    <row r="1779" spans="9:13" x14ac:dyDescent="0.3">
      <c r="I1779" s="82"/>
      <c r="M1779" s="85"/>
    </row>
    <row r="1780" spans="9:13" x14ac:dyDescent="0.3">
      <c r="I1780" s="82"/>
      <c r="M1780" s="85"/>
    </row>
    <row r="1781" spans="9:13" x14ac:dyDescent="0.3">
      <c r="I1781" s="82"/>
      <c r="M1781" s="85"/>
    </row>
    <row r="1782" spans="9:13" x14ac:dyDescent="0.3">
      <c r="I1782" s="82"/>
      <c r="M1782" s="85"/>
    </row>
    <row r="1783" spans="9:13" x14ac:dyDescent="0.3">
      <c r="I1783" s="82"/>
      <c r="M1783" s="85"/>
    </row>
    <row r="1784" spans="9:13" x14ac:dyDescent="0.3">
      <c r="I1784" s="82"/>
      <c r="M1784" s="85"/>
    </row>
    <row r="1785" spans="9:13" x14ac:dyDescent="0.3">
      <c r="I1785" s="82"/>
      <c r="M1785" s="85"/>
    </row>
    <row r="1786" spans="9:13" x14ac:dyDescent="0.3">
      <c r="I1786" s="82"/>
      <c r="M1786" s="85"/>
    </row>
    <row r="1787" spans="9:13" x14ac:dyDescent="0.3">
      <c r="I1787" s="82"/>
      <c r="M1787" s="85"/>
    </row>
    <row r="1788" spans="9:13" x14ac:dyDescent="0.3">
      <c r="I1788" s="82"/>
      <c r="M1788" s="85"/>
    </row>
    <row r="1789" spans="9:13" x14ac:dyDescent="0.3">
      <c r="I1789" s="82"/>
      <c r="M1789" s="85"/>
    </row>
    <row r="1790" spans="9:13" x14ac:dyDescent="0.3">
      <c r="I1790" s="82"/>
      <c r="M1790" s="85"/>
    </row>
    <row r="1791" spans="9:13" x14ac:dyDescent="0.3">
      <c r="I1791" s="82"/>
      <c r="M1791" s="85"/>
    </row>
    <row r="1792" spans="9:13" x14ac:dyDescent="0.3">
      <c r="I1792" s="82"/>
      <c r="M1792" s="85"/>
    </row>
    <row r="1793" spans="9:13" x14ac:dyDescent="0.3">
      <c r="I1793" s="82"/>
      <c r="M1793" s="85"/>
    </row>
    <row r="1794" spans="9:13" x14ac:dyDescent="0.3">
      <c r="I1794" s="82"/>
      <c r="M1794" s="85"/>
    </row>
    <row r="1795" spans="9:13" x14ac:dyDescent="0.3">
      <c r="I1795" s="82"/>
      <c r="M1795" s="85"/>
    </row>
    <row r="1796" spans="9:13" x14ac:dyDescent="0.3">
      <c r="I1796" s="82"/>
      <c r="M1796" s="85"/>
    </row>
    <row r="1797" spans="9:13" x14ac:dyDescent="0.3">
      <c r="I1797" s="82"/>
      <c r="M1797" s="85"/>
    </row>
    <row r="1798" spans="9:13" x14ac:dyDescent="0.3">
      <c r="I1798" s="82"/>
      <c r="M1798" s="85"/>
    </row>
    <row r="1799" spans="9:13" x14ac:dyDescent="0.3">
      <c r="I1799" s="82"/>
      <c r="M1799" s="85"/>
    </row>
    <row r="1800" spans="9:13" x14ac:dyDescent="0.3">
      <c r="I1800" s="82"/>
      <c r="M1800" s="85"/>
    </row>
    <row r="1801" spans="9:13" x14ac:dyDescent="0.3">
      <c r="I1801" s="82"/>
      <c r="M1801" s="85"/>
    </row>
    <row r="1802" spans="9:13" x14ac:dyDescent="0.3">
      <c r="I1802" s="82"/>
      <c r="M1802" s="85"/>
    </row>
    <row r="1803" spans="9:13" x14ac:dyDescent="0.3">
      <c r="I1803" s="82"/>
      <c r="M1803" s="85"/>
    </row>
    <row r="1804" spans="9:13" x14ac:dyDescent="0.3">
      <c r="I1804" s="82"/>
      <c r="M1804" s="85"/>
    </row>
    <row r="1805" spans="9:13" x14ac:dyDescent="0.3">
      <c r="I1805" s="82"/>
      <c r="M1805" s="85"/>
    </row>
    <row r="1806" spans="9:13" x14ac:dyDescent="0.3">
      <c r="I1806" s="82"/>
      <c r="M1806" s="85"/>
    </row>
    <row r="1807" spans="9:13" x14ac:dyDescent="0.3">
      <c r="I1807" s="82"/>
      <c r="M1807" s="85"/>
    </row>
    <row r="1808" spans="9:13" x14ac:dyDescent="0.3">
      <c r="I1808" s="82"/>
      <c r="M1808" s="85"/>
    </row>
    <row r="1809" spans="9:13" x14ac:dyDescent="0.3">
      <c r="I1809" s="82"/>
      <c r="M1809" s="85"/>
    </row>
    <row r="1810" spans="9:13" x14ac:dyDescent="0.3">
      <c r="I1810" s="82"/>
      <c r="M1810" s="85"/>
    </row>
    <row r="1811" spans="9:13" x14ac:dyDescent="0.3">
      <c r="I1811" s="82"/>
      <c r="M1811" s="85"/>
    </row>
    <row r="1812" spans="9:13" x14ac:dyDescent="0.3">
      <c r="I1812" s="82"/>
      <c r="M1812" s="85"/>
    </row>
    <row r="1813" spans="9:13" x14ac:dyDescent="0.3">
      <c r="I1813" s="82"/>
      <c r="M1813" s="85"/>
    </row>
    <row r="1814" spans="9:13" x14ac:dyDescent="0.3">
      <c r="I1814" s="82"/>
      <c r="M1814" s="85"/>
    </row>
    <row r="1815" spans="9:13" x14ac:dyDescent="0.3">
      <c r="I1815" s="82"/>
      <c r="M1815" s="85"/>
    </row>
    <row r="1816" spans="9:13" x14ac:dyDescent="0.3">
      <c r="I1816" s="82"/>
      <c r="M1816" s="85"/>
    </row>
    <row r="1817" spans="9:13" x14ac:dyDescent="0.3">
      <c r="I1817" s="82"/>
      <c r="M1817" s="85"/>
    </row>
    <row r="1818" spans="9:13" x14ac:dyDescent="0.3">
      <c r="I1818" s="82"/>
      <c r="M1818" s="85"/>
    </row>
    <row r="1819" spans="9:13" x14ac:dyDescent="0.3">
      <c r="I1819" s="82"/>
      <c r="M1819" s="85"/>
    </row>
    <row r="1820" spans="9:13" x14ac:dyDescent="0.3">
      <c r="I1820" s="82"/>
      <c r="M1820" s="85"/>
    </row>
    <row r="1821" spans="9:13" x14ac:dyDescent="0.3">
      <c r="I1821" s="82"/>
      <c r="M1821" s="85"/>
    </row>
    <row r="1822" spans="9:13" x14ac:dyDescent="0.3">
      <c r="I1822" s="82"/>
      <c r="M1822" s="85"/>
    </row>
    <row r="1823" spans="9:13" x14ac:dyDescent="0.3">
      <c r="I1823" s="82"/>
      <c r="M1823" s="85"/>
    </row>
    <row r="1824" spans="9:13" x14ac:dyDescent="0.3">
      <c r="I1824" s="82"/>
      <c r="M1824" s="85"/>
    </row>
    <row r="1825" spans="9:13" x14ac:dyDescent="0.3">
      <c r="I1825" s="82"/>
      <c r="M1825" s="85"/>
    </row>
    <row r="1826" spans="9:13" x14ac:dyDescent="0.3">
      <c r="I1826" s="82"/>
      <c r="M1826" s="85"/>
    </row>
    <row r="1827" spans="9:13" x14ac:dyDescent="0.3">
      <c r="I1827" s="82"/>
      <c r="M1827" s="85"/>
    </row>
    <row r="1828" spans="9:13" x14ac:dyDescent="0.3">
      <c r="I1828" s="82"/>
      <c r="M1828" s="85"/>
    </row>
    <row r="1829" spans="9:13" x14ac:dyDescent="0.3">
      <c r="I1829" s="82"/>
      <c r="M1829" s="85"/>
    </row>
    <row r="1830" spans="9:13" x14ac:dyDescent="0.3">
      <c r="I1830" s="82"/>
      <c r="M1830" s="85"/>
    </row>
    <row r="1831" spans="9:13" x14ac:dyDescent="0.3">
      <c r="I1831" s="82"/>
      <c r="M1831" s="85"/>
    </row>
    <row r="1832" spans="9:13" x14ac:dyDescent="0.3">
      <c r="I1832" s="82"/>
      <c r="M1832" s="85"/>
    </row>
    <row r="1833" spans="9:13" x14ac:dyDescent="0.3">
      <c r="I1833" s="82"/>
      <c r="M1833" s="85"/>
    </row>
    <row r="1834" spans="9:13" x14ac:dyDescent="0.3">
      <c r="I1834" s="82"/>
      <c r="M1834" s="85"/>
    </row>
    <row r="1835" spans="9:13" x14ac:dyDescent="0.3">
      <c r="I1835" s="82"/>
      <c r="M1835" s="85"/>
    </row>
    <row r="1836" spans="9:13" x14ac:dyDescent="0.3">
      <c r="I1836" s="82"/>
      <c r="M1836" s="85"/>
    </row>
    <row r="1837" spans="9:13" x14ac:dyDescent="0.3">
      <c r="I1837" s="82"/>
      <c r="M1837" s="85"/>
    </row>
    <row r="1838" spans="9:13" x14ac:dyDescent="0.3">
      <c r="I1838" s="82"/>
      <c r="M1838" s="85"/>
    </row>
    <row r="1839" spans="9:13" x14ac:dyDescent="0.3">
      <c r="I1839" s="82"/>
      <c r="M1839" s="85"/>
    </row>
    <row r="1840" spans="9:13" x14ac:dyDescent="0.3">
      <c r="I1840" s="82"/>
      <c r="M1840" s="85"/>
    </row>
    <row r="1841" spans="9:13" x14ac:dyDescent="0.3">
      <c r="I1841" s="82"/>
      <c r="M1841" s="85"/>
    </row>
    <row r="1842" spans="9:13" x14ac:dyDescent="0.3">
      <c r="I1842" s="82"/>
      <c r="M1842" s="85"/>
    </row>
    <row r="1843" spans="9:13" x14ac:dyDescent="0.3">
      <c r="I1843" s="82"/>
      <c r="M1843" s="85"/>
    </row>
    <row r="1844" spans="9:13" x14ac:dyDescent="0.3">
      <c r="I1844" s="82"/>
      <c r="M1844" s="85"/>
    </row>
    <row r="1845" spans="9:13" x14ac:dyDescent="0.3">
      <c r="I1845" s="82"/>
      <c r="M1845" s="85"/>
    </row>
    <row r="1846" spans="9:13" x14ac:dyDescent="0.3">
      <c r="I1846" s="82"/>
      <c r="M1846" s="85"/>
    </row>
    <row r="1847" spans="9:13" x14ac:dyDescent="0.3">
      <c r="I1847" s="82"/>
      <c r="M1847" s="85"/>
    </row>
    <row r="1848" spans="9:13" x14ac:dyDescent="0.3">
      <c r="I1848" s="82"/>
      <c r="M1848" s="85"/>
    </row>
    <row r="1849" spans="9:13" x14ac:dyDescent="0.3">
      <c r="I1849" s="82"/>
      <c r="M1849" s="85"/>
    </row>
    <row r="1850" spans="9:13" x14ac:dyDescent="0.3">
      <c r="I1850" s="82"/>
      <c r="M1850" s="85"/>
    </row>
    <row r="1851" spans="9:13" x14ac:dyDescent="0.3">
      <c r="I1851" s="82"/>
      <c r="M1851" s="85"/>
    </row>
    <row r="1852" spans="9:13" x14ac:dyDescent="0.3">
      <c r="I1852" s="82"/>
      <c r="M1852" s="85"/>
    </row>
    <row r="1853" spans="9:13" x14ac:dyDescent="0.3">
      <c r="I1853" s="82"/>
      <c r="M1853" s="85"/>
    </row>
    <row r="1854" spans="9:13" x14ac:dyDescent="0.3">
      <c r="I1854" s="82"/>
      <c r="M1854" s="85"/>
    </row>
    <row r="1855" spans="9:13" x14ac:dyDescent="0.3">
      <c r="I1855" s="82"/>
      <c r="M1855" s="85"/>
    </row>
    <row r="1856" spans="9:13" x14ac:dyDescent="0.3">
      <c r="I1856" s="82"/>
      <c r="M1856" s="85"/>
    </row>
    <row r="1857" spans="9:13" x14ac:dyDescent="0.3">
      <c r="I1857" s="82"/>
      <c r="M1857" s="85"/>
    </row>
    <row r="1858" spans="9:13" x14ac:dyDescent="0.3">
      <c r="I1858" s="82"/>
      <c r="M1858" s="85"/>
    </row>
    <row r="1859" spans="9:13" x14ac:dyDescent="0.3">
      <c r="I1859" s="82"/>
      <c r="M1859" s="85"/>
    </row>
    <row r="1860" spans="9:13" x14ac:dyDescent="0.3">
      <c r="I1860" s="82"/>
      <c r="M1860" s="85"/>
    </row>
    <row r="1861" spans="9:13" x14ac:dyDescent="0.3">
      <c r="I1861" s="82"/>
      <c r="M1861" s="85"/>
    </row>
    <row r="1862" spans="9:13" x14ac:dyDescent="0.3">
      <c r="I1862" s="82"/>
      <c r="M1862" s="85"/>
    </row>
    <row r="1863" spans="9:13" x14ac:dyDescent="0.3">
      <c r="I1863" s="82"/>
      <c r="M1863" s="85"/>
    </row>
    <row r="1864" spans="9:13" x14ac:dyDescent="0.3">
      <c r="I1864" s="82"/>
      <c r="M1864" s="85"/>
    </row>
    <row r="1865" spans="9:13" x14ac:dyDescent="0.3">
      <c r="I1865" s="82"/>
      <c r="M1865" s="85"/>
    </row>
    <row r="1866" spans="9:13" x14ac:dyDescent="0.3">
      <c r="I1866" s="82"/>
      <c r="M1866" s="85"/>
    </row>
    <row r="1867" spans="9:13" x14ac:dyDescent="0.3">
      <c r="I1867" s="82"/>
      <c r="M1867" s="85"/>
    </row>
    <row r="1868" spans="9:13" x14ac:dyDescent="0.3">
      <c r="I1868" s="82"/>
      <c r="M1868" s="85"/>
    </row>
    <row r="1869" spans="9:13" x14ac:dyDescent="0.3">
      <c r="I1869" s="82"/>
      <c r="M1869" s="85"/>
    </row>
    <row r="1870" spans="9:13" x14ac:dyDescent="0.3">
      <c r="I1870" s="82"/>
      <c r="M1870" s="85"/>
    </row>
    <row r="1871" spans="9:13" x14ac:dyDescent="0.3">
      <c r="I1871" s="82"/>
      <c r="M1871" s="85"/>
    </row>
    <row r="1872" spans="9:13" x14ac:dyDescent="0.3">
      <c r="I1872" s="82"/>
      <c r="M1872" s="85"/>
    </row>
    <row r="1873" spans="9:13" x14ac:dyDescent="0.3">
      <c r="I1873" s="82"/>
      <c r="M1873" s="85"/>
    </row>
    <row r="1874" spans="9:13" x14ac:dyDescent="0.3">
      <c r="I1874" s="82"/>
      <c r="M1874" s="85"/>
    </row>
    <row r="1875" spans="9:13" x14ac:dyDescent="0.3">
      <c r="I1875" s="82"/>
      <c r="M1875" s="85"/>
    </row>
    <row r="1876" spans="9:13" x14ac:dyDescent="0.3">
      <c r="I1876" s="82"/>
      <c r="M1876" s="85"/>
    </row>
    <row r="1877" spans="9:13" x14ac:dyDescent="0.3">
      <c r="I1877" s="82"/>
      <c r="M1877" s="85"/>
    </row>
    <row r="1878" spans="9:13" x14ac:dyDescent="0.3">
      <c r="I1878" s="82"/>
      <c r="M1878" s="85"/>
    </row>
    <row r="1879" spans="9:13" x14ac:dyDescent="0.3">
      <c r="I1879" s="82"/>
      <c r="M1879" s="85"/>
    </row>
    <row r="1880" spans="9:13" x14ac:dyDescent="0.3">
      <c r="I1880" s="82"/>
      <c r="M1880" s="85"/>
    </row>
    <row r="1881" spans="9:13" x14ac:dyDescent="0.3">
      <c r="I1881" s="82"/>
      <c r="M1881" s="85"/>
    </row>
    <row r="1882" spans="9:13" x14ac:dyDescent="0.3">
      <c r="I1882" s="82"/>
      <c r="M1882" s="85"/>
    </row>
    <row r="1883" spans="9:13" x14ac:dyDescent="0.3">
      <c r="I1883" s="82"/>
      <c r="M1883" s="85"/>
    </row>
    <row r="1884" spans="9:13" x14ac:dyDescent="0.3">
      <c r="I1884" s="82"/>
      <c r="M1884" s="85"/>
    </row>
    <row r="1885" spans="9:13" x14ac:dyDescent="0.3">
      <c r="I1885" s="82"/>
      <c r="M1885" s="85"/>
    </row>
    <row r="1886" spans="9:13" x14ac:dyDescent="0.3">
      <c r="I1886" s="82"/>
      <c r="M1886" s="85"/>
    </row>
    <row r="1887" spans="9:13" x14ac:dyDescent="0.3">
      <c r="I1887" s="82"/>
      <c r="M1887" s="85"/>
    </row>
    <row r="1888" spans="9:13" x14ac:dyDescent="0.3">
      <c r="I1888" s="82"/>
      <c r="M1888" s="85"/>
    </row>
    <row r="1889" spans="9:13" x14ac:dyDescent="0.3">
      <c r="I1889" s="82"/>
      <c r="M1889" s="85"/>
    </row>
    <row r="1890" spans="9:13" x14ac:dyDescent="0.3">
      <c r="I1890" s="82"/>
      <c r="M1890" s="85"/>
    </row>
    <row r="1891" spans="9:13" x14ac:dyDescent="0.3">
      <c r="I1891" s="82"/>
      <c r="M1891" s="85"/>
    </row>
    <row r="1892" spans="9:13" x14ac:dyDescent="0.3">
      <c r="I1892" s="82"/>
      <c r="M1892" s="85"/>
    </row>
    <row r="1893" spans="9:13" x14ac:dyDescent="0.3">
      <c r="I1893" s="82"/>
      <c r="M1893" s="85"/>
    </row>
    <row r="1894" spans="9:13" x14ac:dyDescent="0.3">
      <c r="I1894" s="82"/>
      <c r="M1894" s="85"/>
    </row>
    <row r="1895" spans="9:13" x14ac:dyDescent="0.3">
      <c r="I1895" s="82"/>
      <c r="M1895" s="85"/>
    </row>
    <row r="1896" spans="9:13" x14ac:dyDescent="0.3">
      <c r="I1896" s="82"/>
      <c r="M1896" s="85"/>
    </row>
    <row r="1897" spans="9:13" x14ac:dyDescent="0.3">
      <c r="I1897" s="82"/>
      <c r="M1897" s="85"/>
    </row>
    <row r="1898" spans="9:13" x14ac:dyDescent="0.3">
      <c r="I1898" s="82"/>
      <c r="M1898" s="85"/>
    </row>
    <row r="1899" spans="9:13" x14ac:dyDescent="0.3">
      <c r="I1899" s="82"/>
      <c r="M1899" s="85"/>
    </row>
    <row r="1900" spans="9:13" x14ac:dyDescent="0.3">
      <c r="I1900" s="82"/>
      <c r="M1900" s="85"/>
    </row>
    <row r="1901" spans="9:13" x14ac:dyDescent="0.3">
      <c r="I1901" s="82"/>
      <c r="M1901" s="85"/>
    </row>
    <row r="1902" spans="9:13" x14ac:dyDescent="0.3">
      <c r="I1902" s="82"/>
      <c r="M1902" s="85"/>
    </row>
    <row r="1903" spans="9:13" x14ac:dyDescent="0.3">
      <c r="I1903" s="82"/>
      <c r="M1903" s="85"/>
    </row>
    <row r="1904" spans="9:13" x14ac:dyDescent="0.3">
      <c r="I1904" s="82"/>
      <c r="M1904" s="85"/>
    </row>
    <row r="1905" spans="9:13" x14ac:dyDescent="0.3">
      <c r="I1905" s="82"/>
      <c r="M1905" s="85"/>
    </row>
    <row r="1906" spans="9:13" x14ac:dyDescent="0.3">
      <c r="I1906" s="82"/>
      <c r="M1906" s="85"/>
    </row>
    <row r="1907" spans="9:13" x14ac:dyDescent="0.3">
      <c r="I1907" s="82"/>
      <c r="M1907" s="85"/>
    </row>
    <row r="1908" spans="9:13" x14ac:dyDescent="0.3">
      <c r="I1908" s="82"/>
      <c r="M1908" s="85"/>
    </row>
    <row r="1909" spans="9:13" x14ac:dyDescent="0.3">
      <c r="I1909" s="82"/>
      <c r="M1909" s="85"/>
    </row>
    <row r="1910" spans="9:13" x14ac:dyDescent="0.3">
      <c r="I1910" s="82"/>
      <c r="M1910" s="85"/>
    </row>
    <row r="1911" spans="9:13" x14ac:dyDescent="0.3">
      <c r="I1911" s="82"/>
      <c r="M1911" s="85"/>
    </row>
    <row r="1912" spans="9:13" x14ac:dyDescent="0.3">
      <c r="I1912" s="82"/>
      <c r="M1912" s="85"/>
    </row>
    <row r="1913" spans="9:13" x14ac:dyDescent="0.3">
      <c r="I1913" s="82"/>
      <c r="M1913" s="85"/>
    </row>
    <row r="1914" spans="9:13" x14ac:dyDescent="0.3">
      <c r="I1914" s="82"/>
      <c r="M1914" s="85"/>
    </row>
    <row r="1915" spans="9:13" x14ac:dyDescent="0.3">
      <c r="I1915" s="82"/>
      <c r="M1915" s="85"/>
    </row>
    <row r="1916" spans="9:13" x14ac:dyDescent="0.3">
      <c r="I1916" s="82"/>
      <c r="M1916" s="85"/>
    </row>
    <row r="1917" spans="9:13" x14ac:dyDescent="0.3">
      <c r="I1917" s="82"/>
      <c r="M1917" s="85"/>
    </row>
    <row r="1918" spans="9:13" x14ac:dyDescent="0.3">
      <c r="I1918" s="82"/>
      <c r="M1918" s="85"/>
    </row>
    <row r="1919" spans="9:13" x14ac:dyDescent="0.3">
      <c r="I1919" s="82"/>
      <c r="M1919" s="85"/>
    </row>
    <row r="1920" spans="9:13" x14ac:dyDescent="0.3">
      <c r="I1920" s="82"/>
      <c r="M1920" s="85"/>
    </row>
    <row r="1921" spans="9:13" x14ac:dyDescent="0.3">
      <c r="I1921" s="82"/>
      <c r="M1921" s="85"/>
    </row>
    <row r="1922" spans="9:13" x14ac:dyDescent="0.3">
      <c r="I1922" s="82"/>
      <c r="M1922" s="85"/>
    </row>
    <row r="1923" spans="9:13" x14ac:dyDescent="0.3">
      <c r="I1923" s="82"/>
      <c r="M1923" s="85"/>
    </row>
    <row r="1924" spans="9:13" x14ac:dyDescent="0.3">
      <c r="I1924" s="82"/>
      <c r="M1924" s="85"/>
    </row>
    <row r="1925" spans="9:13" x14ac:dyDescent="0.3">
      <c r="I1925" s="82"/>
      <c r="M1925" s="85"/>
    </row>
    <row r="1926" spans="9:13" x14ac:dyDescent="0.3">
      <c r="I1926" s="82"/>
      <c r="M1926" s="85"/>
    </row>
    <row r="1927" spans="9:13" x14ac:dyDescent="0.3">
      <c r="I1927" s="82"/>
      <c r="M1927" s="85"/>
    </row>
    <row r="1928" spans="9:13" x14ac:dyDescent="0.3">
      <c r="I1928" s="82"/>
      <c r="M1928" s="85"/>
    </row>
    <row r="1929" spans="9:13" x14ac:dyDescent="0.3">
      <c r="I1929" s="82"/>
      <c r="M1929" s="85"/>
    </row>
    <row r="1930" spans="9:13" x14ac:dyDescent="0.3">
      <c r="I1930" s="82"/>
      <c r="M1930" s="85"/>
    </row>
    <row r="1931" spans="9:13" x14ac:dyDescent="0.3">
      <c r="I1931" s="82"/>
      <c r="M1931" s="85"/>
    </row>
    <row r="1932" spans="9:13" x14ac:dyDescent="0.3">
      <c r="I1932" s="82"/>
      <c r="M1932" s="85"/>
    </row>
    <row r="1933" spans="9:13" x14ac:dyDescent="0.3">
      <c r="I1933" s="82"/>
      <c r="M1933" s="85"/>
    </row>
    <row r="1934" spans="9:13" x14ac:dyDescent="0.3">
      <c r="I1934" s="82"/>
      <c r="M1934" s="85"/>
    </row>
    <row r="1935" spans="9:13" x14ac:dyDescent="0.3">
      <c r="I1935" s="82"/>
      <c r="M1935" s="85"/>
    </row>
    <row r="1936" spans="9:13" x14ac:dyDescent="0.3">
      <c r="I1936" s="82"/>
      <c r="M1936" s="85"/>
    </row>
    <row r="1937" spans="9:13" x14ac:dyDescent="0.3">
      <c r="I1937" s="82"/>
      <c r="M1937" s="85"/>
    </row>
    <row r="1938" spans="9:13" x14ac:dyDescent="0.3">
      <c r="I1938" s="82"/>
      <c r="M1938" s="85"/>
    </row>
    <row r="1939" spans="9:13" x14ac:dyDescent="0.3">
      <c r="I1939" s="82"/>
      <c r="M1939" s="85"/>
    </row>
    <row r="1940" spans="9:13" x14ac:dyDescent="0.3">
      <c r="I1940" s="82"/>
      <c r="M1940" s="85"/>
    </row>
    <row r="1941" spans="9:13" x14ac:dyDescent="0.3">
      <c r="I1941" s="82"/>
      <c r="M1941" s="85"/>
    </row>
    <row r="1942" spans="9:13" x14ac:dyDescent="0.3">
      <c r="I1942" s="82"/>
      <c r="M1942" s="85"/>
    </row>
    <row r="1943" spans="9:13" x14ac:dyDescent="0.3">
      <c r="I1943" s="82"/>
      <c r="M1943" s="85"/>
    </row>
    <row r="1944" spans="9:13" x14ac:dyDescent="0.3">
      <c r="I1944" s="82"/>
      <c r="M1944" s="85"/>
    </row>
    <row r="1945" spans="9:13" x14ac:dyDescent="0.3">
      <c r="I1945" s="82"/>
      <c r="M1945" s="85"/>
    </row>
    <row r="1946" spans="9:13" x14ac:dyDescent="0.3">
      <c r="I1946" s="82"/>
      <c r="M1946" s="85"/>
    </row>
    <row r="1947" spans="9:13" x14ac:dyDescent="0.3">
      <c r="I1947" s="82"/>
      <c r="M1947" s="85"/>
    </row>
    <row r="1948" spans="9:13" x14ac:dyDescent="0.3">
      <c r="I1948" s="82"/>
      <c r="M1948" s="85"/>
    </row>
    <row r="1949" spans="9:13" x14ac:dyDescent="0.3">
      <c r="I1949" s="82"/>
      <c r="M1949" s="85"/>
    </row>
    <row r="1950" spans="9:13" x14ac:dyDescent="0.3">
      <c r="I1950" s="82"/>
      <c r="M1950" s="85"/>
    </row>
    <row r="1951" spans="9:13" x14ac:dyDescent="0.3">
      <c r="I1951" s="82"/>
      <c r="M1951" s="85"/>
    </row>
    <row r="1952" spans="9:13" x14ac:dyDescent="0.3">
      <c r="I1952" s="82"/>
      <c r="M1952" s="85"/>
    </row>
    <row r="1953" spans="9:13" x14ac:dyDescent="0.3">
      <c r="I1953" s="82"/>
      <c r="M1953" s="85"/>
    </row>
    <row r="1954" spans="9:13" x14ac:dyDescent="0.3">
      <c r="I1954" s="82"/>
      <c r="M1954" s="85"/>
    </row>
    <row r="1955" spans="9:13" x14ac:dyDescent="0.3">
      <c r="I1955" s="82"/>
      <c r="M1955" s="85"/>
    </row>
    <row r="1956" spans="9:13" x14ac:dyDescent="0.3">
      <c r="I1956" s="82"/>
      <c r="M1956" s="85"/>
    </row>
    <row r="1957" spans="9:13" x14ac:dyDescent="0.3">
      <c r="I1957" s="82"/>
      <c r="M1957" s="85"/>
    </row>
    <row r="1958" spans="9:13" x14ac:dyDescent="0.3">
      <c r="I1958" s="82"/>
      <c r="M1958" s="85"/>
    </row>
    <row r="1959" spans="9:13" x14ac:dyDescent="0.3">
      <c r="I1959" s="82"/>
      <c r="M1959" s="85"/>
    </row>
    <row r="1960" spans="9:13" x14ac:dyDescent="0.3">
      <c r="I1960" s="82"/>
      <c r="M1960" s="85"/>
    </row>
    <row r="1961" spans="9:13" x14ac:dyDescent="0.3">
      <c r="I1961" s="82"/>
      <c r="M1961" s="85"/>
    </row>
    <row r="1962" spans="9:13" x14ac:dyDescent="0.3">
      <c r="I1962" s="82"/>
      <c r="M1962" s="85"/>
    </row>
    <row r="1963" spans="9:13" x14ac:dyDescent="0.3">
      <c r="I1963" s="82"/>
      <c r="M1963" s="85"/>
    </row>
    <row r="1964" spans="9:13" x14ac:dyDescent="0.3">
      <c r="I1964" s="82"/>
      <c r="M1964" s="85"/>
    </row>
    <row r="1965" spans="9:13" x14ac:dyDescent="0.3">
      <c r="I1965" s="82"/>
      <c r="M1965" s="85"/>
    </row>
    <row r="1966" spans="9:13" x14ac:dyDescent="0.3">
      <c r="I1966" s="82"/>
      <c r="M1966" s="85"/>
    </row>
    <row r="1967" spans="9:13" x14ac:dyDescent="0.3">
      <c r="I1967" s="82"/>
      <c r="M1967" s="85"/>
    </row>
    <row r="1968" spans="9:13" x14ac:dyDescent="0.3">
      <c r="I1968" s="82"/>
      <c r="M1968" s="85"/>
    </row>
    <row r="1969" spans="9:13" x14ac:dyDescent="0.3">
      <c r="I1969" s="82"/>
      <c r="M1969" s="85"/>
    </row>
    <row r="1970" spans="9:13" x14ac:dyDescent="0.3">
      <c r="I1970" s="82"/>
      <c r="M1970" s="85"/>
    </row>
    <row r="1971" spans="9:13" x14ac:dyDescent="0.3">
      <c r="I1971" s="82"/>
      <c r="M1971" s="85"/>
    </row>
    <row r="1972" spans="9:13" x14ac:dyDescent="0.3">
      <c r="I1972" s="82"/>
      <c r="M1972" s="85"/>
    </row>
    <row r="1973" spans="9:13" x14ac:dyDescent="0.3">
      <c r="I1973" s="82"/>
      <c r="M1973" s="85"/>
    </row>
    <row r="1974" spans="9:13" x14ac:dyDescent="0.3">
      <c r="I1974" s="82"/>
      <c r="M1974" s="85"/>
    </row>
    <row r="1975" spans="9:13" x14ac:dyDescent="0.3">
      <c r="I1975" s="82"/>
      <c r="M1975" s="85"/>
    </row>
    <row r="1976" spans="9:13" x14ac:dyDescent="0.3">
      <c r="I1976" s="82"/>
      <c r="M1976" s="85"/>
    </row>
    <row r="1977" spans="9:13" x14ac:dyDescent="0.3">
      <c r="I1977" s="82"/>
      <c r="M1977" s="85"/>
    </row>
    <row r="1978" spans="9:13" x14ac:dyDescent="0.3">
      <c r="I1978" s="82"/>
      <c r="M1978" s="85"/>
    </row>
    <row r="1979" spans="9:13" x14ac:dyDescent="0.3">
      <c r="I1979" s="82"/>
      <c r="M1979" s="85"/>
    </row>
    <row r="1980" spans="9:13" x14ac:dyDescent="0.3">
      <c r="I1980" s="82"/>
      <c r="M1980" s="85"/>
    </row>
    <row r="1981" spans="9:13" x14ac:dyDescent="0.3">
      <c r="I1981" s="82"/>
      <c r="M1981" s="85"/>
    </row>
    <row r="1982" spans="9:13" x14ac:dyDescent="0.3">
      <c r="I1982" s="82"/>
      <c r="M1982" s="85"/>
    </row>
    <row r="1983" spans="9:13" x14ac:dyDescent="0.3">
      <c r="I1983" s="82"/>
      <c r="M1983" s="85"/>
    </row>
    <row r="1984" spans="9:13" x14ac:dyDescent="0.3">
      <c r="I1984" s="82"/>
      <c r="M1984" s="85"/>
    </row>
    <row r="1985" spans="9:13" x14ac:dyDescent="0.3">
      <c r="I1985" s="82"/>
      <c r="M1985" s="85"/>
    </row>
    <row r="1986" spans="9:13" x14ac:dyDescent="0.3">
      <c r="I1986" s="82"/>
      <c r="M1986" s="85"/>
    </row>
    <row r="1987" spans="9:13" x14ac:dyDescent="0.3">
      <c r="I1987" s="82"/>
      <c r="M1987" s="85"/>
    </row>
    <row r="1988" spans="9:13" x14ac:dyDescent="0.3">
      <c r="I1988" s="82"/>
      <c r="M1988" s="85"/>
    </row>
    <row r="1989" spans="9:13" x14ac:dyDescent="0.3">
      <c r="I1989" s="82"/>
      <c r="M1989" s="85"/>
    </row>
    <row r="1990" spans="9:13" x14ac:dyDescent="0.3">
      <c r="I1990" s="82"/>
      <c r="M1990" s="85"/>
    </row>
    <row r="1991" spans="9:13" x14ac:dyDescent="0.3">
      <c r="I1991" s="82"/>
      <c r="M1991" s="85"/>
    </row>
    <row r="1992" spans="9:13" x14ac:dyDescent="0.3">
      <c r="I1992" s="82"/>
      <c r="M1992" s="85"/>
    </row>
    <row r="1993" spans="9:13" x14ac:dyDescent="0.3">
      <c r="I1993" s="82"/>
      <c r="M1993" s="85"/>
    </row>
    <row r="1994" spans="9:13" x14ac:dyDescent="0.3">
      <c r="I1994" s="82"/>
      <c r="M1994" s="85"/>
    </row>
    <row r="1995" spans="9:13" x14ac:dyDescent="0.3">
      <c r="I1995" s="82"/>
      <c r="M1995" s="85"/>
    </row>
    <row r="1996" spans="9:13" x14ac:dyDescent="0.3">
      <c r="I1996" s="82"/>
      <c r="M1996" s="85"/>
    </row>
    <row r="1997" spans="9:13" x14ac:dyDescent="0.3">
      <c r="I1997" s="82"/>
      <c r="M1997" s="85"/>
    </row>
    <row r="1998" spans="9:13" x14ac:dyDescent="0.3">
      <c r="I1998" s="82"/>
      <c r="M1998" s="85"/>
    </row>
    <row r="1999" spans="9:13" x14ac:dyDescent="0.3">
      <c r="I1999" s="82"/>
      <c r="M1999" s="85"/>
    </row>
    <row r="2000" spans="9:13" x14ac:dyDescent="0.3">
      <c r="I2000" s="82"/>
      <c r="M2000" s="85"/>
    </row>
    <row r="2001" spans="9:13" x14ac:dyDescent="0.3">
      <c r="I2001" s="82"/>
      <c r="M2001" s="85"/>
    </row>
    <row r="2002" spans="9:13" x14ac:dyDescent="0.3">
      <c r="I2002" s="82"/>
      <c r="M2002" s="85"/>
    </row>
    <row r="2003" spans="9:13" x14ac:dyDescent="0.3">
      <c r="I2003" s="82"/>
      <c r="M2003" s="85"/>
    </row>
    <row r="2004" spans="9:13" x14ac:dyDescent="0.3">
      <c r="I2004" s="82"/>
      <c r="M2004" s="85"/>
    </row>
    <row r="2005" spans="9:13" x14ac:dyDescent="0.3">
      <c r="I2005" s="82"/>
      <c r="M2005" s="85"/>
    </row>
    <row r="2006" spans="9:13" x14ac:dyDescent="0.3">
      <c r="I2006" s="82"/>
      <c r="M2006" s="85"/>
    </row>
    <row r="2007" spans="9:13" x14ac:dyDescent="0.3">
      <c r="I2007" s="82"/>
      <c r="M2007" s="85"/>
    </row>
    <row r="2008" spans="9:13" x14ac:dyDescent="0.3">
      <c r="I2008" s="82"/>
      <c r="M2008" s="85"/>
    </row>
    <row r="2009" spans="9:13" x14ac:dyDescent="0.3">
      <c r="I2009" s="82"/>
      <c r="M2009" s="85"/>
    </row>
    <row r="2010" spans="9:13" x14ac:dyDescent="0.3">
      <c r="I2010" s="82"/>
      <c r="M2010" s="85"/>
    </row>
    <row r="2011" spans="9:13" x14ac:dyDescent="0.3">
      <c r="I2011" s="82"/>
      <c r="M2011" s="85"/>
    </row>
    <row r="2012" spans="9:13" x14ac:dyDescent="0.3">
      <c r="I2012" s="82"/>
      <c r="M2012" s="85"/>
    </row>
    <row r="2013" spans="9:13" x14ac:dyDescent="0.3">
      <c r="I2013" s="82"/>
      <c r="M2013" s="85"/>
    </row>
    <row r="2014" spans="9:13" x14ac:dyDescent="0.3">
      <c r="I2014" s="82"/>
      <c r="M2014" s="85"/>
    </row>
    <row r="2015" spans="9:13" x14ac:dyDescent="0.3">
      <c r="I2015" s="82"/>
      <c r="M2015" s="85"/>
    </row>
    <row r="2016" spans="9:13" x14ac:dyDescent="0.3">
      <c r="I2016" s="82"/>
      <c r="M2016" s="85"/>
    </row>
    <row r="2017" spans="9:13" x14ac:dyDescent="0.3">
      <c r="I2017" s="82"/>
      <c r="M2017" s="85"/>
    </row>
    <row r="2018" spans="9:13" x14ac:dyDescent="0.3">
      <c r="I2018" s="82"/>
      <c r="M2018" s="85"/>
    </row>
    <row r="2019" spans="9:13" x14ac:dyDescent="0.3">
      <c r="I2019" s="82"/>
      <c r="M2019" s="85"/>
    </row>
    <row r="2020" spans="9:13" x14ac:dyDescent="0.3">
      <c r="I2020" s="82"/>
      <c r="M2020" s="85"/>
    </row>
    <row r="2021" spans="9:13" x14ac:dyDescent="0.3">
      <c r="I2021" s="82"/>
      <c r="M2021" s="85"/>
    </row>
    <row r="2022" spans="9:13" x14ac:dyDescent="0.3">
      <c r="I2022" s="82"/>
      <c r="M2022" s="85"/>
    </row>
    <row r="2023" spans="9:13" x14ac:dyDescent="0.3">
      <c r="I2023" s="82"/>
      <c r="M2023" s="85"/>
    </row>
    <row r="2024" spans="9:13" x14ac:dyDescent="0.3">
      <c r="I2024" s="82"/>
      <c r="M2024" s="85"/>
    </row>
    <row r="2025" spans="9:13" x14ac:dyDescent="0.3">
      <c r="I2025" s="82"/>
      <c r="M2025" s="85"/>
    </row>
    <row r="2026" spans="9:13" x14ac:dyDescent="0.3">
      <c r="I2026" s="82"/>
      <c r="M2026" s="85"/>
    </row>
    <row r="2027" spans="9:13" x14ac:dyDescent="0.3">
      <c r="I2027" s="82"/>
      <c r="M2027" s="85"/>
    </row>
    <row r="2028" spans="9:13" x14ac:dyDescent="0.3">
      <c r="I2028" s="82"/>
      <c r="M2028" s="85"/>
    </row>
    <row r="2029" spans="9:13" x14ac:dyDescent="0.3">
      <c r="I2029" s="82"/>
      <c r="M2029" s="85"/>
    </row>
    <row r="2030" spans="9:13" x14ac:dyDescent="0.3">
      <c r="I2030" s="82"/>
      <c r="M2030" s="85"/>
    </row>
    <row r="2031" spans="9:13" x14ac:dyDescent="0.3">
      <c r="I2031" s="82"/>
      <c r="M2031" s="85"/>
    </row>
    <row r="2032" spans="9:13" x14ac:dyDescent="0.3">
      <c r="I2032" s="82"/>
      <c r="M2032" s="85"/>
    </row>
    <row r="2033" spans="9:13" x14ac:dyDescent="0.3">
      <c r="I2033" s="82"/>
      <c r="M2033" s="85"/>
    </row>
    <row r="2034" spans="9:13" x14ac:dyDescent="0.3">
      <c r="I2034" s="82"/>
      <c r="M2034" s="85"/>
    </row>
    <row r="2035" spans="9:13" x14ac:dyDescent="0.3">
      <c r="I2035" s="82"/>
      <c r="M2035" s="85"/>
    </row>
    <row r="2036" spans="9:13" x14ac:dyDescent="0.3">
      <c r="I2036" s="82"/>
      <c r="M2036" s="85"/>
    </row>
    <row r="2037" spans="9:13" x14ac:dyDescent="0.3">
      <c r="I2037" s="82"/>
      <c r="M2037" s="85"/>
    </row>
    <row r="2038" spans="9:13" x14ac:dyDescent="0.3">
      <c r="I2038" s="82"/>
      <c r="M2038" s="85"/>
    </row>
    <row r="2039" spans="9:13" x14ac:dyDescent="0.3">
      <c r="I2039" s="82"/>
      <c r="M2039" s="85"/>
    </row>
    <row r="2040" spans="9:13" x14ac:dyDescent="0.3">
      <c r="I2040" s="82"/>
      <c r="M2040" s="85"/>
    </row>
    <row r="2041" spans="9:13" x14ac:dyDescent="0.3">
      <c r="I2041" s="82"/>
      <c r="M2041" s="85"/>
    </row>
    <row r="2042" spans="9:13" x14ac:dyDescent="0.3">
      <c r="I2042" s="82"/>
      <c r="M2042" s="85"/>
    </row>
    <row r="2043" spans="9:13" x14ac:dyDescent="0.3">
      <c r="I2043" s="82"/>
      <c r="M2043" s="85"/>
    </row>
    <row r="2044" spans="9:13" x14ac:dyDescent="0.3">
      <c r="I2044" s="82"/>
      <c r="M2044" s="85"/>
    </row>
    <row r="2045" spans="9:13" x14ac:dyDescent="0.3">
      <c r="I2045" s="82"/>
      <c r="M2045" s="85"/>
    </row>
    <row r="2046" spans="9:13" x14ac:dyDescent="0.3">
      <c r="I2046" s="82"/>
      <c r="M2046" s="85"/>
    </row>
    <row r="2047" spans="9:13" x14ac:dyDescent="0.3">
      <c r="I2047" s="82"/>
      <c r="M2047" s="85"/>
    </row>
    <row r="2048" spans="9:13" x14ac:dyDescent="0.3">
      <c r="I2048" s="82"/>
      <c r="M2048" s="85"/>
    </row>
    <row r="2049" spans="9:13" x14ac:dyDescent="0.3">
      <c r="I2049" s="82"/>
      <c r="M2049" s="85"/>
    </row>
    <row r="2050" spans="9:13" x14ac:dyDescent="0.3">
      <c r="I2050" s="82"/>
      <c r="M2050" s="85"/>
    </row>
    <row r="2051" spans="9:13" x14ac:dyDescent="0.3">
      <c r="I2051" s="82"/>
      <c r="M2051" s="85"/>
    </row>
    <row r="2052" spans="9:13" x14ac:dyDescent="0.3">
      <c r="I2052" s="82"/>
      <c r="M2052" s="85"/>
    </row>
    <row r="2053" spans="9:13" x14ac:dyDescent="0.3">
      <c r="I2053" s="82"/>
      <c r="M2053" s="85"/>
    </row>
    <row r="2054" spans="9:13" x14ac:dyDescent="0.3">
      <c r="I2054" s="82"/>
      <c r="M2054" s="85"/>
    </row>
    <row r="2055" spans="9:13" x14ac:dyDescent="0.3">
      <c r="I2055" s="82"/>
      <c r="M2055" s="85"/>
    </row>
    <row r="2056" spans="9:13" x14ac:dyDescent="0.3">
      <c r="I2056" s="82"/>
      <c r="M2056" s="85"/>
    </row>
    <row r="2057" spans="9:13" x14ac:dyDescent="0.3">
      <c r="I2057" s="82"/>
      <c r="M2057" s="85"/>
    </row>
    <row r="2058" spans="9:13" x14ac:dyDescent="0.3">
      <c r="I2058" s="82"/>
      <c r="M2058" s="85"/>
    </row>
    <row r="2059" spans="9:13" x14ac:dyDescent="0.3">
      <c r="I2059" s="82"/>
      <c r="M2059" s="85"/>
    </row>
    <row r="2060" spans="9:13" x14ac:dyDescent="0.3">
      <c r="I2060" s="82"/>
      <c r="M2060" s="85"/>
    </row>
    <row r="2061" spans="9:13" x14ac:dyDescent="0.3">
      <c r="I2061" s="82"/>
      <c r="M2061" s="85"/>
    </row>
    <row r="2062" spans="9:13" x14ac:dyDescent="0.3">
      <c r="I2062" s="82"/>
      <c r="M2062" s="85"/>
    </row>
    <row r="2063" spans="9:13" x14ac:dyDescent="0.3">
      <c r="I2063" s="82"/>
      <c r="M2063" s="85"/>
    </row>
    <row r="2064" spans="9:13" x14ac:dyDescent="0.3">
      <c r="I2064" s="82"/>
      <c r="M2064" s="85"/>
    </row>
    <row r="2065" spans="9:13" x14ac:dyDescent="0.3">
      <c r="I2065" s="82"/>
      <c r="M2065" s="85"/>
    </row>
    <row r="2066" spans="9:13" x14ac:dyDescent="0.3">
      <c r="I2066" s="82"/>
      <c r="M2066" s="85"/>
    </row>
    <row r="2067" spans="9:13" x14ac:dyDescent="0.3">
      <c r="I2067" s="82"/>
      <c r="M2067" s="85"/>
    </row>
    <row r="2068" spans="9:13" x14ac:dyDescent="0.3">
      <c r="I2068" s="82"/>
      <c r="M2068" s="85"/>
    </row>
    <row r="2069" spans="9:13" x14ac:dyDescent="0.3">
      <c r="I2069" s="82"/>
      <c r="M2069" s="85"/>
    </row>
    <row r="2070" spans="9:13" x14ac:dyDescent="0.3">
      <c r="I2070" s="82"/>
      <c r="M2070" s="85"/>
    </row>
    <row r="2071" spans="9:13" x14ac:dyDescent="0.3">
      <c r="I2071" s="82"/>
      <c r="M2071" s="85"/>
    </row>
    <row r="2072" spans="9:13" x14ac:dyDescent="0.3">
      <c r="I2072" s="82"/>
      <c r="M2072" s="85"/>
    </row>
    <row r="2073" spans="9:13" x14ac:dyDescent="0.3">
      <c r="I2073" s="82"/>
      <c r="M2073" s="85"/>
    </row>
    <row r="2074" spans="9:13" x14ac:dyDescent="0.3">
      <c r="I2074" s="82"/>
      <c r="M2074" s="85"/>
    </row>
    <row r="2075" spans="9:13" x14ac:dyDescent="0.3">
      <c r="I2075" s="82"/>
      <c r="M2075" s="85"/>
    </row>
    <row r="2076" spans="9:13" x14ac:dyDescent="0.3">
      <c r="I2076" s="82"/>
      <c r="M2076" s="85"/>
    </row>
    <row r="2077" spans="9:13" x14ac:dyDescent="0.3">
      <c r="I2077" s="82"/>
      <c r="M2077" s="85"/>
    </row>
    <row r="2078" spans="9:13" x14ac:dyDescent="0.3">
      <c r="I2078" s="82"/>
      <c r="M2078" s="85"/>
    </row>
    <row r="2079" spans="9:13" x14ac:dyDescent="0.3">
      <c r="I2079" s="82"/>
      <c r="M2079" s="85"/>
    </row>
    <row r="2080" spans="9:13" x14ac:dyDescent="0.3">
      <c r="I2080" s="82"/>
      <c r="M2080" s="85"/>
    </row>
    <row r="2081" spans="9:13" x14ac:dyDescent="0.3">
      <c r="I2081" s="82"/>
      <c r="M2081" s="85"/>
    </row>
    <row r="2082" spans="9:13" x14ac:dyDescent="0.3">
      <c r="I2082" s="82"/>
      <c r="M2082" s="85"/>
    </row>
    <row r="2083" spans="9:13" x14ac:dyDescent="0.3">
      <c r="I2083" s="82"/>
      <c r="M2083" s="85"/>
    </row>
    <row r="2084" spans="9:13" x14ac:dyDescent="0.3">
      <c r="I2084" s="82"/>
      <c r="M2084" s="85"/>
    </row>
    <row r="2085" spans="9:13" x14ac:dyDescent="0.3">
      <c r="I2085" s="82"/>
      <c r="M2085" s="85"/>
    </row>
    <row r="2086" spans="9:13" x14ac:dyDescent="0.3">
      <c r="I2086" s="82"/>
      <c r="M2086" s="85"/>
    </row>
    <row r="2087" spans="9:13" x14ac:dyDescent="0.3">
      <c r="I2087" s="82"/>
      <c r="M2087" s="85"/>
    </row>
    <row r="2088" spans="9:13" x14ac:dyDescent="0.3">
      <c r="I2088" s="82"/>
      <c r="M2088" s="85"/>
    </row>
    <row r="2089" spans="9:13" x14ac:dyDescent="0.3">
      <c r="I2089" s="82"/>
      <c r="M2089" s="85"/>
    </row>
    <row r="2090" spans="9:13" x14ac:dyDescent="0.3">
      <c r="I2090" s="82"/>
      <c r="M2090" s="85"/>
    </row>
    <row r="2091" spans="9:13" x14ac:dyDescent="0.3">
      <c r="I2091" s="82"/>
      <c r="M2091" s="85"/>
    </row>
    <row r="2092" spans="9:13" x14ac:dyDescent="0.3">
      <c r="I2092" s="82"/>
      <c r="M2092" s="85"/>
    </row>
    <row r="2093" spans="9:13" x14ac:dyDescent="0.3">
      <c r="I2093" s="82"/>
      <c r="M2093" s="85"/>
    </row>
    <row r="2094" spans="9:13" x14ac:dyDescent="0.3">
      <c r="I2094" s="82"/>
      <c r="M2094" s="85"/>
    </row>
    <row r="2095" spans="9:13" x14ac:dyDescent="0.3">
      <c r="I2095" s="82"/>
      <c r="M2095" s="85"/>
    </row>
    <row r="2096" spans="9:13" x14ac:dyDescent="0.3">
      <c r="I2096" s="82"/>
      <c r="M2096" s="85"/>
    </row>
    <row r="2097" spans="9:13" x14ac:dyDescent="0.3">
      <c r="I2097" s="82"/>
      <c r="M2097" s="85"/>
    </row>
    <row r="2098" spans="9:13" x14ac:dyDescent="0.3">
      <c r="I2098" s="82"/>
      <c r="M2098" s="85"/>
    </row>
    <row r="2099" spans="9:13" x14ac:dyDescent="0.3">
      <c r="I2099" s="82"/>
      <c r="M2099" s="85"/>
    </row>
    <row r="2100" spans="9:13" x14ac:dyDescent="0.3">
      <c r="I2100" s="82"/>
      <c r="M2100" s="85"/>
    </row>
    <row r="2101" spans="9:13" x14ac:dyDescent="0.3">
      <c r="I2101" s="82"/>
      <c r="M2101" s="85"/>
    </row>
    <row r="2102" spans="9:13" x14ac:dyDescent="0.3">
      <c r="I2102" s="82"/>
      <c r="M2102" s="85"/>
    </row>
    <row r="2103" spans="9:13" x14ac:dyDescent="0.3">
      <c r="I2103" s="82"/>
      <c r="M2103" s="85"/>
    </row>
    <row r="2104" spans="9:13" x14ac:dyDescent="0.3">
      <c r="I2104" s="82"/>
      <c r="M2104" s="85"/>
    </row>
    <row r="2105" spans="9:13" x14ac:dyDescent="0.3">
      <c r="I2105" s="82"/>
      <c r="M2105" s="85"/>
    </row>
    <row r="2106" spans="9:13" x14ac:dyDescent="0.3">
      <c r="I2106" s="82"/>
      <c r="M2106" s="85"/>
    </row>
    <row r="2107" spans="9:13" x14ac:dyDescent="0.3">
      <c r="I2107" s="82"/>
      <c r="M2107" s="85"/>
    </row>
    <row r="2108" spans="9:13" x14ac:dyDescent="0.3">
      <c r="I2108" s="82"/>
      <c r="M2108" s="85"/>
    </row>
    <row r="2109" spans="9:13" x14ac:dyDescent="0.3">
      <c r="I2109" s="82"/>
      <c r="M2109" s="85"/>
    </row>
    <row r="2110" spans="9:13" x14ac:dyDescent="0.3">
      <c r="I2110" s="82"/>
      <c r="M2110" s="85"/>
    </row>
    <row r="2111" spans="9:13" x14ac:dyDescent="0.3">
      <c r="I2111" s="82"/>
      <c r="M2111" s="85"/>
    </row>
    <row r="2112" spans="9:13" x14ac:dyDescent="0.3">
      <c r="I2112" s="82"/>
      <c r="M2112" s="85"/>
    </row>
    <row r="2113" spans="9:13" x14ac:dyDescent="0.3">
      <c r="I2113" s="82"/>
      <c r="M2113" s="85"/>
    </row>
    <row r="2114" spans="9:13" x14ac:dyDescent="0.3">
      <c r="I2114" s="82"/>
      <c r="M2114" s="85"/>
    </row>
    <row r="2115" spans="9:13" x14ac:dyDescent="0.3">
      <c r="I2115" s="82"/>
      <c r="M2115" s="85"/>
    </row>
    <row r="2116" spans="9:13" x14ac:dyDescent="0.3">
      <c r="I2116" s="82"/>
      <c r="M2116" s="85"/>
    </row>
    <row r="2117" spans="9:13" x14ac:dyDescent="0.3">
      <c r="I2117" s="82"/>
      <c r="M2117" s="85"/>
    </row>
    <row r="2118" spans="9:13" x14ac:dyDescent="0.3">
      <c r="I2118" s="82"/>
      <c r="M2118" s="85"/>
    </row>
    <row r="2119" spans="9:13" x14ac:dyDescent="0.3">
      <c r="I2119" s="82"/>
      <c r="M2119" s="85"/>
    </row>
    <row r="2120" spans="9:13" x14ac:dyDescent="0.3">
      <c r="I2120" s="82"/>
      <c r="M2120" s="85"/>
    </row>
    <row r="2121" spans="9:13" x14ac:dyDescent="0.3">
      <c r="I2121" s="82"/>
      <c r="M2121" s="85"/>
    </row>
    <row r="2122" spans="9:13" x14ac:dyDescent="0.3">
      <c r="I2122" s="82"/>
      <c r="M2122" s="85"/>
    </row>
    <row r="2123" spans="9:13" x14ac:dyDescent="0.3">
      <c r="I2123" s="82"/>
      <c r="M2123" s="85"/>
    </row>
    <row r="2124" spans="9:13" x14ac:dyDescent="0.3">
      <c r="I2124" s="82"/>
      <c r="M2124" s="85"/>
    </row>
    <row r="2125" spans="9:13" x14ac:dyDescent="0.3">
      <c r="I2125" s="82"/>
      <c r="M2125" s="85"/>
    </row>
    <row r="2126" spans="9:13" x14ac:dyDescent="0.3">
      <c r="I2126" s="82"/>
      <c r="M2126" s="85"/>
    </row>
    <row r="2127" spans="9:13" x14ac:dyDescent="0.3">
      <c r="I2127" s="82"/>
      <c r="M2127" s="85"/>
    </row>
    <row r="2128" spans="9:13" x14ac:dyDescent="0.3">
      <c r="I2128" s="82"/>
      <c r="M2128" s="85"/>
    </row>
    <row r="2129" spans="9:13" x14ac:dyDescent="0.3">
      <c r="I2129" s="82"/>
      <c r="M2129" s="85"/>
    </row>
    <row r="2130" spans="9:13" x14ac:dyDescent="0.3">
      <c r="I2130" s="82"/>
      <c r="M2130" s="85"/>
    </row>
    <row r="2131" spans="9:13" x14ac:dyDescent="0.3">
      <c r="I2131" s="82"/>
      <c r="M2131" s="85"/>
    </row>
    <row r="2132" spans="9:13" x14ac:dyDescent="0.3">
      <c r="I2132" s="82"/>
      <c r="M2132" s="85"/>
    </row>
    <row r="2133" spans="9:13" x14ac:dyDescent="0.3">
      <c r="I2133" s="82"/>
      <c r="M2133" s="85"/>
    </row>
    <row r="2134" spans="9:13" x14ac:dyDescent="0.3">
      <c r="I2134" s="82"/>
      <c r="M2134" s="85"/>
    </row>
    <row r="2135" spans="9:13" x14ac:dyDescent="0.3">
      <c r="I2135" s="82"/>
      <c r="M2135" s="85"/>
    </row>
    <row r="2136" spans="9:13" x14ac:dyDescent="0.3">
      <c r="I2136" s="82"/>
      <c r="M2136" s="85"/>
    </row>
    <row r="2137" spans="9:13" x14ac:dyDescent="0.3">
      <c r="I2137" s="82"/>
      <c r="M2137" s="85"/>
    </row>
    <row r="2138" spans="9:13" x14ac:dyDescent="0.3">
      <c r="I2138" s="82"/>
      <c r="M2138" s="85"/>
    </row>
    <row r="2139" spans="9:13" x14ac:dyDescent="0.3">
      <c r="I2139" s="82"/>
      <c r="M2139" s="85"/>
    </row>
    <row r="2140" spans="9:13" x14ac:dyDescent="0.3">
      <c r="I2140" s="82"/>
      <c r="M2140" s="85"/>
    </row>
    <row r="2141" spans="9:13" x14ac:dyDescent="0.3">
      <c r="I2141" s="82"/>
      <c r="M2141" s="85"/>
    </row>
    <row r="2142" spans="9:13" x14ac:dyDescent="0.3">
      <c r="I2142" s="82"/>
      <c r="M2142" s="85"/>
    </row>
    <row r="2143" spans="9:13" x14ac:dyDescent="0.3">
      <c r="I2143" s="82"/>
      <c r="M2143" s="85"/>
    </row>
    <row r="2144" spans="9:13" x14ac:dyDescent="0.3">
      <c r="I2144" s="82"/>
      <c r="M2144" s="85"/>
    </row>
    <row r="2145" spans="9:13" x14ac:dyDescent="0.3">
      <c r="I2145" s="82"/>
      <c r="M2145" s="85"/>
    </row>
    <row r="2146" spans="9:13" x14ac:dyDescent="0.3">
      <c r="I2146" s="82"/>
      <c r="M2146" s="85"/>
    </row>
    <row r="2147" spans="9:13" x14ac:dyDescent="0.3">
      <c r="I2147" s="82"/>
      <c r="M2147" s="85"/>
    </row>
    <row r="2148" spans="9:13" x14ac:dyDescent="0.3">
      <c r="I2148" s="82"/>
      <c r="M2148" s="85"/>
    </row>
    <row r="2149" spans="9:13" x14ac:dyDescent="0.3">
      <c r="I2149" s="82"/>
      <c r="M2149" s="85"/>
    </row>
    <row r="2150" spans="9:13" x14ac:dyDescent="0.3">
      <c r="I2150" s="82"/>
      <c r="M2150" s="85"/>
    </row>
    <row r="2151" spans="9:13" x14ac:dyDescent="0.3">
      <c r="I2151" s="82"/>
      <c r="M2151" s="85"/>
    </row>
    <row r="2152" spans="9:13" x14ac:dyDescent="0.3">
      <c r="I2152" s="82"/>
      <c r="M2152" s="85"/>
    </row>
    <row r="2153" spans="9:13" x14ac:dyDescent="0.3">
      <c r="I2153" s="82"/>
      <c r="M2153" s="85"/>
    </row>
    <row r="2154" spans="9:13" x14ac:dyDescent="0.3">
      <c r="I2154" s="82"/>
      <c r="M2154" s="85"/>
    </row>
    <row r="2155" spans="9:13" x14ac:dyDescent="0.3">
      <c r="I2155" s="82"/>
      <c r="M2155" s="85"/>
    </row>
    <row r="2156" spans="9:13" x14ac:dyDescent="0.3">
      <c r="I2156" s="82"/>
      <c r="M2156" s="85"/>
    </row>
    <row r="2157" spans="9:13" x14ac:dyDescent="0.3">
      <c r="I2157" s="82"/>
      <c r="M2157" s="85"/>
    </row>
    <row r="2158" spans="9:13" x14ac:dyDescent="0.3">
      <c r="I2158" s="82"/>
      <c r="M2158" s="85"/>
    </row>
    <row r="2159" spans="9:13" x14ac:dyDescent="0.3">
      <c r="I2159" s="82"/>
      <c r="M2159" s="85"/>
    </row>
    <row r="2160" spans="9:13" x14ac:dyDescent="0.3">
      <c r="I2160" s="82"/>
      <c r="M2160" s="85"/>
    </row>
    <row r="2161" spans="9:13" x14ac:dyDescent="0.3">
      <c r="I2161" s="82"/>
      <c r="M2161" s="85"/>
    </row>
    <row r="2162" spans="9:13" x14ac:dyDescent="0.3">
      <c r="I2162" s="82"/>
      <c r="M2162" s="85"/>
    </row>
    <row r="2163" spans="9:13" x14ac:dyDescent="0.3">
      <c r="I2163" s="82"/>
      <c r="M2163" s="85"/>
    </row>
    <row r="2164" spans="9:13" x14ac:dyDescent="0.3">
      <c r="I2164" s="82"/>
      <c r="M2164" s="85"/>
    </row>
    <row r="2165" spans="9:13" x14ac:dyDescent="0.3">
      <c r="I2165" s="82"/>
      <c r="M2165" s="85"/>
    </row>
    <row r="2166" spans="9:13" x14ac:dyDescent="0.3">
      <c r="I2166" s="82"/>
      <c r="M2166" s="85"/>
    </row>
    <row r="2167" spans="9:13" x14ac:dyDescent="0.3">
      <c r="I2167" s="82"/>
      <c r="M2167" s="85"/>
    </row>
    <row r="2168" spans="9:13" x14ac:dyDescent="0.3">
      <c r="I2168" s="82"/>
      <c r="M2168" s="85"/>
    </row>
    <row r="2169" spans="9:13" x14ac:dyDescent="0.3">
      <c r="I2169" s="82"/>
      <c r="M2169" s="85"/>
    </row>
    <row r="2170" spans="9:13" x14ac:dyDescent="0.3">
      <c r="I2170" s="82"/>
      <c r="M2170" s="85"/>
    </row>
    <row r="2171" spans="9:13" x14ac:dyDescent="0.3">
      <c r="I2171" s="82"/>
      <c r="M2171" s="85"/>
    </row>
    <row r="2172" spans="9:13" x14ac:dyDescent="0.3">
      <c r="I2172" s="82"/>
      <c r="M2172" s="85"/>
    </row>
    <row r="2173" spans="9:13" x14ac:dyDescent="0.3">
      <c r="I2173" s="82"/>
      <c r="M2173" s="85"/>
    </row>
    <row r="2174" spans="9:13" x14ac:dyDescent="0.3">
      <c r="I2174" s="82"/>
      <c r="M2174" s="85"/>
    </row>
    <row r="2175" spans="9:13" x14ac:dyDescent="0.3">
      <c r="I2175" s="82"/>
      <c r="M2175" s="85"/>
    </row>
    <row r="2176" spans="9:13" x14ac:dyDescent="0.3">
      <c r="I2176" s="82"/>
      <c r="M2176" s="85"/>
    </row>
    <row r="2177" spans="9:13" x14ac:dyDescent="0.3">
      <c r="I2177" s="82"/>
      <c r="M2177" s="85"/>
    </row>
    <row r="2178" spans="9:13" x14ac:dyDescent="0.3">
      <c r="I2178" s="82"/>
      <c r="M2178" s="85"/>
    </row>
    <row r="2179" spans="9:13" x14ac:dyDescent="0.3">
      <c r="I2179" s="82"/>
      <c r="M2179" s="85"/>
    </row>
    <row r="2180" spans="9:13" x14ac:dyDescent="0.3">
      <c r="I2180" s="82"/>
      <c r="M2180" s="85"/>
    </row>
    <row r="2181" spans="9:13" x14ac:dyDescent="0.3">
      <c r="I2181" s="82"/>
      <c r="M2181" s="85"/>
    </row>
    <row r="2182" spans="9:13" x14ac:dyDescent="0.3">
      <c r="I2182" s="82"/>
      <c r="M2182" s="85"/>
    </row>
    <row r="2183" spans="9:13" x14ac:dyDescent="0.3">
      <c r="I2183" s="82"/>
      <c r="M2183" s="85"/>
    </row>
    <row r="2184" spans="9:13" x14ac:dyDescent="0.3">
      <c r="I2184" s="82"/>
      <c r="M2184" s="85"/>
    </row>
    <row r="2185" spans="9:13" x14ac:dyDescent="0.3">
      <c r="I2185" s="82"/>
      <c r="M2185" s="85"/>
    </row>
    <row r="2186" spans="9:13" x14ac:dyDescent="0.3">
      <c r="I2186" s="82"/>
      <c r="M2186" s="85"/>
    </row>
    <row r="2187" spans="9:13" x14ac:dyDescent="0.3">
      <c r="I2187" s="82"/>
      <c r="M2187" s="85"/>
    </row>
    <row r="2188" spans="9:13" x14ac:dyDescent="0.3">
      <c r="I2188" s="82"/>
      <c r="M2188" s="85"/>
    </row>
    <row r="2189" spans="9:13" x14ac:dyDescent="0.3">
      <c r="I2189" s="82"/>
      <c r="M2189" s="85"/>
    </row>
    <row r="2190" spans="9:13" x14ac:dyDescent="0.3">
      <c r="I2190" s="82"/>
      <c r="M2190" s="85"/>
    </row>
    <row r="2191" spans="9:13" x14ac:dyDescent="0.3">
      <c r="I2191" s="82"/>
      <c r="M2191" s="85"/>
    </row>
    <row r="2192" spans="9:13" x14ac:dyDescent="0.3">
      <c r="I2192" s="82"/>
      <c r="M2192" s="85"/>
    </row>
    <row r="2193" spans="9:13" x14ac:dyDescent="0.3">
      <c r="I2193" s="82"/>
      <c r="M2193" s="85"/>
    </row>
    <row r="2194" spans="9:13" x14ac:dyDescent="0.3">
      <c r="I2194" s="82"/>
      <c r="M2194" s="85"/>
    </row>
    <row r="2195" spans="9:13" x14ac:dyDescent="0.3">
      <c r="I2195" s="82"/>
      <c r="M2195" s="85"/>
    </row>
    <row r="2196" spans="9:13" x14ac:dyDescent="0.3">
      <c r="I2196" s="82"/>
      <c r="M2196" s="85"/>
    </row>
    <row r="2197" spans="9:13" x14ac:dyDescent="0.3">
      <c r="I2197" s="82"/>
      <c r="M2197" s="85"/>
    </row>
    <row r="2198" spans="9:13" x14ac:dyDescent="0.3">
      <c r="I2198" s="82"/>
      <c r="M2198" s="85"/>
    </row>
    <row r="2199" spans="9:13" x14ac:dyDescent="0.3">
      <c r="I2199" s="82"/>
      <c r="M2199" s="85"/>
    </row>
    <row r="2200" spans="9:13" x14ac:dyDescent="0.3">
      <c r="I2200" s="82"/>
      <c r="M2200" s="85"/>
    </row>
    <row r="2201" spans="9:13" x14ac:dyDescent="0.3">
      <c r="I2201" s="82"/>
      <c r="M2201" s="85"/>
    </row>
    <row r="2202" spans="9:13" x14ac:dyDescent="0.3">
      <c r="I2202" s="82"/>
      <c r="M2202" s="85"/>
    </row>
    <row r="2203" spans="9:13" x14ac:dyDescent="0.3">
      <c r="I2203" s="82"/>
      <c r="M2203" s="85"/>
    </row>
    <row r="2204" spans="9:13" x14ac:dyDescent="0.3">
      <c r="I2204" s="82"/>
      <c r="M2204" s="85"/>
    </row>
    <row r="2205" spans="9:13" x14ac:dyDescent="0.3">
      <c r="I2205" s="82"/>
      <c r="M2205" s="85"/>
    </row>
    <row r="2206" spans="9:13" x14ac:dyDescent="0.3">
      <c r="I2206" s="82"/>
      <c r="M2206" s="85"/>
    </row>
    <row r="2207" spans="9:13" x14ac:dyDescent="0.3">
      <c r="I2207" s="82"/>
      <c r="M2207" s="85"/>
    </row>
    <row r="2208" spans="9:13" x14ac:dyDescent="0.3">
      <c r="I2208" s="82"/>
      <c r="M2208" s="85"/>
    </row>
    <row r="2209" spans="9:13" x14ac:dyDescent="0.3">
      <c r="I2209" s="82"/>
      <c r="M2209" s="85"/>
    </row>
    <row r="2210" spans="9:13" x14ac:dyDescent="0.3">
      <c r="I2210" s="82"/>
      <c r="M2210" s="85"/>
    </row>
    <row r="2211" spans="9:13" x14ac:dyDescent="0.3">
      <c r="I2211" s="82"/>
      <c r="M2211" s="85"/>
    </row>
    <row r="2212" spans="9:13" x14ac:dyDescent="0.3">
      <c r="I2212" s="82"/>
      <c r="M2212" s="85"/>
    </row>
    <row r="2213" spans="9:13" x14ac:dyDescent="0.3">
      <c r="I2213" s="82"/>
      <c r="M2213" s="85"/>
    </row>
    <row r="2214" spans="9:13" x14ac:dyDescent="0.3">
      <c r="I2214" s="82"/>
      <c r="M2214" s="85"/>
    </row>
    <row r="2215" spans="9:13" x14ac:dyDescent="0.3">
      <c r="I2215" s="82"/>
      <c r="M2215" s="85"/>
    </row>
    <row r="2216" spans="9:13" x14ac:dyDescent="0.3">
      <c r="I2216" s="82"/>
      <c r="M2216" s="85"/>
    </row>
    <row r="2217" spans="9:13" x14ac:dyDescent="0.3">
      <c r="I2217" s="82"/>
      <c r="M2217" s="85"/>
    </row>
    <row r="2218" spans="9:13" x14ac:dyDescent="0.3">
      <c r="I2218" s="82"/>
      <c r="M2218" s="85"/>
    </row>
    <row r="2219" spans="9:13" x14ac:dyDescent="0.3">
      <c r="I2219" s="82"/>
      <c r="M2219" s="85"/>
    </row>
    <row r="2220" spans="9:13" x14ac:dyDescent="0.3">
      <c r="I2220" s="82"/>
      <c r="M2220" s="85"/>
    </row>
    <row r="2221" spans="9:13" x14ac:dyDescent="0.3">
      <c r="I2221" s="82"/>
      <c r="M2221" s="85"/>
    </row>
    <row r="2222" spans="9:13" x14ac:dyDescent="0.3">
      <c r="I2222" s="82"/>
      <c r="M2222" s="85"/>
    </row>
    <row r="2223" spans="9:13" x14ac:dyDescent="0.3">
      <c r="I2223" s="82"/>
      <c r="M2223" s="85"/>
    </row>
    <row r="2224" spans="9:13" x14ac:dyDescent="0.3">
      <c r="I2224" s="82"/>
      <c r="M2224" s="85"/>
    </row>
    <row r="2225" spans="9:13" x14ac:dyDescent="0.3">
      <c r="I2225" s="82"/>
      <c r="M2225" s="85"/>
    </row>
    <row r="2226" spans="9:13" x14ac:dyDescent="0.3">
      <c r="I2226" s="82"/>
      <c r="M2226" s="85"/>
    </row>
    <row r="2227" spans="9:13" x14ac:dyDescent="0.3">
      <c r="I2227" s="82"/>
      <c r="M2227" s="85"/>
    </row>
    <row r="2228" spans="9:13" x14ac:dyDescent="0.3">
      <c r="I2228" s="82"/>
      <c r="M2228" s="85"/>
    </row>
    <row r="2229" spans="9:13" x14ac:dyDescent="0.3">
      <c r="I2229" s="82"/>
      <c r="M2229" s="85"/>
    </row>
    <row r="2230" spans="9:13" x14ac:dyDescent="0.3">
      <c r="I2230" s="82"/>
      <c r="M2230" s="85"/>
    </row>
    <row r="2231" spans="9:13" x14ac:dyDescent="0.3">
      <c r="I2231" s="82"/>
      <c r="M2231" s="85"/>
    </row>
    <row r="2232" spans="9:13" x14ac:dyDescent="0.3">
      <c r="I2232" s="82"/>
      <c r="M2232" s="85"/>
    </row>
    <row r="2233" spans="9:13" x14ac:dyDescent="0.3">
      <c r="I2233" s="82"/>
      <c r="M2233" s="85"/>
    </row>
    <row r="2234" spans="9:13" x14ac:dyDescent="0.3">
      <c r="I2234" s="82"/>
      <c r="M2234" s="85"/>
    </row>
    <row r="2235" spans="9:13" x14ac:dyDescent="0.3">
      <c r="I2235" s="82"/>
      <c r="M2235" s="85"/>
    </row>
    <row r="2236" spans="9:13" x14ac:dyDescent="0.3">
      <c r="I2236" s="82"/>
      <c r="M2236" s="85"/>
    </row>
    <row r="2237" spans="9:13" x14ac:dyDescent="0.3">
      <c r="I2237" s="82"/>
      <c r="M2237" s="85"/>
    </row>
    <row r="2238" spans="9:13" x14ac:dyDescent="0.3">
      <c r="I2238" s="82"/>
      <c r="M2238" s="85"/>
    </row>
    <row r="2239" spans="9:13" x14ac:dyDescent="0.3">
      <c r="I2239" s="82"/>
      <c r="M2239" s="85"/>
    </row>
    <row r="2240" spans="9:13" x14ac:dyDescent="0.3">
      <c r="I2240" s="82"/>
      <c r="M2240" s="85"/>
    </row>
    <row r="2241" spans="9:13" x14ac:dyDescent="0.3">
      <c r="I2241" s="82"/>
      <c r="M2241" s="85"/>
    </row>
    <row r="2242" spans="9:13" x14ac:dyDescent="0.3">
      <c r="I2242" s="82"/>
      <c r="M2242" s="85"/>
    </row>
    <row r="2243" spans="9:13" x14ac:dyDescent="0.3">
      <c r="I2243" s="82"/>
      <c r="M2243" s="85"/>
    </row>
    <row r="2244" spans="9:13" x14ac:dyDescent="0.3">
      <c r="I2244" s="82"/>
      <c r="M2244" s="85"/>
    </row>
    <row r="2245" spans="9:13" x14ac:dyDescent="0.3">
      <c r="I2245" s="82"/>
      <c r="M2245" s="85"/>
    </row>
    <row r="2246" spans="9:13" x14ac:dyDescent="0.3">
      <c r="I2246" s="82"/>
      <c r="M2246" s="85"/>
    </row>
    <row r="2247" spans="9:13" x14ac:dyDescent="0.3">
      <c r="I2247" s="82"/>
      <c r="M2247" s="85"/>
    </row>
    <row r="2248" spans="9:13" x14ac:dyDescent="0.3">
      <c r="I2248" s="82"/>
      <c r="M2248" s="85"/>
    </row>
    <row r="2249" spans="9:13" x14ac:dyDescent="0.3">
      <c r="I2249" s="82"/>
      <c r="M2249" s="85"/>
    </row>
    <row r="2250" spans="9:13" x14ac:dyDescent="0.3">
      <c r="I2250" s="82"/>
      <c r="M2250" s="85"/>
    </row>
    <row r="2251" spans="9:13" x14ac:dyDescent="0.3">
      <c r="I2251" s="82"/>
      <c r="M2251" s="85"/>
    </row>
    <row r="2252" spans="9:13" x14ac:dyDescent="0.3">
      <c r="I2252" s="82"/>
      <c r="M2252" s="85"/>
    </row>
    <row r="2253" spans="9:13" x14ac:dyDescent="0.3">
      <c r="I2253" s="82"/>
      <c r="M2253" s="85"/>
    </row>
    <row r="2254" spans="9:13" x14ac:dyDescent="0.3">
      <c r="I2254" s="82"/>
      <c r="M2254" s="85"/>
    </row>
    <row r="2255" spans="9:13" x14ac:dyDescent="0.3">
      <c r="I2255" s="82"/>
      <c r="M2255" s="85"/>
    </row>
    <row r="2256" spans="9:13" x14ac:dyDescent="0.3">
      <c r="I2256" s="82"/>
      <c r="M2256" s="85"/>
    </row>
    <row r="2257" spans="9:13" x14ac:dyDescent="0.3">
      <c r="I2257" s="82"/>
      <c r="M2257" s="85"/>
    </row>
    <row r="2258" spans="9:13" x14ac:dyDescent="0.3">
      <c r="I2258" s="82"/>
      <c r="M2258" s="85"/>
    </row>
    <row r="2259" spans="9:13" x14ac:dyDescent="0.3">
      <c r="I2259" s="82"/>
      <c r="M2259" s="85"/>
    </row>
    <row r="2260" spans="9:13" x14ac:dyDescent="0.3">
      <c r="I2260" s="82"/>
      <c r="M2260" s="85"/>
    </row>
    <row r="2261" spans="9:13" x14ac:dyDescent="0.3">
      <c r="I2261" s="82"/>
      <c r="M2261" s="85"/>
    </row>
    <row r="2262" spans="9:13" x14ac:dyDescent="0.3">
      <c r="I2262" s="82"/>
      <c r="M2262" s="85"/>
    </row>
    <row r="2263" spans="9:13" x14ac:dyDescent="0.3">
      <c r="I2263" s="82"/>
      <c r="M2263" s="85"/>
    </row>
    <row r="2264" spans="9:13" x14ac:dyDescent="0.3">
      <c r="I2264" s="82"/>
      <c r="M2264" s="85"/>
    </row>
    <row r="2265" spans="9:13" x14ac:dyDescent="0.3">
      <c r="I2265" s="82"/>
      <c r="M2265" s="85"/>
    </row>
    <row r="2266" spans="9:13" x14ac:dyDescent="0.3">
      <c r="I2266" s="82"/>
      <c r="M2266" s="85"/>
    </row>
    <row r="2267" spans="9:13" x14ac:dyDescent="0.3">
      <c r="I2267" s="82"/>
      <c r="M2267" s="85"/>
    </row>
    <row r="2268" spans="9:13" x14ac:dyDescent="0.3">
      <c r="I2268" s="82"/>
      <c r="M2268" s="85"/>
    </row>
    <row r="2269" spans="9:13" x14ac:dyDescent="0.3">
      <c r="I2269" s="82"/>
      <c r="M2269" s="85"/>
    </row>
    <row r="2270" spans="9:13" x14ac:dyDescent="0.3">
      <c r="I2270" s="82"/>
      <c r="M2270" s="85"/>
    </row>
    <row r="2271" spans="9:13" x14ac:dyDescent="0.3">
      <c r="I2271" s="82"/>
      <c r="M2271" s="85"/>
    </row>
    <row r="2272" spans="9:13" x14ac:dyDescent="0.3">
      <c r="I2272" s="82"/>
      <c r="M2272" s="85"/>
    </row>
    <row r="2273" spans="9:13" x14ac:dyDescent="0.3">
      <c r="I2273" s="82"/>
      <c r="M2273" s="85"/>
    </row>
    <row r="2274" spans="9:13" x14ac:dyDescent="0.3">
      <c r="I2274" s="82"/>
      <c r="M2274" s="85"/>
    </row>
    <row r="2275" spans="9:13" x14ac:dyDescent="0.3">
      <c r="I2275" s="82"/>
      <c r="M2275" s="85"/>
    </row>
    <row r="2276" spans="9:13" x14ac:dyDescent="0.3">
      <c r="I2276" s="82"/>
      <c r="M2276" s="85"/>
    </row>
    <row r="2277" spans="9:13" x14ac:dyDescent="0.3">
      <c r="I2277" s="82"/>
      <c r="M2277" s="85"/>
    </row>
    <row r="2278" spans="9:13" x14ac:dyDescent="0.3">
      <c r="I2278" s="82"/>
      <c r="M2278" s="85"/>
    </row>
    <row r="2279" spans="9:13" x14ac:dyDescent="0.3">
      <c r="I2279" s="82"/>
      <c r="M2279" s="85"/>
    </row>
    <row r="2280" spans="9:13" x14ac:dyDescent="0.3">
      <c r="I2280" s="82"/>
      <c r="M2280" s="85"/>
    </row>
    <row r="2281" spans="9:13" x14ac:dyDescent="0.3">
      <c r="I2281" s="82"/>
      <c r="M2281" s="85"/>
    </row>
    <row r="2282" spans="9:13" x14ac:dyDescent="0.3">
      <c r="I2282" s="82"/>
      <c r="M2282" s="85"/>
    </row>
    <row r="2283" spans="9:13" x14ac:dyDescent="0.3">
      <c r="I2283" s="82"/>
      <c r="M2283" s="85"/>
    </row>
    <row r="2284" spans="9:13" x14ac:dyDescent="0.3">
      <c r="I2284" s="82"/>
      <c r="M2284" s="85"/>
    </row>
    <row r="2285" spans="9:13" x14ac:dyDescent="0.3">
      <c r="I2285" s="82"/>
      <c r="M2285" s="85"/>
    </row>
    <row r="2286" spans="9:13" x14ac:dyDescent="0.3">
      <c r="I2286" s="82"/>
      <c r="M2286" s="85"/>
    </row>
    <row r="2287" spans="9:13" x14ac:dyDescent="0.3">
      <c r="I2287" s="82"/>
      <c r="M2287" s="85"/>
    </row>
    <row r="2288" spans="9:13" x14ac:dyDescent="0.3">
      <c r="I2288" s="82"/>
      <c r="M2288" s="85"/>
    </row>
    <row r="2289" spans="9:13" x14ac:dyDescent="0.3">
      <c r="I2289" s="82"/>
      <c r="M2289" s="85"/>
    </row>
    <row r="2290" spans="9:13" x14ac:dyDescent="0.3">
      <c r="I2290" s="82"/>
      <c r="M2290" s="85"/>
    </row>
    <row r="2291" spans="9:13" x14ac:dyDescent="0.3">
      <c r="I2291" s="82"/>
      <c r="M2291" s="85"/>
    </row>
    <row r="2292" spans="9:13" x14ac:dyDescent="0.3">
      <c r="I2292" s="82"/>
      <c r="M2292" s="85"/>
    </row>
    <row r="2293" spans="9:13" x14ac:dyDescent="0.3">
      <c r="I2293" s="82"/>
      <c r="M2293" s="85"/>
    </row>
    <row r="2294" spans="9:13" x14ac:dyDescent="0.3">
      <c r="I2294" s="82"/>
      <c r="M2294" s="85"/>
    </row>
    <row r="2295" spans="9:13" x14ac:dyDescent="0.3">
      <c r="I2295" s="82"/>
      <c r="M2295" s="85"/>
    </row>
    <row r="2296" spans="9:13" x14ac:dyDescent="0.3">
      <c r="I2296" s="82"/>
      <c r="M2296" s="85"/>
    </row>
    <row r="2297" spans="9:13" x14ac:dyDescent="0.3">
      <c r="I2297" s="82"/>
      <c r="M2297" s="85"/>
    </row>
    <row r="2298" spans="9:13" x14ac:dyDescent="0.3">
      <c r="I2298" s="82"/>
      <c r="M2298" s="85"/>
    </row>
    <row r="2299" spans="9:13" x14ac:dyDescent="0.3">
      <c r="I2299" s="82"/>
      <c r="M2299" s="85"/>
    </row>
    <row r="2300" spans="9:13" x14ac:dyDescent="0.3">
      <c r="I2300" s="82"/>
      <c r="M2300" s="85"/>
    </row>
    <row r="2301" spans="9:13" x14ac:dyDescent="0.3">
      <c r="I2301" s="82"/>
      <c r="M2301" s="85"/>
    </row>
    <row r="2302" spans="9:13" x14ac:dyDescent="0.3">
      <c r="I2302" s="82"/>
      <c r="M2302" s="85"/>
    </row>
    <row r="2303" spans="9:13" x14ac:dyDescent="0.3">
      <c r="I2303" s="82"/>
      <c r="M2303" s="85"/>
    </row>
    <row r="2304" spans="9:13" x14ac:dyDescent="0.3">
      <c r="I2304" s="82"/>
      <c r="M2304" s="85"/>
    </row>
    <row r="2305" spans="9:13" x14ac:dyDescent="0.3">
      <c r="I2305" s="82"/>
      <c r="M2305" s="85"/>
    </row>
    <row r="2306" spans="9:13" x14ac:dyDescent="0.3">
      <c r="I2306" s="82"/>
      <c r="M2306" s="85"/>
    </row>
    <row r="2307" spans="9:13" x14ac:dyDescent="0.3">
      <c r="I2307" s="82"/>
      <c r="M2307" s="85"/>
    </row>
    <row r="2308" spans="9:13" x14ac:dyDescent="0.3">
      <c r="I2308" s="82"/>
      <c r="M2308" s="85"/>
    </row>
    <row r="2309" spans="9:13" x14ac:dyDescent="0.3">
      <c r="I2309" s="82"/>
      <c r="M2309" s="85"/>
    </row>
    <row r="2310" spans="9:13" x14ac:dyDescent="0.3">
      <c r="I2310" s="82"/>
      <c r="M2310" s="85"/>
    </row>
    <row r="2311" spans="9:13" x14ac:dyDescent="0.3">
      <c r="I2311" s="82"/>
      <c r="M2311" s="85"/>
    </row>
    <row r="2312" spans="9:13" x14ac:dyDescent="0.3">
      <c r="I2312" s="82"/>
      <c r="M2312" s="85"/>
    </row>
    <row r="2313" spans="9:13" x14ac:dyDescent="0.3">
      <c r="I2313" s="82"/>
      <c r="M2313" s="85"/>
    </row>
    <row r="2314" spans="9:13" x14ac:dyDescent="0.3">
      <c r="I2314" s="82"/>
      <c r="M2314" s="85"/>
    </row>
    <row r="2315" spans="9:13" x14ac:dyDescent="0.3">
      <c r="I2315" s="82"/>
      <c r="M2315" s="85"/>
    </row>
    <row r="2316" spans="9:13" x14ac:dyDescent="0.3">
      <c r="I2316" s="82"/>
      <c r="M2316" s="85"/>
    </row>
    <row r="2317" spans="9:13" x14ac:dyDescent="0.3">
      <c r="I2317" s="82"/>
      <c r="M2317" s="85"/>
    </row>
    <row r="2318" spans="9:13" x14ac:dyDescent="0.3">
      <c r="I2318" s="82"/>
      <c r="M2318" s="85"/>
    </row>
    <row r="2319" spans="9:13" x14ac:dyDescent="0.3">
      <c r="I2319" s="82"/>
      <c r="M2319" s="85"/>
    </row>
    <row r="2320" spans="9:13" x14ac:dyDescent="0.3">
      <c r="I2320" s="82"/>
      <c r="M2320" s="85"/>
    </row>
    <row r="2321" spans="9:13" x14ac:dyDescent="0.3">
      <c r="I2321" s="82"/>
      <c r="M2321" s="85"/>
    </row>
    <row r="2322" spans="9:13" x14ac:dyDescent="0.3">
      <c r="I2322" s="82"/>
      <c r="M2322" s="85"/>
    </row>
    <row r="2323" spans="9:13" x14ac:dyDescent="0.3">
      <c r="I2323" s="82"/>
      <c r="M2323" s="85"/>
    </row>
    <row r="2324" spans="9:13" x14ac:dyDescent="0.3">
      <c r="I2324" s="82"/>
      <c r="M2324" s="85"/>
    </row>
    <row r="2325" spans="9:13" x14ac:dyDescent="0.3">
      <c r="I2325" s="82"/>
      <c r="M2325" s="85"/>
    </row>
    <row r="2326" spans="9:13" x14ac:dyDescent="0.3">
      <c r="I2326" s="82"/>
      <c r="M2326" s="85"/>
    </row>
    <row r="2327" spans="9:13" x14ac:dyDescent="0.3">
      <c r="I2327" s="82"/>
      <c r="M2327" s="85"/>
    </row>
    <row r="2328" spans="9:13" x14ac:dyDescent="0.3">
      <c r="I2328" s="82"/>
      <c r="M2328" s="85"/>
    </row>
    <row r="2329" spans="9:13" x14ac:dyDescent="0.3">
      <c r="I2329" s="82"/>
      <c r="M2329" s="85"/>
    </row>
    <row r="2330" spans="9:13" x14ac:dyDescent="0.3">
      <c r="I2330" s="82"/>
      <c r="M2330" s="85"/>
    </row>
    <row r="2331" spans="9:13" x14ac:dyDescent="0.3">
      <c r="I2331" s="82"/>
      <c r="M2331" s="85"/>
    </row>
    <row r="2332" spans="9:13" x14ac:dyDescent="0.3">
      <c r="I2332" s="82"/>
      <c r="M2332" s="85"/>
    </row>
    <row r="2333" spans="9:13" x14ac:dyDescent="0.3">
      <c r="I2333" s="82"/>
      <c r="M2333" s="85"/>
    </row>
    <row r="2334" spans="9:13" x14ac:dyDescent="0.3">
      <c r="I2334" s="82"/>
      <c r="M2334" s="85"/>
    </row>
    <row r="2335" spans="9:13" x14ac:dyDescent="0.3">
      <c r="I2335" s="82"/>
      <c r="M2335" s="85"/>
    </row>
    <row r="2336" spans="9:13" x14ac:dyDescent="0.3">
      <c r="I2336" s="82"/>
      <c r="M2336" s="85"/>
    </row>
    <row r="2337" spans="9:13" x14ac:dyDescent="0.3">
      <c r="I2337" s="82"/>
      <c r="M2337" s="85"/>
    </row>
    <row r="2338" spans="9:13" x14ac:dyDescent="0.3">
      <c r="I2338" s="82"/>
      <c r="M2338" s="85"/>
    </row>
    <row r="2339" spans="9:13" x14ac:dyDescent="0.3">
      <c r="I2339" s="82"/>
      <c r="M2339" s="85"/>
    </row>
    <row r="2340" spans="9:13" x14ac:dyDescent="0.3">
      <c r="I2340" s="82"/>
      <c r="M2340" s="85"/>
    </row>
    <row r="2341" spans="9:13" x14ac:dyDescent="0.3">
      <c r="I2341" s="82"/>
      <c r="M2341" s="85"/>
    </row>
    <row r="2342" spans="9:13" x14ac:dyDescent="0.3">
      <c r="I2342" s="82"/>
      <c r="M2342" s="85"/>
    </row>
    <row r="2343" spans="9:13" x14ac:dyDescent="0.3">
      <c r="I2343" s="82"/>
      <c r="M2343" s="85"/>
    </row>
    <row r="2344" spans="9:13" x14ac:dyDescent="0.3">
      <c r="I2344" s="82"/>
      <c r="M2344" s="85"/>
    </row>
    <row r="2345" spans="9:13" x14ac:dyDescent="0.3">
      <c r="I2345" s="82"/>
      <c r="M2345" s="85"/>
    </row>
    <row r="2346" spans="9:13" x14ac:dyDescent="0.3">
      <c r="I2346" s="82"/>
      <c r="M2346" s="85"/>
    </row>
    <row r="2347" spans="9:13" x14ac:dyDescent="0.3">
      <c r="I2347" s="82"/>
      <c r="M2347" s="85"/>
    </row>
    <row r="2348" spans="9:13" x14ac:dyDescent="0.3">
      <c r="I2348" s="82"/>
      <c r="M2348" s="85"/>
    </row>
    <row r="2349" spans="9:13" x14ac:dyDescent="0.3">
      <c r="I2349" s="82"/>
      <c r="M2349" s="85"/>
    </row>
    <row r="2350" spans="9:13" x14ac:dyDescent="0.3">
      <c r="I2350" s="82"/>
      <c r="M2350" s="85"/>
    </row>
    <row r="2351" spans="9:13" x14ac:dyDescent="0.3">
      <c r="I2351" s="82"/>
      <c r="M2351" s="85"/>
    </row>
    <row r="2352" spans="9:13" x14ac:dyDescent="0.3">
      <c r="I2352" s="82"/>
      <c r="M2352" s="85"/>
    </row>
    <row r="2353" spans="9:13" x14ac:dyDescent="0.3">
      <c r="I2353" s="82"/>
      <c r="M2353" s="85"/>
    </row>
    <row r="2354" spans="9:13" x14ac:dyDescent="0.3">
      <c r="I2354" s="82"/>
      <c r="M2354" s="85"/>
    </row>
    <row r="2355" spans="9:13" x14ac:dyDescent="0.3">
      <c r="I2355" s="82"/>
      <c r="M2355" s="85"/>
    </row>
    <row r="2356" spans="9:13" x14ac:dyDescent="0.3">
      <c r="I2356" s="82"/>
      <c r="M2356" s="85"/>
    </row>
    <row r="2357" spans="9:13" x14ac:dyDescent="0.3">
      <c r="I2357" s="82"/>
      <c r="M2357" s="85"/>
    </row>
    <row r="2358" spans="9:13" x14ac:dyDescent="0.3">
      <c r="I2358" s="82"/>
      <c r="M2358" s="85"/>
    </row>
    <row r="2359" spans="9:13" x14ac:dyDescent="0.3">
      <c r="I2359" s="82"/>
      <c r="M2359" s="85"/>
    </row>
    <row r="2360" spans="9:13" x14ac:dyDescent="0.3">
      <c r="I2360" s="82"/>
      <c r="M2360" s="85"/>
    </row>
    <row r="2361" spans="9:13" x14ac:dyDescent="0.3">
      <c r="I2361" s="82"/>
      <c r="M2361" s="85"/>
    </row>
    <row r="2362" spans="9:13" x14ac:dyDescent="0.3">
      <c r="I2362" s="82"/>
      <c r="M2362" s="85"/>
    </row>
    <row r="2363" spans="9:13" x14ac:dyDescent="0.3">
      <c r="I2363" s="82"/>
      <c r="M2363" s="85"/>
    </row>
    <row r="2364" spans="9:13" x14ac:dyDescent="0.3">
      <c r="I2364" s="82"/>
      <c r="M2364" s="85"/>
    </row>
    <row r="2365" spans="9:13" x14ac:dyDescent="0.3">
      <c r="I2365" s="82"/>
      <c r="M2365" s="85"/>
    </row>
    <row r="2366" spans="9:13" x14ac:dyDescent="0.3">
      <c r="I2366" s="82"/>
      <c r="M2366" s="85"/>
    </row>
    <row r="2367" spans="9:13" x14ac:dyDescent="0.3">
      <c r="I2367" s="82"/>
      <c r="M2367" s="85"/>
    </row>
    <row r="2368" spans="9:13" x14ac:dyDescent="0.3">
      <c r="I2368" s="82"/>
      <c r="M2368" s="85"/>
    </row>
    <row r="2369" spans="9:13" x14ac:dyDescent="0.3">
      <c r="I2369" s="82"/>
      <c r="M2369" s="85"/>
    </row>
    <row r="2370" spans="9:13" x14ac:dyDescent="0.3">
      <c r="I2370" s="82"/>
      <c r="M2370" s="85"/>
    </row>
    <row r="2371" spans="9:13" x14ac:dyDescent="0.3">
      <c r="I2371" s="82"/>
      <c r="M2371" s="85"/>
    </row>
    <row r="2372" spans="9:13" x14ac:dyDescent="0.3">
      <c r="I2372" s="82"/>
      <c r="M2372" s="85"/>
    </row>
    <row r="2373" spans="9:13" x14ac:dyDescent="0.3">
      <c r="I2373" s="82"/>
      <c r="M2373" s="85"/>
    </row>
    <row r="2374" spans="9:13" x14ac:dyDescent="0.3">
      <c r="I2374" s="82"/>
      <c r="M2374" s="85"/>
    </row>
    <row r="2375" spans="9:13" x14ac:dyDescent="0.3">
      <c r="I2375" s="82"/>
      <c r="M2375" s="85"/>
    </row>
    <row r="2376" spans="9:13" x14ac:dyDescent="0.3">
      <c r="I2376" s="82"/>
      <c r="M2376" s="85"/>
    </row>
    <row r="2377" spans="9:13" x14ac:dyDescent="0.3">
      <c r="I2377" s="82"/>
      <c r="M2377" s="85"/>
    </row>
    <row r="2378" spans="9:13" x14ac:dyDescent="0.3">
      <c r="I2378" s="82"/>
      <c r="M2378" s="85"/>
    </row>
    <row r="2379" spans="9:13" x14ac:dyDescent="0.3">
      <c r="I2379" s="82"/>
      <c r="M2379" s="85"/>
    </row>
    <row r="2380" spans="9:13" x14ac:dyDescent="0.3">
      <c r="I2380" s="82"/>
      <c r="M2380" s="85"/>
    </row>
    <row r="2381" spans="9:13" x14ac:dyDescent="0.3">
      <c r="I2381" s="82"/>
      <c r="M2381" s="85"/>
    </row>
    <row r="2382" spans="9:13" x14ac:dyDescent="0.3">
      <c r="I2382" s="82"/>
      <c r="M2382" s="85"/>
    </row>
    <row r="2383" spans="9:13" x14ac:dyDescent="0.3">
      <c r="I2383" s="82"/>
      <c r="M2383" s="85"/>
    </row>
    <row r="2384" spans="9:13" x14ac:dyDescent="0.3">
      <c r="I2384" s="82"/>
      <c r="M2384" s="85"/>
    </row>
    <row r="2385" spans="9:13" x14ac:dyDescent="0.3">
      <c r="I2385" s="82"/>
      <c r="M2385" s="85"/>
    </row>
    <row r="2386" spans="9:13" x14ac:dyDescent="0.3">
      <c r="I2386" s="82"/>
      <c r="M2386" s="85"/>
    </row>
    <row r="2387" spans="9:13" x14ac:dyDescent="0.3">
      <c r="I2387" s="82"/>
      <c r="M2387" s="85"/>
    </row>
    <row r="2388" spans="9:13" x14ac:dyDescent="0.3">
      <c r="I2388" s="82"/>
      <c r="M2388" s="85"/>
    </row>
    <row r="2389" spans="9:13" x14ac:dyDescent="0.3">
      <c r="I2389" s="82"/>
      <c r="M2389" s="85"/>
    </row>
    <row r="2390" spans="9:13" x14ac:dyDescent="0.3">
      <c r="I2390" s="82"/>
      <c r="M2390" s="85"/>
    </row>
    <row r="2391" spans="9:13" x14ac:dyDescent="0.3">
      <c r="I2391" s="82"/>
      <c r="M2391" s="85"/>
    </row>
    <row r="2392" spans="9:13" x14ac:dyDescent="0.3">
      <c r="I2392" s="82"/>
      <c r="M2392" s="85"/>
    </row>
    <row r="2393" spans="9:13" x14ac:dyDescent="0.3">
      <c r="I2393" s="82"/>
      <c r="M2393" s="85"/>
    </row>
    <row r="2394" spans="9:13" x14ac:dyDescent="0.3">
      <c r="I2394" s="82"/>
      <c r="M2394" s="85"/>
    </row>
    <row r="2395" spans="9:13" x14ac:dyDescent="0.3">
      <c r="I2395" s="82"/>
      <c r="M2395" s="85"/>
    </row>
    <row r="2396" spans="9:13" x14ac:dyDescent="0.3">
      <c r="I2396" s="82"/>
      <c r="M2396" s="85"/>
    </row>
    <row r="2397" spans="9:13" x14ac:dyDescent="0.3">
      <c r="I2397" s="82"/>
      <c r="M2397" s="85"/>
    </row>
    <row r="2398" spans="9:13" x14ac:dyDescent="0.3">
      <c r="I2398" s="82"/>
      <c r="M2398" s="85"/>
    </row>
    <row r="2399" spans="9:13" x14ac:dyDescent="0.3">
      <c r="I2399" s="82"/>
      <c r="M2399" s="85"/>
    </row>
    <row r="2400" spans="9:13" x14ac:dyDescent="0.3">
      <c r="I2400" s="82"/>
      <c r="M2400" s="85"/>
    </row>
    <row r="2401" spans="9:13" x14ac:dyDescent="0.3">
      <c r="I2401" s="82"/>
      <c r="M2401" s="85"/>
    </row>
    <row r="2402" spans="9:13" x14ac:dyDescent="0.3">
      <c r="I2402" s="82"/>
      <c r="M2402" s="85"/>
    </row>
    <row r="2403" spans="9:13" x14ac:dyDescent="0.3">
      <c r="I2403" s="82"/>
      <c r="M2403" s="85"/>
    </row>
    <row r="2404" spans="9:13" x14ac:dyDescent="0.3">
      <c r="I2404" s="82"/>
      <c r="M2404" s="85"/>
    </row>
    <row r="2405" spans="9:13" x14ac:dyDescent="0.3">
      <c r="I2405" s="82"/>
      <c r="M2405" s="85"/>
    </row>
    <row r="2406" spans="9:13" x14ac:dyDescent="0.3">
      <c r="I2406" s="82"/>
      <c r="M2406" s="85"/>
    </row>
    <row r="2407" spans="9:13" x14ac:dyDescent="0.3">
      <c r="I2407" s="82"/>
      <c r="M2407" s="85"/>
    </row>
    <row r="2408" spans="9:13" x14ac:dyDescent="0.3">
      <c r="I2408" s="82"/>
      <c r="M2408" s="85"/>
    </row>
    <row r="2409" spans="9:13" x14ac:dyDescent="0.3">
      <c r="I2409" s="82"/>
      <c r="M2409" s="85"/>
    </row>
    <row r="2410" spans="9:13" x14ac:dyDescent="0.3">
      <c r="I2410" s="82"/>
      <c r="M2410" s="85"/>
    </row>
    <row r="2411" spans="9:13" x14ac:dyDescent="0.3">
      <c r="I2411" s="82"/>
      <c r="M2411" s="85"/>
    </row>
    <row r="2412" spans="9:13" x14ac:dyDescent="0.3">
      <c r="I2412" s="82"/>
      <c r="M2412" s="85"/>
    </row>
    <row r="2413" spans="9:13" x14ac:dyDescent="0.3">
      <c r="I2413" s="82"/>
      <c r="M2413" s="85"/>
    </row>
    <row r="2414" spans="9:13" x14ac:dyDescent="0.3">
      <c r="I2414" s="82"/>
      <c r="M2414" s="85"/>
    </row>
    <row r="2415" spans="9:13" x14ac:dyDescent="0.3">
      <c r="I2415" s="82"/>
      <c r="M2415" s="85"/>
    </row>
    <row r="2416" spans="9:13" x14ac:dyDescent="0.3">
      <c r="I2416" s="82"/>
      <c r="M2416" s="85"/>
    </row>
    <row r="2417" spans="9:13" x14ac:dyDescent="0.3">
      <c r="I2417" s="82"/>
      <c r="M2417" s="85"/>
    </row>
    <row r="2418" spans="9:13" x14ac:dyDescent="0.3">
      <c r="I2418" s="82"/>
      <c r="M2418" s="85"/>
    </row>
    <row r="2419" spans="9:13" x14ac:dyDescent="0.3">
      <c r="I2419" s="82"/>
      <c r="M2419" s="85"/>
    </row>
    <row r="2420" spans="9:13" x14ac:dyDescent="0.3">
      <c r="I2420" s="82"/>
      <c r="M2420" s="85"/>
    </row>
    <row r="2421" spans="9:13" x14ac:dyDescent="0.3">
      <c r="I2421" s="82"/>
      <c r="M2421" s="85"/>
    </row>
    <row r="2422" spans="9:13" x14ac:dyDescent="0.3">
      <c r="I2422" s="82"/>
      <c r="M2422" s="85"/>
    </row>
    <row r="2423" spans="9:13" x14ac:dyDescent="0.3">
      <c r="I2423" s="82"/>
      <c r="M2423" s="85"/>
    </row>
    <row r="2424" spans="9:13" x14ac:dyDescent="0.3">
      <c r="I2424" s="82"/>
      <c r="M2424" s="85"/>
    </row>
    <row r="2425" spans="9:13" x14ac:dyDescent="0.3">
      <c r="I2425" s="82"/>
      <c r="M2425" s="85"/>
    </row>
    <row r="2426" spans="9:13" x14ac:dyDescent="0.3">
      <c r="I2426" s="82"/>
      <c r="M2426" s="85"/>
    </row>
    <row r="2427" spans="9:13" x14ac:dyDescent="0.3">
      <c r="I2427" s="82"/>
      <c r="M2427" s="85"/>
    </row>
    <row r="2428" spans="9:13" x14ac:dyDescent="0.3">
      <c r="I2428" s="82"/>
      <c r="M2428" s="85"/>
    </row>
    <row r="2429" spans="9:13" x14ac:dyDescent="0.3">
      <c r="I2429" s="82"/>
      <c r="M2429" s="85"/>
    </row>
    <row r="2430" spans="9:13" x14ac:dyDescent="0.3">
      <c r="I2430" s="82"/>
      <c r="M2430" s="85"/>
    </row>
    <row r="2431" spans="9:13" x14ac:dyDescent="0.3">
      <c r="I2431" s="82"/>
      <c r="M2431" s="85"/>
    </row>
    <row r="2432" spans="9:13" x14ac:dyDescent="0.3">
      <c r="I2432" s="82"/>
      <c r="M2432" s="85"/>
    </row>
    <row r="2433" spans="9:13" x14ac:dyDescent="0.3">
      <c r="I2433" s="82"/>
      <c r="M2433" s="85"/>
    </row>
    <row r="2434" spans="9:13" x14ac:dyDescent="0.3">
      <c r="I2434" s="82"/>
      <c r="M2434" s="85"/>
    </row>
    <row r="2435" spans="9:13" x14ac:dyDescent="0.3">
      <c r="I2435" s="82"/>
      <c r="M2435" s="85"/>
    </row>
    <row r="2436" spans="9:13" x14ac:dyDescent="0.3">
      <c r="I2436" s="82"/>
      <c r="M2436" s="85"/>
    </row>
    <row r="2437" spans="9:13" x14ac:dyDescent="0.3">
      <c r="I2437" s="82"/>
      <c r="M2437" s="85"/>
    </row>
    <row r="2438" spans="9:13" x14ac:dyDescent="0.3">
      <c r="I2438" s="82"/>
      <c r="M2438" s="85"/>
    </row>
    <row r="2439" spans="9:13" x14ac:dyDescent="0.3">
      <c r="I2439" s="82"/>
      <c r="M2439" s="85"/>
    </row>
    <row r="2440" spans="9:13" x14ac:dyDescent="0.3">
      <c r="I2440" s="82"/>
      <c r="M2440" s="85"/>
    </row>
    <row r="2441" spans="9:13" x14ac:dyDescent="0.3">
      <c r="I2441" s="82"/>
      <c r="M2441" s="85"/>
    </row>
    <row r="2442" spans="9:13" x14ac:dyDescent="0.3">
      <c r="I2442" s="82"/>
      <c r="M2442" s="85"/>
    </row>
    <row r="2443" spans="9:13" x14ac:dyDescent="0.3">
      <c r="I2443" s="82"/>
      <c r="M2443" s="85"/>
    </row>
    <row r="2444" spans="9:13" x14ac:dyDescent="0.3">
      <c r="I2444" s="82"/>
      <c r="M2444" s="85"/>
    </row>
    <row r="2445" spans="9:13" x14ac:dyDescent="0.3">
      <c r="I2445" s="82"/>
      <c r="M2445" s="85"/>
    </row>
    <row r="2446" spans="9:13" x14ac:dyDescent="0.3">
      <c r="I2446" s="82"/>
      <c r="M2446" s="85"/>
    </row>
    <row r="2447" spans="9:13" x14ac:dyDescent="0.3">
      <c r="I2447" s="82"/>
      <c r="M2447" s="85"/>
    </row>
    <row r="2448" spans="9:13" x14ac:dyDescent="0.3">
      <c r="I2448" s="82"/>
      <c r="M2448" s="85"/>
    </row>
    <row r="2449" spans="9:13" x14ac:dyDescent="0.3">
      <c r="I2449" s="82"/>
      <c r="M2449" s="85"/>
    </row>
    <row r="2450" spans="9:13" x14ac:dyDescent="0.3">
      <c r="I2450" s="82"/>
      <c r="M2450" s="85"/>
    </row>
    <row r="2451" spans="9:13" x14ac:dyDescent="0.3">
      <c r="I2451" s="82"/>
      <c r="M2451" s="85"/>
    </row>
    <row r="2452" spans="9:13" x14ac:dyDescent="0.3">
      <c r="I2452" s="82"/>
      <c r="M2452" s="85"/>
    </row>
    <row r="2453" spans="9:13" x14ac:dyDescent="0.3">
      <c r="I2453" s="82"/>
      <c r="M2453" s="85"/>
    </row>
    <row r="2454" spans="9:13" x14ac:dyDescent="0.3">
      <c r="I2454" s="82"/>
      <c r="M2454" s="85"/>
    </row>
    <row r="2455" spans="9:13" x14ac:dyDescent="0.3">
      <c r="I2455" s="82"/>
      <c r="M2455" s="85"/>
    </row>
    <row r="2456" spans="9:13" x14ac:dyDescent="0.3">
      <c r="I2456" s="82"/>
      <c r="M2456" s="85"/>
    </row>
    <row r="2457" spans="9:13" x14ac:dyDescent="0.3">
      <c r="I2457" s="82"/>
      <c r="M2457" s="85"/>
    </row>
    <row r="2458" spans="9:13" x14ac:dyDescent="0.3">
      <c r="I2458" s="82"/>
      <c r="M2458" s="85"/>
    </row>
    <row r="2459" spans="9:13" x14ac:dyDescent="0.3">
      <c r="I2459" s="82"/>
      <c r="M2459" s="85"/>
    </row>
    <row r="2460" spans="9:13" x14ac:dyDescent="0.3">
      <c r="I2460" s="82"/>
      <c r="M2460" s="85"/>
    </row>
    <row r="2461" spans="9:13" x14ac:dyDescent="0.3">
      <c r="I2461" s="82"/>
      <c r="M2461" s="85"/>
    </row>
    <row r="2462" spans="9:13" x14ac:dyDescent="0.3">
      <c r="I2462" s="82"/>
      <c r="M2462" s="85"/>
    </row>
    <row r="2463" spans="9:13" x14ac:dyDescent="0.3">
      <c r="I2463" s="82"/>
      <c r="M2463" s="85"/>
    </row>
    <row r="2464" spans="9:13" x14ac:dyDescent="0.3">
      <c r="I2464" s="82"/>
      <c r="M2464" s="85"/>
    </row>
    <row r="2465" spans="9:13" x14ac:dyDescent="0.3">
      <c r="I2465" s="82"/>
      <c r="M2465" s="85"/>
    </row>
    <row r="2466" spans="9:13" x14ac:dyDescent="0.3">
      <c r="I2466" s="82"/>
      <c r="M2466" s="85"/>
    </row>
    <row r="2467" spans="9:13" x14ac:dyDescent="0.3">
      <c r="I2467" s="82"/>
      <c r="M2467" s="85"/>
    </row>
    <row r="2468" spans="9:13" x14ac:dyDescent="0.3">
      <c r="I2468" s="82"/>
      <c r="M2468" s="85"/>
    </row>
    <row r="2469" spans="9:13" x14ac:dyDescent="0.3">
      <c r="I2469" s="82"/>
      <c r="M2469" s="85"/>
    </row>
    <row r="2470" spans="9:13" x14ac:dyDescent="0.3">
      <c r="I2470" s="82"/>
      <c r="M2470" s="85"/>
    </row>
    <row r="2471" spans="9:13" x14ac:dyDescent="0.3">
      <c r="I2471" s="82"/>
      <c r="M2471" s="85"/>
    </row>
    <row r="2472" spans="9:13" x14ac:dyDescent="0.3">
      <c r="I2472" s="82"/>
      <c r="M2472" s="85"/>
    </row>
    <row r="2473" spans="9:13" x14ac:dyDescent="0.3">
      <c r="I2473" s="82"/>
      <c r="M2473" s="85"/>
    </row>
    <row r="2474" spans="9:13" x14ac:dyDescent="0.3">
      <c r="I2474" s="82"/>
      <c r="M2474" s="85"/>
    </row>
    <row r="2475" spans="9:13" x14ac:dyDescent="0.3">
      <c r="I2475" s="82"/>
      <c r="M2475" s="85"/>
    </row>
    <row r="2476" spans="9:13" x14ac:dyDescent="0.3">
      <c r="I2476" s="82"/>
      <c r="M2476" s="85"/>
    </row>
    <row r="2477" spans="9:13" x14ac:dyDescent="0.3">
      <c r="I2477" s="82"/>
      <c r="M2477" s="85"/>
    </row>
    <row r="2478" spans="9:13" x14ac:dyDescent="0.3">
      <c r="I2478" s="82"/>
      <c r="M2478" s="85"/>
    </row>
    <row r="2479" spans="9:13" x14ac:dyDescent="0.3">
      <c r="I2479" s="82"/>
      <c r="M2479" s="85"/>
    </row>
    <row r="2480" spans="9:13" x14ac:dyDescent="0.3">
      <c r="I2480" s="82"/>
      <c r="M2480" s="85"/>
    </row>
    <row r="2481" spans="9:13" x14ac:dyDescent="0.3">
      <c r="I2481" s="82"/>
      <c r="M2481" s="85"/>
    </row>
    <row r="2482" spans="9:13" x14ac:dyDescent="0.3">
      <c r="I2482" s="82"/>
      <c r="M2482" s="85"/>
    </row>
    <row r="2483" spans="9:13" x14ac:dyDescent="0.3">
      <c r="I2483" s="82"/>
      <c r="M2483" s="85"/>
    </row>
    <row r="2484" spans="9:13" x14ac:dyDescent="0.3">
      <c r="I2484" s="82"/>
      <c r="M2484" s="85"/>
    </row>
    <row r="2485" spans="9:13" x14ac:dyDescent="0.3">
      <c r="I2485" s="82"/>
      <c r="M2485" s="85"/>
    </row>
    <row r="2486" spans="9:13" x14ac:dyDescent="0.3">
      <c r="I2486" s="82"/>
      <c r="M2486" s="85"/>
    </row>
    <row r="2487" spans="9:13" x14ac:dyDescent="0.3">
      <c r="I2487" s="82"/>
      <c r="M2487" s="85"/>
    </row>
    <row r="2488" spans="9:13" x14ac:dyDescent="0.3">
      <c r="I2488" s="82"/>
      <c r="M2488" s="85"/>
    </row>
    <row r="2489" spans="9:13" x14ac:dyDescent="0.3">
      <c r="I2489" s="82"/>
      <c r="M2489" s="85"/>
    </row>
    <row r="2490" spans="9:13" x14ac:dyDescent="0.3">
      <c r="I2490" s="82"/>
      <c r="M2490" s="85"/>
    </row>
    <row r="2491" spans="9:13" x14ac:dyDescent="0.3">
      <c r="I2491" s="82"/>
      <c r="M2491" s="85"/>
    </row>
    <row r="2492" spans="9:13" x14ac:dyDescent="0.3">
      <c r="I2492" s="82"/>
      <c r="M2492" s="85"/>
    </row>
    <row r="2493" spans="9:13" x14ac:dyDescent="0.3">
      <c r="I2493" s="82"/>
      <c r="M2493" s="85"/>
    </row>
    <row r="2494" spans="9:13" x14ac:dyDescent="0.3">
      <c r="I2494" s="82"/>
      <c r="M2494" s="85"/>
    </row>
    <row r="2495" spans="9:13" x14ac:dyDescent="0.3">
      <c r="I2495" s="82"/>
      <c r="M2495" s="85"/>
    </row>
    <row r="2496" spans="9:13" x14ac:dyDescent="0.3">
      <c r="I2496" s="82"/>
      <c r="M2496" s="85"/>
    </row>
    <row r="2497" spans="9:13" x14ac:dyDescent="0.3">
      <c r="I2497" s="82"/>
      <c r="M2497" s="85"/>
    </row>
    <row r="2498" spans="9:13" x14ac:dyDescent="0.3">
      <c r="I2498" s="82"/>
      <c r="M2498" s="85"/>
    </row>
    <row r="2499" spans="9:13" x14ac:dyDescent="0.3">
      <c r="I2499" s="82"/>
      <c r="M2499" s="85"/>
    </row>
    <row r="2500" spans="9:13" x14ac:dyDescent="0.3">
      <c r="I2500" s="82"/>
      <c r="M2500" s="85"/>
    </row>
    <row r="2501" spans="9:13" x14ac:dyDescent="0.3">
      <c r="I2501" s="82"/>
      <c r="M2501" s="85"/>
    </row>
    <row r="2502" spans="9:13" x14ac:dyDescent="0.3">
      <c r="I2502" s="82"/>
      <c r="M2502" s="85"/>
    </row>
    <row r="2503" spans="9:13" x14ac:dyDescent="0.3">
      <c r="I2503" s="82"/>
      <c r="M2503" s="85"/>
    </row>
    <row r="2504" spans="9:13" x14ac:dyDescent="0.3">
      <c r="I2504" s="82"/>
      <c r="M2504" s="85"/>
    </row>
    <row r="2505" spans="9:13" x14ac:dyDescent="0.3">
      <c r="I2505" s="82"/>
      <c r="M2505" s="85"/>
    </row>
    <row r="2506" spans="9:13" x14ac:dyDescent="0.3">
      <c r="I2506" s="82"/>
      <c r="M2506" s="85"/>
    </row>
    <row r="2507" spans="9:13" x14ac:dyDescent="0.3">
      <c r="I2507" s="82"/>
      <c r="M2507" s="85"/>
    </row>
    <row r="2508" spans="9:13" x14ac:dyDescent="0.3">
      <c r="I2508" s="82"/>
      <c r="M2508" s="85"/>
    </row>
    <row r="2509" spans="9:13" x14ac:dyDescent="0.3">
      <c r="I2509" s="82"/>
      <c r="M2509" s="85"/>
    </row>
    <row r="2510" spans="9:13" x14ac:dyDescent="0.3">
      <c r="I2510" s="82"/>
      <c r="M2510" s="85"/>
    </row>
    <row r="2511" spans="9:13" x14ac:dyDescent="0.3">
      <c r="I2511" s="82"/>
      <c r="M2511" s="85"/>
    </row>
    <row r="2512" spans="9:13" x14ac:dyDescent="0.3">
      <c r="I2512" s="82"/>
      <c r="M2512" s="85"/>
    </row>
    <row r="2513" spans="9:13" x14ac:dyDescent="0.3">
      <c r="I2513" s="82"/>
      <c r="M2513" s="85"/>
    </row>
    <row r="2514" spans="9:13" x14ac:dyDescent="0.3">
      <c r="I2514" s="82"/>
      <c r="M2514" s="85"/>
    </row>
    <row r="2515" spans="9:13" x14ac:dyDescent="0.3">
      <c r="I2515" s="82"/>
      <c r="M2515" s="85"/>
    </row>
    <row r="2516" spans="9:13" x14ac:dyDescent="0.3">
      <c r="I2516" s="82"/>
      <c r="M2516" s="85"/>
    </row>
    <row r="2517" spans="9:13" x14ac:dyDescent="0.3">
      <c r="I2517" s="82"/>
      <c r="M2517" s="85"/>
    </row>
    <row r="2518" spans="9:13" x14ac:dyDescent="0.3">
      <c r="I2518" s="82"/>
      <c r="M2518" s="85"/>
    </row>
    <row r="2519" spans="9:13" x14ac:dyDescent="0.3">
      <c r="I2519" s="82"/>
      <c r="M2519" s="85"/>
    </row>
    <row r="2520" spans="9:13" x14ac:dyDescent="0.3">
      <c r="I2520" s="82"/>
      <c r="M2520" s="85"/>
    </row>
    <row r="2521" spans="9:13" x14ac:dyDescent="0.3">
      <c r="I2521" s="82"/>
      <c r="M2521" s="85"/>
    </row>
    <row r="2522" spans="9:13" x14ac:dyDescent="0.3">
      <c r="I2522" s="82"/>
      <c r="M2522" s="85"/>
    </row>
    <row r="2523" spans="9:13" x14ac:dyDescent="0.3">
      <c r="I2523" s="82"/>
      <c r="M2523" s="85"/>
    </row>
    <row r="2524" spans="9:13" x14ac:dyDescent="0.3">
      <c r="I2524" s="82"/>
      <c r="M2524" s="85"/>
    </row>
    <row r="2525" spans="9:13" x14ac:dyDescent="0.3">
      <c r="I2525" s="82"/>
      <c r="M2525" s="85"/>
    </row>
    <row r="2526" spans="9:13" x14ac:dyDescent="0.3">
      <c r="I2526" s="82"/>
      <c r="M2526" s="85"/>
    </row>
    <row r="2527" spans="9:13" x14ac:dyDescent="0.3">
      <c r="I2527" s="82"/>
      <c r="M2527" s="85"/>
    </row>
    <row r="2528" spans="9:13" x14ac:dyDescent="0.3">
      <c r="I2528" s="82"/>
      <c r="M2528" s="85"/>
    </row>
    <row r="2529" spans="9:13" x14ac:dyDescent="0.3">
      <c r="I2529" s="82"/>
      <c r="M2529" s="85"/>
    </row>
    <row r="2530" spans="9:13" x14ac:dyDescent="0.3">
      <c r="I2530" s="82"/>
      <c r="M2530" s="85"/>
    </row>
    <row r="2531" spans="9:13" x14ac:dyDescent="0.3">
      <c r="I2531" s="82"/>
      <c r="M2531" s="85"/>
    </row>
    <row r="2532" spans="9:13" x14ac:dyDescent="0.3">
      <c r="I2532" s="82"/>
      <c r="M2532" s="85"/>
    </row>
    <row r="2533" spans="9:13" x14ac:dyDescent="0.3">
      <c r="I2533" s="82"/>
      <c r="M2533" s="85"/>
    </row>
    <row r="2534" spans="9:13" x14ac:dyDescent="0.3">
      <c r="I2534" s="82"/>
      <c r="M2534" s="85"/>
    </row>
    <row r="2535" spans="9:13" x14ac:dyDescent="0.3">
      <c r="I2535" s="82"/>
      <c r="M2535" s="85"/>
    </row>
    <row r="2536" spans="9:13" x14ac:dyDescent="0.3">
      <c r="I2536" s="82"/>
      <c r="M2536" s="85"/>
    </row>
    <row r="2537" spans="9:13" x14ac:dyDescent="0.3">
      <c r="I2537" s="82"/>
      <c r="M2537" s="85"/>
    </row>
    <row r="2538" spans="9:13" x14ac:dyDescent="0.3">
      <c r="I2538" s="82"/>
      <c r="M2538" s="85"/>
    </row>
    <row r="2539" spans="9:13" x14ac:dyDescent="0.3">
      <c r="I2539" s="82"/>
      <c r="M2539" s="85"/>
    </row>
    <row r="2540" spans="9:13" x14ac:dyDescent="0.3">
      <c r="I2540" s="82"/>
      <c r="M2540" s="85"/>
    </row>
    <row r="2541" spans="9:13" x14ac:dyDescent="0.3">
      <c r="I2541" s="82"/>
      <c r="M2541" s="85"/>
    </row>
    <row r="2542" spans="9:13" x14ac:dyDescent="0.3">
      <c r="I2542" s="82"/>
      <c r="M2542" s="85"/>
    </row>
    <row r="2543" spans="9:13" x14ac:dyDescent="0.3">
      <c r="I2543" s="82"/>
      <c r="M2543" s="85"/>
    </row>
    <row r="2544" spans="9:13" x14ac:dyDescent="0.3">
      <c r="I2544" s="82"/>
      <c r="M2544" s="85"/>
    </row>
    <row r="2545" spans="9:13" x14ac:dyDescent="0.3">
      <c r="I2545" s="82"/>
      <c r="M2545" s="85"/>
    </row>
    <row r="2546" spans="9:13" x14ac:dyDescent="0.3">
      <c r="I2546" s="82"/>
      <c r="M2546" s="85"/>
    </row>
    <row r="2547" spans="9:13" x14ac:dyDescent="0.3">
      <c r="I2547" s="82"/>
      <c r="M2547" s="85"/>
    </row>
    <row r="2548" spans="9:13" x14ac:dyDescent="0.3">
      <c r="I2548" s="82"/>
      <c r="M2548" s="85"/>
    </row>
    <row r="2549" spans="9:13" x14ac:dyDescent="0.3">
      <c r="I2549" s="82"/>
      <c r="M2549" s="85"/>
    </row>
    <row r="2550" spans="9:13" x14ac:dyDescent="0.3">
      <c r="I2550" s="82"/>
      <c r="M2550" s="85"/>
    </row>
    <row r="2551" spans="9:13" x14ac:dyDescent="0.3">
      <c r="I2551" s="82"/>
      <c r="M2551" s="85"/>
    </row>
    <row r="2552" spans="9:13" x14ac:dyDescent="0.3">
      <c r="I2552" s="82"/>
      <c r="M2552" s="85"/>
    </row>
    <row r="2553" spans="9:13" x14ac:dyDescent="0.3">
      <c r="I2553" s="82"/>
      <c r="M2553" s="85"/>
    </row>
    <row r="2554" spans="9:13" x14ac:dyDescent="0.3">
      <c r="I2554" s="82"/>
      <c r="M2554" s="85"/>
    </row>
    <row r="2555" spans="9:13" x14ac:dyDescent="0.3">
      <c r="I2555" s="82"/>
      <c r="M2555" s="85"/>
    </row>
    <row r="2556" spans="9:13" x14ac:dyDescent="0.3">
      <c r="I2556" s="82"/>
      <c r="M2556" s="85"/>
    </row>
    <row r="2557" spans="9:13" x14ac:dyDescent="0.3">
      <c r="I2557" s="82"/>
      <c r="M2557" s="85"/>
    </row>
    <row r="2558" spans="9:13" x14ac:dyDescent="0.3">
      <c r="I2558" s="82"/>
      <c r="M2558" s="85"/>
    </row>
    <row r="2559" spans="9:13" x14ac:dyDescent="0.3">
      <c r="I2559" s="82"/>
      <c r="M2559" s="85"/>
    </row>
    <row r="2560" spans="9:13" x14ac:dyDescent="0.3">
      <c r="I2560" s="82"/>
      <c r="M2560" s="85"/>
    </row>
    <row r="2561" spans="9:13" x14ac:dyDescent="0.3">
      <c r="I2561" s="82"/>
      <c r="M2561" s="85"/>
    </row>
    <row r="2562" spans="9:13" x14ac:dyDescent="0.3">
      <c r="I2562" s="82"/>
      <c r="M2562" s="85"/>
    </row>
    <row r="2563" spans="9:13" x14ac:dyDescent="0.3">
      <c r="I2563" s="82"/>
      <c r="M2563" s="85"/>
    </row>
    <row r="2564" spans="9:13" x14ac:dyDescent="0.3">
      <c r="I2564" s="82"/>
      <c r="M2564" s="85"/>
    </row>
    <row r="2565" spans="9:13" x14ac:dyDescent="0.3">
      <c r="I2565" s="82"/>
      <c r="M2565" s="85"/>
    </row>
    <row r="2566" spans="9:13" x14ac:dyDescent="0.3">
      <c r="I2566" s="82"/>
      <c r="M2566" s="85"/>
    </row>
    <row r="2567" spans="9:13" x14ac:dyDescent="0.3">
      <c r="I2567" s="82"/>
      <c r="M2567" s="85"/>
    </row>
    <row r="2568" spans="9:13" x14ac:dyDescent="0.3">
      <c r="I2568" s="82"/>
      <c r="M2568" s="85"/>
    </row>
    <row r="2569" spans="9:13" x14ac:dyDescent="0.3">
      <c r="I2569" s="82"/>
      <c r="M2569" s="85"/>
    </row>
    <row r="2570" spans="9:13" x14ac:dyDescent="0.3">
      <c r="I2570" s="82"/>
      <c r="M2570" s="85"/>
    </row>
    <row r="2571" spans="9:13" x14ac:dyDescent="0.3">
      <c r="I2571" s="82"/>
      <c r="M2571" s="85"/>
    </row>
    <row r="2572" spans="9:13" x14ac:dyDescent="0.3">
      <c r="I2572" s="82"/>
      <c r="M2572" s="85"/>
    </row>
    <row r="2573" spans="9:13" x14ac:dyDescent="0.3">
      <c r="I2573" s="82"/>
      <c r="M2573" s="85"/>
    </row>
    <row r="2574" spans="9:13" x14ac:dyDescent="0.3">
      <c r="I2574" s="82"/>
      <c r="M2574" s="85"/>
    </row>
    <row r="2575" spans="9:13" x14ac:dyDescent="0.3">
      <c r="I2575" s="82"/>
      <c r="M2575" s="85"/>
    </row>
    <row r="2576" spans="9:13" x14ac:dyDescent="0.3">
      <c r="I2576" s="82"/>
      <c r="M2576" s="85"/>
    </row>
    <row r="2577" spans="9:13" x14ac:dyDescent="0.3">
      <c r="I2577" s="82"/>
      <c r="M2577" s="85"/>
    </row>
    <row r="2578" spans="9:13" x14ac:dyDescent="0.3">
      <c r="I2578" s="82"/>
      <c r="M2578" s="85"/>
    </row>
    <row r="2579" spans="9:13" x14ac:dyDescent="0.3">
      <c r="I2579" s="82"/>
      <c r="M2579" s="85"/>
    </row>
    <row r="2580" spans="9:13" x14ac:dyDescent="0.3">
      <c r="I2580" s="82"/>
      <c r="M2580" s="85"/>
    </row>
    <row r="2581" spans="9:13" x14ac:dyDescent="0.3">
      <c r="I2581" s="82"/>
      <c r="M2581" s="85"/>
    </row>
    <row r="2582" spans="9:13" x14ac:dyDescent="0.3">
      <c r="I2582" s="82"/>
      <c r="M2582" s="85"/>
    </row>
    <row r="2583" spans="9:13" x14ac:dyDescent="0.3">
      <c r="I2583" s="82"/>
      <c r="M2583" s="85"/>
    </row>
    <row r="2584" spans="9:13" x14ac:dyDescent="0.3">
      <c r="I2584" s="82"/>
      <c r="M2584" s="85"/>
    </row>
    <row r="2585" spans="9:13" x14ac:dyDescent="0.3">
      <c r="I2585" s="82"/>
      <c r="M2585" s="85"/>
    </row>
    <row r="2586" spans="9:13" x14ac:dyDescent="0.3">
      <c r="I2586" s="82"/>
      <c r="M2586" s="85"/>
    </row>
    <row r="2587" spans="9:13" x14ac:dyDescent="0.3">
      <c r="I2587" s="82"/>
      <c r="M2587" s="85"/>
    </row>
    <row r="2588" spans="9:13" x14ac:dyDescent="0.3">
      <c r="I2588" s="82"/>
      <c r="M2588" s="85"/>
    </row>
    <row r="2589" spans="9:13" x14ac:dyDescent="0.3">
      <c r="I2589" s="82"/>
      <c r="M2589" s="85"/>
    </row>
    <row r="2590" spans="9:13" x14ac:dyDescent="0.3">
      <c r="I2590" s="82"/>
      <c r="M2590" s="85"/>
    </row>
    <row r="2591" spans="9:13" x14ac:dyDescent="0.3">
      <c r="I2591" s="82"/>
      <c r="M2591" s="85"/>
    </row>
    <row r="2592" spans="9:13" x14ac:dyDescent="0.3">
      <c r="I2592" s="82"/>
      <c r="M2592" s="85"/>
    </row>
    <row r="2593" spans="9:13" x14ac:dyDescent="0.3">
      <c r="I2593" s="82"/>
      <c r="M2593" s="85"/>
    </row>
    <row r="2594" spans="9:13" x14ac:dyDescent="0.3">
      <c r="I2594" s="82"/>
      <c r="M2594" s="85"/>
    </row>
    <row r="2595" spans="9:13" x14ac:dyDescent="0.3">
      <c r="I2595" s="82"/>
      <c r="M2595" s="85"/>
    </row>
    <row r="2596" spans="9:13" x14ac:dyDescent="0.3">
      <c r="I2596" s="82"/>
      <c r="M2596" s="85"/>
    </row>
    <row r="2597" spans="9:13" x14ac:dyDescent="0.3">
      <c r="I2597" s="82"/>
      <c r="M2597" s="85"/>
    </row>
    <row r="2598" spans="9:13" x14ac:dyDescent="0.3">
      <c r="I2598" s="82"/>
      <c r="M2598" s="85"/>
    </row>
    <row r="2599" spans="9:13" x14ac:dyDescent="0.3">
      <c r="I2599" s="82"/>
      <c r="M2599" s="85"/>
    </row>
    <row r="2600" spans="9:13" x14ac:dyDescent="0.3">
      <c r="I2600" s="82"/>
      <c r="M2600" s="85"/>
    </row>
    <row r="2601" spans="9:13" x14ac:dyDescent="0.3">
      <c r="I2601" s="82"/>
      <c r="M2601" s="85"/>
    </row>
    <row r="2602" spans="9:13" x14ac:dyDescent="0.3">
      <c r="I2602" s="82"/>
      <c r="M2602" s="85"/>
    </row>
    <row r="2603" spans="9:13" x14ac:dyDescent="0.3">
      <c r="I2603" s="82"/>
      <c r="M2603" s="85"/>
    </row>
    <row r="2604" spans="9:13" x14ac:dyDescent="0.3">
      <c r="I2604" s="82"/>
      <c r="M2604" s="85"/>
    </row>
    <row r="2605" spans="9:13" x14ac:dyDescent="0.3">
      <c r="I2605" s="82"/>
      <c r="M2605" s="85"/>
    </row>
    <row r="2606" spans="9:13" x14ac:dyDescent="0.3">
      <c r="I2606" s="82"/>
      <c r="M2606" s="85"/>
    </row>
    <row r="2607" spans="9:13" x14ac:dyDescent="0.3">
      <c r="I2607" s="82"/>
      <c r="M2607" s="85"/>
    </row>
    <row r="2608" spans="9:13" x14ac:dyDescent="0.3">
      <c r="I2608" s="82"/>
      <c r="M2608" s="85"/>
    </row>
    <row r="2609" spans="9:13" x14ac:dyDescent="0.3">
      <c r="I2609" s="82"/>
      <c r="M2609" s="85"/>
    </row>
    <row r="2610" spans="9:13" x14ac:dyDescent="0.3">
      <c r="I2610" s="82"/>
      <c r="M2610" s="85"/>
    </row>
    <row r="2611" spans="9:13" x14ac:dyDescent="0.3">
      <c r="I2611" s="82"/>
      <c r="M2611" s="85"/>
    </row>
    <row r="2612" spans="9:13" x14ac:dyDescent="0.3">
      <c r="I2612" s="82"/>
      <c r="M2612" s="85"/>
    </row>
    <row r="2613" spans="9:13" x14ac:dyDescent="0.3">
      <c r="I2613" s="82"/>
      <c r="M2613" s="85"/>
    </row>
    <row r="2614" spans="9:13" x14ac:dyDescent="0.3">
      <c r="I2614" s="82"/>
      <c r="M2614" s="85"/>
    </row>
    <row r="2615" spans="9:13" x14ac:dyDescent="0.3">
      <c r="I2615" s="82"/>
      <c r="M2615" s="85"/>
    </row>
    <row r="2616" spans="9:13" x14ac:dyDescent="0.3">
      <c r="I2616" s="82"/>
      <c r="M2616" s="85"/>
    </row>
    <row r="2617" spans="9:13" x14ac:dyDescent="0.3">
      <c r="I2617" s="82"/>
      <c r="M2617" s="85"/>
    </row>
    <row r="2618" spans="9:13" x14ac:dyDescent="0.3">
      <c r="I2618" s="82"/>
      <c r="M2618" s="85"/>
    </row>
    <row r="2619" spans="9:13" x14ac:dyDescent="0.3">
      <c r="I2619" s="82"/>
      <c r="M2619" s="85"/>
    </row>
    <row r="2620" spans="9:13" x14ac:dyDescent="0.3">
      <c r="I2620" s="82"/>
      <c r="M2620" s="85"/>
    </row>
    <row r="2621" spans="9:13" x14ac:dyDescent="0.3">
      <c r="I2621" s="82"/>
      <c r="M2621" s="85"/>
    </row>
    <row r="2622" spans="9:13" x14ac:dyDescent="0.3">
      <c r="I2622" s="82"/>
      <c r="M2622" s="85"/>
    </row>
    <row r="2623" spans="9:13" x14ac:dyDescent="0.3">
      <c r="I2623" s="82"/>
      <c r="M2623" s="85"/>
    </row>
    <row r="2624" spans="9:13" x14ac:dyDescent="0.3">
      <c r="I2624" s="82"/>
      <c r="M2624" s="85"/>
    </row>
    <row r="2625" spans="9:13" x14ac:dyDescent="0.3">
      <c r="I2625" s="82"/>
      <c r="M2625" s="85"/>
    </row>
    <row r="2626" spans="9:13" x14ac:dyDescent="0.3">
      <c r="I2626" s="82"/>
      <c r="M2626" s="85"/>
    </row>
    <row r="2627" spans="9:13" x14ac:dyDescent="0.3">
      <c r="I2627" s="82"/>
      <c r="M2627" s="85"/>
    </row>
    <row r="2628" spans="9:13" x14ac:dyDescent="0.3">
      <c r="I2628" s="82"/>
      <c r="M2628" s="85"/>
    </row>
    <row r="2629" spans="9:13" x14ac:dyDescent="0.3">
      <c r="I2629" s="82"/>
      <c r="M2629" s="85"/>
    </row>
    <row r="2630" spans="9:13" x14ac:dyDescent="0.3">
      <c r="I2630" s="82"/>
      <c r="M2630" s="85"/>
    </row>
    <row r="2631" spans="9:13" x14ac:dyDescent="0.3">
      <c r="I2631" s="82"/>
      <c r="M2631" s="85"/>
    </row>
    <row r="2632" spans="9:13" x14ac:dyDescent="0.3">
      <c r="I2632" s="82"/>
      <c r="M2632" s="85"/>
    </row>
    <row r="2633" spans="9:13" x14ac:dyDescent="0.3">
      <c r="I2633" s="82"/>
      <c r="M2633" s="85"/>
    </row>
    <row r="2634" spans="9:13" x14ac:dyDescent="0.3">
      <c r="I2634" s="82"/>
      <c r="M2634" s="85"/>
    </row>
    <row r="2635" spans="9:13" x14ac:dyDescent="0.3">
      <c r="I2635" s="82"/>
      <c r="M2635" s="85"/>
    </row>
    <row r="2636" spans="9:13" x14ac:dyDescent="0.3">
      <c r="I2636" s="82"/>
      <c r="M2636" s="85"/>
    </row>
    <row r="2637" spans="9:13" x14ac:dyDescent="0.3">
      <c r="I2637" s="82"/>
      <c r="M2637" s="85"/>
    </row>
    <row r="2638" spans="9:13" x14ac:dyDescent="0.3">
      <c r="I2638" s="82"/>
      <c r="M2638" s="85"/>
    </row>
    <row r="2639" spans="9:13" x14ac:dyDescent="0.3">
      <c r="I2639" s="82"/>
      <c r="M2639" s="85"/>
    </row>
    <row r="2640" spans="9:13" x14ac:dyDescent="0.3">
      <c r="I2640" s="82"/>
      <c r="M2640" s="85"/>
    </row>
    <row r="2641" spans="9:13" x14ac:dyDescent="0.3">
      <c r="I2641" s="82"/>
      <c r="M2641" s="85"/>
    </row>
    <row r="2642" spans="9:13" x14ac:dyDescent="0.3">
      <c r="I2642" s="82"/>
      <c r="M2642" s="85"/>
    </row>
    <row r="2643" spans="9:13" x14ac:dyDescent="0.3">
      <c r="I2643" s="82"/>
      <c r="M2643" s="85"/>
    </row>
    <row r="2644" spans="9:13" x14ac:dyDescent="0.3">
      <c r="I2644" s="82"/>
      <c r="M2644" s="85"/>
    </row>
    <row r="2645" spans="9:13" x14ac:dyDescent="0.3">
      <c r="I2645" s="82"/>
      <c r="M2645" s="85"/>
    </row>
    <row r="2646" spans="9:13" x14ac:dyDescent="0.3">
      <c r="I2646" s="82"/>
      <c r="M2646" s="85"/>
    </row>
    <row r="2647" spans="9:13" x14ac:dyDescent="0.3">
      <c r="I2647" s="82"/>
      <c r="M2647" s="85"/>
    </row>
    <row r="2648" spans="9:13" x14ac:dyDescent="0.3">
      <c r="I2648" s="82"/>
      <c r="M2648" s="85"/>
    </row>
    <row r="2649" spans="9:13" x14ac:dyDescent="0.3">
      <c r="I2649" s="82"/>
      <c r="M2649" s="85"/>
    </row>
    <row r="2650" spans="9:13" x14ac:dyDescent="0.3">
      <c r="I2650" s="82"/>
      <c r="M2650" s="85"/>
    </row>
    <row r="2651" spans="9:13" x14ac:dyDescent="0.3">
      <c r="I2651" s="82"/>
      <c r="M2651" s="85"/>
    </row>
    <row r="2652" spans="9:13" x14ac:dyDescent="0.3">
      <c r="I2652" s="82"/>
      <c r="M2652" s="85"/>
    </row>
    <row r="2653" spans="9:13" x14ac:dyDescent="0.3">
      <c r="I2653" s="82"/>
      <c r="M2653" s="85"/>
    </row>
    <row r="2654" spans="9:13" x14ac:dyDescent="0.3">
      <c r="I2654" s="82"/>
      <c r="M2654" s="85"/>
    </row>
    <row r="2655" spans="9:13" x14ac:dyDescent="0.3">
      <c r="I2655" s="82"/>
      <c r="M2655" s="85"/>
    </row>
    <row r="2656" spans="9:13" x14ac:dyDescent="0.3">
      <c r="I2656" s="82"/>
      <c r="M2656" s="85"/>
    </row>
    <row r="2657" spans="9:13" x14ac:dyDescent="0.3">
      <c r="I2657" s="82"/>
      <c r="M2657" s="85"/>
    </row>
    <row r="2658" spans="9:13" x14ac:dyDescent="0.3">
      <c r="I2658" s="82"/>
      <c r="M2658" s="85"/>
    </row>
    <row r="2659" spans="9:13" x14ac:dyDescent="0.3">
      <c r="I2659" s="82"/>
      <c r="M2659" s="85"/>
    </row>
    <row r="2660" spans="9:13" x14ac:dyDescent="0.3">
      <c r="I2660" s="82"/>
      <c r="M2660" s="85"/>
    </row>
    <row r="2661" spans="9:13" x14ac:dyDescent="0.3">
      <c r="I2661" s="82"/>
      <c r="M2661" s="85"/>
    </row>
    <row r="2662" spans="9:13" x14ac:dyDescent="0.3">
      <c r="I2662" s="82"/>
      <c r="M2662" s="85"/>
    </row>
    <row r="2663" spans="9:13" x14ac:dyDescent="0.3">
      <c r="I2663" s="82"/>
      <c r="M2663" s="85"/>
    </row>
    <row r="2664" spans="9:13" x14ac:dyDescent="0.3">
      <c r="I2664" s="82"/>
      <c r="M2664" s="85"/>
    </row>
    <row r="2665" spans="9:13" x14ac:dyDescent="0.3">
      <c r="I2665" s="82"/>
      <c r="M2665" s="85"/>
    </row>
    <row r="2666" spans="9:13" x14ac:dyDescent="0.3">
      <c r="I2666" s="82"/>
      <c r="M2666" s="85"/>
    </row>
    <row r="2667" spans="9:13" x14ac:dyDescent="0.3">
      <c r="I2667" s="82"/>
      <c r="M2667" s="85"/>
    </row>
    <row r="2668" spans="9:13" x14ac:dyDescent="0.3">
      <c r="I2668" s="82"/>
      <c r="M2668" s="85"/>
    </row>
    <row r="2669" spans="9:13" x14ac:dyDescent="0.3">
      <c r="I2669" s="82"/>
      <c r="M2669" s="85"/>
    </row>
    <row r="2670" spans="9:13" x14ac:dyDescent="0.3">
      <c r="I2670" s="82"/>
      <c r="M2670" s="85"/>
    </row>
    <row r="2671" spans="9:13" x14ac:dyDescent="0.3">
      <c r="I2671" s="82"/>
      <c r="M2671" s="85"/>
    </row>
    <row r="2672" spans="9:13" x14ac:dyDescent="0.3">
      <c r="I2672" s="82"/>
      <c r="M2672" s="85"/>
    </row>
    <row r="2673" spans="9:13" x14ac:dyDescent="0.3">
      <c r="I2673" s="82"/>
      <c r="M2673" s="85"/>
    </row>
    <row r="2674" spans="9:13" x14ac:dyDescent="0.3">
      <c r="I2674" s="82"/>
      <c r="M2674" s="85"/>
    </row>
    <row r="2675" spans="9:13" x14ac:dyDescent="0.3">
      <c r="I2675" s="82"/>
      <c r="M2675" s="85"/>
    </row>
    <row r="2676" spans="9:13" x14ac:dyDescent="0.3">
      <c r="I2676" s="82"/>
      <c r="M2676" s="85"/>
    </row>
    <row r="2677" spans="9:13" x14ac:dyDescent="0.3">
      <c r="I2677" s="82"/>
      <c r="M2677" s="85"/>
    </row>
    <row r="2678" spans="9:13" x14ac:dyDescent="0.3">
      <c r="I2678" s="82"/>
      <c r="M2678" s="85"/>
    </row>
    <row r="2679" spans="9:13" x14ac:dyDescent="0.3">
      <c r="I2679" s="82"/>
      <c r="M2679" s="85"/>
    </row>
    <row r="2680" spans="9:13" x14ac:dyDescent="0.3">
      <c r="I2680" s="82"/>
      <c r="M2680" s="85"/>
    </row>
    <row r="2681" spans="9:13" x14ac:dyDescent="0.3">
      <c r="I2681" s="82"/>
      <c r="M2681" s="85"/>
    </row>
    <row r="2682" spans="9:13" x14ac:dyDescent="0.3">
      <c r="I2682" s="82"/>
      <c r="M2682" s="85"/>
    </row>
    <row r="2683" spans="9:13" x14ac:dyDescent="0.3">
      <c r="I2683" s="82"/>
      <c r="M2683" s="85"/>
    </row>
    <row r="2684" spans="9:13" x14ac:dyDescent="0.3">
      <c r="I2684" s="82"/>
      <c r="M2684" s="85"/>
    </row>
    <row r="2685" spans="9:13" x14ac:dyDescent="0.3">
      <c r="I2685" s="82"/>
      <c r="M2685" s="85"/>
    </row>
    <row r="2686" spans="9:13" x14ac:dyDescent="0.3">
      <c r="I2686" s="82"/>
      <c r="M2686" s="85"/>
    </row>
    <row r="2687" spans="9:13" x14ac:dyDescent="0.3">
      <c r="I2687" s="82"/>
      <c r="M2687" s="85"/>
    </row>
    <row r="2688" spans="9:13" x14ac:dyDescent="0.3">
      <c r="I2688" s="82"/>
      <c r="M2688" s="85"/>
    </row>
    <row r="2689" spans="9:13" x14ac:dyDescent="0.3">
      <c r="I2689" s="82"/>
      <c r="M2689" s="85"/>
    </row>
    <row r="2690" spans="9:13" x14ac:dyDescent="0.3">
      <c r="I2690" s="82"/>
      <c r="M2690" s="85"/>
    </row>
    <row r="2691" spans="9:13" x14ac:dyDescent="0.3">
      <c r="I2691" s="82"/>
      <c r="M2691" s="85"/>
    </row>
    <row r="2692" spans="9:13" x14ac:dyDescent="0.3">
      <c r="I2692" s="82"/>
      <c r="M2692" s="85"/>
    </row>
    <row r="2693" spans="9:13" x14ac:dyDescent="0.3">
      <c r="I2693" s="82"/>
      <c r="M2693" s="85"/>
    </row>
    <row r="2694" spans="9:13" x14ac:dyDescent="0.3">
      <c r="I2694" s="82"/>
      <c r="M2694" s="85"/>
    </row>
    <row r="2695" spans="9:13" x14ac:dyDescent="0.3">
      <c r="I2695" s="82"/>
      <c r="M2695" s="85"/>
    </row>
    <row r="2696" spans="9:13" x14ac:dyDescent="0.3">
      <c r="I2696" s="82"/>
      <c r="M2696" s="85"/>
    </row>
    <row r="2697" spans="9:13" x14ac:dyDescent="0.3">
      <c r="I2697" s="82"/>
      <c r="M2697" s="85"/>
    </row>
    <row r="2698" spans="9:13" x14ac:dyDescent="0.3">
      <c r="I2698" s="82"/>
      <c r="M2698" s="85"/>
    </row>
    <row r="2699" spans="9:13" x14ac:dyDescent="0.3">
      <c r="I2699" s="82"/>
      <c r="M2699" s="85"/>
    </row>
    <row r="2700" spans="9:13" x14ac:dyDescent="0.3">
      <c r="I2700" s="82"/>
      <c r="M2700" s="85"/>
    </row>
    <row r="2701" spans="9:13" x14ac:dyDescent="0.3">
      <c r="I2701" s="82"/>
      <c r="M2701" s="85"/>
    </row>
    <row r="2702" spans="9:13" x14ac:dyDescent="0.3">
      <c r="I2702" s="82"/>
      <c r="M2702" s="85"/>
    </row>
    <row r="2703" spans="9:13" x14ac:dyDescent="0.3">
      <c r="I2703" s="82"/>
      <c r="M2703" s="85"/>
    </row>
    <row r="2704" spans="9:13" x14ac:dyDescent="0.3">
      <c r="I2704" s="82"/>
      <c r="M2704" s="85"/>
    </row>
    <row r="2705" spans="9:13" x14ac:dyDescent="0.3">
      <c r="I2705" s="82"/>
      <c r="M2705" s="85"/>
    </row>
    <row r="2706" spans="9:13" x14ac:dyDescent="0.3">
      <c r="I2706" s="82"/>
      <c r="M2706" s="85"/>
    </row>
    <row r="2707" spans="9:13" x14ac:dyDescent="0.3">
      <c r="I2707" s="82"/>
      <c r="M2707" s="85"/>
    </row>
    <row r="2708" spans="9:13" x14ac:dyDescent="0.3">
      <c r="I2708" s="82"/>
      <c r="M2708" s="85"/>
    </row>
    <row r="2709" spans="9:13" x14ac:dyDescent="0.3">
      <c r="I2709" s="82"/>
      <c r="M2709" s="85"/>
    </row>
    <row r="2710" spans="9:13" x14ac:dyDescent="0.3">
      <c r="I2710" s="82"/>
      <c r="M2710" s="85"/>
    </row>
    <row r="2711" spans="9:13" x14ac:dyDescent="0.3">
      <c r="I2711" s="82"/>
      <c r="M2711" s="85"/>
    </row>
    <row r="2712" spans="9:13" x14ac:dyDescent="0.3">
      <c r="I2712" s="82"/>
      <c r="M2712" s="85"/>
    </row>
    <row r="2713" spans="9:13" x14ac:dyDescent="0.3">
      <c r="I2713" s="82"/>
      <c r="M2713" s="85"/>
    </row>
    <row r="2714" spans="9:13" x14ac:dyDescent="0.3">
      <c r="I2714" s="82"/>
      <c r="M2714" s="85"/>
    </row>
    <row r="2715" spans="9:13" x14ac:dyDescent="0.3">
      <c r="I2715" s="82"/>
      <c r="M2715" s="85"/>
    </row>
    <row r="2716" spans="9:13" x14ac:dyDescent="0.3">
      <c r="I2716" s="82"/>
      <c r="M2716" s="85"/>
    </row>
    <row r="2717" spans="9:13" x14ac:dyDescent="0.3">
      <c r="I2717" s="82"/>
      <c r="M2717" s="85"/>
    </row>
    <row r="2718" spans="9:13" x14ac:dyDescent="0.3">
      <c r="I2718" s="82"/>
      <c r="M2718" s="85"/>
    </row>
    <row r="2719" spans="9:13" x14ac:dyDescent="0.3">
      <c r="I2719" s="82"/>
      <c r="M2719" s="85"/>
    </row>
    <row r="2720" spans="9:13" x14ac:dyDescent="0.3">
      <c r="I2720" s="82"/>
      <c r="M2720" s="85"/>
    </row>
    <row r="2721" spans="9:13" x14ac:dyDescent="0.3">
      <c r="I2721" s="82"/>
      <c r="M2721" s="85"/>
    </row>
    <row r="2722" spans="9:13" x14ac:dyDescent="0.3">
      <c r="I2722" s="82"/>
      <c r="M2722" s="85"/>
    </row>
    <row r="2723" spans="9:13" x14ac:dyDescent="0.3">
      <c r="I2723" s="82"/>
      <c r="M2723" s="85"/>
    </row>
    <row r="2724" spans="9:13" x14ac:dyDescent="0.3">
      <c r="I2724" s="82"/>
      <c r="M2724" s="85"/>
    </row>
    <row r="2725" spans="9:13" x14ac:dyDescent="0.3">
      <c r="I2725" s="82"/>
      <c r="M2725" s="85"/>
    </row>
    <row r="2726" spans="9:13" x14ac:dyDescent="0.3">
      <c r="I2726" s="82"/>
      <c r="M2726" s="85"/>
    </row>
    <row r="2727" spans="9:13" x14ac:dyDescent="0.3">
      <c r="I2727" s="82"/>
      <c r="M2727" s="85"/>
    </row>
    <row r="2728" spans="9:13" x14ac:dyDescent="0.3">
      <c r="I2728" s="82"/>
      <c r="M2728" s="85"/>
    </row>
    <row r="2729" spans="9:13" x14ac:dyDescent="0.3">
      <c r="I2729" s="82"/>
      <c r="M2729" s="85"/>
    </row>
    <row r="2730" spans="9:13" x14ac:dyDescent="0.3">
      <c r="I2730" s="82"/>
      <c r="M2730" s="85"/>
    </row>
    <row r="2731" spans="9:13" x14ac:dyDescent="0.3">
      <c r="I2731" s="82"/>
      <c r="M2731" s="85"/>
    </row>
    <row r="2732" spans="9:13" x14ac:dyDescent="0.3">
      <c r="I2732" s="82"/>
      <c r="M2732" s="85"/>
    </row>
    <row r="2733" spans="9:13" x14ac:dyDescent="0.3">
      <c r="I2733" s="82"/>
      <c r="M2733" s="85"/>
    </row>
    <row r="2734" spans="9:13" x14ac:dyDescent="0.3">
      <c r="I2734" s="82"/>
      <c r="M2734" s="85"/>
    </row>
    <row r="2735" spans="9:13" x14ac:dyDescent="0.3">
      <c r="I2735" s="82"/>
      <c r="M2735" s="85"/>
    </row>
    <row r="2736" spans="9:13" x14ac:dyDescent="0.3">
      <c r="I2736" s="82"/>
      <c r="M2736" s="85"/>
    </row>
    <row r="2737" spans="9:13" x14ac:dyDescent="0.3">
      <c r="I2737" s="82"/>
      <c r="M2737" s="85"/>
    </row>
    <row r="2738" spans="9:13" x14ac:dyDescent="0.3">
      <c r="I2738" s="82"/>
      <c r="M2738" s="85"/>
    </row>
    <row r="2739" spans="9:13" x14ac:dyDescent="0.3">
      <c r="I2739" s="82"/>
      <c r="M2739" s="85"/>
    </row>
    <row r="2740" spans="9:13" x14ac:dyDescent="0.3">
      <c r="I2740" s="82"/>
      <c r="M2740" s="85"/>
    </row>
    <row r="2741" spans="9:13" x14ac:dyDescent="0.3">
      <c r="I2741" s="82"/>
      <c r="M2741" s="85"/>
    </row>
    <row r="2742" spans="9:13" x14ac:dyDescent="0.3">
      <c r="I2742" s="82"/>
      <c r="M2742" s="85"/>
    </row>
    <row r="2743" spans="9:13" x14ac:dyDescent="0.3">
      <c r="I2743" s="82"/>
      <c r="M2743" s="85"/>
    </row>
    <row r="2744" spans="9:13" x14ac:dyDescent="0.3">
      <c r="I2744" s="82"/>
      <c r="M2744" s="85"/>
    </row>
    <row r="2745" spans="9:13" x14ac:dyDescent="0.3">
      <c r="I2745" s="82"/>
      <c r="M2745" s="85"/>
    </row>
    <row r="2746" spans="9:13" x14ac:dyDescent="0.3">
      <c r="I2746" s="82"/>
      <c r="M2746" s="85"/>
    </row>
    <row r="2747" spans="9:13" x14ac:dyDescent="0.3">
      <c r="I2747" s="82"/>
      <c r="M2747" s="85"/>
    </row>
    <row r="2748" spans="9:13" x14ac:dyDescent="0.3">
      <c r="I2748" s="82"/>
      <c r="M2748" s="85"/>
    </row>
    <row r="2749" spans="9:13" x14ac:dyDescent="0.3">
      <c r="I2749" s="82"/>
      <c r="M2749" s="85"/>
    </row>
    <row r="2750" spans="9:13" x14ac:dyDescent="0.3">
      <c r="I2750" s="82"/>
      <c r="M2750" s="85"/>
    </row>
    <row r="2751" spans="9:13" x14ac:dyDescent="0.3">
      <c r="I2751" s="82"/>
      <c r="M2751" s="85"/>
    </row>
    <row r="2752" spans="9:13" x14ac:dyDescent="0.3">
      <c r="I2752" s="82"/>
      <c r="M2752" s="85"/>
    </row>
    <row r="2753" spans="9:13" x14ac:dyDescent="0.3">
      <c r="I2753" s="82"/>
      <c r="M2753" s="85"/>
    </row>
    <row r="2754" spans="9:13" x14ac:dyDescent="0.3">
      <c r="I2754" s="82"/>
      <c r="M2754" s="85"/>
    </row>
    <row r="2755" spans="9:13" x14ac:dyDescent="0.3">
      <c r="I2755" s="82"/>
      <c r="M2755" s="85"/>
    </row>
    <row r="2756" spans="9:13" x14ac:dyDescent="0.3">
      <c r="I2756" s="82"/>
      <c r="M2756" s="85"/>
    </row>
    <row r="2757" spans="9:13" x14ac:dyDescent="0.3">
      <c r="I2757" s="82"/>
      <c r="M2757" s="85"/>
    </row>
    <row r="2758" spans="9:13" x14ac:dyDescent="0.3">
      <c r="I2758" s="82"/>
      <c r="M2758" s="85"/>
    </row>
    <row r="2759" spans="9:13" x14ac:dyDescent="0.3">
      <c r="I2759" s="82"/>
      <c r="M2759" s="85"/>
    </row>
    <row r="2760" spans="9:13" x14ac:dyDescent="0.3">
      <c r="I2760" s="82"/>
      <c r="M2760" s="85"/>
    </row>
    <row r="2761" spans="9:13" x14ac:dyDescent="0.3">
      <c r="I2761" s="82"/>
      <c r="M2761" s="85"/>
    </row>
    <row r="2762" spans="9:13" x14ac:dyDescent="0.3">
      <c r="I2762" s="82"/>
      <c r="M2762" s="85"/>
    </row>
    <row r="2763" spans="9:13" x14ac:dyDescent="0.3">
      <c r="I2763" s="82"/>
      <c r="M2763" s="85"/>
    </row>
    <row r="2764" spans="9:13" x14ac:dyDescent="0.3">
      <c r="I2764" s="82"/>
      <c r="M2764" s="85"/>
    </row>
    <row r="2765" spans="9:13" x14ac:dyDescent="0.3">
      <c r="I2765" s="82"/>
      <c r="M2765" s="85"/>
    </row>
    <row r="2766" spans="9:13" x14ac:dyDescent="0.3">
      <c r="I2766" s="82"/>
      <c r="M2766" s="85"/>
    </row>
    <row r="2767" spans="9:13" x14ac:dyDescent="0.3">
      <c r="I2767" s="82"/>
      <c r="M2767" s="85"/>
    </row>
    <row r="2768" spans="9:13" x14ac:dyDescent="0.3">
      <c r="I2768" s="82"/>
      <c r="M2768" s="85"/>
    </row>
    <row r="2769" spans="9:13" x14ac:dyDescent="0.3">
      <c r="I2769" s="82"/>
      <c r="M2769" s="85"/>
    </row>
    <row r="2770" spans="9:13" x14ac:dyDescent="0.3">
      <c r="I2770" s="82"/>
      <c r="M2770" s="85"/>
    </row>
    <row r="2771" spans="9:13" x14ac:dyDescent="0.3">
      <c r="I2771" s="82"/>
      <c r="M2771" s="85"/>
    </row>
    <row r="2772" spans="9:13" x14ac:dyDescent="0.3">
      <c r="I2772" s="82"/>
      <c r="M2772" s="85"/>
    </row>
    <row r="2773" spans="9:13" x14ac:dyDescent="0.3">
      <c r="I2773" s="82"/>
      <c r="M2773" s="85"/>
    </row>
    <row r="2774" spans="9:13" x14ac:dyDescent="0.3">
      <c r="I2774" s="82"/>
      <c r="M2774" s="85"/>
    </row>
    <row r="2775" spans="9:13" x14ac:dyDescent="0.3">
      <c r="I2775" s="82"/>
      <c r="M2775" s="85"/>
    </row>
    <row r="2776" spans="9:13" x14ac:dyDescent="0.3">
      <c r="I2776" s="82"/>
      <c r="M2776" s="85"/>
    </row>
    <row r="2777" spans="9:13" x14ac:dyDescent="0.3">
      <c r="I2777" s="82"/>
      <c r="M2777" s="85"/>
    </row>
    <row r="2778" spans="9:13" x14ac:dyDescent="0.3">
      <c r="I2778" s="82"/>
      <c r="M2778" s="85"/>
    </row>
    <row r="2779" spans="9:13" x14ac:dyDescent="0.3">
      <c r="I2779" s="82"/>
      <c r="M2779" s="85"/>
    </row>
    <row r="2780" spans="9:13" x14ac:dyDescent="0.3">
      <c r="I2780" s="82"/>
      <c r="M2780" s="85"/>
    </row>
    <row r="2781" spans="9:13" x14ac:dyDescent="0.3">
      <c r="I2781" s="82"/>
      <c r="M2781" s="85"/>
    </row>
    <row r="2782" spans="9:13" x14ac:dyDescent="0.3">
      <c r="I2782" s="82"/>
      <c r="M2782" s="85"/>
    </row>
    <row r="2783" spans="9:13" x14ac:dyDescent="0.3">
      <c r="I2783" s="82"/>
      <c r="M2783" s="85"/>
    </row>
    <row r="2784" spans="9:13" x14ac:dyDescent="0.3">
      <c r="I2784" s="82"/>
      <c r="M2784" s="85"/>
    </row>
    <row r="2785" spans="9:13" x14ac:dyDescent="0.3">
      <c r="I2785" s="82"/>
      <c r="M2785" s="85"/>
    </row>
    <row r="2786" spans="9:13" x14ac:dyDescent="0.3">
      <c r="I2786" s="82"/>
      <c r="M2786" s="85"/>
    </row>
    <row r="2787" spans="9:13" x14ac:dyDescent="0.3">
      <c r="I2787" s="82"/>
      <c r="M2787" s="85"/>
    </row>
    <row r="2788" spans="9:13" x14ac:dyDescent="0.3">
      <c r="I2788" s="82"/>
      <c r="M2788" s="85"/>
    </row>
    <row r="2789" spans="9:13" x14ac:dyDescent="0.3">
      <c r="I2789" s="82"/>
      <c r="M2789" s="85"/>
    </row>
    <row r="2790" spans="9:13" x14ac:dyDescent="0.3">
      <c r="I2790" s="82"/>
      <c r="M2790" s="85"/>
    </row>
    <row r="2791" spans="9:13" x14ac:dyDescent="0.3">
      <c r="I2791" s="82"/>
      <c r="M2791" s="85"/>
    </row>
    <row r="2792" spans="9:13" x14ac:dyDescent="0.3">
      <c r="I2792" s="82"/>
      <c r="M2792" s="85"/>
    </row>
    <row r="2793" spans="9:13" x14ac:dyDescent="0.3">
      <c r="I2793" s="82"/>
      <c r="M2793" s="85"/>
    </row>
    <row r="2794" spans="9:13" x14ac:dyDescent="0.3">
      <c r="I2794" s="82"/>
      <c r="M2794" s="85"/>
    </row>
    <row r="2795" spans="9:13" x14ac:dyDescent="0.3">
      <c r="I2795" s="82"/>
      <c r="M2795" s="85"/>
    </row>
    <row r="2796" spans="9:13" x14ac:dyDescent="0.3">
      <c r="I2796" s="82"/>
      <c r="M2796" s="85"/>
    </row>
    <row r="2797" spans="9:13" x14ac:dyDescent="0.3">
      <c r="I2797" s="82"/>
      <c r="M2797" s="85"/>
    </row>
    <row r="2798" spans="9:13" x14ac:dyDescent="0.3">
      <c r="I2798" s="82"/>
      <c r="M2798" s="85"/>
    </row>
    <row r="2799" spans="9:13" x14ac:dyDescent="0.3">
      <c r="I2799" s="82"/>
      <c r="M2799" s="85"/>
    </row>
    <row r="2800" spans="9:13" x14ac:dyDescent="0.3">
      <c r="I2800" s="82"/>
      <c r="M2800" s="85"/>
    </row>
    <row r="2801" spans="9:13" x14ac:dyDescent="0.3">
      <c r="I2801" s="82"/>
      <c r="M2801" s="85"/>
    </row>
    <row r="2802" spans="9:13" x14ac:dyDescent="0.3">
      <c r="I2802" s="82"/>
      <c r="M2802" s="85"/>
    </row>
    <row r="2803" spans="9:13" x14ac:dyDescent="0.3">
      <c r="I2803" s="82"/>
      <c r="M2803" s="85"/>
    </row>
    <row r="2804" spans="9:13" x14ac:dyDescent="0.3">
      <c r="I2804" s="82"/>
      <c r="M2804" s="85"/>
    </row>
    <row r="2805" spans="9:13" x14ac:dyDescent="0.3">
      <c r="I2805" s="82"/>
      <c r="M2805" s="85"/>
    </row>
    <row r="2806" spans="9:13" x14ac:dyDescent="0.3">
      <c r="I2806" s="82"/>
      <c r="M2806" s="85"/>
    </row>
    <row r="2807" spans="9:13" x14ac:dyDescent="0.3">
      <c r="I2807" s="82"/>
      <c r="M2807" s="85"/>
    </row>
    <row r="2808" spans="9:13" x14ac:dyDescent="0.3">
      <c r="I2808" s="82"/>
      <c r="M2808" s="85"/>
    </row>
    <row r="2809" spans="9:13" x14ac:dyDescent="0.3">
      <c r="I2809" s="82"/>
      <c r="M2809" s="85"/>
    </row>
    <row r="2810" spans="9:13" x14ac:dyDescent="0.3">
      <c r="I2810" s="82"/>
      <c r="M2810" s="85"/>
    </row>
    <row r="2811" spans="9:13" x14ac:dyDescent="0.3">
      <c r="I2811" s="82"/>
      <c r="M2811" s="85"/>
    </row>
    <row r="2812" spans="9:13" x14ac:dyDescent="0.3">
      <c r="I2812" s="82"/>
      <c r="M2812" s="85"/>
    </row>
    <row r="2813" spans="9:13" x14ac:dyDescent="0.3">
      <c r="I2813" s="82"/>
      <c r="M2813" s="85"/>
    </row>
    <row r="2814" spans="9:13" x14ac:dyDescent="0.3">
      <c r="I2814" s="82"/>
      <c r="M2814" s="85"/>
    </row>
    <row r="2815" spans="9:13" x14ac:dyDescent="0.3">
      <c r="I2815" s="82"/>
      <c r="M2815" s="85"/>
    </row>
    <row r="2816" spans="9:13" x14ac:dyDescent="0.3">
      <c r="I2816" s="82"/>
      <c r="M2816" s="85"/>
    </row>
    <row r="2817" spans="9:13" x14ac:dyDescent="0.3">
      <c r="I2817" s="82"/>
      <c r="M2817" s="85"/>
    </row>
    <row r="2818" spans="9:13" x14ac:dyDescent="0.3">
      <c r="I2818" s="82"/>
      <c r="M2818" s="85"/>
    </row>
    <row r="2819" spans="9:13" x14ac:dyDescent="0.3">
      <c r="I2819" s="82"/>
      <c r="M2819" s="85"/>
    </row>
    <row r="2820" spans="9:13" x14ac:dyDescent="0.3">
      <c r="I2820" s="82"/>
      <c r="M2820" s="85"/>
    </row>
    <row r="2821" spans="9:13" x14ac:dyDescent="0.3">
      <c r="I2821" s="82"/>
      <c r="M2821" s="85"/>
    </row>
    <row r="2822" spans="9:13" x14ac:dyDescent="0.3">
      <c r="I2822" s="82"/>
      <c r="M2822" s="85"/>
    </row>
    <row r="2823" spans="9:13" x14ac:dyDescent="0.3">
      <c r="I2823" s="82"/>
      <c r="M2823" s="85"/>
    </row>
    <row r="2824" spans="9:13" x14ac:dyDescent="0.3">
      <c r="I2824" s="82"/>
      <c r="M2824" s="85"/>
    </row>
    <row r="2825" spans="9:13" x14ac:dyDescent="0.3">
      <c r="I2825" s="82"/>
      <c r="M2825" s="85"/>
    </row>
    <row r="2826" spans="9:13" x14ac:dyDescent="0.3">
      <c r="I2826" s="82"/>
      <c r="M2826" s="85"/>
    </row>
    <row r="2827" spans="9:13" x14ac:dyDescent="0.3">
      <c r="I2827" s="82"/>
      <c r="M2827" s="85"/>
    </row>
    <row r="2828" spans="9:13" x14ac:dyDescent="0.3">
      <c r="I2828" s="82"/>
      <c r="M2828" s="85"/>
    </row>
    <row r="2829" spans="9:13" x14ac:dyDescent="0.3">
      <c r="I2829" s="82"/>
      <c r="M2829" s="85"/>
    </row>
    <row r="2830" spans="9:13" x14ac:dyDescent="0.3">
      <c r="I2830" s="82"/>
      <c r="M2830" s="85"/>
    </row>
    <row r="2831" spans="9:13" x14ac:dyDescent="0.3">
      <c r="I2831" s="82"/>
      <c r="M2831" s="85"/>
    </row>
    <row r="2832" spans="9:13" x14ac:dyDescent="0.3">
      <c r="I2832" s="82"/>
      <c r="M2832" s="85"/>
    </row>
    <row r="2833" spans="9:13" x14ac:dyDescent="0.3">
      <c r="I2833" s="82"/>
      <c r="M2833" s="85"/>
    </row>
    <row r="2834" spans="9:13" x14ac:dyDescent="0.3">
      <c r="I2834" s="82"/>
      <c r="M2834" s="85"/>
    </row>
    <row r="2835" spans="9:13" x14ac:dyDescent="0.3">
      <c r="I2835" s="82"/>
      <c r="M2835" s="85"/>
    </row>
    <row r="2836" spans="9:13" x14ac:dyDescent="0.3">
      <c r="I2836" s="82"/>
      <c r="M2836" s="85"/>
    </row>
    <row r="2837" spans="9:13" x14ac:dyDescent="0.3">
      <c r="I2837" s="82"/>
      <c r="M2837" s="85"/>
    </row>
    <row r="2838" spans="9:13" x14ac:dyDescent="0.3">
      <c r="I2838" s="82"/>
      <c r="M2838" s="85"/>
    </row>
    <row r="2839" spans="9:13" x14ac:dyDescent="0.3">
      <c r="I2839" s="82"/>
      <c r="M2839" s="85"/>
    </row>
    <row r="2840" spans="9:13" x14ac:dyDescent="0.3">
      <c r="I2840" s="82"/>
      <c r="M2840" s="85"/>
    </row>
    <row r="2841" spans="9:13" x14ac:dyDescent="0.3">
      <c r="I2841" s="82"/>
      <c r="M2841" s="85"/>
    </row>
    <row r="2842" spans="9:13" x14ac:dyDescent="0.3">
      <c r="I2842" s="82"/>
      <c r="M2842" s="85"/>
    </row>
    <row r="2843" spans="9:13" x14ac:dyDescent="0.3">
      <c r="I2843" s="82"/>
      <c r="M2843" s="85"/>
    </row>
    <row r="2844" spans="9:13" x14ac:dyDescent="0.3">
      <c r="I2844" s="82"/>
      <c r="M2844" s="85"/>
    </row>
    <row r="2845" spans="9:13" x14ac:dyDescent="0.3">
      <c r="I2845" s="82"/>
      <c r="M2845" s="85"/>
    </row>
    <row r="2846" spans="9:13" x14ac:dyDescent="0.3">
      <c r="I2846" s="82"/>
      <c r="M2846" s="85"/>
    </row>
    <row r="2847" spans="9:13" x14ac:dyDescent="0.3">
      <c r="I2847" s="82"/>
      <c r="M2847" s="85"/>
    </row>
    <row r="2848" spans="9:13" x14ac:dyDescent="0.3">
      <c r="I2848" s="82"/>
      <c r="M2848" s="85"/>
    </row>
    <row r="2849" spans="9:13" x14ac:dyDescent="0.3">
      <c r="I2849" s="82"/>
      <c r="M2849" s="85"/>
    </row>
    <row r="2850" spans="9:13" x14ac:dyDescent="0.3">
      <c r="I2850" s="82"/>
      <c r="M2850" s="85"/>
    </row>
    <row r="2851" spans="9:13" x14ac:dyDescent="0.3">
      <c r="I2851" s="82"/>
      <c r="M2851" s="85"/>
    </row>
    <row r="2852" spans="9:13" x14ac:dyDescent="0.3">
      <c r="I2852" s="82"/>
      <c r="M2852" s="85"/>
    </row>
    <row r="2853" spans="9:13" x14ac:dyDescent="0.3">
      <c r="I2853" s="82"/>
      <c r="M2853" s="85"/>
    </row>
    <row r="2854" spans="9:13" x14ac:dyDescent="0.3">
      <c r="I2854" s="82"/>
      <c r="M2854" s="85"/>
    </row>
    <row r="2855" spans="9:13" x14ac:dyDescent="0.3">
      <c r="I2855" s="82"/>
      <c r="M2855" s="85"/>
    </row>
    <row r="2856" spans="9:13" x14ac:dyDescent="0.3">
      <c r="I2856" s="82"/>
      <c r="M2856" s="85"/>
    </row>
    <row r="2857" spans="9:13" x14ac:dyDescent="0.3">
      <c r="I2857" s="82"/>
      <c r="M2857" s="85"/>
    </row>
    <row r="2858" spans="9:13" x14ac:dyDescent="0.3">
      <c r="I2858" s="82"/>
      <c r="M2858" s="85"/>
    </row>
    <row r="2859" spans="9:13" x14ac:dyDescent="0.3">
      <c r="I2859" s="82"/>
      <c r="M2859" s="85"/>
    </row>
    <row r="2860" spans="9:13" x14ac:dyDescent="0.3">
      <c r="I2860" s="82"/>
      <c r="M2860" s="85"/>
    </row>
    <row r="2861" spans="9:13" x14ac:dyDescent="0.3">
      <c r="I2861" s="82"/>
      <c r="M2861" s="85"/>
    </row>
    <row r="2862" spans="9:13" x14ac:dyDescent="0.3">
      <c r="I2862" s="82"/>
      <c r="M2862" s="85"/>
    </row>
    <row r="2863" spans="9:13" x14ac:dyDescent="0.3">
      <c r="I2863" s="82"/>
      <c r="M2863" s="85"/>
    </row>
    <row r="2864" spans="9:13" x14ac:dyDescent="0.3">
      <c r="I2864" s="82"/>
      <c r="M2864" s="85"/>
    </row>
    <row r="2865" spans="9:13" x14ac:dyDescent="0.3">
      <c r="I2865" s="82"/>
      <c r="M2865" s="85"/>
    </row>
    <row r="2866" spans="9:13" x14ac:dyDescent="0.3">
      <c r="I2866" s="82"/>
      <c r="M2866" s="85"/>
    </row>
    <row r="2867" spans="9:13" x14ac:dyDescent="0.3">
      <c r="I2867" s="82"/>
      <c r="M2867" s="85"/>
    </row>
    <row r="2868" spans="9:13" x14ac:dyDescent="0.3">
      <c r="I2868" s="82"/>
      <c r="M2868" s="85"/>
    </row>
    <row r="2869" spans="9:13" x14ac:dyDescent="0.3">
      <c r="I2869" s="82"/>
      <c r="M2869" s="85"/>
    </row>
    <row r="2870" spans="9:13" x14ac:dyDescent="0.3">
      <c r="I2870" s="82"/>
      <c r="M2870" s="85"/>
    </row>
    <row r="2871" spans="9:13" x14ac:dyDescent="0.3">
      <c r="I2871" s="82"/>
      <c r="M2871" s="85"/>
    </row>
    <row r="2872" spans="9:13" x14ac:dyDescent="0.3">
      <c r="I2872" s="82"/>
      <c r="M2872" s="85"/>
    </row>
    <row r="2873" spans="9:13" x14ac:dyDescent="0.3">
      <c r="I2873" s="82"/>
      <c r="M2873" s="85"/>
    </row>
    <row r="2874" spans="9:13" x14ac:dyDescent="0.3">
      <c r="I2874" s="82"/>
      <c r="M2874" s="85"/>
    </row>
    <row r="2875" spans="9:13" x14ac:dyDescent="0.3">
      <c r="I2875" s="82"/>
      <c r="M2875" s="85"/>
    </row>
    <row r="2876" spans="9:13" x14ac:dyDescent="0.3">
      <c r="I2876" s="82"/>
      <c r="M2876" s="85"/>
    </row>
    <row r="2877" spans="9:13" x14ac:dyDescent="0.3">
      <c r="I2877" s="82"/>
      <c r="M2877" s="85"/>
    </row>
    <row r="2878" spans="9:13" x14ac:dyDescent="0.3">
      <c r="I2878" s="82"/>
      <c r="M2878" s="85"/>
    </row>
    <row r="2879" spans="9:13" x14ac:dyDescent="0.3">
      <c r="I2879" s="82"/>
      <c r="M2879" s="85"/>
    </row>
    <row r="2880" spans="9:13" x14ac:dyDescent="0.3">
      <c r="I2880" s="82"/>
      <c r="M2880" s="85"/>
    </row>
    <row r="2881" spans="9:13" x14ac:dyDescent="0.3">
      <c r="I2881" s="82"/>
      <c r="M2881" s="85"/>
    </row>
    <row r="2882" spans="9:13" x14ac:dyDescent="0.3">
      <c r="I2882" s="82"/>
      <c r="M2882" s="85"/>
    </row>
    <row r="2883" spans="9:13" x14ac:dyDescent="0.3">
      <c r="I2883" s="82"/>
      <c r="M2883" s="85"/>
    </row>
    <row r="2884" spans="9:13" x14ac:dyDescent="0.3">
      <c r="I2884" s="82"/>
      <c r="M2884" s="85"/>
    </row>
    <row r="2885" spans="9:13" x14ac:dyDescent="0.3">
      <c r="I2885" s="82"/>
      <c r="M2885" s="85"/>
    </row>
    <row r="2886" spans="9:13" x14ac:dyDescent="0.3">
      <c r="I2886" s="82"/>
      <c r="M2886" s="85"/>
    </row>
    <row r="2887" spans="9:13" x14ac:dyDescent="0.3">
      <c r="I2887" s="82"/>
      <c r="M2887" s="85"/>
    </row>
    <row r="2888" spans="9:13" x14ac:dyDescent="0.3">
      <c r="I2888" s="82"/>
      <c r="M2888" s="85"/>
    </row>
    <row r="2889" spans="9:13" x14ac:dyDescent="0.3">
      <c r="I2889" s="82"/>
      <c r="M2889" s="85"/>
    </row>
    <row r="2890" spans="9:13" x14ac:dyDescent="0.3">
      <c r="I2890" s="82"/>
      <c r="M2890" s="85"/>
    </row>
    <row r="2891" spans="9:13" x14ac:dyDescent="0.3">
      <c r="I2891" s="82"/>
      <c r="M2891" s="85"/>
    </row>
    <row r="2892" spans="9:13" x14ac:dyDescent="0.3">
      <c r="I2892" s="82"/>
      <c r="M2892" s="85"/>
    </row>
    <row r="2893" spans="9:13" x14ac:dyDescent="0.3">
      <c r="I2893" s="82"/>
      <c r="M2893" s="85"/>
    </row>
    <row r="2894" spans="9:13" x14ac:dyDescent="0.3">
      <c r="I2894" s="82"/>
      <c r="M2894" s="85"/>
    </row>
    <row r="2895" spans="9:13" x14ac:dyDescent="0.3">
      <c r="I2895" s="82"/>
      <c r="M2895" s="85"/>
    </row>
    <row r="2896" spans="9:13" x14ac:dyDescent="0.3">
      <c r="I2896" s="82"/>
      <c r="M2896" s="85"/>
    </row>
    <row r="2897" spans="9:13" x14ac:dyDescent="0.3">
      <c r="I2897" s="82"/>
      <c r="M2897" s="85"/>
    </row>
    <row r="2898" spans="9:13" x14ac:dyDescent="0.3">
      <c r="I2898" s="82"/>
      <c r="M2898" s="85"/>
    </row>
    <row r="2899" spans="9:13" x14ac:dyDescent="0.3">
      <c r="I2899" s="82"/>
      <c r="M2899" s="85"/>
    </row>
    <row r="2900" spans="9:13" x14ac:dyDescent="0.3">
      <c r="I2900" s="82"/>
      <c r="M2900" s="85"/>
    </row>
    <row r="2901" spans="9:13" x14ac:dyDescent="0.3">
      <c r="I2901" s="82"/>
      <c r="M2901" s="85"/>
    </row>
    <row r="2902" spans="9:13" x14ac:dyDescent="0.3">
      <c r="I2902" s="82"/>
      <c r="M2902" s="85"/>
    </row>
    <row r="2903" spans="9:13" x14ac:dyDescent="0.3">
      <c r="I2903" s="82"/>
      <c r="M2903" s="85"/>
    </row>
    <row r="2904" spans="9:13" x14ac:dyDescent="0.3">
      <c r="I2904" s="82"/>
      <c r="M2904" s="85"/>
    </row>
    <row r="2905" spans="9:13" x14ac:dyDescent="0.3">
      <c r="I2905" s="82"/>
      <c r="M2905" s="85"/>
    </row>
    <row r="2906" spans="9:13" x14ac:dyDescent="0.3">
      <c r="I2906" s="82"/>
      <c r="M2906" s="85"/>
    </row>
    <row r="2907" spans="9:13" x14ac:dyDescent="0.3">
      <c r="I2907" s="82"/>
      <c r="M2907" s="85"/>
    </row>
    <row r="2908" spans="9:13" x14ac:dyDescent="0.3">
      <c r="I2908" s="82"/>
      <c r="M2908" s="85"/>
    </row>
    <row r="2909" spans="9:13" x14ac:dyDescent="0.3">
      <c r="I2909" s="82"/>
      <c r="M2909" s="85"/>
    </row>
    <row r="2910" spans="9:13" x14ac:dyDescent="0.3">
      <c r="I2910" s="82"/>
      <c r="M2910" s="85"/>
    </row>
    <row r="2911" spans="9:13" x14ac:dyDescent="0.3">
      <c r="I2911" s="82"/>
      <c r="M2911" s="85"/>
    </row>
    <row r="2912" spans="9:13" x14ac:dyDescent="0.3">
      <c r="I2912" s="82"/>
      <c r="M2912" s="85"/>
    </row>
    <row r="2913" spans="9:13" x14ac:dyDescent="0.3">
      <c r="I2913" s="82"/>
      <c r="M2913" s="85"/>
    </row>
    <row r="2914" spans="9:13" x14ac:dyDescent="0.3">
      <c r="I2914" s="82"/>
      <c r="M2914" s="85"/>
    </row>
    <row r="2915" spans="9:13" x14ac:dyDescent="0.3">
      <c r="I2915" s="82"/>
      <c r="M2915" s="85"/>
    </row>
    <row r="2916" spans="9:13" x14ac:dyDescent="0.3">
      <c r="I2916" s="82"/>
      <c r="M2916" s="85"/>
    </row>
    <row r="2917" spans="9:13" x14ac:dyDescent="0.3">
      <c r="I2917" s="82"/>
      <c r="M2917" s="85"/>
    </row>
    <row r="2918" spans="9:13" x14ac:dyDescent="0.3">
      <c r="I2918" s="82"/>
      <c r="M2918" s="85"/>
    </row>
    <row r="2919" spans="9:13" x14ac:dyDescent="0.3">
      <c r="I2919" s="82"/>
      <c r="M2919" s="85"/>
    </row>
    <row r="2920" spans="9:13" x14ac:dyDescent="0.3">
      <c r="I2920" s="82"/>
      <c r="M2920" s="85"/>
    </row>
    <row r="2921" spans="9:13" x14ac:dyDescent="0.3">
      <c r="I2921" s="82"/>
      <c r="M2921" s="85"/>
    </row>
    <row r="2922" spans="9:13" x14ac:dyDescent="0.3">
      <c r="I2922" s="82"/>
      <c r="M2922" s="85"/>
    </row>
    <row r="2923" spans="9:13" x14ac:dyDescent="0.3">
      <c r="I2923" s="82"/>
      <c r="M2923" s="85"/>
    </row>
    <row r="2924" spans="9:13" x14ac:dyDescent="0.3">
      <c r="I2924" s="82"/>
      <c r="M2924" s="85"/>
    </row>
    <row r="2925" spans="9:13" x14ac:dyDescent="0.3">
      <c r="I2925" s="82"/>
      <c r="M2925" s="85"/>
    </row>
    <row r="2926" spans="9:13" x14ac:dyDescent="0.3">
      <c r="I2926" s="82"/>
      <c r="M2926" s="85"/>
    </row>
    <row r="2927" spans="9:13" x14ac:dyDescent="0.3">
      <c r="I2927" s="82"/>
      <c r="M2927" s="85"/>
    </row>
    <row r="2928" spans="9:13" x14ac:dyDescent="0.3">
      <c r="I2928" s="82"/>
      <c r="M2928" s="85"/>
    </row>
    <row r="2929" spans="9:13" x14ac:dyDescent="0.3">
      <c r="I2929" s="82"/>
      <c r="M2929" s="85"/>
    </row>
    <row r="2930" spans="9:13" x14ac:dyDescent="0.3">
      <c r="I2930" s="82"/>
      <c r="M2930" s="85"/>
    </row>
    <row r="2931" spans="9:13" x14ac:dyDescent="0.3">
      <c r="I2931" s="82"/>
      <c r="M2931" s="85"/>
    </row>
    <row r="2932" spans="9:13" x14ac:dyDescent="0.3">
      <c r="I2932" s="82"/>
      <c r="M2932" s="85"/>
    </row>
    <row r="2933" spans="9:13" x14ac:dyDescent="0.3">
      <c r="I2933" s="82"/>
      <c r="M2933" s="85"/>
    </row>
    <row r="2934" spans="9:13" x14ac:dyDescent="0.3">
      <c r="I2934" s="82"/>
      <c r="M2934" s="85"/>
    </row>
    <row r="2935" spans="9:13" x14ac:dyDescent="0.3">
      <c r="I2935" s="82"/>
      <c r="M2935" s="85"/>
    </row>
    <row r="2936" spans="9:13" x14ac:dyDescent="0.3">
      <c r="I2936" s="82"/>
      <c r="M2936" s="85"/>
    </row>
    <row r="2937" spans="9:13" x14ac:dyDescent="0.3">
      <c r="I2937" s="82"/>
      <c r="M2937" s="85"/>
    </row>
    <row r="2938" spans="9:13" x14ac:dyDescent="0.3">
      <c r="I2938" s="82"/>
      <c r="M2938" s="85"/>
    </row>
    <row r="2939" spans="9:13" x14ac:dyDescent="0.3">
      <c r="I2939" s="82"/>
      <c r="M2939" s="85"/>
    </row>
    <row r="2940" spans="9:13" x14ac:dyDescent="0.3">
      <c r="I2940" s="82"/>
      <c r="M2940" s="85"/>
    </row>
    <row r="2941" spans="9:13" x14ac:dyDescent="0.3">
      <c r="I2941" s="82"/>
      <c r="M2941" s="85"/>
    </row>
    <row r="2942" spans="9:13" x14ac:dyDescent="0.3">
      <c r="I2942" s="82"/>
      <c r="M2942" s="85"/>
    </row>
    <row r="2943" spans="9:13" x14ac:dyDescent="0.3">
      <c r="I2943" s="82"/>
      <c r="M2943" s="85"/>
    </row>
    <row r="2944" spans="9:13" x14ac:dyDescent="0.3">
      <c r="I2944" s="82"/>
      <c r="M2944" s="85"/>
    </row>
    <row r="2945" spans="9:13" x14ac:dyDescent="0.3">
      <c r="I2945" s="82"/>
      <c r="M2945" s="85"/>
    </row>
    <row r="2946" spans="9:13" x14ac:dyDescent="0.3">
      <c r="I2946" s="82"/>
      <c r="M2946" s="85"/>
    </row>
    <row r="2947" spans="9:13" x14ac:dyDescent="0.3">
      <c r="I2947" s="82"/>
      <c r="M2947" s="85"/>
    </row>
    <row r="2948" spans="9:13" x14ac:dyDescent="0.3">
      <c r="I2948" s="82"/>
      <c r="M2948" s="85"/>
    </row>
    <row r="2949" spans="9:13" x14ac:dyDescent="0.3">
      <c r="I2949" s="82"/>
      <c r="M2949" s="85"/>
    </row>
    <row r="2950" spans="9:13" x14ac:dyDescent="0.3">
      <c r="I2950" s="82"/>
      <c r="M2950" s="85"/>
    </row>
    <row r="2951" spans="9:13" x14ac:dyDescent="0.3">
      <c r="I2951" s="82"/>
      <c r="M2951" s="85"/>
    </row>
    <row r="2952" spans="9:13" x14ac:dyDescent="0.3">
      <c r="I2952" s="82"/>
      <c r="M2952" s="85"/>
    </row>
    <row r="2953" spans="9:13" x14ac:dyDescent="0.3">
      <c r="I2953" s="82"/>
      <c r="M2953" s="85"/>
    </row>
    <row r="2954" spans="9:13" x14ac:dyDescent="0.3">
      <c r="I2954" s="82"/>
      <c r="M2954" s="85"/>
    </row>
    <row r="2955" spans="9:13" x14ac:dyDescent="0.3">
      <c r="I2955" s="82"/>
      <c r="M2955" s="85"/>
    </row>
    <row r="2956" spans="9:13" x14ac:dyDescent="0.3">
      <c r="I2956" s="82"/>
      <c r="M2956" s="85"/>
    </row>
    <row r="2957" spans="9:13" x14ac:dyDescent="0.3">
      <c r="I2957" s="82"/>
      <c r="M2957" s="85"/>
    </row>
    <row r="2958" spans="9:13" x14ac:dyDescent="0.3">
      <c r="I2958" s="82"/>
      <c r="M2958" s="85"/>
    </row>
    <row r="2959" spans="9:13" x14ac:dyDescent="0.3">
      <c r="I2959" s="82"/>
      <c r="M2959" s="85"/>
    </row>
    <row r="2960" spans="9:13" x14ac:dyDescent="0.3">
      <c r="I2960" s="82"/>
      <c r="M2960" s="85"/>
    </row>
    <row r="2961" spans="9:13" x14ac:dyDescent="0.3">
      <c r="I2961" s="82"/>
      <c r="M2961" s="85"/>
    </row>
    <row r="2962" spans="9:13" x14ac:dyDescent="0.3">
      <c r="I2962" s="82"/>
      <c r="M2962" s="85"/>
    </row>
    <row r="2963" spans="9:13" x14ac:dyDescent="0.3">
      <c r="I2963" s="82"/>
      <c r="M2963" s="85"/>
    </row>
    <row r="2964" spans="9:13" x14ac:dyDescent="0.3">
      <c r="I2964" s="82"/>
      <c r="M2964" s="85"/>
    </row>
    <row r="2965" spans="9:13" x14ac:dyDescent="0.3">
      <c r="I2965" s="82"/>
      <c r="M2965" s="85"/>
    </row>
    <row r="2966" spans="9:13" x14ac:dyDescent="0.3">
      <c r="I2966" s="82"/>
      <c r="M2966" s="85"/>
    </row>
    <row r="2967" spans="9:13" x14ac:dyDescent="0.3">
      <c r="I2967" s="82"/>
      <c r="M2967" s="85"/>
    </row>
    <row r="2968" spans="9:13" x14ac:dyDescent="0.3">
      <c r="I2968" s="82"/>
      <c r="M2968" s="85"/>
    </row>
    <row r="2969" spans="9:13" x14ac:dyDescent="0.3">
      <c r="I2969" s="82"/>
      <c r="M2969" s="85"/>
    </row>
    <row r="2970" spans="9:13" x14ac:dyDescent="0.3">
      <c r="I2970" s="82"/>
      <c r="M2970" s="85"/>
    </row>
    <row r="2971" spans="9:13" x14ac:dyDescent="0.3">
      <c r="I2971" s="82"/>
      <c r="M2971" s="85"/>
    </row>
    <row r="2972" spans="9:13" x14ac:dyDescent="0.3">
      <c r="I2972" s="82"/>
      <c r="M2972" s="85"/>
    </row>
    <row r="2973" spans="9:13" x14ac:dyDescent="0.3">
      <c r="I2973" s="82"/>
      <c r="M2973" s="85"/>
    </row>
    <row r="2974" spans="9:13" x14ac:dyDescent="0.3">
      <c r="I2974" s="82"/>
      <c r="M2974" s="85"/>
    </row>
    <row r="2975" spans="9:13" x14ac:dyDescent="0.3">
      <c r="I2975" s="82"/>
      <c r="M2975" s="85"/>
    </row>
    <row r="2976" spans="9:13" x14ac:dyDescent="0.3">
      <c r="I2976" s="82"/>
      <c r="M2976" s="85"/>
    </row>
    <row r="2977" spans="9:13" x14ac:dyDescent="0.3">
      <c r="I2977" s="82"/>
      <c r="M2977" s="85"/>
    </row>
    <row r="2978" spans="9:13" x14ac:dyDescent="0.3">
      <c r="I2978" s="82"/>
      <c r="M2978" s="85"/>
    </row>
    <row r="2979" spans="9:13" x14ac:dyDescent="0.3">
      <c r="I2979" s="82"/>
      <c r="M2979" s="85"/>
    </row>
    <row r="2980" spans="9:13" x14ac:dyDescent="0.3">
      <c r="I2980" s="82"/>
      <c r="M2980" s="85"/>
    </row>
    <row r="2981" spans="9:13" x14ac:dyDescent="0.3">
      <c r="I2981" s="82"/>
      <c r="M2981" s="85"/>
    </row>
    <row r="2982" spans="9:13" x14ac:dyDescent="0.3">
      <c r="I2982" s="82"/>
      <c r="M2982" s="85"/>
    </row>
    <row r="2983" spans="9:13" x14ac:dyDescent="0.3">
      <c r="I2983" s="82"/>
      <c r="M2983" s="85"/>
    </row>
    <row r="2984" spans="9:13" x14ac:dyDescent="0.3">
      <c r="I2984" s="82"/>
      <c r="M2984" s="85"/>
    </row>
    <row r="2985" spans="9:13" x14ac:dyDescent="0.3">
      <c r="I2985" s="82"/>
      <c r="M2985" s="85"/>
    </row>
    <row r="2986" spans="9:13" x14ac:dyDescent="0.3">
      <c r="I2986" s="82"/>
      <c r="M2986" s="85"/>
    </row>
    <row r="2987" spans="9:13" x14ac:dyDescent="0.3">
      <c r="I2987" s="82"/>
      <c r="M2987" s="85"/>
    </row>
    <row r="2988" spans="9:13" x14ac:dyDescent="0.3">
      <c r="I2988" s="82"/>
      <c r="M2988" s="85"/>
    </row>
    <row r="2989" spans="9:13" x14ac:dyDescent="0.3">
      <c r="I2989" s="82"/>
      <c r="M2989" s="85"/>
    </row>
    <row r="2990" spans="9:13" x14ac:dyDescent="0.3">
      <c r="I2990" s="82"/>
      <c r="M2990" s="85"/>
    </row>
    <row r="2991" spans="9:13" x14ac:dyDescent="0.3">
      <c r="I2991" s="82"/>
      <c r="M2991" s="85"/>
    </row>
    <row r="2992" spans="9:13" x14ac:dyDescent="0.3">
      <c r="I2992" s="82"/>
      <c r="M2992" s="85"/>
    </row>
    <row r="2993" spans="9:13" x14ac:dyDescent="0.3">
      <c r="I2993" s="82"/>
      <c r="M2993" s="85"/>
    </row>
    <row r="2994" spans="9:13" x14ac:dyDescent="0.3">
      <c r="I2994" s="82"/>
      <c r="M2994" s="85"/>
    </row>
    <row r="2995" spans="9:13" x14ac:dyDescent="0.3">
      <c r="I2995" s="82"/>
      <c r="M2995" s="85"/>
    </row>
    <row r="2996" spans="9:13" x14ac:dyDescent="0.3">
      <c r="I2996" s="82"/>
      <c r="M2996" s="85"/>
    </row>
    <row r="2997" spans="9:13" x14ac:dyDescent="0.3">
      <c r="I2997" s="82"/>
      <c r="M2997" s="85"/>
    </row>
    <row r="2998" spans="9:13" x14ac:dyDescent="0.3">
      <c r="I2998" s="82"/>
      <c r="M2998" s="85"/>
    </row>
    <row r="2999" spans="9:13" x14ac:dyDescent="0.3">
      <c r="I2999" s="82"/>
      <c r="M2999" s="85"/>
    </row>
    <row r="3000" spans="9:13" x14ac:dyDescent="0.3">
      <c r="I3000" s="82"/>
      <c r="M3000" s="85"/>
    </row>
    <row r="3001" spans="9:13" x14ac:dyDescent="0.3">
      <c r="I3001" s="82"/>
      <c r="M3001" s="85"/>
    </row>
    <row r="3002" spans="9:13" x14ac:dyDescent="0.3">
      <c r="I3002" s="82"/>
      <c r="M3002" s="85"/>
    </row>
    <row r="3003" spans="9:13" x14ac:dyDescent="0.3">
      <c r="I3003" s="82"/>
      <c r="M3003" s="85"/>
    </row>
    <row r="3004" spans="9:13" x14ac:dyDescent="0.3">
      <c r="I3004" s="82"/>
      <c r="M3004" s="85"/>
    </row>
    <row r="3005" spans="9:13" x14ac:dyDescent="0.3">
      <c r="I3005" s="82"/>
      <c r="M3005" s="85"/>
    </row>
    <row r="3006" spans="9:13" x14ac:dyDescent="0.3">
      <c r="I3006" s="82"/>
      <c r="M3006" s="85"/>
    </row>
    <row r="3007" spans="9:13" x14ac:dyDescent="0.3">
      <c r="I3007" s="82"/>
      <c r="M3007" s="85"/>
    </row>
    <row r="3008" spans="9:13" x14ac:dyDescent="0.3">
      <c r="I3008" s="82"/>
      <c r="M3008" s="85"/>
    </row>
    <row r="3009" spans="9:13" x14ac:dyDescent="0.3">
      <c r="I3009" s="82"/>
      <c r="M3009" s="85"/>
    </row>
    <row r="3010" spans="9:13" x14ac:dyDescent="0.3">
      <c r="I3010" s="82"/>
      <c r="M3010" s="85"/>
    </row>
    <row r="3011" spans="9:13" x14ac:dyDescent="0.3">
      <c r="I3011" s="82"/>
      <c r="M3011" s="85"/>
    </row>
    <row r="3012" spans="9:13" x14ac:dyDescent="0.3">
      <c r="I3012" s="82"/>
      <c r="M3012" s="85"/>
    </row>
    <row r="3013" spans="9:13" x14ac:dyDescent="0.3">
      <c r="I3013" s="82"/>
      <c r="M3013" s="85"/>
    </row>
    <row r="3014" spans="9:13" x14ac:dyDescent="0.3">
      <c r="I3014" s="82"/>
      <c r="M3014" s="85"/>
    </row>
    <row r="3015" spans="9:13" x14ac:dyDescent="0.3">
      <c r="I3015" s="82"/>
      <c r="M3015" s="85"/>
    </row>
    <row r="3016" spans="9:13" x14ac:dyDescent="0.3">
      <c r="I3016" s="82"/>
      <c r="M3016" s="85"/>
    </row>
    <row r="3017" spans="9:13" x14ac:dyDescent="0.3">
      <c r="I3017" s="82"/>
      <c r="M3017" s="85"/>
    </row>
    <row r="3018" spans="9:13" x14ac:dyDescent="0.3">
      <c r="I3018" s="82"/>
      <c r="M3018" s="85"/>
    </row>
    <row r="3019" spans="9:13" x14ac:dyDescent="0.3">
      <c r="I3019" s="82"/>
      <c r="M3019" s="85"/>
    </row>
    <row r="3020" spans="9:13" x14ac:dyDescent="0.3">
      <c r="I3020" s="82"/>
      <c r="M3020" s="85"/>
    </row>
    <row r="3021" spans="9:13" x14ac:dyDescent="0.3">
      <c r="I3021" s="82"/>
      <c r="M3021" s="85"/>
    </row>
    <row r="3022" spans="9:13" x14ac:dyDescent="0.3">
      <c r="I3022" s="82"/>
      <c r="M3022" s="85"/>
    </row>
    <row r="3023" spans="9:13" x14ac:dyDescent="0.3">
      <c r="I3023" s="82"/>
      <c r="M3023" s="85"/>
    </row>
    <row r="3024" spans="9:13" x14ac:dyDescent="0.3">
      <c r="I3024" s="82"/>
      <c r="M3024" s="85"/>
    </row>
    <row r="3025" spans="9:13" x14ac:dyDescent="0.3">
      <c r="I3025" s="82"/>
      <c r="M3025" s="85"/>
    </row>
    <row r="3026" spans="9:13" x14ac:dyDescent="0.3">
      <c r="I3026" s="82"/>
      <c r="M3026" s="85"/>
    </row>
    <row r="3027" spans="9:13" x14ac:dyDescent="0.3">
      <c r="I3027" s="82"/>
      <c r="M3027" s="85"/>
    </row>
    <row r="3028" spans="9:13" x14ac:dyDescent="0.3">
      <c r="I3028" s="82"/>
      <c r="M3028" s="85"/>
    </row>
    <row r="3029" spans="9:13" x14ac:dyDescent="0.3">
      <c r="I3029" s="82"/>
      <c r="M3029" s="85"/>
    </row>
    <row r="3030" spans="9:13" x14ac:dyDescent="0.3">
      <c r="I3030" s="82"/>
      <c r="M3030" s="85"/>
    </row>
    <row r="3031" spans="9:13" x14ac:dyDescent="0.3">
      <c r="I3031" s="82"/>
      <c r="M3031" s="85"/>
    </row>
    <row r="3032" spans="9:13" x14ac:dyDescent="0.3">
      <c r="I3032" s="82"/>
      <c r="M3032" s="85"/>
    </row>
    <row r="3033" spans="9:13" x14ac:dyDescent="0.3">
      <c r="I3033" s="82"/>
      <c r="M3033" s="85"/>
    </row>
    <row r="3034" spans="9:13" x14ac:dyDescent="0.3">
      <c r="I3034" s="82"/>
      <c r="M3034" s="85"/>
    </row>
    <row r="3035" spans="9:13" x14ac:dyDescent="0.3">
      <c r="I3035" s="82"/>
      <c r="M3035" s="85"/>
    </row>
    <row r="3036" spans="9:13" x14ac:dyDescent="0.3">
      <c r="I3036" s="82"/>
      <c r="M3036" s="85"/>
    </row>
    <row r="3037" spans="9:13" x14ac:dyDescent="0.3">
      <c r="I3037" s="82"/>
      <c r="M3037" s="85"/>
    </row>
    <row r="3038" spans="9:13" x14ac:dyDescent="0.3">
      <c r="I3038" s="82"/>
      <c r="M3038" s="85"/>
    </row>
    <row r="3039" spans="9:13" x14ac:dyDescent="0.3">
      <c r="I3039" s="82"/>
      <c r="M3039" s="85"/>
    </row>
    <row r="3040" spans="9:13" x14ac:dyDescent="0.3">
      <c r="I3040" s="82"/>
      <c r="M3040" s="85"/>
    </row>
    <row r="3041" spans="9:13" x14ac:dyDescent="0.3">
      <c r="I3041" s="82"/>
      <c r="M3041" s="85"/>
    </row>
    <row r="3042" spans="9:13" x14ac:dyDescent="0.3">
      <c r="I3042" s="82"/>
      <c r="M3042" s="85"/>
    </row>
    <row r="3043" spans="9:13" x14ac:dyDescent="0.3">
      <c r="I3043" s="82"/>
      <c r="M3043" s="85"/>
    </row>
    <row r="3044" spans="9:13" x14ac:dyDescent="0.3">
      <c r="I3044" s="82"/>
      <c r="M3044" s="85"/>
    </row>
    <row r="3045" spans="9:13" x14ac:dyDescent="0.3">
      <c r="I3045" s="82"/>
      <c r="M3045" s="85"/>
    </row>
    <row r="3046" spans="9:13" x14ac:dyDescent="0.3">
      <c r="I3046" s="82"/>
      <c r="M3046" s="85"/>
    </row>
    <row r="3047" spans="9:13" x14ac:dyDescent="0.3">
      <c r="I3047" s="82"/>
      <c r="M3047" s="85"/>
    </row>
    <row r="3048" spans="9:13" x14ac:dyDescent="0.3">
      <c r="I3048" s="82"/>
      <c r="M3048" s="85"/>
    </row>
    <row r="3049" spans="9:13" x14ac:dyDescent="0.3">
      <c r="I3049" s="82"/>
      <c r="M3049" s="85"/>
    </row>
    <row r="3050" spans="9:13" x14ac:dyDescent="0.3">
      <c r="I3050" s="82"/>
      <c r="M3050" s="85"/>
    </row>
    <row r="3051" spans="9:13" x14ac:dyDescent="0.3">
      <c r="I3051" s="82"/>
      <c r="M3051" s="85"/>
    </row>
    <row r="3052" spans="9:13" x14ac:dyDescent="0.3">
      <c r="I3052" s="82"/>
      <c r="M3052" s="85"/>
    </row>
    <row r="3053" spans="9:13" x14ac:dyDescent="0.3">
      <c r="I3053" s="82"/>
      <c r="M3053" s="85"/>
    </row>
    <row r="3054" spans="9:13" x14ac:dyDescent="0.3">
      <c r="I3054" s="82"/>
      <c r="M3054" s="85"/>
    </row>
    <row r="3055" spans="9:13" x14ac:dyDescent="0.3">
      <c r="I3055" s="82"/>
      <c r="M3055" s="85"/>
    </row>
    <row r="3056" spans="9:13" x14ac:dyDescent="0.3">
      <c r="I3056" s="82"/>
      <c r="M3056" s="85"/>
    </row>
    <row r="3057" spans="9:13" x14ac:dyDescent="0.3">
      <c r="I3057" s="82"/>
      <c r="M3057" s="85"/>
    </row>
    <row r="3058" spans="9:13" x14ac:dyDescent="0.3">
      <c r="I3058" s="82"/>
      <c r="M3058" s="85"/>
    </row>
    <row r="3059" spans="9:13" x14ac:dyDescent="0.3">
      <c r="I3059" s="82"/>
      <c r="M3059" s="85"/>
    </row>
    <row r="3060" spans="9:13" x14ac:dyDescent="0.3">
      <c r="I3060" s="82"/>
      <c r="M3060" s="85"/>
    </row>
    <row r="3061" spans="9:13" x14ac:dyDescent="0.3">
      <c r="I3061" s="82"/>
      <c r="M3061" s="85"/>
    </row>
    <row r="3062" spans="9:13" x14ac:dyDescent="0.3">
      <c r="I3062" s="82"/>
      <c r="M3062" s="85"/>
    </row>
    <row r="3063" spans="9:13" x14ac:dyDescent="0.3">
      <c r="I3063" s="82"/>
      <c r="M3063" s="85"/>
    </row>
    <row r="3064" spans="9:13" x14ac:dyDescent="0.3">
      <c r="I3064" s="82"/>
      <c r="M3064" s="85"/>
    </row>
    <row r="3065" spans="9:13" x14ac:dyDescent="0.3">
      <c r="I3065" s="82"/>
      <c r="M3065" s="85"/>
    </row>
    <row r="3066" spans="9:13" x14ac:dyDescent="0.3">
      <c r="I3066" s="82"/>
      <c r="M3066" s="85"/>
    </row>
    <row r="3067" spans="9:13" x14ac:dyDescent="0.3">
      <c r="I3067" s="82"/>
      <c r="M3067" s="85"/>
    </row>
    <row r="3068" spans="9:13" x14ac:dyDescent="0.3">
      <c r="I3068" s="82"/>
      <c r="M3068" s="85"/>
    </row>
    <row r="3069" spans="9:13" x14ac:dyDescent="0.3">
      <c r="I3069" s="82"/>
      <c r="M3069" s="85"/>
    </row>
    <row r="3070" spans="9:13" x14ac:dyDescent="0.3">
      <c r="I3070" s="82"/>
      <c r="M3070" s="85"/>
    </row>
    <row r="3071" spans="9:13" x14ac:dyDescent="0.3">
      <c r="I3071" s="82"/>
      <c r="M3071" s="85"/>
    </row>
    <row r="3072" spans="9:13" x14ac:dyDescent="0.3">
      <c r="I3072" s="82"/>
      <c r="M3072" s="85"/>
    </row>
    <row r="3073" spans="9:13" x14ac:dyDescent="0.3">
      <c r="I3073" s="82"/>
      <c r="M3073" s="85"/>
    </row>
    <row r="3074" spans="9:13" x14ac:dyDescent="0.3">
      <c r="I3074" s="82"/>
      <c r="M3074" s="85"/>
    </row>
    <row r="3075" spans="9:13" x14ac:dyDescent="0.3">
      <c r="I3075" s="82"/>
      <c r="M3075" s="85"/>
    </row>
    <row r="3076" spans="9:13" x14ac:dyDescent="0.3">
      <c r="I3076" s="82"/>
      <c r="M3076" s="85"/>
    </row>
    <row r="3077" spans="9:13" x14ac:dyDescent="0.3">
      <c r="I3077" s="82"/>
      <c r="M3077" s="85"/>
    </row>
    <row r="3078" spans="9:13" x14ac:dyDescent="0.3">
      <c r="I3078" s="82"/>
      <c r="M3078" s="85"/>
    </row>
    <row r="3079" spans="9:13" x14ac:dyDescent="0.3">
      <c r="I3079" s="82"/>
      <c r="M3079" s="85"/>
    </row>
    <row r="3080" spans="9:13" x14ac:dyDescent="0.3">
      <c r="I3080" s="82"/>
      <c r="M3080" s="85"/>
    </row>
    <row r="3081" spans="9:13" x14ac:dyDescent="0.3">
      <c r="I3081" s="82"/>
      <c r="M3081" s="85"/>
    </row>
    <row r="3082" spans="9:13" x14ac:dyDescent="0.3">
      <c r="I3082" s="82"/>
      <c r="M3082" s="85"/>
    </row>
    <row r="3083" spans="9:13" x14ac:dyDescent="0.3">
      <c r="I3083" s="82"/>
      <c r="M3083" s="85"/>
    </row>
    <row r="3084" spans="9:13" x14ac:dyDescent="0.3">
      <c r="I3084" s="82"/>
      <c r="M3084" s="85"/>
    </row>
    <row r="3085" spans="9:13" x14ac:dyDescent="0.3">
      <c r="I3085" s="82"/>
      <c r="M3085" s="85"/>
    </row>
    <row r="3086" spans="9:13" x14ac:dyDescent="0.3">
      <c r="I3086" s="82"/>
      <c r="M3086" s="85"/>
    </row>
    <row r="3087" spans="9:13" x14ac:dyDescent="0.3">
      <c r="I3087" s="82"/>
      <c r="M3087" s="85"/>
    </row>
    <row r="3088" spans="9:13" x14ac:dyDescent="0.3">
      <c r="I3088" s="82"/>
      <c r="M3088" s="85"/>
    </row>
    <row r="3089" spans="9:13" x14ac:dyDescent="0.3">
      <c r="I3089" s="82"/>
      <c r="M3089" s="85"/>
    </row>
    <row r="3090" spans="9:13" x14ac:dyDescent="0.3">
      <c r="I3090" s="82"/>
      <c r="M3090" s="85"/>
    </row>
    <row r="3091" spans="9:13" x14ac:dyDescent="0.3">
      <c r="I3091" s="82"/>
      <c r="M3091" s="85"/>
    </row>
    <row r="3092" spans="9:13" x14ac:dyDescent="0.3">
      <c r="I3092" s="82"/>
      <c r="M3092" s="85"/>
    </row>
    <row r="3093" spans="9:13" x14ac:dyDescent="0.3">
      <c r="I3093" s="82"/>
      <c r="M3093" s="85"/>
    </row>
    <row r="3094" spans="9:13" x14ac:dyDescent="0.3">
      <c r="I3094" s="82"/>
      <c r="M3094" s="85"/>
    </row>
    <row r="3095" spans="9:13" x14ac:dyDescent="0.3">
      <c r="I3095" s="82"/>
      <c r="M3095" s="85"/>
    </row>
    <row r="3096" spans="9:13" x14ac:dyDescent="0.3">
      <c r="I3096" s="82"/>
      <c r="M3096" s="85"/>
    </row>
    <row r="3097" spans="9:13" x14ac:dyDescent="0.3">
      <c r="I3097" s="82"/>
      <c r="M3097" s="85"/>
    </row>
    <row r="3098" spans="9:13" x14ac:dyDescent="0.3">
      <c r="I3098" s="82"/>
      <c r="M3098" s="85"/>
    </row>
    <row r="3099" spans="9:13" x14ac:dyDescent="0.3">
      <c r="I3099" s="82"/>
      <c r="M3099" s="85"/>
    </row>
    <row r="3100" spans="9:13" x14ac:dyDescent="0.3">
      <c r="I3100" s="82"/>
      <c r="M3100" s="85"/>
    </row>
    <row r="3101" spans="9:13" x14ac:dyDescent="0.3">
      <c r="I3101" s="82"/>
      <c r="M3101" s="85"/>
    </row>
    <row r="3102" spans="9:13" x14ac:dyDescent="0.3">
      <c r="I3102" s="82"/>
      <c r="M3102" s="85"/>
    </row>
    <row r="3103" spans="9:13" x14ac:dyDescent="0.3">
      <c r="I3103" s="82"/>
      <c r="M3103" s="85"/>
    </row>
    <row r="3104" spans="9:13" x14ac:dyDescent="0.3">
      <c r="I3104" s="82"/>
      <c r="M3104" s="85"/>
    </row>
    <row r="3105" spans="9:13" x14ac:dyDescent="0.3">
      <c r="I3105" s="82"/>
      <c r="M3105" s="85"/>
    </row>
    <row r="3106" spans="9:13" x14ac:dyDescent="0.3">
      <c r="I3106" s="82"/>
      <c r="M3106" s="85"/>
    </row>
    <row r="3107" spans="9:13" x14ac:dyDescent="0.3">
      <c r="I3107" s="82"/>
      <c r="M3107" s="85"/>
    </row>
    <row r="3108" spans="9:13" x14ac:dyDescent="0.3">
      <c r="I3108" s="82"/>
      <c r="M3108" s="85"/>
    </row>
    <row r="3109" spans="9:13" x14ac:dyDescent="0.3">
      <c r="I3109" s="82"/>
      <c r="M3109" s="85"/>
    </row>
    <row r="3110" spans="9:13" x14ac:dyDescent="0.3">
      <c r="I3110" s="82"/>
      <c r="M3110" s="85"/>
    </row>
    <row r="3111" spans="9:13" x14ac:dyDescent="0.3">
      <c r="I3111" s="82"/>
      <c r="M3111" s="85"/>
    </row>
    <row r="3112" spans="9:13" x14ac:dyDescent="0.3">
      <c r="I3112" s="82"/>
      <c r="M3112" s="85"/>
    </row>
    <row r="3113" spans="9:13" x14ac:dyDescent="0.3">
      <c r="I3113" s="82"/>
      <c r="M3113" s="85"/>
    </row>
    <row r="3114" spans="9:13" x14ac:dyDescent="0.3">
      <c r="I3114" s="82"/>
      <c r="M3114" s="85"/>
    </row>
    <row r="3115" spans="9:13" x14ac:dyDescent="0.3">
      <c r="I3115" s="82"/>
      <c r="M3115" s="85"/>
    </row>
    <row r="3116" spans="9:13" x14ac:dyDescent="0.3">
      <c r="I3116" s="82"/>
      <c r="M3116" s="85"/>
    </row>
    <row r="3117" spans="9:13" x14ac:dyDescent="0.3">
      <c r="I3117" s="82"/>
      <c r="M3117" s="85"/>
    </row>
    <row r="3118" spans="9:13" x14ac:dyDescent="0.3">
      <c r="I3118" s="82"/>
      <c r="M3118" s="85"/>
    </row>
    <row r="3119" spans="9:13" x14ac:dyDescent="0.3">
      <c r="I3119" s="82"/>
      <c r="M3119" s="85"/>
    </row>
    <row r="3120" spans="9:13" x14ac:dyDescent="0.3">
      <c r="I3120" s="82"/>
      <c r="M3120" s="85"/>
    </row>
    <row r="3121" spans="9:13" x14ac:dyDescent="0.3">
      <c r="I3121" s="82"/>
      <c r="M3121" s="85"/>
    </row>
    <row r="3122" spans="9:13" x14ac:dyDescent="0.3">
      <c r="I3122" s="82"/>
      <c r="M3122" s="85"/>
    </row>
    <row r="3123" spans="9:13" x14ac:dyDescent="0.3">
      <c r="I3123" s="82"/>
      <c r="M3123" s="85"/>
    </row>
    <row r="3124" spans="9:13" x14ac:dyDescent="0.3">
      <c r="I3124" s="82"/>
      <c r="M3124" s="85"/>
    </row>
    <row r="3125" spans="9:13" x14ac:dyDescent="0.3">
      <c r="I3125" s="82"/>
      <c r="M3125" s="85"/>
    </row>
    <row r="3126" spans="9:13" x14ac:dyDescent="0.3">
      <c r="I3126" s="82"/>
      <c r="M3126" s="85"/>
    </row>
    <row r="3127" spans="9:13" x14ac:dyDescent="0.3">
      <c r="I3127" s="82"/>
      <c r="M3127" s="85"/>
    </row>
    <row r="3128" spans="9:13" x14ac:dyDescent="0.3">
      <c r="I3128" s="82"/>
      <c r="M3128" s="85"/>
    </row>
    <row r="3129" spans="9:13" x14ac:dyDescent="0.3">
      <c r="I3129" s="82"/>
      <c r="M3129" s="85"/>
    </row>
    <row r="3130" spans="9:13" x14ac:dyDescent="0.3">
      <c r="I3130" s="82"/>
      <c r="M3130" s="85"/>
    </row>
    <row r="3131" spans="9:13" x14ac:dyDescent="0.3">
      <c r="I3131" s="82"/>
      <c r="M3131" s="85"/>
    </row>
    <row r="3132" spans="9:13" x14ac:dyDescent="0.3">
      <c r="I3132" s="82"/>
      <c r="M3132" s="85"/>
    </row>
    <row r="3133" spans="9:13" x14ac:dyDescent="0.3">
      <c r="I3133" s="82"/>
      <c r="M3133" s="85"/>
    </row>
    <row r="3134" spans="9:13" x14ac:dyDescent="0.3">
      <c r="I3134" s="82"/>
      <c r="M3134" s="85"/>
    </row>
    <row r="3135" spans="9:13" x14ac:dyDescent="0.3">
      <c r="I3135" s="82"/>
      <c r="M3135" s="85"/>
    </row>
    <row r="3136" spans="9:13" x14ac:dyDescent="0.3">
      <c r="I3136" s="82"/>
      <c r="M3136" s="85"/>
    </row>
    <row r="3137" spans="9:13" x14ac:dyDescent="0.3">
      <c r="I3137" s="82"/>
      <c r="M3137" s="85"/>
    </row>
    <row r="3138" spans="9:13" x14ac:dyDescent="0.3">
      <c r="I3138" s="82"/>
      <c r="M3138" s="85"/>
    </row>
    <row r="3139" spans="9:13" x14ac:dyDescent="0.3">
      <c r="I3139" s="82"/>
      <c r="M3139" s="85"/>
    </row>
    <row r="3140" spans="9:13" x14ac:dyDescent="0.3">
      <c r="I3140" s="82"/>
      <c r="M3140" s="85"/>
    </row>
    <row r="3141" spans="9:13" x14ac:dyDescent="0.3">
      <c r="I3141" s="82"/>
      <c r="M3141" s="85"/>
    </row>
    <row r="3142" spans="9:13" x14ac:dyDescent="0.3">
      <c r="I3142" s="82"/>
      <c r="M3142" s="85"/>
    </row>
    <row r="3143" spans="9:13" x14ac:dyDescent="0.3">
      <c r="I3143" s="82"/>
      <c r="M3143" s="85"/>
    </row>
    <row r="3144" spans="9:13" x14ac:dyDescent="0.3">
      <c r="I3144" s="82"/>
      <c r="M3144" s="85"/>
    </row>
    <row r="3145" spans="9:13" x14ac:dyDescent="0.3">
      <c r="I3145" s="82"/>
      <c r="M3145" s="85"/>
    </row>
    <row r="3146" spans="9:13" x14ac:dyDescent="0.3">
      <c r="I3146" s="82"/>
      <c r="M3146" s="85"/>
    </row>
    <row r="3147" spans="9:13" x14ac:dyDescent="0.3">
      <c r="I3147" s="82"/>
      <c r="M3147" s="85"/>
    </row>
    <row r="3148" spans="9:13" x14ac:dyDescent="0.3">
      <c r="I3148" s="82"/>
      <c r="M3148" s="85"/>
    </row>
    <row r="3149" spans="9:13" x14ac:dyDescent="0.3">
      <c r="I3149" s="82"/>
      <c r="M3149" s="85"/>
    </row>
    <row r="3150" spans="9:13" x14ac:dyDescent="0.3">
      <c r="I3150" s="82"/>
      <c r="M3150" s="85"/>
    </row>
    <row r="3151" spans="9:13" x14ac:dyDescent="0.3">
      <c r="I3151" s="82"/>
      <c r="M3151" s="85"/>
    </row>
    <row r="3152" spans="9:13" x14ac:dyDescent="0.3">
      <c r="I3152" s="82"/>
      <c r="M3152" s="85"/>
    </row>
    <row r="3153" spans="9:13" x14ac:dyDescent="0.3">
      <c r="I3153" s="82"/>
      <c r="M3153" s="85"/>
    </row>
    <row r="3154" spans="9:13" x14ac:dyDescent="0.3">
      <c r="I3154" s="82"/>
      <c r="M3154" s="85"/>
    </row>
    <row r="3155" spans="9:13" x14ac:dyDescent="0.3">
      <c r="I3155" s="82"/>
      <c r="M3155" s="85"/>
    </row>
    <row r="3156" spans="9:13" x14ac:dyDescent="0.3">
      <c r="I3156" s="82"/>
      <c r="M3156" s="85"/>
    </row>
    <row r="3157" spans="9:13" x14ac:dyDescent="0.3">
      <c r="I3157" s="82"/>
      <c r="M3157" s="85"/>
    </row>
    <row r="3158" spans="9:13" x14ac:dyDescent="0.3">
      <c r="I3158" s="82"/>
      <c r="M3158" s="85"/>
    </row>
    <row r="3159" spans="9:13" x14ac:dyDescent="0.3">
      <c r="I3159" s="82"/>
      <c r="M3159" s="85"/>
    </row>
    <row r="3160" spans="9:13" x14ac:dyDescent="0.3">
      <c r="I3160" s="82"/>
      <c r="M3160" s="85"/>
    </row>
    <row r="3161" spans="9:13" x14ac:dyDescent="0.3">
      <c r="I3161" s="82"/>
      <c r="M3161" s="85"/>
    </row>
    <row r="3162" spans="9:13" x14ac:dyDescent="0.3">
      <c r="I3162" s="82"/>
      <c r="M3162" s="85"/>
    </row>
    <row r="3163" spans="9:13" x14ac:dyDescent="0.3">
      <c r="I3163" s="82"/>
      <c r="M3163" s="85"/>
    </row>
    <row r="3164" spans="9:13" x14ac:dyDescent="0.3">
      <c r="I3164" s="82"/>
      <c r="M3164" s="85"/>
    </row>
    <row r="3165" spans="9:13" x14ac:dyDescent="0.3">
      <c r="I3165" s="82"/>
      <c r="M3165" s="85"/>
    </row>
    <row r="3166" spans="9:13" x14ac:dyDescent="0.3">
      <c r="I3166" s="82"/>
      <c r="M3166" s="85"/>
    </row>
    <row r="3167" spans="9:13" x14ac:dyDescent="0.3">
      <c r="I3167" s="82"/>
      <c r="M3167" s="85"/>
    </row>
    <row r="3168" spans="9:13" x14ac:dyDescent="0.3">
      <c r="I3168" s="82"/>
      <c r="M3168" s="85"/>
    </row>
    <row r="3169" spans="9:13" x14ac:dyDescent="0.3">
      <c r="I3169" s="82"/>
      <c r="M3169" s="85"/>
    </row>
    <row r="3170" spans="9:13" x14ac:dyDescent="0.3">
      <c r="I3170" s="82"/>
      <c r="M3170" s="85"/>
    </row>
    <row r="3171" spans="9:13" x14ac:dyDescent="0.3">
      <c r="I3171" s="82"/>
      <c r="M3171" s="85"/>
    </row>
    <row r="3172" spans="9:13" x14ac:dyDescent="0.3">
      <c r="I3172" s="82"/>
      <c r="M3172" s="85"/>
    </row>
    <row r="3173" spans="9:13" x14ac:dyDescent="0.3">
      <c r="I3173" s="82"/>
      <c r="M3173" s="85"/>
    </row>
    <row r="3174" spans="9:13" x14ac:dyDescent="0.3">
      <c r="I3174" s="82"/>
      <c r="M3174" s="85"/>
    </row>
    <row r="3175" spans="9:13" x14ac:dyDescent="0.3">
      <c r="I3175" s="82"/>
      <c r="M3175" s="85"/>
    </row>
    <row r="3176" spans="9:13" x14ac:dyDescent="0.3">
      <c r="I3176" s="82"/>
      <c r="M3176" s="85"/>
    </row>
    <row r="3177" spans="9:13" x14ac:dyDescent="0.3">
      <c r="I3177" s="82"/>
      <c r="M3177" s="85"/>
    </row>
    <row r="3178" spans="9:13" x14ac:dyDescent="0.3">
      <c r="I3178" s="82"/>
      <c r="M3178" s="85"/>
    </row>
    <row r="3179" spans="9:13" x14ac:dyDescent="0.3">
      <c r="I3179" s="82"/>
      <c r="M3179" s="85"/>
    </row>
    <row r="3180" spans="9:13" x14ac:dyDescent="0.3">
      <c r="I3180" s="82"/>
      <c r="M3180" s="85"/>
    </row>
    <row r="3181" spans="9:13" x14ac:dyDescent="0.3">
      <c r="I3181" s="82"/>
      <c r="M3181" s="85"/>
    </row>
    <row r="3182" spans="9:13" x14ac:dyDescent="0.3">
      <c r="I3182" s="82"/>
      <c r="M3182" s="85"/>
    </row>
    <row r="3183" spans="9:13" x14ac:dyDescent="0.3">
      <c r="I3183" s="82"/>
      <c r="M3183" s="85"/>
    </row>
    <row r="3184" spans="9:13" x14ac:dyDescent="0.3">
      <c r="I3184" s="82"/>
      <c r="M3184" s="85"/>
    </row>
    <row r="3185" spans="9:13" x14ac:dyDescent="0.3">
      <c r="I3185" s="82"/>
      <c r="M3185" s="85"/>
    </row>
    <row r="3186" spans="9:13" x14ac:dyDescent="0.3">
      <c r="I3186" s="82"/>
      <c r="M3186" s="85"/>
    </row>
    <row r="3187" spans="9:13" x14ac:dyDescent="0.3">
      <c r="I3187" s="82"/>
      <c r="M3187" s="85"/>
    </row>
    <row r="3188" spans="9:13" x14ac:dyDescent="0.3">
      <c r="I3188" s="82"/>
      <c r="M3188" s="85"/>
    </row>
    <row r="3189" spans="9:13" x14ac:dyDescent="0.3">
      <c r="I3189" s="82"/>
      <c r="M3189" s="85"/>
    </row>
    <row r="3190" spans="9:13" x14ac:dyDescent="0.3">
      <c r="I3190" s="82"/>
      <c r="M3190" s="85"/>
    </row>
    <row r="3191" spans="9:13" x14ac:dyDescent="0.3">
      <c r="I3191" s="82"/>
      <c r="M3191" s="85"/>
    </row>
    <row r="3192" spans="9:13" x14ac:dyDescent="0.3">
      <c r="I3192" s="82"/>
      <c r="M3192" s="85"/>
    </row>
    <row r="3193" spans="9:13" x14ac:dyDescent="0.3">
      <c r="I3193" s="82"/>
      <c r="M3193" s="85"/>
    </row>
    <row r="3194" spans="9:13" x14ac:dyDescent="0.3">
      <c r="I3194" s="82"/>
      <c r="M3194" s="85"/>
    </row>
    <row r="3195" spans="9:13" x14ac:dyDescent="0.3">
      <c r="I3195" s="82"/>
      <c r="M3195" s="85"/>
    </row>
    <row r="3196" spans="9:13" x14ac:dyDescent="0.3">
      <c r="I3196" s="82"/>
      <c r="M3196" s="85"/>
    </row>
    <row r="3197" spans="9:13" x14ac:dyDescent="0.3">
      <c r="I3197" s="82"/>
      <c r="M3197" s="85"/>
    </row>
    <row r="3198" spans="9:13" x14ac:dyDescent="0.3">
      <c r="I3198" s="82"/>
      <c r="M3198" s="85"/>
    </row>
    <row r="3199" spans="9:13" x14ac:dyDescent="0.3">
      <c r="I3199" s="82"/>
      <c r="M3199" s="85"/>
    </row>
    <row r="3200" spans="9:13" x14ac:dyDescent="0.3">
      <c r="I3200" s="82"/>
      <c r="M3200" s="85"/>
    </row>
    <row r="3201" spans="9:13" x14ac:dyDescent="0.3">
      <c r="I3201" s="82"/>
      <c r="M3201" s="85"/>
    </row>
    <row r="3202" spans="9:13" x14ac:dyDescent="0.3">
      <c r="I3202" s="82"/>
      <c r="M3202" s="85"/>
    </row>
    <row r="3203" spans="9:13" x14ac:dyDescent="0.3">
      <c r="I3203" s="82"/>
      <c r="M3203" s="85"/>
    </row>
    <row r="3204" spans="9:13" x14ac:dyDescent="0.3">
      <c r="I3204" s="82"/>
      <c r="M3204" s="85"/>
    </row>
    <row r="3205" spans="9:13" x14ac:dyDescent="0.3">
      <c r="I3205" s="82"/>
      <c r="M3205" s="85"/>
    </row>
    <row r="3206" spans="9:13" x14ac:dyDescent="0.3">
      <c r="I3206" s="82"/>
      <c r="M3206" s="85"/>
    </row>
    <row r="3207" spans="9:13" x14ac:dyDescent="0.3">
      <c r="I3207" s="82"/>
      <c r="M3207" s="85"/>
    </row>
    <row r="3208" spans="9:13" x14ac:dyDescent="0.3">
      <c r="I3208" s="82"/>
      <c r="M3208" s="85"/>
    </row>
    <row r="3209" spans="9:13" x14ac:dyDescent="0.3">
      <c r="I3209" s="82"/>
      <c r="M3209" s="85"/>
    </row>
    <row r="3210" spans="9:13" x14ac:dyDescent="0.3">
      <c r="I3210" s="82"/>
      <c r="M3210" s="85"/>
    </row>
    <row r="3211" spans="9:13" x14ac:dyDescent="0.3">
      <c r="I3211" s="82"/>
      <c r="M3211" s="85"/>
    </row>
    <row r="3212" spans="9:13" x14ac:dyDescent="0.3">
      <c r="I3212" s="82"/>
      <c r="M3212" s="85"/>
    </row>
    <row r="3213" spans="9:13" x14ac:dyDescent="0.3">
      <c r="I3213" s="82"/>
      <c r="M3213" s="85"/>
    </row>
    <row r="3214" spans="9:13" x14ac:dyDescent="0.3">
      <c r="I3214" s="82"/>
      <c r="M3214" s="85"/>
    </row>
    <row r="3215" spans="9:13" x14ac:dyDescent="0.3">
      <c r="I3215" s="82"/>
      <c r="M3215" s="85"/>
    </row>
    <row r="3216" spans="9:13" x14ac:dyDescent="0.3">
      <c r="I3216" s="82"/>
      <c r="M3216" s="85"/>
    </row>
    <row r="3217" spans="9:13" x14ac:dyDescent="0.3">
      <c r="I3217" s="82"/>
      <c r="M3217" s="85"/>
    </row>
    <row r="3218" spans="9:13" x14ac:dyDescent="0.3">
      <c r="I3218" s="82"/>
      <c r="M3218" s="85"/>
    </row>
    <row r="3219" spans="9:13" x14ac:dyDescent="0.3">
      <c r="I3219" s="82"/>
      <c r="M3219" s="85"/>
    </row>
    <row r="3220" spans="9:13" x14ac:dyDescent="0.3">
      <c r="I3220" s="82"/>
      <c r="M3220" s="85"/>
    </row>
    <row r="3221" spans="9:13" x14ac:dyDescent="0.3">
      <c r="I3221" s="82"/>
      <c r="M3221" s="85"/>
    </row>
    <row r="3222" spans="9:13" x14ac:dyDescent="0.3">
      <c r="I3222" s="82"/>
      <c r="M3222" s="85"/>
    </row>
    <row r="3223" spans="9:13" x14ac:dyDescent="0.3">
      <c r="I3223" s="82"/>
      <c r="M3223" s="85"/>
    </row>
    <row r="3224" spans="9:13" x14ac:dyDescent="0.3">
      <c r="I3224" s="82"/>
      <c r="M3224" s="85"/>
    </row>
    <row r="3225" spans="9:13" x14ac:dyDescent="0.3">
      <c r="I3225" s="82"/>
      <c r="M3225" s="85"/>
    </row>
    <row r="3226" spans="9:13" x14ac:dyDescent="0.3">
      <c r="I3226" s="82"/>
      <c r="M3226" s="85"/>
    </row>
    <row r="3227" spans="9:13" x14ac:dyDescent="0.3">
      <c r="I3227" s="82"/>
      <c r="M3227" s="85"/>
    </row>
    <row r="3228" spans="9:13" x14ac:dyDescent="0.3">
      <c r="I3228" s="82"/>
      <c r="M3228" s="85"/>
    </row>
    <row r="3229" spans="9:13" x14ac:dyDescent="0.3">
      <c r="I3229" s="82"/>
      <c r="M3229" s="85"/>
    </row>
    <row r="3230" spans="9:13" x14ac:dyDescent="0.3">
      <c r="I3230" s="82"/>
      <c r="M3230" s="85"/>
    </row>
    <row r="3231" spans="9:13" x14ac:dyDescent="0.3">
      <c r="I3231" s="82"/>
      <c r="M3231" s="85"/>
    </row>
    <row r="3232" spans="9:13" x14ac:dyDescent="0.3">
      <c r="I3232" s="82"/>
      <c r="M3232" s="85"/>
    </row>
    <row r="3233" spans="9:13" x14ac:dyDescent="0.3">
      <c r="I3233" s="82"/>
      <c r="M3233" s="85"/>
    </row>
    <row r="3234" spans="9:13" x14ac:dyDescent="0.3">
      <c r="I3234" s="82"/>
      <c r="M3234" s="85"/>
    </row>
    <row r="3235" spans="9:13" x14ac:dyDescent="0.3">
      <c r="I3235" s="82"/>
      <c r="M3235" s="85"/>
    </row>
    <row r="3236" spans="9:13" x14ac:dyDescent="0.3">
      <c r="I3236" s="82"/>
      <c r="M3236" s="85"/>
    </row>
    <row r="3237" spans="9:13" x14ac:dyDescent="0.3">
      <c r="I3237" s="82"/>
      <c r="M3237" s="85"/>
    </row>
    <row r="3238" spans="9:13" x14ac:dyDescent="0.3">
      <c r="I3238" s="82"/>
      <c r="M3238" s="85"/>
    </row>
    <row r="3239" spans="9:13" x14ac:dyDescent="0.3">
      <c r="I3239" s="82"/>
      <c r="M3239" s="85"/>
    </row>
    <row r="3240" spans="9:13" x14ac:dyDescent="0.3">
      <c r="I3240" s="82"/>
      <c r="M3240" s="85"/>
    </row>
    <row r="3241" spans="9:13" x14ac:dyDescent="0.3">
      <c r="I3241" s="82"/>
      <c r="M3241" s="85"/>
    </row>
    <row r="3242" spans="9:13" x14ac:dyDescent="0.3">
      <c r="I3242" s="82"/>
      <c r="M3242" s="85"/>
    </row>
    <row r="3243" spans="9:13" x14ac:dyDescent="0.3">
      <c r="I3243" s="82"/>
      <c r="M3243" s="85"/>
    </row>
    <row r="3244" spans="9:13" x14ac:dyDescent="0.3">
      <c r="I3244" s="82"/>
      <c r="M3244" s="85"/>
    </row>
    <row r="3245" spans="9:13" x14ac:dyDescent="0.3">
      <c r="I3245" s="82"/>
      <c r="M3245" s="85"/>
    </row>
    <row r="3246" spans="9:13" x14ac:dyDescent="0.3">
      <c r="I3246" s="82"/>
      <c r="M3246" s="85"/>
    </row>
    <row r="3247" spans="9:13" x14ac:dyDescent="0.3">
      <c r="I3247" s="82"/>
      <c r="M3247" s="85"/>
    </row>
    <row r="3248" spans="9:13" x14ac:dyDescent="0.3">
      <c r="I3248" s="82"/>
      <c r="M3248" s="85"/>
    </row>
    <row r="3249" spans="9:13" x14ac:dyDescent="0.3">
      <c r="I3249" s="82"/>
      <c r="M3249" s="85"/>
    </row>
    <row r="3250" spans="9:13" x14ac:dyDescent="0.3">
      <c r="I3250" s="82"/>
      <c r="M3250" s="85"/>
    </row>
    <row r="3251" spans="9:13" x14ac:dyDescent="0.3">
      <c r="I3251" s="82"/>
      <c r="M3251" s="85"/>
    </row>
    <row r="3252" spans="9:13" x14ac:dyDescent="0.3">
      <c r="I3252" s="82"/>
      <c r="M3252" s="85"/>
    </row>
    <row r="3253" spans="9:13" x14ac:dyDescent="0.3">
      <c r="I3253" s="82"/>
      <c r="M3253" s="85"/>
    </row>
    <row r="3254" spans="9:13" x14ac:dyDescent="0.3">
      <c r="I3254" s="82"/>
      <c r="M3254" s="85"/>
    </row>
    <row r="3255" spans="9:13" x14ac:dyDescent="0.3">
      <c r="I3255" s="82"/>
      <c r="M3255" s="85"/>
    </row>
    <row r="3256" spans="9:13" x14ac:dyDescent="0.3">
      <c r="I3256" s="82"/>
      <c r="M3256" s="85"/>
    </row>
    <row r="3257" spans="9:13" x14ac:dyDescent="0.3">
      <c r="I3257" s="82"/>
      <c r="M3257" s="85"/>
    </row>
    <row r="3258" spans="9:13" x14ac:dyDescent="0.3">
      <c r="I3258" s="82"/>
      <c r="M3258" s="85"/>
    </row>
    <row r="3259" spans="9:13" x14ac:dyDescent="0.3">
      <c r="I3259" s="82"/>
      <c r="M3259" s="85"/>
    </row>
    <row r="3260" spans="9:13" x14ac:dyDescent="0.3">
      <c r="I3260" s="82"/>
      <c r="M3260" s="85"/>
    </row>
    <row r="3261" spans="9:13" x14ac:dyDescent="0.3">
      <c r="I3261" s="82"/>
      <c r="M3261" s="85"/>
    </row>
    <row r="3262" spans="9:13" x14ac:dyDescent="0.3">
      <c r="I3262" s="82"/>
      <c r="M3262" s="85"/>
    </row>
    <row r="3263" spans="9:13" x14ac:dyDescent="0.3">
      <c r="I3263" s="82"/>
      <c r="M3263" s="85"/>
    </row>
    <row r="3264" spans="9:13" x14ac:dyDescent="0.3">
      <c r="I3264" s="82"/>
      <c r="M3264" s="85"/>
    </row>
    <row r="3265" spans="9:13" x14ac:dyDescent="0.3">
      <c r="I3265" s="82"/>
      <c r="M3265" s="85"/>
    </row>
    <row r="3266" spans="9:13" x14ac:dyDescent="0.3">
      <c r="I3266" s="82"/>
      <c r="M3266" s="85"/>
    </row>
    <row r="3267" spans="9:13" x14ac:dyDescent="0.3">
      <c r="I3267" s="82"/>
      <c r="M3267" s="85"/>
    </row>
    <row r="3268" spans="9:13" x14ac:dyDescent="0.3">
      <c r="I3268" s="82"/>
      <c r="M3268" s="85"/>
    </row>
    <row r="3269" spans="9:13" x14ac:dyDescent="0.3">
      <c r="I3269" s="82"/>
      <c r="M3269" s="85"/>
    </row>
    <row r="3270" spans="9:13" x14ac:dyDescent="0.3">
      <c r="I3270" s="82"/>
      <c r="M3270" s="85"/>
    </row>
    <row r="3271" spans="9:13" x14ac:dyDescent="0.3">
      <c r="I3271" s="82"/>
      <c r="M3271" s="85"/>
    </row>
    <row r="3272" spans="9:13" x14ac:dyDescent="0.3">
      <c r="I3272" s="82"/>
      <c r="M3272" s="85"/>
    </row>
    <row r="3273" spans="9:13" x14ac:dyDescent="0.3">
      <c r="I3273" s="82"/>
      <c r="M3273" s="85"/>
    </row>
    <row r="3274" spans="9:13" x14ac:dyDescent="0.3">
      <c r="I3274" s="82"/>
      <c r="M3274" s="85"/>
    </row>
    <row r="3275" spans="9:13" x14ac:dyDescent="0.3">
      <c r="I3275" s="82"/>
      <c r="M3275" s="85"/>
    </row>
    <row r="3276" spans="9:13" x14ac:dyDescent="0.3">
      <c r="I3276" s="82"/>
      <c r="M3276" s="85"/>
    </row>
    <row r="3277" spans="9:13" x14ac:dyDescent="0.3">
      <c r="I3277" s="82"/>
      <c r="M3277" s="85"/>
    </row>
    <row r="3278" spans="9:13" x14ac:dyDescent="0.3">
      <c r="I3278" s="82"/>
      <c r="M3278" s="85"/>
    </row>
    <row r="3279" spans="9:13" x14ac:dyDescent="0.3">
      <c r="I3279" s="82"/>
      <c r="M3279" s="85"/>
    </row>
    <row r="3280" spans="9:13" x14ac:dyDescent="0.3">
      <c r="I3280" s="82"/>
      <c r="M3280" s="85"/>
    </row>
    <row r="3281" spans="9:13" x14ac:dyDescent="0.3">
      <c r="I3281" s="82"/>
      <c r="M3281" s="85"/>
    </row>
    <row r="3282" spans="9:13" x14ac:dyDescent="0.3">
      <c r="I3282" s="82"/>
      <c r="M3282" s="85"/>
    </row>
    <row r="3283" spans="9:13" x14ac:dyDescent="0.3">
      <c r="I3283" s="82"/>
      <c r="M3283" s="85"/>
    </row>
    <row r="3284" spans="9:13" x14ac:dyDescent="0.3">
      <c r="I3284" s="82"/>
      <c r="M3284" s="85"/>
    </row>
    <row r="3285" spans="9:13" x14ac:dyDescent="0.3">
      <c r="I3285" s="82"/>
      <c r="M3285" s="85"/>
    </row>
    <row r="3286" spans="9:13" x14ac:dyDescent="0.3">
      <c r="I3286" s="82"/>
      <c r="M3286" s="85"/>
    </row>
    <row r="3287" spans="9:13" x14ac:dyDescent="0.3">
      <c r="I3287" s="82"/>
      <c r="M3287" s="85"/>
    </row>
    <row r="3288" spans="9:13" x14ac:dyDescent="0.3">
      <c r="I3288" s="82"/>
      <c r="M3288" s="85"/>
    </row>
    <row r="3289" spans="9:13" x14ac:dyDescent="0.3">
      <c r="I3289" s="82"/>
      <c r="M3289" s="85"/>
    </row>
    <row r="3290" spans="9:13" x14ac:dyDescent="0.3">
      <c r="I3290" s="82"/>
      <c r="M3290" s="85"/>
    </row>
    <row r="3291" spans="9:13" x14ac:dyDescent="0.3">
      <c r="I3291" s="82"/>
      <c r="M3291" s="85"/>
    </row>
    <row r="3292" spans="9:13" x14ac:dyDescent="0.3">
      <c r="I3292" s="82"/>
      <c r="M3292" s="85"/>
    </row>
    <row r="3293" spans="9:13" x14ac:dyDescent="0.3">
      <c r="I3293" s="82"/>
      <c r="M3293" s="85"/>
    </row>
    <row r="3294" spans="9:13" x14ac:dyDescent="0.3">
      <c r="I3294" s="82"/>
      <c r="M3294" s="85"/>
    </row>
    <row r="3295" spans="9:13" x14ac:dyDescent="0.3">
      <c r="I3295" s="82"/>
      <c r="M3295" s="85"/>
    </row>
    <row r="3296" spans="9:13" x14ac:dyDescent="0.3">
      <c r="I3296" s="82"/>
      <c r="M3296" s="85"/>
    </row>
    <row r="3297" spans="9:13" x14ac:dyDescent="0.3">
      <c r="I3297" s="82"/>
      <c r="M3297" s="85"/>
    </row>
    <row r="3298" spans="9:13" x14ac:dyDescent="0.3">
      <c r="I3298" s="82"/>
      <c r="M3298" s="85"/>
    </row>
    <row r="3299" spans="9:13" x14ac:dyDescent="0.3">
      <c r="I3299" s="82"/>
      <c r="M3299" s="85"/>
    </row>
    <row r="3300" spans="9:13" x14ac:dyDescent="0.3">
      <c r="I3300" s="82"/>
      <c r="M3300" s="85"/>
    </row>
    <row r="3301" spans="9:13" x14ac:dyDescent="0.3">
      <c r="I3301" s="82"/>
      <c r="M3301" s="85"/>
    </row>
    <row r="3302" spans="9:13" x14ac:dyDescent="0.3">
      <c r="I3302" s="82"/>
      <c r="M3302" s="85"/>
    </row>
    <row r="3303" spans="9:13" x14ac:dyDescent="0.3">
      <c r="I3303" s="82"/>
      <c r="M3303" s="85"/>
    </row>
    <row r="3304" spans="9:13" x14ac:dyDescent="0.3">
      <c r="I3304" s="82"/>
      <c r="M3304" s="85"/>
    </row>
    <row r="3305" spans="9:13" x14ac:dyDescent="0.3">
      <c r="I3305" s="82"/>
      <c r="M3305" s="85"/>
    </row>
    <row r="3306" spans="9:13" x14ac:dyDescent="0.3">
      <c r="I3306" s="82"/>
      <c r="M3306" s="85"/>
    </row>
    <row r="3307" spans="9:13" x14ac:dyDescent="0.3">
      <c r="I3307" s="82"/>
      <c r="M3307" s="85"/>
    </row>
    <row r="3308" spans="9:13" x14ac:dyDescent="0.3">
      <c r="I3308" s="82"/>
      <c r="M3308" s="85"/>
    </row>
    <row r="3309" spans="9:13" x14ac:dyDescent="0.3">
      <c r="I3309" s="82"/>
      <c r="M3309" s="85"/>
    </row>
    <row r="3310" spans="9:13" x14ac:dyDescent="0.3">
      <c r="I3310" s="82"/>
      <c r="M3310" s="85"/>
    </row>
    <row r="3311" spans="9:13" x14ac:dyDescent="0.3">
      <c r="I3311" s="82"/>
      <c r="M3311" s="85"/>
    </row>
    <row r="3312" spans="9:13" x14ac:dyDescent="0.3">
      <c r="I3312" s="82"/>
      <c r="M3312" s="85"/>
    </row>
    <row r="3313" spans="9:13" x14ac:dyDescent="0.3">
      <c r="I3313" s="82"/>
      <c r="M3313" s="85"/>
    </row>
    <row r="3314" spans="9:13" x14ac:dyDescent="0.3">
      <c r="I3314" s="82"/>
      <c r="M3314" s="85"/>
    </row>
    <row r="3315" spans="9:13" x14ac:dyDescent="0.3">
      <c r="I3315" s="82"/>
      <c r="M3315" s="85"/>
    </row>
    <row r="3316" spans="9:13" x14ac:dyDescent="0.3">
      <c r="I3316" s="82"/>
      <c r="M3316" s="85"/>
    </row>
    <row r="3317" spans="9:13" x14ac:dyDescent="0.3">
      <c r="I3317" s="82"/>
      <c r="M3317" s="85"/>
    </row>
    <row r="3318" spans="9:13" x14ac:dyDescent="0.3">
      <c r="I3318" s="82"/>
      <c r="M3318" s="85"/>
    </row>
    <row r="3319" spans="9:13" x14ac:dyDescent="0.3">
      <c r="I3319" s="82"/>
      <c r="M3319" s="85"/>
    </row>
    <row r="3320" spans="9:13" x14ac:dyDescent="0.3">
      <c r="I3320" s="82"/>
      <c r="M3320" s="85"/>
    </row>
    <row r="3321" spans="9:13" x14ac:dyDescent="0.3">
      <c r="I3321" s="82"/>
      <c r="M3321" s="85"/>
    </row>
    <row r="3322" spans="9:13" x14ac:dyDescent="0.3">
      <c r="I3322" s="82"/>
      <c r="M3322" s="85"/>
    </row>
    <row r="3323" spans="9:13" x14ac:dyDescent="0.3">
      <c r="I3323" s="82"/>
      <c r="M3323" s="85"/>
    </row>
    <row r="3324" spans="9:13" x14ac:dyDescent="0.3">
      <c r="I3324" s="82"/>
      <c r="M3324" s="85"/>
    </row>
    <row r="3325" spans="9:13" x14ac:dyDescent="0.3">
      <c r="I3325" s="82"/>
      <c r="M3325" s="85"/>
    </row>
    <row r="3326" spans="9:13" x14ac:dyDescent="0.3">
      <c r="I3326" s="82"/>
      <c r="M3326" s="85"/>
    </row>
    <row r="3327" spans="9:13" x14ac:dyDescent="0.3">
      <c r="I3327" s="82"/>
      <c r="M3327" s="85"/>
    </row>
    <row r="3328" spans="9:13" x14ac:dyDescent="0.3">
      <c r="I3328" s="82"/>
      <c r="M3328" s="85"/>
    </row>
    <row r="3329" spans="9:13" x14ac:dyDescent="0.3">
      <c r="I3329" s="82"/>
      <c r="M3329" s="85"/>
    </row>
    <row r="3330" spans="9:13" x14ac:dyDescent="0.3">
      <c r="I3330" s="82"/>
      <c r="M3330" s="85"/>
    </row>
    <row r="3331" spans="9:13" x14ac:dyDescent="0.3">
      <c r="I3331" s="82"/>
      <c r="M3331" s="85"/>
    </row>
    <row r="3332" spans="9:13" x14ac:dyDescent="0.3">
      <c r="I3332" s="82"/>
      <c r="M3332" s="85"/>
    </row>
    <row r="3333" spans="9:13" x14ac:dyDescent="0.3">
      <c r="I3333" s="82"/>
      <c r="M3333" s="85"/>
    </row>
    <row r="3334" spans="9:13" x14ac:dyDescent="0.3">
      <c r="I3334" s="82"/>
      <c r="M3334" s="85"/>
    </row>
    <row r="3335" spans="9:13" x14ac:dyDescent="0.3">
      <c r="I3335" s="82"/>
      <c r="M3335" s="85"/>
    </row>
    <row r="3336" spans="9:13" x14ac:dyDescent="0.3">
      <c r="I3336" s="82"/>
      <c r="M3336" s="85"/>
    </row>
    <row r="3337" spans="9:13" x14ac:dyDescent="0.3">
      <c r="I3337" s="82"/>
      <c r="M3337" s="85"/>
    </row>
    <row r="3338" spans="9:13" x14ac:dyDescent="0.3">
      <c r="I3338" s="82"/>
      <c r="M3338" s="85"/>
    </row>
    <row r="3339" spans="9:13" x14ac:dyDescent="0.3">
      <c r="I3339" s="82"/>
      <c r="M3339" s="85"/>
    </row>
    <row r="3340" spans="9:13" x14ac:dyDescent="0.3">
      <c r="I3340" s="82"/>
      <c r="M3340" s="85"/>
    </row>
    <row r="3341" spans="9:13" x14ac:dyDescent="0.3">
      <c r="I3341" s="82"/>
      <c r="M3341" s="85"/>
    </row>
    <row r="3342" spans="9:13" x14ac:dyDescent="0.3">
      <c r="I3342" s="82"/>
      <c r="M3342" s="85"/>
    </row>
    <row r="3343" spans="9:13" x14ac:dyDescent="0.3">
      <c r="I3343" s="82"/>
      <c r="M3343" s="85"/>
    </row>
    <row r="3344" spans="9:13" x14ac:dyDescent="0.3">
      <c r="I3344" s="82"/>
      <c r="M3344" s="85"/>
    </row>
    <row r="3345" spans="9:13" x14ac:dyDescent="0.3">
      <c r="I3345" s="82"/>
      <c r="M3345" s="85"/>
    </row>
    <row r="3346" spans="9:13" x14ac:dyDescent="0.3">
      <c r="I3346" s="82"/>
      <c r="M3346" s="85"/>
    </row>
    <row r="3347" spans="9:13" x14ac:dyDescent="0.3">
      <c r="I3347" s="82"/>
      <c r="M3347" s="85"/>
    </row>
    <row r="3348" spans="9:13" x14ac:dyDescent="0.3">
      <c r="I3348" s="82"/>
      <c r="M3348" s="85"/>
    </row>
    <row r="3349" spans="9:13" x14ac:dyDescent="0.3">
      <c r="I3349" s="82"/>
      <c r="M3349" s="85"/>
    </row>
    <row r="3350" spans="9:13" x14ac:dyDescent="0.3">
      <c r="I3350" s="82"/>
      <c r="M3350" s="85"/>
    </row>
    <row r="3351" spans="9:13" x14ac:dyDescent="0.3">
      <c r="I3351" s="82"/>
      <c r="M3351" s="85"/>
    </row>
    <row r="3352" spans="9:13" x14ac:dyDescent="0.3">
      <c r="I3352" s="82"/>
      <c r="M3352" s="85"/>
    </row>
    <row r="3353" spans="9:13" x14ac:dyDescent="0.3">
      <c r="I3353" s="82"/>
      <c r="M3353" s="85"/>
    </row>
    <row r="3354" spans="9:13" x14ac:dyDescent="0.3">
      <c r="I3354" s="82"/>
      <c r="M3354" s="85"/>
    </row>
    <row r="3355" spans="9:13" x14ac:dyDescent="0.3">
      <c r="I3355" s="82"/>
      <c r="M3355" s="85"/>
    </row>
    <row r="3356" spans="9:13" x14ac:dyDescent="0.3">
      <c r="I3356" s="82"/>
      <c r="M3356" s="85"/>
    </row>
    <row r="3357" spans="9:13" x14ac:dyDescent="0.3">
      <c r="I3357" s="82"/>
      <c r="M3357" s="85"/>
    </row>
    <row r="3358" spans="9:13" x14ac:dyDescent="0.3">
      <c r="I3358" s="82"/>
      <c r="M3358" s="85"/>
    </row>
    <row r="3359" spans="9:13" x14ac:dyDescent="0.3">
      <c r="I3359" s="82"/>
      <c r="M3359" s="85"/>
    </row>
    <row r="3360" spans="9:13" x14ac:dyDescent="0.3">
      <c r="I3360" s="82"/>
      <c r="M3360" s="85"/>
    </row>
    <row r="3361" spans="9:13" x14ac:dyDescent="0.3">
      <c r="I3361" s="82"/>
      <c r="M3361" s="85"/>
    </row>
    <row r="3362" spans="9:13" x14ac:dyDescent="0.3">
      <c r="I3362" s="82"/>
      <c r="M3362" s="85"/>
    </row>
    <row r="3363" spans="9:13" x14ac:dyDescent="0.3">
      <c r="I3363" s="82"/>
      <c r="M3363" s="85"/>
    </row>
    <row r="3364" spans="9:13" x14ac:dyDescent="0.3">
      <c r="I3364" s="82"/>
      <c r="M3364" s="85"/>
    </row>
    <row r="3365" spans="9:13" x14ac:dyDescent="0.3">
      <c r="I3365" s="82"/>
      <c r="M3365" s="85"/>
    </row>
    <row r="3366" spans="9:13" x14ac:dyDescent="0.3">
      <c r="I3366" s="82"/>
      <c r="M3366" s="85"/>
    </row>
    <row r="3367" spans="9:13" x14ac:dyDescent="0.3">
      <c r="I3367" s="82"/>
      <c r="M3367" s="85"/>
    </row>
    <row r="3368" spans="9:13" x14ac:dyDescent="0.3">
      <c r="I3368" s="82"/>
      <c r="M3368" s="85"/>
    </row>
    <row r="3369" spans="9:13" x14ac:dyDescent="0.3">
      <c r="I3369" s="82"/>
      <c r="M3369" s="85"/>
    </row>
    <row r="3370" spans="9:13" x14ac:dyDescent="0.3">
      <c r="I3370" s="82"/>
      <c r="M3370" s="85"/>
    </row>
    <row r="3371" spans="9:13" x14ac:dyDescent="0.3">
      <c r="I3371" s="82"/>
      <c r="M3371" s="85"/>
    </row>
    <row r="3372" spans="9:13" x14ac:dyDescent="0.3">
      <c r="I3372" s="82"/>
      <c r="M3372" s="85"/>
    </row>
    <row r="3373" spans="9:13" x14ac:dyDescent="0.3">
      <c r="I3373" s="82"/>
      <c r="M3373" s="85"/>
    </row>
    <row r="3374" spans="9:13" x14ac:dyDescent="0.3">
      <c r="I3374" s="82"/>
      <c r="M3374" s="85"/>
    </row>
    <row r="3375" spans="9:13" x14ac:dyDescent="0.3">
      <c r="I3375" s="82"/>
      <c r="M3375" s="85"/>
    </row>
    <row r="3376" spans="9:13" x14ac:dyDescent="0.3">
      <c r="I3376" s="82"/>
      <c r="M3376" s="85"/>
    </row>
    <row r="3377" spans="9:13" x14ac:dyDescent="0.3">
      <c r="I3377" s="82"/>
      <c r="M3377" s="85"/>
    </row>
    <row r="3378" spans="9:13" x14ac:dyDescent="0.3">
      <c r="I3378" s="82"/>
      <c r="M3378" s="85"/>
    </row>
    <row r="3379" spans="9:13" x14ac:dyDescent="0.3">
      <c r="I3379" s="82"/>
      <c r="M3379" s="85"/>
    </row>
    <row r="3380" spans="9:13" x14ac:dyDescent="0.3">
      <c r="I3380" s="82"/>
      <c r="M3380" s="85"/>
    </row>
    <row r="3381" spans="9:13" x14ac:dyDescent="0.3">
      <c r="I3381" s="82"/>
      <c r="M3381" s="85"/>
    </row>
    <row r="3382" spans="9:13" x14ac:dyDescent="0.3">
      <c r="I3382" s="82"/>
      <c r="M3382" s="85"/>
    </row>
    <row r="3383" spans="9:13" x14ac:dyDescent="0.3">
      <c r="I3383" s="82"/>
      <c r="M3383" s="85"/>
    </row>
    <row r="3384" spans="9:13" x14ac:dyDescent="0.3">
      <c r="I3384" s="82"/>
      <c r="M3384" s="85"/>
    </row>
    <row r="3385" spans="9:13" x14ac:dyDescent="0.3">
      <c r="I3385" s="82"/>
      <c r="M3385" s="85"/>
    </row>
    <row r="3386" spans="9:13" x14ac:dyDescent="0.3">
      <c r="I3386" s="82"/>
      <c r="M3386" s="85"/>
    </row>
    <row r="3387" spans="9:13" x14ac:dyDescent="0.3">
      <c r="I3387" s="82"/>
      <c r="M3387" s="85"/>
    </row>
    <row r="3388" spans="9:13" x14ac:dyDescent="0.3">
      <c r="I3388" s="82"/>
      <c r="M3388" s="85"/>
    </row>
    <row r="3389" spans="9:13" x14ac:dyDescent="0.3">
      <c r="I3389" s="82"/>
      <c r="M3389" s="85"/>
    </row>
    <row r="3390" spans="9:13" x14ac:dyDescent="0.3">
      <c r="I3390" s="82"/>
      <c r="M3390" s="85"/>
    </row>
    <row r="3391" spans="9:13" x14ac:dyDescent="0.3">
      <c r="I3391" s="82"/>
      <c r="M3391" s="85"/>
    </row>
    <row r="3392" spans="9:13" x14ac:dyDescent="0.3">
      <c r="I3392" s="82"/>
      <c r="M3392" s="85"/>
    </row>
    <row r="3393" spans="9:13" x14ac:dyDescent="0.3">
      <c r="I3393" s="82"/>
      <c r="M3393" s="85"/>
    </row>
    <row r="3394" spans="9:13" x14ac:dyDescent="0.3">
      <c r="I3394" s="82"/>
      <c r="M3394" s="85"/>
    </row>
    <row r="3395" spans="9:13" x14ac:dyDescent="0.3">
      <c r="I3395" s="82"/>
      <c r="M3395" s="85"/>
    </row>
    <row r="3396" spans="9:13" x14ac:dyDescent="0.3">
      <c r="I3396" s="82"/>
      <c r="M3396" s="85"/>
    </row>
    <row r="3397" spans="9:13" x14ac:dyDescent="0.3">
      <c r="I3397" s="82"/>
      <c r="M3397" s="85"/>
    </row>
    <row r="3398" spans="9:13" x14ac:dyDescent="0.3">
      <c r="I3398" s="82"/>
      <c r="M3398" s="85"/>
    </row>
    <row r="3399" spans="9:13" x14ac:dyDescent="0.3">
      <c r="I3399" s="82"/>
      <c r="M3399" s="85"/>
    </row>
    <row r="3400" spans="9:13" x14ac:dyDescent="0.3">
      <c r="I3400" s="82"/>
      <c r="M3400" s="85"/>
    </row>
    <row r="3401" spans="9:13" x14ac:dyDescent="0.3">
      <c r="I3401" s="82"/>
      <c r="M3401" s="85"/>
    </row>
    <row r="3402" spans="9:13" x14ac:dyDescent="0.3">
      <c r="I3402" s="82"/>
      <c r="M3402" s="85"/>
    </row>
    <row r="3403" spans="9:13" x14ac:dyDescent="0.3">
      <c r="I3403" s="82"/>
      <c r="M3403" s="85"/>
    </row>
    <row r="3404" spans="9:13" x14ac:dyDescent="0.3">
      <c r="I3404" s="82"/>
      <c r="M3404" s="85"/>
    </row>
    <row r="3405" spans="9:13" x14ac:dyDescent="0.3">
      <c r="I3405" s="82"/>
      <c r="M3405" s="85"/>
    </row>
    <row r="3406" spans="9:13" x14ac:dyDescent="0.3">
      <c r="I3406" s="82"/>
      <c r="M3406" s="85"/>
    </row>
    <row r="3407" spans="9:13" x14ac:dyDescent="0.3">
      <c r="I3407" s="82"/>
      <c r="M3407" s="85"/>
    </row>
    <row r="3408" spans="9:13" x14ac:dyDescent="0.3">
      <c r="I3408" s="82"/>
      <c r="M3408" s="85"/>
    </row>
    <row r="3409" spans="9:13" x14ac:dyDescent="0.3">
      <c r="I3409" s="82"/>
      <c r="M3409" s="85"/>
    </row>
    <row r="3410" spans="9:13" x14ac:dyDescent="0.3">
      <c r="I3410" s="82"/>
      <c r="M3410" s="85"/>
    </row>
    <row r="3411" spans="9:13" x14ac:dyDescent="0.3">
      <c r="I3411" s="82"/>
      <c r="M3411" s="85"/>
    </row>
    <row r="3412" spans="9:13" x14ac:dyDescent="0.3">
      <c r="I3412" s="82"/>
      <c r="M3412" s="85"/>
    </row>
    <row r="3413" spans="9:13" x14ac:dyDescent="0.3">
      <c r="I3413" s="82"/>
      <c r="M3413" s="85"/>
    </row>
    <row r="3414" spans="9:13" x14ac:dyDescent="0.3">
      <c r="I3414" s="82"/>
      <c r="M3414" s="85"/>
    </row>
    <row r="3415" spans="9:13" x14ac:dyDescent="0.3">
      <c r="I3415" s="82"/>
      <c r="M3415" s="85"/>
    </row>
    <row r="3416" spans="9:13" x14ac:dyDescent="0.3">
      <c r="I3416" s="82"/>
      <c r="M3416" s="85"/>
    </row>
    <row r="3417" spans="9:13" x14ac:dyDescent="0.3">
      <c r="I3417" s="82"/>
      <c r="M3417" s="85"/>
    </row>
    <row r="3418" spans="9:13" x14ac:dyDescent="0.3">
      <c r="I3418" s="82"/>
      <c r="M3418" s="85"/>
    </row>
    <row r="3419" spans="9:13" x14ac:dyDescent="0.3">
      <c r="I3419" s="82"/>
      <c r="M3419" s="85"/>
    </row>
    <row r="3420" spans="9:13" x14ac:dyDescent="0.3">
      <c r="I3420" s="82"/>
      <c r="M3420" s="85"/>
    </row>
    <row r="3421" spans="9:13" x14ac:dyDescent="0.3">
      <c r="I3421" s="82"/>
      <c r="M3421" s="85"/>
    </row>
    <row r="3422" spans="9:13" x14ac:dyDescent="0.3">
      <c r="I3422" s="82"/>
      <c r="M3422" s="85"/>
    </row>
    <row r="3423" spans="9:13" x14ac:dyDescent="0.3">
      <c r="I3423" s="82"/>
      <c r="M3423" s="85"/>
    </row>
    <row r="3424" spans="9:13" x14ac:dyDescent="0.3">
      <c r="I3424" s="82"/>
      <c r="M3424" s="85"/>
    </row>
    <row r="3425" spans="9:13" x14ac:dyDescent="0.3">
      <c r="I3425" s="82"/>
      <c r="M3425" s="85"/>
    </row>
    <row r="3426" spans="9:13" x14ac:dyDescent="0.3">
      <c r="I3426" s="82"/>
      <c r="M3426" s="85"/>
    </row>
    <row r="3427" spans="9:13" x14ac:dyDescent="0.3">
      <c r="I3427" s="82"/>
      <c r="M3427" s="85"/>
    </row>
    <row r="3428" spans="9:13" x14ac:dyDescent="0.3">
      <c r="I3428" s="82"/>
      <c r="M3428" s="85"/>
    </row>
    <row r="3429" spans="9:13" x14ac:dyDescent="0.3">
      <c r="I3429" s="82"/>
      <c r="M3429" s="85"/>
    </row>
    <row r="3430" spans="9:13" x14ac:dyDescent="0.3">
      <c r="I3430" s="82"/>
      <c r="M3430" s="85"/>
    </row>
    <row r="3431" spans="9:13" x14ac:dyDescent="0.3">
      <c r="I3431" s="82"/>
      <c r="M3431" s="85"/>
    </row>
    <row r="3432" spans="9:13" x14ac:dyDescent="0.3">
      <c r="I3432" s="82"/>
      <c r="M3432" s="85"/>
    </row>
    <row r="3433" spans="9:13" x14ac:dyDescent="0.3">
      <c r="I3433" s="82"/>
      <c r="M3433" s="85"/>
    </row>
    <row r="3434" spans="9:13" x14ac:dyDescent="0.3">
      <c r="I3434" s="82"/>
      <c r="M3434" s="85"/>
    </row>
    <row r="3435" spans="9:13" x14ac:dyDescent="0.3">
      <c r="I3435" s="82"/>
      <c r="M3435" s="85"/>
    </row>
    <row r="3436" spans="9:13" x14ac:dyDescent="0.3">
      <c r="I3436" s="82"/>
      <c r="M3436" s="85"/>
    </row>
    <row r="3437" spans="9:13" x14ac:dyDescent="0.3">
      <c r="I3437" s="82"/>
      <c r="M3437" s="85"/>
    </row>
    <row r="3438" spans="9:13" x14ac:dyDescent="0.3">
      <c r="I3438" s="82"/>
      <c r="M3438" s="85"/>
    </row>
    <row r="3439" spans="9:13" x14ac:dyDescent="0.3">
      <c r="I3439" s="82"/>
      <c r="M3439" s="85"/>
    </row>
    <row r="3440" spans="9:13" x14ac:dyDescent="0.3">
      <c r="I3440" s="82"/>
      <c r="M3440" s="85"/>
    </row>
    <row r="3441" spans="9:13" x14ac:dyDescent="0.3">
      <c r="I3441" s="82"/>
      <c r="M3441" s="85"/>
    </row>
    <row r="3442" spans="9:13" x14ac:dyDescent="0.3">
      <c r="I3442" s="82"/>
      <c r="M3442" s="85"/>
    </row>
    <row r="3443" spans="9:13" x14ac:dyDescent="0.3">
      <c r="I3443" s="82"/>
      <c r="M3443" s="85"/>
    </row>
    <row r="3444" spans="9:13" x14ac:dyDescent="0.3">
      <c r="I3444" s="82"/>
      <c r="M3444" s="85"/>
    </row>
    <row r="3445" spans="9:13" x14ac:dyDescent="0.3">
      <c r="I3445" s="82"/>
      <c r="M3445" s="85"/>
    </row>
    <row r="3446" spans="9:13" x14ac:dyDescent="0.3">
      <c r="I3446" s="82"/>
      <c r="M3446" s="85"/>
    </row>
    <row r="3447" spans="9:13" x14ac:dyDescent="0.3">
      <c r="I3447" s="82"/>
      <c r="M3447" s="85"/>
    </row>
    <row r="3448" spans="9:13" x14ac:dyDescent="0.3">
      <c r="I3448" s="82"/>
      <c r="M3448" s="85"/>
    </row>
    <row r="3449" spans="9:13" x14ac:dyDescent="0.3">
      <c r="I3449" s="82"/>
      <c r="M3449" s="85"/>
    </row>
    <row r="3450" spans="9:13" x14ac:dyDescent="0.3">
      <c r="I3450" s="82"/>
      <c r="M3450" s="85"/>
    </row>
    <row r="3451" spans="9:13" x14ac:dyDescent="0.3">
      <c r="I3451" s="82"/>
      <c r="M3451" s="85"/>
    </row>
    <row r="3452" spans="9:13" x14ac:dyDescent="0.3">
      <c r="I3452" s="82"/>
      <c r="M3452" s="85"/>
    </row>
    <row r="3453" spans="9:13" x14ac:dyDescent="0.3">
      <c r="I3453" s="82"/>
      <c r="M3453" s="85"/>
    </row>
    <row r="3454" spans="9:13" x14ac:dyDescent="0.3">
      <c r="I3454" s="82"/>
      <c r="M3454" s="85"/>
    </row>
    <row r="3455" spans="9:13" x14ac:dyDescent="0.3">
      <c r="I3455" s="82"/>
      <c r="M3455" s="85"/>
    </row>
    <row r="3456" spans="9:13" x14ac:dyDescent="0.3">
      <c r="I3456" s="82"/>
      <c r="M3456" s="85"/>
    </row>
    <row r="3457" spans="9:13" x14ac:dyDescent="0.3">
      <c r="I3457" s="82"/>
      <c r="M3457" s="85"/>
    </row>
    <row r="3458" spans="9:13" x14ac:dyDescent="0.3">
      <c r="I3458" s="82"/>
      <c r="M3458" s="85"/>
    </row>
    <row r="3459" spans="9:13" x14ac:dyDescent="0.3">
      <c r="I3459" s="82"/>
      <c r="M3459" s="85"/>
    </row>
    <row r="3460" spans="9:13" x14ac:dyDescent="0.3">
      <c r="I3460" s="82"/>
      <c r="M3460" s="85"/>
    </row>
    <row r="3461" spans="9:13" x14ac:dyDescent="0.3">
      <c r="I3461" s="82"/>
      <c r="M3461" s="85"/>
    </row>
    <row r="3462" spans="9:13" x14ac:dyDescent="0.3">
      <c r="I3462" s="82"/>
      <c r="M3462" s="85"/>
    </row>
    <row r="3463" spans="9:13" x14ac:dyDescent="0.3">
      <c r="I3463" s="82"/>
      <c r="M3463" s="85"/>
    </row>
    <row r="3464" spans="9:13" x14ac:dyDescent="0.3">
      <c r="I3464" s="82"/>
      <c r="M3464" s="85"/>
    </row>
    <row r="3465" spans="9:13" x14ac:dyDescent="0.3">
      <c r="I3465" s="82"/>
      <c r="M3465" s="85"/>
    </row>
    <row r="3466" spans="9:13" x14ac:dyDescent="0.3">
      <c r="I3466" s="82"/>
      <c r="M3466" s="85"/>
    </row>
    <row r="3467" spans="9:13" x14ac:dyDescent="0.3">
      <c r="I3467" s="82"/>
      <c r="M3467" s="85"/>
    </row>
    <row r="3468" spans="9:13" x14ac:dyDescent="0.3">
      <c r="I3468" s="82"/>
      <c r="M3468" s="85"/>
    </row>
    <row r="3469" spans="9:13" x14ac:dyDescent="0.3">
      <c r="I3469" s="82"/>
      <c r="M3469" s="85"/>
    </row>
    <row r="3470" spans="9:13" x14ac:dyDescent="0.3">
      <c r="I3470" s="82"/>
      <c r="M3470" s="85"/>
    </row>
    <row r="3471" spans="9:13" x14ac:dyDescent="0.3">
      <c r="I3471" s="82"/>
      <c r="M3471" s="85"/>
    </row>
    <row r="3472" spans="9:13" x14ac:dyDescent="0.3">
      <c r="I3472" s="82"/>
      <c r="M3472" s="85"/>
    </row>
    <row r="3473" spans="9:13" x14ac:dyDescent="0.3">
      <c r="I3473" s="82"/>
      <c r="M3473" s="85"/>
    </row>
    <row r="3474" spans="9:13" x14ac:dyDescent="0.3">
      <c r="I3474" s="82"/>
      <c r="M3474" s="85"/>
    </row>
    <row r="3475" spans="9:13" x14ac:dyDescent="0.3">
      <c r="I3475" s="82"/>
      <c r="M3475" s="85"/>
    </row>
    <row r="3476" spans="9:13" x14ac:dyDescent="0.3">
      <c r="I3476" s="82"/>
      <c r="M3476" s="85"/>
    </row>
    <row r="3477" spans="9:13" x14ac:dyDescent="0.3">
      <c r="I3477" s="82"/>
      <c r="M3477" s="85"/>
    </row>
    <row r="3478" spans="9:13" x14ac:dyDescent="0.3">
      <c r="I3478" s="82"/>
      <c r="M3478" s="85"/>
    </row>
    <row r="3479" spans="9:13" x14ac:dyDescent="0.3">
      <c r="I3479" s="82"/>
      <c r="M3479" s="85"/>
    </row>
    <row r="3480" spans="9:13" x14ac:dyDescent="0.3">
      <c r="I3480" s="82"/>
      <c r="M3480" s="85"/>
    </row>
    <row r="3481" spans="9:13" x14ac:dyDescent="0.3">
      <c r="I3481" s="82"/>
      <c r="M3481" s="85"/>
    </row>
    <row r="3482" spans="9:13" x14ac:dyDescent="0.3">
      <c r="I3482" s="82"/>
      <c r="M3482" s="85"/>
    </row>
    <row r="3483" spans="9:13" x14ac:dyDescent="0.3">
      <c r="I3483" s="82"/>
      <c r="M3483" s="85"/>
    </row>
    <row r="3484" spans="9:13" x14ac:dyDescent="0.3">
      <c r="I3484" s="82"/>
      <c r="M3484" s="85"/>
    </row>
    <row r="3485" spans="9:13" x14ac:dyDescent="0.3">
      <c r="I3485" s="82"/>
      <c r="M3485" s="85"/>
    </row>
    <row r="3486" spans="9:13" x14ac:dyDescent="0.3">
      <c r="I3486" s="82"/>
      <c r="M3486" s="85"/>
    </row>
    <row r="3487" spans="9:13" x14ac:dyDescent="0.3">
      <c r="I3487" s="82"/>
      <c r="M3487" s="85"/>
    </row>
    <row r="3488" spans="9:13" x14ac:dyDescent="0.3">
      <c r="I3488" s="82"/>
      <c r="M3488" s="85"/>
    </row>
    <row r="3489" spans="9:13" x14ac:dyDescent="0.3">
      <c r="I3489" s="82"/>
      <c r="M3489" s="85"/>
    </row>
    <row r="3490" spans="9:13" x14ac:dyDescent="0.3">
      <c r="I3490" s="82"/>
      <c r="M3490" s="85"/>
    </row>
    <row r="3491" spans="9:13" x14ac:dyDescent="0.3">
      <c r="I3491" s="82"/>
      <c r="M3491" s="85"/>
    </row>
    <row r="3492" spans="9:13" x14ac:dyDescent="0.3">
      <c r="I3492" s="82"/>
      <c r="M3492" s="85"/>
    </row>
    <row r="3493" spans="9:13" x14ac:dyDescent="0.3">
      <c r="I3493" s="82"/>
      <c r="M3493" s="85"/>
    </row>
    <row r="3494" spans="9:13" x14ac:dyDescent="0.3">
      <c r="I3494" s="82"/>
      <c r="M3494" s="85"/>
    </row>
    <row r="3495" spans="9:13" x14ac:dyDescent="0.3">
      <c r="I3495" s="82"/>
      <c r="M3495" s="85"/>
    </row>
    <row r="3496" spans="9:13" x14ac:dyDescent="0.3">
      <c r="I3496" s="82"/>
      <c r="M3496" s="85"/>
    </row>
    <row r="3497" spans="9:13" x14ac:dyDescent="0.3">
      <c r="I3497" s="82"/>
      <c r="M3497" s="85"/>
    </row>
    <row r="3498" spans="9:13" x14ac:dyDescent="0.3">
      <c r="I3498" s="82"/>
      <c r="M3498" s="85"/>
    </row>
    <row r="3499" spans="9:13" x14ac:dyDescent="0.3">
      <c r="I3499" s="82"/>
      <c r="M3499" s="85"/>
    </row>
    <row r="3500" spans="9:13" x14ac:dyDescent="0.3">
      <c r="I3500" s="82"/>
      <c r="M3500" s="85"/>
    </row>
    <row r="3501" spans="9:13" x14ac:dyDescent="0.3">
      <c r="I3501" s="82"/>
      <c r="M3501" s="85"/>
    </row>
    <row r="3502" spans="9:13" x14ac:dyDescent="0.3">
      <c r="I3502" s="82"/>
      <c r="M3502" s="85"/>
    </row>
    <row r="3503" spans="9:13" x14ac:dyDescent="0.3">
      <c r="I3503" s="82"/>
      <c r="M3503" s="85"/>
    </row>
    <row r="3504" spans="9:13" x14ac:dyDescent="0.3">
      <c r="I3504" s="82"/>
      <c r="M3504" s="85"/>
    </row>
    <row r="3505" spans="9:13" x14ac:dyDescent="0.3">
      <c r="I3505" s="82"/>
      <c r="M3505" s="85"/>
    </row>
    <row r="3506" spans="9:13" x14ac:dyDescent="0.3">
      <c r="I3506" s="82"/>
      <c r="M3506" s="85"/>
    </row>
    <row r="3507" spans="9:13" x14ac:dyDescent="0.3">
      <c r="I3507" s="82"/>
      <c r="M3507" s="85"/>
    </row>
    <row r="3508" spans="9:13" x14ac:dyDescent="0.3">
      <c r="I3508" s="82"/>
      <c r="M3508" s="85"/>
    </row>
    <row r="3509" spans="9:13" x14ac:dyDescent="0.3">
      <c r="I3509" s="82"/>
      <c r="M3509" s="85"/>
    </row>
    <row r="3510" spans="9:13" x14ac:dyDescent="0.3">
      <c r="I3510" s="82"/>
      <c r="M3510" s="85"/>
    </row>
    <row r="3511" spans="9:13" x14ac:dyDescent="0.3">
      <c r="I3511" s="82"/>
      <c r="M3511" s="85"/>
    </row>
    <row r="3512" spans="9:13" x14ac:dyDescent="0.3">
      <c r="I3512" s="82"/>
      <c r="M3512" s="85"/>
    </row>
    <row r="3513" spans="9:13" x14ac:dyDescent="0.3">
      <c r="I3513" s="82"/>
      <c r="M3513" s="85"/>
    </row>
    <row r="3514" spans="9:13" x14ac:dyDescent="0.3">
      <c r="I3514" s="82"/>
      <c r="M3514" s="85"/>
    </row>
    <row r="3515" spans="9:13" x14ac:dyDescent="0.3">
      <c r="I3515" s="82"/>
      <c r="M3515" s="85"/>
    </row>
    <row r="3516" spans="9:13" x14ac:dyDescent="0.3">
      <c r="I3516" s="82"/>
      <c r="M3516" s="85"/>
    </row>
    <row r="3517" spans="9:13" x14ac:dyDescent="0.3">
      <c r="I3517" s="82"/>
      <c r="M3517" s="85"/>
    </row>
    <row r="3518" spans="9:13" x14ac:dyDescent="0.3">
      <c r="I3518" s="82"/>
      <c r="M3518" s="85"/>
    </row>
    <row r="3519" spans="9:13" x14ac:dyDescent="0.3">
      <c r="I3519" s="82"/>
      <c r="M3519" s="85"/>
    </row>
    <row r="3520" spans="9:13" x14ac:dyDescent="0.3">
      <c r="I3520" s="82"/>
      <c r="M3520" s="85"/>
    </row>
    <row r="3521" spans="9:13" x14ac:dyDescent="0.3">
      <c r="I3521" s="82"/>
      <c r="M3521" s="85"/>
    </row>
    <row r="3522" spans="9:13" x14ac:dyDescent="0.3">
      <c r="I3522" s="82"/>
      <c r="M3522" s="85"/>
    </row>
    <row r="3523" spans="9:13" x14ac:dyDescent="0.3">
      <c r="I3523" s="82"/>
      <c r="M3523" s="85"/>
    </row>
    <row r="3524" spans="9:13" x14ac:dyDescent="0.3">
      <c r="I3524" s="82"/>
      <c r="M3524" s="85"/>
    </row>
    <row r="3525" spans="9:13" x14ac:dyDescent="0.3">
      <c r="I3525" s="82"/>
      <c r="M3525" s="85"/>
    </row>
    <row r="3526" spans="9:13" x14ac:dyDescent="0.3">
      <c r="I3526" s="82"/>
      <c r="M3526" s="85"/>
    </row>
    <row r="3527" spans="9:13" x14ac:dyDescent="0.3">
      <c r="I3527" s="82"/>
      <c r="M3527" s="85"/>
    </row>
    <row r="3528" spans="9:13" x14ac:dyDescent="0.3">
      <c r="I3528" s="82"/>
      <c r="M3528" s="85"/>
    </row>
    <row r="3529" spans="9:13" x14ac:dyDescent="0.3">
      <c r="I3529" s="82"/>
      <c r="M3529" s="85"/>
    </row>
    <row r="3530" spans="9:13" x14ac:dyDescent="0.3">
      <c r="I3530" s="82"/>
      <c r="M3530" s="85"/>
    </row>
    <row r="3531" spans="9:13" x14ac:dyDescent="0.3">
      <c r="I3531" s="82"/>
      <c r="M3531" s="85"/>
    </row>
    <row r="3532" spans="9:13" x14ac:dyDescent="0.3">
      <c r="I3532" s="82"/>
      <c r="M3532" s="85"/>
    </row>
    <row r="3533" spans="9:13" x14ac:dyDescent="0.3">
      <c r="I3533" s="82"/>
      <c r="M3533" s="85"/>
    </row>
    <row r="3534" spans="9:13" x14ac:dyDescent="0.3">
      <c r="I3534" s="82"/>
      <c r="M3534" s="85"/>
    </row>
    <row r="3535" spans="9:13" x14ac:dyDescent="0.3">
      <c r="I3535" s="82"/>
      <c r="M3535" s="85"/>
    </row>
    <row r="3536" spans="9:13" x14ac:dyDescent="0.3">
      <c r="I3536" s="82"/>
      <c r="M3536" s="85"/>
    </row>
    <row r="3537" spans="9:13" x14ac:dyDescent="0.3">
      <c r="I3537" s="82"/>
      <c r="M3537" s="85"/>
    </row>
    <row r="3538" spans="9:13" x14ac:dyDescent="0.3">
      <c r="I3538" s="82"/>
      <c r="M3538" s="85"/>
    </row>
    <row r="3539" spans="9:13" x14ac:dyDescent="0.3">
      <c r="I3539" s="82"/>
      <c r="M3539" s="85"/>
    </row>
    <row r="3540" spans="9:13" x14ac:dyDescent="0.3">
      <c r="I3540" s="82"/>
      <c r="M3540" s="85"/>
    </row>
    <row r="3541" spans="9:13" x14ac:dyDescent="0.3">
      <c r="I3541" s="82"/>
      <c r="M3541" s="85"/>
    </row>
    <row r="3542" spans="9:13" x14ac:dyDescent="0.3">
      <c r="I3542" s="82"/>
      <c r="M3542" s="85"/>
    </row>
    <row r="3543" spans="9:13" x14ac:dyDescent="0.3">
      <c r="I3543" s="82"/>
      <c r="M3543" s="85"/>
    </row>
    <row r="3544" spans="9:13" x14ac:dyDescent="0.3">
      <c r="I3544" s="82"/>
      <c r="M3544" s="85"/>
    </row>
    <row r="3545" spans="9:13" x14ac:dyDescent="0.3">
      <c r="I3545" s="82"/>
      <c r="M3545" s="85"/>
    </row>
    <row r="3546" spans="9:13" x14ac:dyDescent="0.3">
      <c r="I3546" s="82"/>
      <c r="M3546" s="85"/>
    </row>
    <row r="3547" spans="9:13" x14ac:dyDescent="0.3">
      <c r="I3547" s="82"/>
      <c r="M3547" s="85"/>
    </row>
    <row r="3548" spans="9:13" x14ac:dyDescent="0.3">
      <c r="I3548" s="82"/>
      <c r="M3548" s="85"/>
    </row>
    <row r="3549" spans="9:13" x14ac:dyDescent="0.3">
      <c r="I3549" s="82"/>
      <c r="M3549" s="85"/>
    </row>
    <row r="3550" spans="9:13" x14ac:dyDescent="0.3">
      <c r="I3550" s="82"/>
      <c r="M3550" s="85"/>
    </row>
    <row r="3551" spans="9:13" x14ac:dyDescent="0.3">
      <c r="I3551" s="82"/>
      <c r="M3551" s="85"/>
    </row>
    <row r="3552" spans="9:13" x14ac:dyDescent="0.3">
      <c r="I3552" s="82"/>
      <c r="M3552" s="85"/>
    </row>
    <row r="3553" spans="9:13" x14ac:dyDescent="0.3">
      <c r="I3553" s="82"/>
      <c r="M3553" s="85"/>
    </row>
    <row r="3554" spans="9:13" x14ac:dyDescent="0.3">
      <c r="I3554" s="82"/>
      <c r="M3554" s="85"/>
    </row>
    <row r="3555" spans="9:13" x14ac:dyDescent="0.3">
      <c r="I3555" s="82"/>
      <c r="M3555" s="85"/>
    </row>
    <row r="3556" spans="9:13" x14ac:dyDescent="0.3">
      <c r="I3556" s="82"/>
      <c r="M3556" s="85"/>
    </row>
    <row r="3557" spans="9:13" x14ac:dyDescent="0.3">
      <c r="I3557" s="82"/>
      <c r="M3557" s="85"/>
    </row>
    <row r="3558" spans="9:13" x14ac:dyDescent="0.3">
      <c r="I3558" s="82"/>
      <c r="M3558" s="85"/>
    </row>
    <row r="3559" spans="9:13" x14ac:dyDescent="0.3">
      <c r="I3559" s="82"/>
      <c r="M3559" s="85"/>
    </row>
    <row r="3560" spans="9:13" x14ac:dyDescent="0.3">
      <c r="I3560" s="82"/>
      <c r="M3560" s="85"/>
    </row>
    <row r="3561" spans="9:13" x14ac:dyDescent="0.3">
      <c r="I3561" s="82"/>
      <c r="M3561" s="85"/>
    </row>
    <row r="3562" spans="9:13" x14ac:dyDescent="0.3">
      <c r="I3562" s="82"/>
      <c r="M3562" s="85"/>
    </row>
    <row r="3563" spans="9:13" x14ac:dyDescent="0.3">
      <c r="I3563" s="82"/>
      <c r="M3563" s="85"/>
    </row>
    <row r="3564" spans="9:13" x14ac:dyDescent="0.3">
      <c r="I3564" s="82"/>
      <c r="M3564" s="85"/>
    </row>
    <row r="3565" spans="9:13" x14ac:dyDescent="0.3">
      <c r="I3565" s="82"/>
      <c r="M3565" s="85"/>
    </row>
    <row r="3566" spans="9:13" x14ac:dyDescent="0.3">
      <c r="I3566" s="82"/>
      <c r="M3566" s="85"/>
    </row>
    <row r="3567" spans="9:13" x14ac:dyDescent="0.3">
      <c r="I3567" s="82"/>
      <c r="M3567" s="85"/>
    </row>
    <row r="3568" spans="9:13" x14ac:dyDescent="0.3">
      <c r="I3568" s="82"/>
      <c r="M3568" s="85"/>
    </row>
    <row r="3569" spans="9:13" x14ac:dyDescent="0.3">
      <c r="I3569" s="82"/>
      <c r="M3569" s="85"/>
    </row>
    <row r="3570" spans="9:13" x14ac:dyDescent="0.3">
      <c r="I3570" s="82"/>
      <c r="M3570" s="85"/>
    </row>
    <row r="3571" spans="9:13" x14ac:dyDescent="0.3">
      <c r="I3571" s="82"/>
      <c r="M3571" s="85"/>
    </row>
    <row r="3572" spans="9:13" x14ac:dyDescent="0.3">
      <c r="I3572" s="82"/>
      <c r="M3572" s="85"/>
    </row>
    <row r="3573" spans="9:13" x14ac:dyDescent="0.3">
      <c r="I3573" s="82"/>
      <c r="M3573" s="85"/>
    </row>
    <row r="3574" spans="9:13" x14ac:dyDescent="0.3">
      <c r="I3574" s="82"/>
      <c r="M3574" s="85"/>
    </row>
    <row r="3575" spans="9:13" x14ac:dyDescent="0.3">
      <c r="I3575" s="82"/>
      <c r="M3575" s="85"/>
    </row>
    <row r="3576" spans="9:13" x14ac:dyDescent="0.3">
      <c r="I3576" s="82"/>
      <c r="M3576" s="85"/>
    </row>
    <row r="3577" spans="9:13" x14ac:dyDescent="0.3">
      <c r="I3577" s="82"/>
      <c r="M3577" s="85"/>
    </row>
    <row r="3578" spans="9:13" x14ac:dyDescent="0.3">
      <c r="I3578" s="82"/>
      <c r="M3578" s="85"/>
    </row>
    <row r="3579" spans="9:13" x14ac:dyDescent="0.3">
      <c r="I3579" s="82"/>
      <c r="M3579" s="85"/>
    </row>
    <row r="3580" spans="9:13" x14ac:dyDescent="0.3">
      <c r="I3580" s="82"/>
      <c r="M3580" s="85"/>
    </row>
    <row r="3581" spans="9:13" x14ac:dyDescent="0.3">
      <c r="I3581" s="82"/>
      <c r="M3581" s="85"/>
    </row>
    <row r="3582" spans="9:13" x14ac:dyDescent="0.3">
      <c r="I3582" s="82"/>
      <c r="M3582" s="85"/>
    </row>
    <row r="3583" spans="9:13" x14ac:dyDescent="0.3">
      <c r="I3583" s="82"/>
      <c r="M3583" s="85"/>
    </row>
    <row r="3584" spans="9:13" x14ac:dyDescent="0.3">
      <c r="I3584" s="82"/>
      <c r="M3584" s="85"/>
    </row>
    <row r="3585" spans="9:13" x14ac:dyDescent="0.3">
      <c r="I3585" s="82"/>
      <c r="M3585" s="85"/>
    </row>
    <row r="3586" spans="9:13" x14ac:dyDescent="0.3">
      <c r="I3586" s="82"/>
      <c r="M3586" s="85"/>
    </row>
    <row r="3587" spans="9:13" x14ac:dyDescent="0.3">
      <c r="I3587" s="82"/>
      <c r="M3587" s="85"/>
    </row>
    <row r="3588" spans="9:13" x14ac:dyDescent="0.3">
      <c r="I3588" s="82"/>
      <c r="M3588" s="85"/>
    </row>
    <row r="3589" spans="9:13" x14ac:dyDescent="0.3">
      <c r="I3589" s="82"/>
      <c r="M3589" s="85"/>
    </row>
    <row r="3590" spans="9:13" x14ac:dyDescent="0.3">
      <c r="I3590" s="82"/>
      <c r="M3590" s="85"/>
    </row>
    <row r="3591" spans="9:13" x14ac:dyDescent="0.3">
      <c r="I3591" s="82"/>
      <c r="M3591" s="85"/>
    </row>
    <row r="3592" spans="9:13" x14ac:dyDescent="0.3">
      <c r="I3592" s="82"/>
      <c r="M3592" s="85"/>
    </row>
    <row r="3593" spans="9:13" x14ac:dyDescent="0.3">
      <c r="I3593" s="82"/>
      <c r="M3593" s="85"/>
    </row>
    <row r="3594" spans="9:13" x14ac:dyDescent="0.3">
      <c r="I3594" s="82"/>
      <c r="M3594" s="85"/>
    </row>
    <row r="3595" spans="9:13" x14ac:dyDescent="0.3">
      <c r="I3595" s="82"/>
      <c r="M3595" s="85"/>
    </row>
    <row r="3596" spans="9:13" x14ac:dyDescent="0.3">
      <c r="I3596" s="82"/>
      <c r="M3596" s="85"/>
    </row>
    <row r="3597" spans="9:13" x14ac:dyDescent="0.3">
      <c r="I3597" s="82"/>
      <c r="M3597" s="85"/>
    </row>
    <row r="3598" spans="9:13" x14ac:dyDescent="0.3">
      <c r="I3598" s="82"/>
      <c r="M3598" s="85"/>
    </row>
    <row r="3599" spans="9:13" x14ac:dyDescent="0.3">
      <c r="I3599" s="82"/>
      <c r="M3599" s="85"/>
    </row>
    <row r="3600" spans="9:13" x14ac:dyDescent="0.3">
      <c r="I3600" s="82"/>
      <c r="M3600" s="85"/>
    </row>
    <row r="3601" spans="9:13" x14ac:dyDescent="0.3">
      <c r="I3601" s="82"/>
      <c r="M3601" s="85"/>
    </row>
    <row r="3602" spans="9:13" x14ac:dyDescent="0.3">
      <c r="I3602" s="82"/>
      <c r="M3602" s="85"/>
    </row>
    <row r="3603" spans="9:13" x14ac:dyDescent="0.3">
      <c r="I3603" s="82"/>
      <c r="M3603" s="85"/>
    </row>
    <row r="3604" spans="9:13" x14ac:dyDescent="0.3">
      <c r="I3604" s="82"/>
      <c r="M3604" s="85"/>
    </row>
    <row r="3605" spans="9:13" x14ac:dyDescent="0.3">
      <c r="I3605" s="82"/>
      <c r="M3605" s="85"/>
    </row>
    <row r="3606" spans="9:13" x14ac:dyDescent="0.3">
      <c r="I3606" s="82"/>
      <c r="M3606" s="85"/>
    </row>
    <row r="3607" spans="9:13" x14ac:dyDescent="0.3">
      <c r="I3607" s="82"/>
      <c r="M3607" s="85"/>
    </row>
    <row r="3608" spans="9:13" x14ac:dyDescent="0.3">
      <c r="I3608" s="82"/>
      <c r="M3608" s="85"/>
    </row>
    <row r="3609" spans="9:13" x14ac:dyDescent="0.3">
      <c r="I3609" s="82"/>
      <c r="M3609" s="85"/>
    </row>
    <row r="3610" spans="9:13" x14ac:dyDescent="0.3">
      <c r="I3610" s="82"/>
      <c r="M3610" s="85"/>
    </row>
    <row r="3611" spans="9:13" x14ac:dyDescent="0.3">
      <c r="I3611" s="82"/>
      <c r="M3611" s="85"/>
    </row>
    <row r="3612" spans="9:13" x14ac:dyDescent="0.3">
      <c r="I3612" s="82"/>
      <c r="M3612" s="85"/>
    </row>
    <row r="3613" spans="9:13" x14ac:dyDescent="0.3">
      <c r="I3613" s="82"/>
      <c r="M3613" s="85"/>
    </row>
    <row r="3614" spans="9:13" x14ac:dyDescent="0.3">
      <c r="I3614" s="82"/>
      <c r="M3614" s="85"/>
    </row>
    <row r="3615" spans="9:13" x14ac:dyDescent="0.3">
      <c r="I3615" s="82"/>
      <c r="M3615" s="85"/>
    </row>
    <row r="3616" spans="9:13" x14ac:dyDescent="0.3">
      <c r="I3616" s="82"/>
      <c r="M3616" s="85"/>
    </row>
    <row r="3617" spans="9:13" x14ac:dyDescent="0.3">
      <c r="I3617" s="82"/>
      <c r="M3617" s="85"/>
    </row>
    <row r="3618" spans="9:13" x14ac:dyDescent="0.3">
      <c r="I3618" s="82"/>
      <c r="M3618" s="85"/>
    </row>
    <row r="3619" spans="9:13" x14ac:dyDescent="0.3">
      <c r="I3619" s="82"/>
      <c r="M3619" s="85"/>
    </row>
    <row r="3620" spans="9:13" x14ac:dyDescent="0.3">
      <c r="I3620" s="82"/>
      <c r="M3620" s="85"/>
    </row>
    <row r="3621" spans="9:13" x14ac:dyDescent="0.3">
      <c r="I3621" s="82"/>
      <c r="M3621" s="85"/>
    </row>
    <row r="3622" spans="9:13" x14ac:dyDescent="0.3">
      <c r="I3622" s="82"/>
      <c r="M3622" s="85"/>
    </row>
    <row r="3623" spans="9:13" x14ac:dyDescent="0.3">
      <c r="I3623" s="82"/>
      <c r="M3623" s="85"/>
    </row>
    <row r="3624" spans="9:13" x14ac:dyDescent="0.3">
      <c r="I3624" s="82"/>
      <c r="M3624" s="85"/>
    </row>
    <row r="3625" spans="9:13" x14ac:dyDescent="0.3">
      <c r="I3625" s="82"/>
      <c r="M3625" s="85"/>
    </row>
    <row r="3626" spans="9:13" x14ac:dyDescent="0.3">
      <c r="I3626" s="82"/>
      <c r="M3626" s="85"/>
    </row>
    <row r="3627" spans="9:13" x14ac:dyDescent="0.3">
      <c r="I3627" s="82"/>
      <c r="M3627" s="85"/>
    </row>
    <row r="3628" spans="9:13" x14ac:dyDescent="0.3">
      <c r="I3628" s="82"/>
      <c r="M3628" s="85"/>
    </row>
    <row r="3629" spans="9:13" x14ac:dyDescent="0.3">
      <c r="I3629" s="82"/>
      <c r="M3629" s="85"/>
    </row>
    <row r="3630" spans="9:13" x14ac:dyDescent="0.3">
      <c r="I3630" s="82"/>
      <c r="M3630" s="85"/>
    </row>
    <row r="3631" spans="9:13" x14ac:dyDescent="0.3">
      <c r="I3631" s="82"/>
      <c r="M3631" s="85"/>
    </row>
    <row r="3632" spans="9:13" x14ac:dyDescent="0.3">
      <c r="I3632" s="82"/>
      <c r="M3632" s="85"/>
    </row>
    <row r="3633" spans="9:13" x14ac:dyDescent="0.3">
      <c r="I3633" s="82"/>
      <c r="M3633" s="85"/>
    </row>
    <row r="3634" spans="9:13" x14ac:dyDescent="0.3">
      <c r="I3634" s="82"/>
      <c r="M3634" s="85"/>
    </row>
    <row r="3635" spans="9:13" x14ac:dyDescent="0.3">
      <c r="I3635" s="82"/>
      <c r="M3635" s="85"/>
    </row>
    <row r="3636" spans="9:13" x14ac:dyDescent="0.3">
      <c r="I3636" s="82"/>
      <c r="M3636" s="85"/>
    </row>
    <row r="3637" spans="9:13" x14ac:dyDescent="0.3">
      <c r="I3637" s="82"/>
      <c r="M3637" s="85"/>
    </row>
    <row r="3638" spans="9:13" x14ac:dyDescent="0.3">
      <c r="I3638" s="82"/>
      <c r="M3638" s="85"/>
    </row>
    <row r="3639" spans="9:13" x14ac:dyDescent="0.3">
      <c r="I3639" s="82"/>
      <c r="M3639" s="85"/>
    </row>
    <row r="3640" spans="9:13" x14ac:dyDescent="0.3">
      <c r="I3640" s="82"/>
      <c r="M3640" s="85"/>
    </row>
    <row r="3641" spans="9:13" x14ac:dyDescent="0.3">
      <c r="I3641" s="82"/>
      <c r="M3641" s="85"/>
    </row>
    <row r="3642" spans="9:13" x14ac:dyDescent="0.3">
      <c r="I3642" s="82"/>
      <c r="M3642" s="85"/>
    </row>
    <row r="3643" spans="9:13" x14ac:dyDescent="0.3">
      <c r="I3643" s="82"/>
      <c r="M3643" s="85"/>
    </row>
    <row r="3644" spans="9:13" x14ac:dyDescent="0.3">
      <c r="I3644" s="82"/>
      <c r="M3644" s="85"/>
    </row>
    <row r="3645" spans="9:13" x14ac:dyDescent="0.3">
      <c r="I3645" s="82"/>
      <c r="M3645" s="85"/>
    </row>
    <row r="3646" spans="9:13" x14ac:dyDescent="0.3">
      <c r="I3646" s="82"/>
      <c r="M3646" s="85"/>
    </row>
    <row r="3647" spans="9:13" x14ac:dyDescent="0.3">
      <c r="I3647" s="82"/>
      <c r="M3647" s="85"/>
    </row>
    <row r="3648" spans="9:13" x14ac:dyDescent="0.3">
      <c r="I3648" s="82"/>
      <c r="M3648" s="85"/>
    </row>
    <row r="3649" spans="9:13" x14ac:dyDescent="0.3">
      <c r="I3649" s="82"/>
      <c r="M3649" s="85"/>
    </row>
    <row r="3650" spans="9:13" x14ac:dyDescent="0.3">
      <c r="I3650" s="82"/>
      <c r="M3650" s="85"/>
    </row>
    <row r="3651" spans="9:13" x14ac:dyDescent="0.3">
      <c r="I3651" s="82"/>
      <c r="M3651" s="85"/>
    </row>
    <row r="3652" spans="9:13" x14ac:dyDescent="0.3">
      <c r="I3652" s="82"/>
      <c r="M3652" s="85"/>
    </row>
    <row r="3653" spans="9:13" x14ac:dyDescent="0.3">
      <c r="I3653" s="82"/>
      <c r="M3653" s="85"/>
    </row>
    <row r="3654" spans="9:13" x14ac:dyDescent="0.3">
      <c r="I3654" s="82"/>
      <c r="M3654" s="85"/>
    </row>
    <row r="3655" spans="9:13" x14ac:dyDescent="0.3">
      <c r="I3655" s="82"/>
      <c r="M3655" s="85"/>
    </row>
    <row r="3656" spans="9:13" x14ac:dyDescent="0.3">
      <c r="I3656" s="82"/>
      <c r="M3656" s="85"/>
    </row>
    <row r="3657" spans="9:13" x14ac:dyDescent="0.3">
      <c r="I3657" s="82"/>
      <c r="M3657" s="85"/>
    </row>
    <row r="3658" spans="9:13" x14ac:dyDescent="0.3">
      <c r="I3658" s="82"/>
      <c r="M3658" s="85"/>
    </row>
    <row r="3659" spans="9:13" x14ac:dyDescent="0.3">
      <c r="I3659" s="82"/>
      <c r="M3659" s="85"/>
    </row>
    <row r="3660" spans="9:13" x14ac:dyDescent="0.3">
      <c r="I3660" s="82"/>
      <c r="M3660" s="85"/>
    </row>
    <row r="3661" spans="9:13" x14ac:dyDescent="0.3">
      <c r="I3661" s="82"/>
      <c r="M3661" s="85"/>
    </row>
    <row r="3662" spans="9:13" x14ac:dyDescent="0.3">
      <c r="I3662" s="82"/>
      <c r="M3662" s="85"/>
    </row>
    <row r="3663" spans="9:13" x14ac:dyDescent="0.3">
      <c r="I3663" s="82"/>
      <c r="M3663" s="85"/>
    </row>
    <row r="3664" spans="9:13" x14ac:dyDescent="0.3">
      <c r="I3664" s="82"/>
      <c r="M3664" s="85"/>
    </row>
    <row r="3665" spans="9:13" x14ac:dyDescent="0.3">
      <c r="I3665" s="82"/>
      <c r="M3665" s="85"/>
    </row>
    <row r="3666" spans="9:13" x14ac:dyDescent="0.3">
      <c r="I3666" s="82"/>
      <c r="M3666" s="85"/>
    </row>
    <row r="3667" spans="9:13" x14ac:dyDescent="0.3">
      <c r="I3667" s="82"/>
      <c r="M3667" s="85"/>
    </row>
    <row r="3668" spans="9:13" x14ac:dyDescent="0.3">
      <c r="I3668" s="82"/>
      <c r="M3668" s="85"/>
    </row>
    <row r="3669" spans="9:13" x14ac:dyDescent="0.3">
      <c r="I3669" s="82"/>
      <c r="M3669" s="85"/>
    </row>
    <row r="3670" spans="9:13" x14ac:dyDescent="0.3">
      <c r="I3670" s="82"/>
      <c r="M3670" s="85"/>
    </row>
    <row r="3671" spans="9:13" x14ac:dyDescent="0.3">
      <c r="I3671" s="82"/>
      <c r="M3671" s="85"/>
    </row>
    <row r="3672" spans="9:13" x14ac:dyDescent="0.3">
      <c r="I3672" s="82"/>
      <c r="M3672" s="85"/>
    </row>
    <row r="3673" spans="9:13" x14ac:dyDescent="0.3">
      <c r="I3673" s="82"/>
      <c r="M3673" s="85"/>
    </row>
    <row r="3674" spans="9:13" x14ac:dyDescent="0.3">
      <c r="I3674" s="82"/>
      <c r="M3674" s="85"/>
    </row>
    <row r="3675" spans="9:13" x14ac:dyDescent="0.3">
      <c r="I3675" s="82"/>
      <c r="M3675" s="85"/>
    </row>
    <row r="3676" spans="9:13" x14ac:dyDescent="0.3">
      <c r="I3676" s="82"/>
      <c r="M3676" s="85"/>
    </row>
    <row r="3677" spans="9:13" x14ac:dyDescent="0.3">
      <c r="I3677" s="82"/>
      <c r="M3677" s="85"/>
    </row>
    <row r="3678" spans="9:13" x14ac:dyDescent="0.3">
      <c r="I3678" s="82"/>
      <c r="M3678" s="85"/>
    </row>
    <row r="3679" spans="9:13" x14ac:dyDescent="0.3">
      <c r="I3679" s="82"/>
      <c r="M3679" s="85"/>
    </row>
    <row r="3680" spans="9:13" x14ac:dyDescent="0.3">
      <c r="I3680" s="82"/>
      <c r="M3680" s="85"/>
    </row>
    <row r="3681" spans="9:13" x14ac:dyDescent="0.3">
      <c r="I3681" s="82"/>
      <c r="M3681" s="85"/>
    </row>
    <row r="3682" spans="9:13" x14ac:dyDescent="0.3">
      <c r="I3682" s="82"/>
      <c r="M3682" s="85"/>
    </row>
    <row r="3683" spans="9:13" x14ac:dyDescent="0.3">
      <c r="I3683" s="82"/>
      <c r="M3683" s="85"/>
    </row>
    <row r="3684" spans="9:13" x14ac:dyDescent="0.3">
      <c r="I3684" s="82"/>
      <c r="M3684" s="85"/>
    </row>
    <row r="3685" spans="9:13" x14ac:dyDescent="0.3">
      <c r="I3685" s="82"/>
      <c r="M3685" s="85"/>
    </row>
    <row r="3686" spans="9:13" x14ac:dyDescent="0.3">
      <c r="I3686" s="82"/>
      <c r="M3686" s="85"/>
    </row>
    <row r="3687" spans="9:13" x14ac:dyDescent="0.3">
      <c r="I3687" s="82"/>
      <c r="M3687" s="85"/>
    </row>
    <row r="3688" spans="9:13" x14ac:dyDescent="0.3">
      <c r="I3688" s="82"/>
      <c r="M3688" s="85"/>
    </row>
    <row r="3689" spans="9:13" x14ac:dyDescent="0.3">
      <c r="I3689" s="82"/>
      <c r="M3689" s="85"/>
    </row>
    <row r="3690" spans="9:13" x14ac:dyDescent="0.3">
      <c r="I3690" s="82"/>
      <c r="M3690" s="85"/>
    </row>
    <row r="3691" spans="9:13" x14ac:dyDescent="0.3">
      <c r="I3691" s="82"/>
      <c r="M3691" s="85"/>
    </row>
    <row r="3692" spans="9:13" x14ac:dyDescent="0.3">
      <c r="I3692" s="82"/>
      <c r="M3692" s="85"/>
    </row>
    <row r="3693" spans="9:13" x14ac:dyDescent="0.3">
      <c r="I3693" s="82"/>
      <c r="M3693" s="85"/>
    </row>
    <row r="3694" spans="9:13" x14ac:dyDescent="0.3">
      <c r="I3694" s="82"/>
      <c r="M3694" s="85"/>
    </row>
    <row r="3695" spans="9:13" x14ac:dyDescent="0.3">
      <c r="I3695" s="82"/>
      <c r="M3695" s="85"/>
    </row>
    <row r="3696" spans="9:13" x14ac:dyDescent="0.3">
      <c r="I3696" s="82"/>
      <c r="M3696" s="85"/>
    </row>
    <row r="3697" spans="9:13" x14ac:dyDescent="0.3">
      <c r="I3697" s="82"/>
      <c r="M3697" s="85"/>
    </row>
    <row r="3698" spans="9:13" x14ac:dyDescent="0.3">
      <c r="I3698" s="82"/>
      <c r="M3698" s="85"/>
    </row>
    <row r="3699" spans="9:13" x14ac:dyDescent="0.3">
      <c r="I3699" s="82"/>
      <c r="M3699" s="85"/>
    </row>
    <row r="3700" spans="9:13" x14ac:dyDescent="0.3">
      <c r="I3700" s="82"/>
      <c r="M3700" s="85"/>
    </row>
    <row r="3701" spans="9:13" x14ac:dyDescent="0.3">
      <c r="I3701" s="82"/>
      <c r="M3701" s="85"/>
    </row>
    <row r="3702" spans="9:13" x14ac:dyDescent="0.3">
      <c r="I3702" s="82"/>
      <c r="M3702" s="85"/>
    </row>
    <row r="3703" spans="9:13" x14ac:dyDescent="0.3">
      <c r="I3703" s="82"/>
      <c r="M3703" s="85"/>
    </row>
    <row r="3704" spans="9:13" x14ac:dyDescent="0.3">
      <c r="I3704" s="82"/>
      <c r="M3704" s="85"/>
    </row>
    <row r="3705" spans="9:13" x14ac:dyDescent="0.3">
      <c r="I3705" s="82"/>
      <c r="M3705" s="85"/>
    </row>
    <row r="3706" spans="9:13" x14ac:dyDescent="0.3">
      <c r="I3706" s="82"/>
      <c r="M3706" s="85"/>
    </row>
    <row r="3707" spans="9:13" x14ac:dyDescent="0.3">
      <c r="I3707" s="82"/>
      <c r="M3707" s="85"/>
    </row>
    <row r="3708" spans="9:13" x14ac:dyDescent="0.3">
      <c r="I3708" s="82"/>
      <c r="M3708" s="85"/>
    </row>
    <row r="3709" spans="9:13" x14ac:dyDescent="0.3">
      <c r="I3709" s="82"/>
      <c r="M3709" s="85"/>
    </row>
    <row r="3710" spans="9:13" x14ac:dyDescent="0.3">
      <c r="I3710" s="82"/>
      <c r="M3710" s="85"/>
    </row>
    <row r="3711" spans="9:13" x14ac:dyDescent="0.3">
      <c r="I3711" s="82"/>
      <c r="M3711" s="85"/>
    </row>
    <row r="3712" spans="9:13" x14ac:dyDescent="0.3">
      <c r="I3712" s="82"/>
      <c r="M3712" s="85"/>
    </row>
    <row r="3713" spans="9:13" x14ac:dyDescent="0.3">
      <c r="I3713" s="82"/>
      <c r="M3713" s="85"/>
    </row>
    <row r="3714" spans="9:13" x14ac:dyDescent="0.3">
      <c r="I3714" s="82"/>
      <c r="M3714" s="85"/>
    </row>
    <row r="3715" spans="9:13" x14ac:dyDescent="0.3">
      <c r="I3715" s="82"/>
      <c r="M3715" s="85"/>
    </row>
    <row r="3716" spans="9:13" x14ac:dyDescent="0.3">
      <c r="I3716" s="82"/>
      <c r="M3716" s="85"/>
    </row>
    <row r="3717" spans="9:13" x14ac:dyDescent="0.3">
      <c r="I3717" s="82"/>
      <c r="M3717" s="85"/>
    </row>
    <row r="3718" spans="9:13" x14ac:dyDescent="0.3">
      <c r="I3718" s="82"/>
      <c r="M3718" s="85"/>
    </row>
    <row r="3719" spans="9:13" x14ac:dyDescent="0.3">
      <c r="I3719" s="82"/>
      <c r="M3719" s="85"/>
    </row>
    <row r="3720" spans="9:13" x14ac:dyDescent="0.3">
      <c r="I3720" s="82"/>
      <c r="M3720" s="85"/>
    </row>
    <row r="3721" spans="9:13" x14ac:dyDescent="0.3">
      <c r="I3721" s="82"/>
      <c r="M3721" s="85"/>
    </row>
    <row r="3722" spans="9:13" x14ac:dyDescent="0.3">
      <c r="I3722" s="82"/>
      <c r="M3722" s="85"/>
    </row>
    <row r="3723" spans="9:13" x14ac:dyDescent="0.3">
      <c r="I3723" s="82"/>
      <c r="M3723" s="85"/>
    </row>
    <row r="3724" spans="9:13" x14ac:dyDescent="0.3">
      <c r="I3724" s="82"/>
      <c r="M3724" s="85"/>
    </row>
    <row r="3725" spans="9:13" x14ac:dyDescent="0.3">
      <c r="I3725" s="82"/>
      <c r="M3725" s="85"/>
    </row>
    <row r="3726" spans="9:13" x14ac:dyDescent="0.3">
      <c r="I3726" s="82"/>
      <c r="M3726" s="85"/>
    </row>
    <row r="3727" spans="9:13" x14ac:dyDescent="0.3">
      <c r="I3727" s="82"/>
      <c r="M3727" s="85"/>
    </row>
    <row r="3728" spans="9:13" x14ac:dyDescent="0.3">
      <c r="I3728" s="82"/>
      <c r="M3728" s="85"/>
    </row>
    <row r="3729" spans="9:13" x14ac:dyDescent="0.3">
      <c r="I3729" s="82"/>
      <c r="M3729" s="85"/>
    </row>
    <row r="3730" spans="9:13" x14ac:dyDescent="0.3">
      <c r="I3730" s="82"/>
      <c r="M3730" s="85"/>
    </row>
    <row r="3731" spans="9:13" x14ac:dyDescent="0.3">
      <c r="I3731" s="82"/>
      <c r="M3731" s="85"/>
    </row>
    <row r="3732" spans="9:13" x14ac:dyDescent="0.3">
      <c r="I3732" s="82"/>
      <c r="M3732" s="85"/>
    </row>
    <row r="3733" spans="9:13" x14ac:dyDescent="0.3">
      <c r="I3733" s="82"/>
      <c r="M3733" s="85"/>
    </row>
    <row r="3734" spans="9:13" x14ac:dyDescent="0.3">
      <c r="I3734" s="82"/>
      <c r="M3734" s="85"/>
    </row>
    <row r="3735" spans="9:13" x14ac:dyDescent="0.3">
      <c r="I3735" s="82"/>
      <c r="M3735" s="85"/>
    </row>
    <row r="3736" spans="9:13" x14ac:dyDescent="0.3">
      <c r="I3736" s="82"/>
      <c r="M3736" s="85"/>
    </row>
    <row r="3737" spans="9:13" x14ac:dyDescent="0.3">
      <c r="I3737" s="82"/>
      <c r="M3737" s="85"/>
    </row>
    <row r="3738" spans="9:13" x14ac:dyDescent="0.3">
      <c r="I3738" s="82"/>
      <c r="M3738" s="85"/>
    </row>
    <row r="3739" spans="9:13" x14ac:dyDescent="0.3">
      <c r="I3739" s="82"/>
      <c r="M3739" s="85"/>
    </row>
    <row r="3740" spans="9:13" x14ac:dyDescent="0.3">
      <c r="I3740" s="82"/>
      <c r="M3740" s="85"/>
    </row>
    <row r="3741" spans="9:13" x14ac:dyDescent="0.3">
      <c r="I3741" s="82"/>
      <c r="M3741" s="85"/>
    </row>
    <row r="3742" spans="9:13" x14ac:dyDescent="0.3">
      <c r="I3742" s="82"/>
      <c r="M3742" s="85"/>
    </row>
    <row r="3743" spans="9:13" x14ac:dyDescent="0.3">
      <c r="I3743" s="82"/>
      <c r="M3743" s="85"/>
    </row>
    <row r="3744" spans="9:13" x14ac:dyDescent="0.3">
      <c r="I3744" s="82"/>
      <c r="M3744" s="85"/>
    </row>
    <row r="3745" spans="9:13" x14ac:dyDescent="0.3">
      <c r="I3745" s="82"/>
      <c r="M3745" s="85"/>
    </row>
    <row r="3746" spans="9:13" x14ac:dyDescent="0.3">
      <c r="I3746" s="82"/>
      <c r="M3746" s="85"/>
    </row>
    <row r="3747" spans="9:13" x14ac:dyDescent="0.3">
      <c r="I3747" s="82"/>
      <c r="M3747" s="85"/>
    </row>
    <row r="3748" spans="9:13" x14ac:dyDescent="0.3">
      <c r="I3748" s="82"/>
      <c r="M3748" s="85"/>
    </row>
    <row r="3749" spans="9:13" x14ac:dyDescent="0.3">
      <c r="I3749" s="82"/>
      <c r="M3749" s="85"/>
    </row>
    <row r="3750" spans="9:13" x14ac:dyDescent="0.3">
      <c r="I3750" s="82"/>
      <c r="M3750" s="85"/>
    </row>
    <row r="3751" spans="9:13" x14ac:dyDescent="0.3">
      <c r="I3751" s="82"/>
      <c r="M3751" s="85"/>
    </row>
    <row r="3752" spans="9:13" x14ac:dyDescent="0.3">
      <c r="I3752" s="82"/>
      <c r="M3752" s="85"/>
    </row>
    <row r="3753" spans="9:13" x14ac:dyDescent="0.3">
      <c r="I3753" s="82"/>
      <c r="M3753" s="85"/>
    </row>
    <row r="3754" spans="9:13" x14ac:dyDescent="0.3">
      <c r="I3754" s="82"/>
      <c r="M3754" s="85"/>
    </row>
    <row r="3755" spans="9:13" x14ac:dyDescent="0.3">
      <c r="I3755" s="82"/>
      <c r="M3755" s="85"/>
    </row>
    <row r="3756" spans="9:13" x14ac:dyDescent="0.3">
      <c r="I3756" s="82"/>
      <c r="M3756" s="85"/>
    </row>
    <row r="3757" spans="9:13" x14ac:dyDescent="0.3">
      <c r="I3757" s="82"/>
      <c r="M3757" s="85"/>
    </row>
    <row r="3758" spans="9:13" x14ac:dyDescent="0.3">
      <c r="I3758" s="82"/>
      <c r="M3758" s="85"/>
    </row>
    <row r="3759" spans="9:13" x14ac:dyDescent="0.3">
      <c r="I3759" s="82"/>
      <c r="M3759" s="85"/>
    </row>
    <row r="3760" spans="9:13" x14ac:dyDescent="0.3">
      <c r="I3760" s="82"/>
      <c r="M3760" s="85"/>
    </row>
    <row r="3761" spans="9:13" x14ac:dyDescent="0.3">
      <c r="I3761" s="82"/>
      <c r="M3761" s="85"/>
    </row>
    <row r="3762" spans="9:13" x14ac:dyDescent="0.3">
      <c r="I3762" s="82"/>
      <c r="M3762" s="85"/>
    </row>
    <row r="3763" spans="9:13" x14ac:dyDescent="0.3">
      <c r="I3763" s="82"/>
      <c r="M3763" s="85"/>
    </row>
    <row r="3764" spans="9:13" x14ac:dyDescent="0.3">
      <c r="I3764" s="82"/>
      <c r="M3764" s="85"/>
    </row>
    <row r="3765" spans="9:13" x14ac:dyDescent="0.3">
      <c r="I3765" s="82"/>
      <c r="M3765" s="85"/>
    </row>
    <row r="3766" spans="9:13" x14ac:dyDescent="0.3">
      <c r="I3766" s="82"/>
      <c r="M3766" s="85"/>
    </row>
    <row r="3767" spans="9:13" x14ac:dyDescent="0.3">
      <c r="I3767" s="82"/>
      <c r="M3767" s="85"/>
    </row>
    <row r="3768" spans="9:13" x14ac:dyDescent="0.3">
      <c r="I3768" s="82"/>
      <c r="M3768" s="85"/>
    </row>
    <row r="3769" spans="9:13" x14ac:dyDescent="0.3">
      <c r="I3769" s="82"/>
      <c r="M3769" s="85"/>
    </row>
    <row r="3770" spans="9:13" x14ac:dyDescent="0.3">
      <c r="I3770" s="82"/>
      <c r="M3770" s="85"/>
    </row>
    <row r="3771" spans="9:13" x14ac:dyDescent="0.3">
      <c r="I3771" s="82"/>
      <c r="M3771" s="85"/>
    </row>
    <row r="3772" spans="9:13" x14ac:dyDescent="0.3">
      <c r="I3772" s="82"/>
      <c r="M3772" s="85"/>
    </row>
    <row r="3773" spans="9:13" x14ac:dyDescent="0.3">
      <c r="I3773" s="82"/>
      <c r="M3773" s="85"/>
    </row>
    <row r="3774" spans="9:13" x14ac:dyDescent="0.3">
      <c r="I3774" s="82"/>
      <c r="M3774" s="85"/>
    </row>
    <row r="3775" spans="9:13" x14ac:dyDescent="0.3">
      <c r="I3775" s="82"/>
      <c r="M3775" s="85"/>
    </row>
    <row r="3776" spans="9:13" x14ac:dyDescent="0.3">
      <c r="I3776" s="82"/>
      <c r="M3776" s="85"/>
    </row>
    <row r="3777" spans="9:13" x14ac:dyDescent="0.3">
      <c r="I3777" s="82"/>
      <c r="M3777" s="85"/>
    </row>
    <row r="3778" spans="9:13" x14ac:dyDescent="0.3">
      <c r="I3778" s="82"/>
      <c r="M3778" s="85"/>
    </row>
    <row r="3779" spans="9:13" x14ac:dyDescent="0.3">
      <c r="I3779" s="82"/>
      <c r="M3779" s="85"/>
    </row>
    <row r="3780" spans="9:13" x14ac:dyDescent="0.3">
      <c r="I3780" s="82"/>
      <c r="M3780" s="85"/>
    </row>
    <row r="3781" spans="9:13" x14ac:dyDescent="0.3">
      <c r="I3781" s="82"/>
      <c r="M3781" s="85"/>
    </row>
    <row r="3782" spans="9:13" x14ac:dyDescent="0.3">
      <c r="I3782" s="82"/>
      <c r="M3782" s="85"/>
    </row>
    <row r="3783" spans="9:13" x14ac:dyDescent="0.3">
      <c r="I3783" s="82"/>
      <c r="M3783" s="85"/>
    </row>
    <row r="3784" spans="9:13" x14ac:dyDescent="0.3">
      <c r="I3784" s="82"/>
      <c r="M3784" s="85"/>
    </row>
    <row r="3785" spans="9:13" x14ac:dyDescent="0.3">
      <c r="I3785" s="82"/>
      <c r="M3785" s="85"/>
    </row>
    <row r="3786" spans="9:13" x14ac:dyDescent="0.3">
      <c r="I3786" s="82"/>
      <c r="M3786" s="85"/>
    </row>
    <row r="3787" spans="9:13" x14ac:dyDescent="0.3">
      <c r="I3787" s="82"/>
      <c r="M3787" s="85"/>
    </row>
    <row r="3788" spans="9:13" x14ac:dyDescent="0.3">
      <c r="I3788" s="82"/>
      <c r="M3788" s="85"/>
    </row>
    <row r="3789" spans="9:13" x14ac:dyDescent="0.3">
      <c r="I3789" s="82"/>
      <c r="M3789" s="85"/>
    </row>
    <row r="3790" spans="9:13" x14ac:dyDescent="0.3">
      <c r="I3790" s="82"/>
      <c r="M3790" s="85"/>
    </row>
    <row r="3791" spans="9:13" x14ac:dyDescent="0.3">
      <c r="I3791" s="82"/>
      <c r="M3791" s="85"/>
    </row>
    <row r="3792" spans="9:13" x14ac:dyDescent="0.3">
      <c r="I3792" s="82"/>
      <c r="M3792" s="85"/>
    </row>
    <row r="3793" spans="9:13" x14ac:dyDescent="0.3">
      <c r="I3793" s="82"/>
      <c r="M3793" s="85"/>
    </row>
    <row r="3794" spans="9:13" x14ac:dyDescent="0.3">
      <c r="I3794" s="82"/>
      <c r="M3794" s="85"/>
    </row>
    <row r="3795" spans="9:13" x14ac:dyDescent="0.3">
      <c r="I3795" s="82"/>
      <c r="M3795" s="85"/>
    </row>
    <row r="3796" spans="9:13" x14ac:dyDescent="0.3">
      <c r="I3796" s="82"/>
      <c r="M3796" s="85"/>
    </row>
    <row r="3797" spans="9:13" x14ac:dyDescent="0.3">
      <c r="I3797" s="82"/>
      <c r="M3797" s="85"/>
    </row>
    <row r="3798" spans="9:13" x14ac:dyDescent="0.3">
      <c r="I3798" s="82"/>
      <c r="M3798" s="85"/>
    </row>
    <row r="3799" spans="9:13" x14ac:dyDescent="0.3">
      <c r="I3799" s="82"/>
      <c r="M3799" s="85"/>
    </row>
    <row r="3800" spans="9:13" x14ac:dyDescent="0.3">
      <c r="I3800" s="82"/>
      <c r="M3800" s="85"/>
    </row>
    <row r="3801" spans="9:13" x14ac:dyDescent="0.3">
      <c r="I3801" s="82"/>
      <c r="M3801" s="85"/>
    </row>
    <row r="3802" spans="9:13" x14ac:dyDescent="0.3">
      <c r="I3802" s="82"/>
      <c r="M3802" s="85"/>
    </row>
    <row r="3803" spans="9:13" x14ac:dyDescent="0.3">
      <c r="I3803" s="82"/>
      <c r="M3803" s="85"/>
    </row>
    <row r="3804" spans="9:13" x14ac:dyDescent="0.3">
      <c r="I3804" s="82"/>
      <c r="M3804" s="85"/>
    </row>
    <row r="3805" spans="9:13" x14ac:dyDescent="0.3">
      <c r="I3805" s="82"/>
      <c r="M3805" s="85"/>
    </row>
    <row r="3806" spans="9:13" x14ac:dyDescent="0.3">
      <c r="I3806" s="82"/>
      <c r="M3806" s="85"/>
    </row>
    <row r="3807" spans="9:13" x14ac:dyDescent="0.3">
      <c r="I3807" s="82"/>
      <c r="M3807" s="85"/>
    </row>
    <row r="3808" spans="9:13" x14ac:dyDescent="0.3">
      <c r="I3808" s="82"/>
      <c r="M3808" s="85"/>
    </row>
    <row r="3809" spans="9:13" x14ac:dyDescent="0.3">
      <c r="I3809" s="82"/>
      <c r="M3809" s="85"/>
    </row>
    <row r="3810" spans="9:13" x14ac:dyDescent="0.3">
      <c r="I3810" s="82"/>
      <c r="M3810" s="85"/>
    </row>
    <row r="3811" spans="9:13" x14ac:dyDescent="0.3">
      <c r="I3811" s="82"/>
      <c r="M3811" s="85"/>
    </row>
    <row r="3812" spans="9:13" x14ac:dyDescent="0.3">
      <c r="I3812" s="82"/>
      <c r="M3812" s="85"/>
    </row>
    <row r="3813" spans="9:13" x14ac:dyDescent="0.3">
      <c r="I3813" s="82"/>
      <c r="M3813" s="85"/>
    </row>
    <row r="3814" spans="9:13" x14ac:dyDescent="0.3">
      <c r="I3814" s="82"/>
      <c r="M3814" s="85"/>
    </row>
    <row r="3815" spans="9:13" x14ac:dyDescent="0.3">
      <c r="I3815" s="82"/>
      <c r="M3815" s="85"/>
    </row>
    <row r="3816" spans="9:13" x14ac:dyDescent="0.3">
      <c r="I3816" s="82"/>
      <c r="M3816" s="85"/>
    </row>
    <row r="3817" spans="9:13" x14ac:dyDescent="0.3">
      <c r="I3817" s="82"/>
      <c r="M3817" s="85"/>
    </row>
    <row r="3818" spans="9:13" x14ac:dyDescent="0.3">
      <c r="I3818" s="82"/>
      <c r="M3818" s="85"/>
    </row>
    <row r="3819" spans="9:13" x14ac:dyDescent="0.3">
      <c r="I3819" s="82"/>
      <c r="M3819" s="85"/>
    </row>
    <row r="3820" spans="9:13" x14ac:dyDescent="0.3">
      <c r="I3820" s="82"/>
      <c r="M3820" s="85"/>
    </row>
    <row r="3821" spans="9:13" x14ac:dyDescent="0.3">
      <c r="I3821" s="82"/>
      <c r="M3821" s="85"/>
    </row>
    <row r="3822" spans="9:13" x14ac:dyDescent="0.3">
      <c r="I3822" s="82"/>
      <c r="M3822" s="85"/>
    </row>
    <row r="3823" spans="9:13" x14ac:dyDescent="0.3">
      <c r="I3823" s="82"/>
      <c r="M3823" s="85"/>
    </row>
    <row r="3824" spans="9:13" x14ac:dyDescent="0.3">
      <c r="I3824" s="82"/>
      <c r="M3824" s="85"/>
    </row>
    <row r="3825" spans="9:13" x14ac:dyDescent="0.3">
      <c r="I3825" s="82"/>
      <c r="M3825" s="85"/>
    </row>
    <row r="3826" spans="9:13" x14ac:dyDescent="0.3">
      <c r="I3826" s="82"/>
      <c r="M3826" s="85"/>
    </row>
    <row r="3827" spans="9:13" x14ac:dyDescent="0.3">
      <c r="I3827" s="82"/>
      <c r="M3827" s="85"/>
    </row>
    <row r="3828" spans="9:13" x14ac:dyDescent="0.3">
      <c r="I3828" s="82"/>
      <c r="M3828" s="85"/>
    </row>
    <row r="3829" spans="9:13" x14ac:dyDescent="0.3">
      <c r="I3829" s="82"/>
      <c r="M3829" s="85"/>
    </row>
    <row r="3830" spans="9:13" x14ac:dyDescent="0.3">
      <c r="I3830" s="82"/>
      <c r="M3830" s="85"/>
    </row>
    <row r="3831" spans="9:13" x14ac:dyDescent="0.3">
      <c r="I3831" s="82"/>
      <c r="M3831" s="85"/>
    </row>
    <row r="3832" spans="9:13" x14ac:dyDescent="0.3">
      <c r="I3832" s="82"/>
      <c r="M3832" s="85"/>
    </row>
    <row r="3833" spans="9:13" x14ac:dyDescent="0.3">
      <c r="I3833" s="82"/>
      <c r="M3833" s="85"/>
    </row>
    <row r="3834" spans="9:13" x14ac:dyDescent="0.3">
      <c r="I3834" s="82"/>
      <c r="M3834" s="85"/>
    </row>
    <row r="3835" spans="9:13" x14ac:dyDescent="0.3">
      <c r="I3835" s="82"/>
      <c r="M3835" s="85"/>
    </row>
    <row r="3836" spans="9:13" x14ac:dyDescent="0.3">
      <c r="I3836" s="82"/>
      <c r="M3836" s="85"/>
    </row>
    <row r="3837" spans="9:13" x14ac:dyDescent="0.3">
      <c r="I3837" s="82"/>
      <c r="M3837" s="85"/>
    </row>
    <row r="3838" spans="9:13" x14ac:dyDescent="0.3">
      <c r="I3838" s="82"/>
      <c r="M3838" s="85"/>
    </row>
    <row r="3839" spans="9:13" x14ac:dyDescent="0.3">
      <c r="I3839" s="82"/>
      <c r="M3839" s="85"/>
    </row>
    <row r="3840" spans="9:13" x14ac:dyDescent="0.3">
      <c r="I3840" s="82"/>
      <c r="M3840" s="85"/>
    </row>
    <row r="3841" spans="9:13" x14ac:dyDescent="0.3">
      <c r="I3841" s="82"/>
      <c r="M3841" s="85"/>
    </row>
    <row r="3842" spans="9:13" x14ac:dyDescent="0.3">
      <c r="I3842" s="82"/>
      <c r="M3842" s="85"/>
    </row>
    <row r="3843" spans="9:13" x14ac:dyDescent="0.3">
      <c r="I3843" s="82"/>
      <c r="M3843" s="85"/>
    </row>
    <row r="3844" spans="9:13" x14ac:dyDescent="0.3">
      <c r="I3844" s="82"/>
      <c r="M3844" s="85"/>
    </row>
    <row r="3845" spans="9:13" x14ac:dyDescent="0.3">
      <c r="I3845" s="82"/>
      <c r="M3845" s="85"/>
    </row>
    <row r="3846" spans="9:13" x14ac:dyDescent="0.3">
      <c r="I3846" s="82"/>
      <c r="M3846" s="85"/>
    </row>
    <row r="3847" spans="9:13" x14ac:dyDescent="0.3">
      <c r="I3847" s="82"/>
      <c r="M3847" s="85"/>
    </row>
    <row r="3848" spans="9:13" x14ac:dyDescent="0.3">
      <c r="I3848" s="82"/>
      <c r="M3848" s="85"/>
    </row>
    <row r="3849" spans="9:13" x14ac:dyDescent="0.3">
      <c r="I3849" s="82"/>
      <c r="M3849" s="85"/>
    </row>
    <row r="3850" spans="9:13" x14ac:dyDescent="0.3">
      <c r="I3850" s="82"/>
      <c r="M3850" s="85"/>
    </row>
    <row r="3851" spans="9:13" x14ac:dyDescent="0.3">
      <c r="I3851" s="82"/>
      <c r="M3851" s="85"/>
    </row>
    <row r="3852" spans="9:13" x14ac:dyDescent="0.3">
      <c r="I3852" s="82"/>
      <c r="M3852" s="85"/>
    </row>
    <row r="3853" spans="9:13" x14ac:dyDescent="0.3">
      <c r="I3853" s="82"/>
      <c r="M3853" s="85"/>
    </row>
    <row r="3854" spans="9:13" x14ac:dyDescent="0.3">
      <c r="I3854" s="82"/>
      <c r="M3854" s="85"/>
    </row>
    <row r="3855" spans="9:13" x14ac:dyDescent="0.3">
      <c r="I3855" s="82"/>
      <c r="M3855" s="85"/>
    </row>
    <row r="3856" spans="9:13" x14ac:dyDescent="0.3">
      <c r="I3856" s="82"/>
      <c r="M3856" s="85"/>
    </row>
    <row r="3857" spans="9:13" x14ac:dyDescent="0.3">
      <c r="I3857" s="82"/>
      <c r="M3857" s="85"/>
    </row>
    <row r="3858" spans="9:13" x14ac:dyDescent="0.3">
      <c r="I3858" s="82"/>
      <c r="M3858" s="85"/>
    </row>
    <row r="3859" spans="9:13" x14ac:dyDescent="0.3">
      <c r="I3859" s="82"/>
      <c r="M3859" s="85"/>
    </row>
    <row r="3860" spans="9:13" x14ac:dyDescent="0.3">
      <c r="I3860" s="82"/>
      <c r="M3860" s="85"/>
    </row>
    <row r="3861" spans="9:13" x14ac:dyDescent="0.3">
      <c r="I3861" s="82"/>
      <c r="M3861" s="85"/>
    </row>
    <row r="3862" spans="9:13" x14ac:dyDescent="0.3">
      <c r="I3862" s="82"/>
      <c r="M3862" s="85"/>
    </row>
    <row r="3863" spans="9:13" x14ac:dyDescent="0.3">
      <c r="I3863" s="82"/>
      <c r="M3863" s="85"/>
    </row>
    <row r="3864" spans="9:13" x14ac:dyDescent="0.3">
      <c r="I3864" s="82"/>
      <c r="M3864" s="85"/>
    </row>
    <row r="3865" spans="9:13" x14ac:dyDescent="0.3">
      <c r="I3865" s="82"/>
      <c r="M3865" s="85"/>
    </row>
    <row r="3866" spans="9:13" x14ac:dyDescent="0.3">
      <c r="I3866" s="82"/>
      <c r="M3866" s="85"/>
    </row>
    <row r="3867" spans="9:13" x14ac:dyDescent="0.3">
      <c r="I3867" s="82"/>
      <c r="M3867" s="85"/>
    </row>
    <row r="3868" spans="9:13" x14ac:dyDescent="0.3">
      <c r="I3868" s="82"/>
      <c r="M3868" s="85"/>
    </row>
    <row r="3869" spans="9:13" x14ac:dyDescent="0.3">
      <c r="I3869" s="82"/>
      <c r="M3869" s="85"/>
    </row>
    <row r="3870" spans="9:13" x14ac:dyDescent="0.3">
      <c r="I3870" s="82"/>
      <c r="M3870" s="85"/>
    </row>
    <row r="3871" spans="9:13" x14ac:dyDescent="0.3">
      <c r="I3871" s="82"/>
      <c r="M3871" s="85"/>
    </row>
    <row r="3872" spans="9:13" x14ac:dyDescent="0.3">
      <c r="I3872" s="82"/>
      <c r="M3872" s="85"/>
    </row>
    <row r="3873" spans="9:13" x14ac:dyDescent="0.3">
      <c r="I3873" s="82"/>
      <c r="M3873" s="85"/>
    </row>
    <row r="3874" spans="9:13" x14ac:dyDescent="0.3">
      <c r="I3874" s="82"/>
      <c r="M3874" s="85"/>
    </row>
    <row r="3875" spans="9:13" x14ac:dyDescent="0.3">
      <c r="I3875" s="82"/>
      <c r="M3875" s="85"/>
    </row>
    <row r="3876" spans="9:13" x14ac:dyDescent="0.3">
      <c r="I3876" s="82"/>
      <c r="M3876" s="85"/>
    </row>
    <row r="3877" spans="9:13" x14ac:dyDescent="0.3">
      <c r="I3877" s="82"/>
      <c r="M3877" s="85"/>
    </row>
    <row r="3878" spans="9:13" x14ac:dyDescent="0.3">
      <c r="I3878" s="82"/>
      <c r="M3878" s="85"/>
    </row>
    <row r="3879" spans="9:13" x14ac:dyDescent="0.3">
      <c r="I3879" s="82"/>
      <c r="M3879" s="85"/>
    </row>
    <row r="3880" spans="9:13" x14ac:dyDescent="0.3">
      <c r="I3880" s="82"/>
      <c r="M3880" s="85"/>
    </row>
    <row r="3881" spans="9:13" x14ac:dyDescent="0.3">
      <c r="I3881" s="82"/>
      <c r="M3881" s="85"/>
    </row>
    <row r="3882" spans="9:13" x14ac:dyDescent="0.3">
      <c r="I3882" s="82"/>
      <c r="M3882" s="85"/>
    </row>
    <row r="3883" spans="9:13" x14ac:dyDescent="0.3">
      <c r="I3883" s="82"/>
      <c r="M3883" s="85"/>
    </row>
    <row r="3884" spans="9:13" x14ac:dyDescent="0.3">
      <c r="I3884" s="82"/>
      <c r="M3884" s="85"/>
    </row>
    <row r="3885" spans="9:13" x14ac:dyDescent="0.3">
      <c r="I3885" s="82"/>
      <c r="M3885" s="85"/>
    </row>
    <row r="3886" spans="9:13" x14ac:dyDescent="0.3">
      <c r="I3886" s="82"/>
      <c r="M3886" s="85"/>
    </row>
    <row r="3887" spans="9:13" x14ac:dyDescent="0.3">
      <c r="I3887" s="82"/>
      <c r="M3887" s="85"/>
    </row>
    <row r="3888" spans="9:13" x14ac:dyDescent="0.3">
      <c r="I3888" s="82"/>
      <c r="M3888" s="85"/>
    </row>
    <row r="3889" spans="9:13" x14ac:dyDescent="0.3">
      <c r="I3889" s="82"/>
      <c r="M3889" s="85"/>
    </row>
    <row r="3890" spans="9:13" x14ac:dyDescent="0.3">
      <c r="I3890" s="82"/>
      <c r="M3890" s="85"/>
    </row>
    <row r="3891" spans="9:13" x14ac:dyDescent="0.3">
      <c r="I3891" s="82"/>
      <c r="M3891" s="85"/>
    </row>
    <row r="3892" spans="9:13" x14ac:dyDescent="0.3">
      <c r="I3892" s="82"/>
      <c r="M3892" s="85"/>
    </row>
    <row r="3893" spans="9:13" x14ac:dyDescent="0.3">
      <c r="I3893" s="82"/>
      <c r="M3893" s="85"/>
    </row>
    <row r="3894" spans="9:13" x14ac:dyDescent="0.3">
      <c r="I3894" s="82"/>
      <c r="M3894" s="85"/>
    </row>
    <row r="3895" spans="9:13" x14ac:dyDescent="0.3">
      <c r="I3895" s="82"/>
      <c r="M3895" s="85"/>
    </row>
    <row r="3896" spans="9:13" x14ac:dyDescent="0.3">
      <c r="I3896" s="82"/>
      <c r="M3896" s="85"/>
    </row>
    <row r="3897" spans="9:13" x14ac:dyDescent="0.3">
      <c r="I3897" s="82"/>
      <c r="M3897" s="85"/>
    </row>
    <row r="3898" spans="9:13" x14ac:dyDescent="0.3">
      <c r="I3898" s="82"/>
      <c r="M3898" s="85"/>
    </row>
    <row r="3899" spans="9:13" x14ac:dyDescent="0.3">
      <c r="I3899" s="82"/>
      <c r="M3899" s="85"/>
    </row>
    <row r="3900" spans="9:13" x14ac:dyDescent="0.3">
      <c r="I3900" s="82"/>
      <c r="M3900" s="85"/>
    </row>
    <row r="3901" spans="9:13" x14ac:dyDescent="0.3">
      <c r="I3901" s="82"/>
      <c r="M3901" s="85"/>
    </row>
    <row r="3902" spans="9:13" x14ac:dyDescent="0.3">
      <c r="I3902" s="82"/>
      <c r="M3902" s="85"/>
    </row>
    <row r="3903" spans="9:13" x14ac:dyDescent="0.3">
      <c r="I3903" s="82"/>
      <c r="M3903" s="85"/>
    </row>
    <row r="3904" spans="9:13" x14ac:dyDescent="0.3">
      <c r="I3904" s="82"/>
      <c r="M3904" s="85"/>
    </row>
    <row r="3905" spans="9:13" x14ac:dyDescent="0.3">
      <c r="I3905" s="82"/>
      <c r="M3905" s="85"/>
    </row>
    <row r="3906" spans="9:13" x14ac:dyDescent="0.3">
      <c r="I3906" s="82"/>
      <c r="M3906" s="85"/>
    </row>
    <row r="3907" spans="9:13" x14ac:dyDescent="0.3">
      <c r="I3907" s="82"/>
      <c r="M3907" s="85"/>
    </row>
    <row r="3908" spans="9:13" x14ac:dyDescent="0.3">
      <c r="I3908" s="82"/>
      <c r="M3908" s="85"/>
    </row>
    <row r="3909" spans="9:13" x14ac:dyDescent="0.3">
      <c r="I3909" s="82"/>
      <c r="M3909" s="85"/>
    </row>
    <row r="3910" spans="9:13" x14ac:dyDescent="0.3">
      <c r="I3910" s="82"/>
      <c r="M3910" s="85"/>
    </row>
    <row r="3911" spans="9:13" x14ac:dyDescent="0.3">
      <c r="I3911" s="82"/>
      <c r="M3911" s="85"/>
    </row>
    <row r="3912" spans="9:13" x14ac:dyDescent="0.3">
      <c r="I3912" s="82"/>
      <c r="M3912" s="85"/>
    </row>
    <row r="3913" spans="9:13" x14ac:dyDescent="0.3">
      <c r="I3913" s="82"/>
      <c r="M3913" s="85"/>
    </row>
    <row r="3914" spans="9:13" x14ac:dyDescent="0.3">
      <c r="I3914" s="82"/>
      <c r="M3914" s="85"/>
    </row>
    <row r="3915" spans="9:13" x14ac:dyDescent="0.3">
      <c r="I3915" s="82"/>
      <c r="M3915" s="85"/>
    </row>
    <row r="3916" spans="9:13" x14ac:dyDescent="0.3">
      <c r="I3916" s="82"/>
      <c r="M3916" s="85"/>
    </row>
    <row r="3917" spans="9:13" x14ac:dyDescent="0.3">
      <c r="I3917" s="82"/>
      <c r="M3917" s="85"/>
    </row>
    <row r="3918" spans="9:13" x14ac:dyDescent="0.3">
      <c r="I3918" s="82"/>
      <c r="M3918" s="85"/>
    </row>
    <row r="3919" spans="9:13" x14ac:dyDescent="0.3">
      <c r="I3919" s="82"/>
      <c r="M3919" s="85"/>
    </row>
    <row r="3920" spans="9:13" x14ac:dyDescent="0.3">
      <c r="I3920" s="82"/>
      <c r="M3920" s="85"/>
    </row>
    <row r="3921" spans="9:13" x14ac:dyDescent="0.3">
      <c r="I3921" s="82"/>
      <c r="M3921" s="85"/>
    </row>
    <row r="3922" spans="9:13" x14ac:dyDescent="0.3">
      <c r="I3922" s="82"/>
      <c r="M3922" s="85"/>
    </row>
    <row r="3923" spans="9:13" x14ac:dyDescent="0.3">
      <c r="I3923" s="82"/>
      <c r="M3923" s="85"/>
    </row>
    <row r="3924" spans="9:13" x14ac:dyDescent="0.3">
      <c r="I3924" s="82"/>
      <c r="M3924" s="85"/>
    </row>
    <row r="3925" spans="9:13" x14ac:dyDescent="0.3">
      <c r="I3925" s="82"/>
      <c r="M3925" s="85"/>
    </row>
    <row r="3926" spans="9:13" x14ac:dyDescent="0.3">
      <c r="I3926" s="82"/>
      <c r="M3926" s="85"/>
    </row>
    <row r="3927" spans="9:13" x14ac:dyDescent="0.3">
      <c r="I3927" s="82"/>
      <c r="M3927" s="85"/>
    </row>
    <row r="3928" spans="9:13" x14ac:dyDescent="0.3">
      <c r="I3928" s="82"/>
      <c r="M3928" s="85"/>
    </row>
    <row r="3929" spans="9:13" x14ac:dyDescent="0.3">
      <c r="I3929" s="82"/>
      <c r="M3929" s="85"/>
    </row>
    <row r="3930" spans="9:13" x14ac:dyDescent="0.3">
      <c r="I3930" s="82"/>
      <c r="M3930" s="85"/>
    </row>
    <row r="3931" spans="9:13" x14ac:dyDescent="0.3">
      <c r="I3931" s="82"/>
      <c r="M3931" s="85"/>
    </row>
    <row r="3932" spans="9:13" x14ac:dyDescent="0.3">
      <c r="I3932" s="82"/>
      <c r="M3932" s="85"/>
    </row>
    <row r="3933" spans="9:13" x14ac:dyDescent="0.3">
      <c r="I3933" s="82"/>
      <c r="M3933" s="85"/>
    </row>
    <row r="3934" spans="9:13" x14ac:dyDescent="0.3">
      <c r="I3934" s="82"/>
      <c r="M3934" s="85"/>
    </row>
    <row r="3935" spans="9:13" x14ac:dyDescent="0.3">
      <c r="I3935" s="82"/>
      <c r="M3935" s="85"/>
    </row>
    <row r="3936" spans="9:13" x14ac:dyDescent="0.3">
      <c r="I3936" s="82"/>
      <c r="M3936" s="85"/>
    </row>
    <row r="3937" spans="9:13" x14ac:dyDescent="0.3">
      <c r="I3937" s="82"/>
      <c r="M3937" s="85"/>
    </row>
    <row r="3938" spans="9:13" x14ac:dyDescent="0.3">
      <c r="I3938" s="82"/>
      <c r="M3938" s="85"/>
    </row>
    <row r="3939" spans="9:13" x14ac:dyDescent="0.3">
      <c r="I3939" s="82"/>
      <c r="M3939" s="85"/>
    </row>
    <row r="3940" spans="9:13" x14ac:dyDescent="0.3">
      <c r="I3940" s="82"/>
      <c r="M3940" s="85"/>
    </row>
    <row r="3941" spans="9:13" x14ac:dyDescent="0.3">
      <c r="I3941" s="82"/>
      <c r="M3941" s="85"/>
    </row>
    <row r="3942" spans="9:13" x14ac:dyDescent="0.3">
      <c r="I3942" s="82"/>
      <c r="M3942" s="85"/>
    </row>
    <row r="3943" spans="9:13" x14ac:dyDescent="0.3">
      <c r="I3943" s="82"/>
      <c r="M3943" s="85"/>
    </row>
    <row r="3944" spans="9:13" x14ac:dyDescent="0.3">
      <c r="I3944" s="82"/>
      <c r="M3944" s="85"/>
    </row>
    <row r="3945" spans="9:13" x14ac:dyDescent="0.3">
      <c r="I3945" s="82"/>
      <c r="M3945" s="85"/>
    </row>
    <row r="3946" spans="9:13" x14ac:dyDescent="0.3">
      <c r="I3946" s="82"/>
      <c r="M3946" s="85"/>
    </row>
    <row r="3947" spans="9:13" x14ac:dyDescent="0.3">
      <c r="I3947" s="82"/>
      <c r="M3947" s="85"/>
    </row>
    <row r="3948" spans="9:13" x14ac:dyDescent="0.3">
      <c r="I3948" s="82"/>
      <c r="M3948" s="85"/>
    </row>
    <row r="3949" spans="9:13" x14ac:dyDescent="0.3">
      <c r="I3949" s="82"/>
      <c r="M3949" s="85"/>
    </row>
    <row r="3950" spans="9:13" x14ac:dyDescent="0.3">
      <c r="I3950" s="82"/>
      <c r="M3950" s="85"/>
    </row>
    <row r="3951" spans="9:13" x14ac:dyDescent="0.3">
      <c r="I3951" s="82"/>
      <c r="M3951" s="85"/>
    </row>
    <row r="3952" spans="9:13" x14ac:dyDescent="0.3">
      <c r="I3952" s="82"/>
      <c r="M3952" s="85"/>
    </row>
    <row r="3953" spans="9:13" x14ac:dyDescent="0.3">
      <c r="I3953" s="82"/>
      <c r="M3953" s="85"/>
    </row>
    <row r="3954" spans="9:13" x14ac:dyDescent="0.3">
      <c r="I3954" s="82"/>
      <c r="M3954" s="85"/>
    </row>
    <row r="3955" spans="9:13" x14ac:dyDescent="0.3">
      <c r="I3955" s="82"/>
      <c r="M3955" s="85"/>
    </row>
    <row r="3956" spans="9:13" x14ac:dyDescent="0.3">
      <c r="I3956" s="82"/>
      <c r="M3956" s="85"/>
    </row>
    <row r="3957" spans="9:13" x14ac:dyDescent="0.3">
      <c r="I3957" s="82"/>
      <c r="M3957" s="85"/>
    </row>
    <row r="3958" spans="9:13" x14ac:dyDescent="0.3">
      <c r="I3958" s="82"/>
      <c r="M3958" s="85"/>
    </row>
    <row r="3959" spans="9:13" x14ac:dyDescent="0.3">
      <c r="I3959" s="82"/>
      <c r="M3959" s="85"/>
    </row>
    <row r="3960" spans="9:13" x14ac:dyDescent="0.3">
      <c r="I3960" s="82"/>
      <c r="M3960" s="85"/>
    </row>
    <row r="3961" spans="9:13" x14ac:dyDescent="0.3">
      <c r="I3961" s="82"/>
      <c r="M3961" s="85"/>
    </row>
    <row r="3962" spans="9:13" x14ac:dyDescent="0.3">
      <c r="I3962" s="82"/>
      <c r="M3962" s="85"/>
    </row>
    <row r="3963" spans="9:13" x14ac:dyDescent="0.3">
      <c r="I3963" s="82"/>
      <c r="M3963" s="85"/>
    </row>
    <row r="3964" spans="9:13" x14ac:dyDescent="0.3">
      <c r="I3964" s="82"/>
      <c r="M3964" s="85"/>
    </row>
    <row r="3965" spans="9:13" x14ac:dyDescent="0.3">
      <c r="I3965" s="82"/>
      <c r="M3965" s="85"/>
    </row>
    <row r="3966" spans="9:13" x14ac:dyDescent="0.3">
      <c r="I3966" s="82"/>
      <c r="M3966" s="85"/>
    </row>
    <row r="3967" spans="9:13" x14ac:dyDescent="0.3">
      <c r="I3967" s="82"/>
      <c r="M3967" s="85"/>
    </row>
    <row r="3968" spans="9:13" x14ac:dyDescent="0.3">
      <c r="I3968" s="82"/>
      <c r="M3968" s="85"/>
    </row>
    <row r="3969" spans="9:13" x14ac:dyDescent="0.3">
      <c r="I3969" s="82"/>
      <c r="M3969" s="85"/>
    </row>
    <row r="3970" spans="9:13" x14ac:dyDescent="0.3">
      <c r="I3970" s="82"/>
      <c r="M3970" s="85"/>
    </row>
    <row r="3971" spans="9:13" x14ac:dyDescent="0.3">
      <c r="I3971" s="82"/>
      <c r="M3971" s="85"/>
    </row>
    <row r="3972" spans="9:13" x14ac:dyDescent="0.3">
      <c r="I3972" s="82"/>
      <c r="M3972" s="85"/>
    </row>
    <row r="3973" spans="9:13" x14ac:dyDescent="0.3">
      <c r="I3973" s="82"/>
      <c r="M3973" s="85"/>
    </row>
    <row r="3974" spans="9:13" x14ac:dyDescent="0.3">
      <c r="I3974" s="82"/>
      <c r="M3974" s="85"/>
    </row>
    <row r="3975" spans="9:13" x14ac:dyDescent="0.3">
      <c r="I3975" s="82"/>
      <c r="M3975" s="85"/>
    </row>
    <row r="3976" spans="9:13" x14ac:dyDescent="0.3">
      <c r="I3976" s="82"/>
      <c r="M3976" s="85"/>
    </row>
    <row r="3977" spans="9:13" x14ac:dyDescent="0.3">
      <c r="I3977" s="82"/>
      <c r="M3977" s="85"/>
    </row>
    <row r="3978" spans="9:13" x14ac:dyDescent="0.3">
      <c r="I3978" s="82"/>
      <c r="M3978" s="85"/>
    </row>
    <row r="3979" spans="9:13" x14ac:dyDescent="0.3">
      <c r="I3979" s="82"/>
      <c r="M3979" s="85"/>
    </row>
    <row r="3980" spans="9:13" x14ac:dyDescent="0.3">
      <c r="I3980" s="82"/>
      <c r="M3980" s="85"/>
    </row>
    <row r="3981" spans="9:13" x14ac:dyDescent="0.3">
      <c r="I3981" s="82"/>
      <c r="M3981" s="85"/>
    </row>
    <row r="3982" spans="9:13" x14ac:dyDescent="0.3">
      <c r="I3982" s="82"/>
      <c r="M3982" s="85"/>
    </row>
    <row r="3983" spans="9:13" x14ac:dyDescent="0.3">
      <c r="I3983" s="82"/>
      <c r="M3983" s="85"/>
    </row>
    <row r="3984" spans="9:13" x14ac:dyDescent="0.3">
      <c r="I3984" s="82"/>
      <c r="M3984" s="85"/>
    </row>
    <row r="3985" spans="9:13" x14ac:dyDescent="0.3">
      <c r="I3985" s="82"/>
      <c r="M3985" s="85"/>
    </row>
    <row r="3986" spans="9:13" x14ac:dyDescent="0.3">
      <c r="I3986" s="82"/>
      <c r="M3986" s="85"/>
    </row>
    <row r="3987" spans="9:13" x14ac:dyDescent="0.3">
      <c r="I3987" s="82"/>
      <c r="M3987" s="85"/>
    </row>
    <row r="3988" spans="9:13" x14ac:dyDescent="0.3">
      <c r="I3988" s="82"/>
      <c r="M3988" s="85"/>
    </row>
    <row r="3989" spans="9:13" x14ac:dyDescent="0.3">
      <c r="I3989" s="82"/>
      <c r="M3989" s="85"/>
    </row>
    <row r="3990" spans="9:13" x14ac:dyDescent="0.3">
      <c r="I3990" s="82"/>
      <c r="M3990" s="85"/>
    </row>
    <row r="3991" spans="9:13" x14ac:dyDescent="0.3">
      <c r="I3991" s="82"/>
      <c r="M3991" s="85"/>
    </row>
    <row r="3992" spans="9:13" x14ac:dyDescent="0.3">
      <c r="I3992" s="82"/>
      <c r="M3992" s="85"/>
    </row>
    <row r="3993" spans="9:13" x14ac:dyDescent="0.3">
      <c r="I3993" s="82"/>
      <c r="M3993" s="85"/>
    </row>
    <row r="3994" spans="9:13" x14ac:dyDescent="0.3">
      <c r="I3994" s="82"/>
      <c r="M3994" s="85"/>
    </row>
    <row r="3995" spans="9:13" x14ac:dyDescent="0.3">
      <c r="I3995" s="82"/>
      <c r="M3995" s="85"/>
    </row>
    <row r="3996" spans="9:13" x14ac:dyDescent="0.3">
      <c r="I3996" s="82"/>
      <c r="M3996" s="85"/>
    </row>
    <row r="3997" spans="9:13" x14ac:dyDescent="0.3">
      <c r="I3997" s="82"/>
      <c r="M3997" s="85"/>
    </row>
    <row r="3998" spans="9:13" x14ac:dyDescent="0.3">
      <c r="I3998" s="82"/>
      <c r="M3998" s="85"/>
    </row>
    <row r="3999" spans="9:13" x14ac:dyDescent="0.3">
      <c r="I3999" s="82"/>
      <c r="M3999" s="85"/>
    </row>
    <row r="4000" spans="9:13" x14ac:dyDescent="0.3">
      <c r="I4000" s="82"/>
      <c r="M4000" s="85"/>
    </row>
    <row r="4001" spans="9:13" x14ac:dyDescent="0.3">
      <c r="I4001" s="82"/>
      <c r="M4001" s="85"/>
    </row>
    <row r="4002" spans="9:13" x14ac:dyDescent="0.3">
      <c r="I4002" s="82"/>
      <c r="M4002" s="85"/>
    </row>
    <row r="4003" spans="9:13" x14ac:dyDescent="0.3">
      <c r="I4003" s="82"/>
      <c r="M4003" s="85"/>
    </row>
    <row r="4004" spans="9:13" x14ac:dyDescent="0.3">
      <c r="I4004" s="82"/>
      <c r="M4004" s="85"/>
    </row>
    <row r="4005" spans="9:13" x14ac:dyDescent="0.3">
      <c r="I4005" s="82"/>
      <c r="M4005" s="85"/>
    </row>
    <row r="4006" spans="9:13" x14ac:dyDescent="0.3">
      <c r="I4006" s="82"/>
      <c r="M4006" s="85"/>
    </row>
    <row r="4007" spans="9:13" x14ac:dyDescent="0.3">
      <c r="I4007" s="82"/>
      <c r="M4007" s="85"/>
    </row>
    <row r="4008" spans="9:13" x14ac:dyDescent="0.3">
      <c r="I4008" s="82"/>
      <c r="M4008" s="85"/>
    </row>
    <row r="4009" spans="9:13" x14ac:dyDescent="0.3">
      <c r="I4009" s="82"/>
      <c r="M4009" s="85"/>
    </row>
    <row r="4010" spans="9:13" x14ac:dyDescent="0.3">
      <c r="I4010" s="82"/>
      <c r="M4010" s="85"/>
    </row>
    <row r="4011" spans="9:13" x14ac:dyDescent="0.3">
      <c r="I4011" s="82"/>
      <c r="M4011" s="85"/>
    </row>
    <row r="4012" spans="9:13" x14ac:dyDescent="0.3">
      <c r="I4012" s="82"/>
      <c r="M4012" s="85"/>
    </row>
    <row r="4013" spans="9:13" x14ac:dyDescent="0.3">
      <c r="I4013" s="82"/>
      <c r="M4013" s="85"/>
    </row>
    <row r="4014" spans="9:13" x14ac:dyDescent="0.3">
      <c r="I4014" s="82"/>
      <c r="M4014" s="85"/>
    </row>
    <row r="4015" spans="9:13" x14ac:dyDescent="0.3">
      <c r="I4015" s="82"/>
      <c r="M4015" s="85"/>
    </row>
    <row r="4016" spans="9:13" x14ac:dyDescent="0.3">
      <c r="I4016" s="82"/>
      <c r="M4016" s="85"/>
    </row>
    <row r="4017" spans="9:13" x14ac:dyDescent="0.3">
      <c r="I4017" s="82"/>
      <c r="M4017" s="85"/>
    </row>
    <row r="4018" spans="9:13" x14ac:dyDescent="0.3">
      <c r="I4018" s="82"/>
      <c r="M4018" s="85"/>
    </row>
    <row r="4019" spans="9:13" x14ac:dyDescent="0.3">
      <c r="I4019" s="82"/>
      <c r="M4019" s="85"/>
    </row>
    <row r="4020" spans="9:13" x14ac:dyDescent="0.3">
      <c r="I4020" s="82"/>
      <c r="M4020" s="85"/>
    </row>
    <row r="4021" spans="9:13" x14ac:dyDescent="0.3">
      <c r="I4021" s="82"/>
      <c r="M4021" s="85"/>
    </row>
    <row r="4022" spans="9:13" x14ac:dyDescent="0.3">
      <c r="I4022" s="82"/>
      <c r="M4022" s="85"/>
    </row>
    <row r="4023" spans="9:13" x14ac:dyDescent="0.3">
      <c r="I4023" s="82"/>
      <c r="M4023" s="85"/>
    </row>
    <row r="4024" spans="9:13" x14ac:dyDescent="0.3">
      <c r="I4024" s="82"/>
      <c r="M4024" s="85"/>
    </row>
    <row r="4025" spans="9:13" x14ac:dyDescent="0.3">
      <c r="I4025" s="82"/>
      <c r="M4025" s="85"/>
    </row>
    <row r="4026" spans="9:13" x14ac:dyDescent="0.3">
      <c r="I4026" s="82"/>
      <c r="M4026" s="85"/>
    </row>
    <row r="4027" spans="9:13" x14ac:dyDescent="0.3">
      <c r="I4027" s="82"/>
      <c r="M4027" s="85"/>
    </row>
    <row r="4028" spans="9:13" x14ac:dyDescent="0.3">
      <c r="I4028" s="82"/>
      <c r="M4028" s="85"/>
    </row>
    <row r="4029" spans="9:13" x14ac:dyDescent="0.3">
      <c r="I4029" s="82"/>
      <c r="M4029" s="85"/>
    </row>
    <row r="4030" spans="9:13" x14ac:dyDescent="0.3">
      <c r="I4030" s="82"/>
      <c r="M4030" s="85"/>
    </row>
    <row r="4031" spans="9:13" x14ac:dyDescent="0.3">
      <c r="I4031" s="82"/>
      <c r="M4031" s="85"/>
    </row>
    <row r="4032" spans="9:13" x14ac:dyDescent="0.3">
      <c r="I4032" s="82"/>
      <c r="M4032" s="85"/>
    </row>
    <row r="4033" spans="9:13" x14ac:dyDescent="0.3">
      <c r="I4033" s="82"/>
      <c r="M4033" s="85"/>
    </row>
    <row r="4034" spans="9:13" x14ac:dyDescent="0.3">
      <c r="I4034" s="82"/>
      <c r="M4034" s="85"/>
    </row>
    <row r="4035" spans="9:13" x14ac:dyDescent="0.3">
      <c r="I4035" s="82"/>
      <c r="M4035" s="85"/>
    </row>
    <row r="4036" spans="9:13" x14ac:dyDescent="0.3">
      <c r="I4036" s="82"/>
      <c r="M4036" s="85"/>
    </row>
    <row r="4037" spans="9:13" x14ac:dyDescent="0.3">
      <c r="I4037" s="82"/>
      <c r="M4037" s="85"/>
    </row>
    <row r="4038" spans="9:13" x14ac:dyDescent="0.3">
      <c r="I4038" s="82"/>
      <c r="M4038" s="85"/>
    </row>
    <row r="4039" spans="9:13" x14ac:dyDescent="0.3">
      <c r="I4039" s="82"/>
      <c r="M4039" s="85"/>
    </row>
    <row r="4040" spans="9:13" x14ac:dyDescent="0.3">
      <c r="I4040" s="82"/>
      <c r="M4040" s="85"/>
    </row>
    <row r="4041" spans="9:13" x14ac:dyDescent="0.3">
      <c r="I4041" s="82"/>
      <c r="M4041" s="85"/>
    </row>
    <row r="4042" spans="9:13" x14ac:dyDescent="0.3">
      <c r="I4042" s="82"/>
      <c r="M4042" s="85"/>
    </row>
    <row r="4043" spans="9:13" x14ac:dyDescent="0.3">
      <c r="I4043" s="82"/>
      <c r="M4043" s="85"/>
    </row>
    <row r="4044" spans="9:13" x14ac:dyDescent="0.3">
      <c r="I4044" s="82"/>
      <c r="M4044" s="85"/>
    </row>
    <row r="4045" spans="9:13" x14ac:dyDescent="0.3">
      <c r="I4045" s="82"/>
      <c r="M4045" s="85"/>
    </row>
    <row r="4046" spans="9:13" x14ac:dyDescent="0.3">
      <c r="I4046" s="82"/>
      <c r="M4046" s="85"/>
    </row>
    <row r="4047" spans="9:13" x14ac:dyDescent="0.3">
      <c r="I4047" s="82"/>
      <c r="M4047" s="85"/>
    </row>
    <row r="4048" spans="9:13" x14ac:dyDescent="0.3">
      <c r="I4048" s="82"/>
      <c r="M4048" s="85"/>
    </row>
    <row r="4049" spans="9:13" x14ac:dyDescent="0.3">
      <c r="I4049" s="82"/>
      <c r="M4049" s="85"/>
    </row>
    <row r="4050" spans="9:13" x14ac:dyDescent="0.3">
      <c r="I4050" s="82"/>
      <c r="M4050" s="85"/>
    </row>
    <row r="4051" spans="9:13" x14ac:dyDescent="0.3">
      <c r="I4051" s="82"/>
      <c r="M4051" s="85"/>
    </row>
    <row r="4052" spans="9:13" x14ac:dyDescent="0.3">
      <c r="I4052" s="82"/>
      <c r="M4052" s="85"/>
    </row>
    <row r="4053" spans="9:13" x14ac:dyDescent="0.3">
      <c r="I4053" s="82"/>
      <c r="M4053" s="85"/>
    </row>
    <row r="4054" spans="9:13" x14ac:dyDescent="0.3">
      <c r="I4054" s="82"/>
      <c r="M4054" s="85"/>
    </row>
    <row r="4055" spans="9:13" x14ac:dyDescent="0.3">
      <c r="I4055" s="82"/>
      <c r="M4055" s="85"/>
    </row>
    <row r="4056" spans="9:13" x14ac:dyDescent="0.3">
      <c r="I4056" s="82"/>
      <c r="M4056" s="85"/>
    </row>
    <row r="4057" spans="9:13" x14ac:dyDescent="0.3">
      <c r="I4057" s="82"/>
      <c r="M4057" s="85"/>
    </row>
    <row r="4058" spans="9:13" x14ac:dyDescent="0.3">
      <c r="I4058" s="82"/>
      <c r="M4058" s="85"/>
    </row>
    <row r="4059" spans="9:13" x14ac:dyDescent="0.3">
      <c r="I4059" s="82"/>
      <c r="M4059" s="85"/>
    </row>
    <row r="4060" spans="9:13" x14ac:dyDescent="0.3">
      <c r="I4060" s="82"/>
      <c r="M4060" s="85"/>
    </row>
    <row r="4061" spans="9:13" x14ac:dyDescent="0.3">
      <c r="I4061" s="82"/>
      <c r="M4061" s="85"/>
    </row>
    <row r="4062" spans="9:13" x14ac:dyDescent="0.3">
      <c r="I4062" s="82"/>
      <c r="M4062" s="85"/>
    </row>
    <row r="4063" spans="9:13" x14ac:dyDescent="0.3">
      <c r="I4063" s="82"/>
      <c r="M4063" s="85"/>
    </row>
    <row r="4064" spans="9:13" x14ac:dyDescent="0.3">
      <c r="I4064" s="82"/>
      <c r="M4064" s="85"/>
    </row>
    <row r="4065" spans="9:13" x14ac:dyDescent="0.3">
      <c r="I4065" s="82"/>
      <c r="M4065" s="85"/>
    </row>
    <row r="4066" spans="9:13" x14ac:dyDescent="0.3">
      <c r="I4066" s="82"/>
      <c r="M4066" s="85"/>
    </row>
    <row r="4067" spans="9:13" x14ac:dyDescent="0.3">
      <c r="I4067" s="82"/>
      <c r="M4067" s="85"/>
    </row>
    <row r="4068" spans="9:13" x14ac:dyDescent="0.3">
      <c r="I4068" s="82"/>
      <c r="M4068" s="85"/>
    </row>
    <row r="4069" spans="9:13" x14ac:dyDescent="0.3">
      <c r="I4069" s="82"/>
      <c r="M4069" s="85"/>
    </row>
    <row r="4070" spans="9:13" x14ac:dyDescent="0.3">
      <c r="I4070" s="82"/>
      <c r="M4070" s="85"/>
    </row>
    <row r="4071" spans="9:13" x14ac:dyDescent="0.3">
      <c r="I4071" s="82"/>
      <c r="M4071" s="85"/>
    </row>
    <row r="4072" spans="9:13" x14ac:dyDescent="0.3">
      <c r="I4072" s="82"/>
      <c r="M4072" s="85"/>
    </row>
    <row r="4073" spans="9:13" x14ac:dyDescent="0.3">
      <c r="I4073" s="82"/>
      <c r="M4073" s="85"/>
    </row>
    <row r="4074" spans="9:13" x14ac:dyDescent="0.3">
      <c r="I4074" s="82"/>
      <c r="M4074" s="85"/>
    </row>
    <row r="4075" spans="9:13" x14ac:dyDescent="0.3">
      <c r="I4075" s="82"/>
      <c r="M4075" s="85"/>
    </row>
    <row r="4076" spans="9:13" x14ac:dyDescent="0.3">
      <c r="I4076" s="82"/>
      <c r="M4076" s="85"/>
    </row>
    <row r="4077" spans="9:13" x14ac:dyDescent="0.3">
      <c r="I4077" s="82"/>
      <c r="M4077" s="85"/>
    </row>
    <row r="4078" spans="9:13" x14ac:dyDescent="0.3">
      <c r="I4078" s="82"/>
      <c r="M4078" s="85"/>
    </row>
    <row r="4079" spans="9:13" x14ac:dyDescent="0.3">
      <c r="I4079" s="82"/>
      <c r="M4079" s="85"/>
    </row>
    <row r="4080" spans="9:13" x14ac:dyDescent="0.3">
      <c r="I4080" s="82"/>
      <c r="M4080" s="85"/>
    </row>
    <row r="4081" spans="9:13" x14ac:dyDescent="0.3">
      <c r="I4081" s="82"/>
      <c r="M4081" s="85"/>
    </row>
    <row r="4082" spans="9:13" x14ac:dyDescent="0.3">
      <c r="I4082" s="82"/>
      <c r="M4082" s="85"/>
    </row>
    <row r="4083" spans="9:13" x14ac:dyDescent="0.3">
      <c r="I4083" s="82"/>
      <c r="M4083" s="85"/>
    </row>
    <row r="4084" spans="9:13" x14ac:dyDescent="0.3">
      <c r="I4084" s="82"/>
      <c r="M4084" s="85"/>
    </row>
    <row r="4085" spans="9:13" x14ac:dyDescent="0.3">
      <c r="I4085" s="82"/>
      <c r="M4085" s="85"/>
    </row>
    <row r="4086" spans="9:13" x14ac:dyDescent="0.3">
      <c r="I4086" s="82"/>
      <c r="M4086" s="85"/>
    </row>
    <row r="4087" spans="9:13" x14ac:dyDescent="0.3">
      <c r="I4087" s="82"/>
      <c r="M4087" s="85"/>
    </row>
    <row r="4088" spans="9:13" x14ac:dyDescent="0.3">
      <c r="I4088" s="82"/>
      <c r="M4088" s="85"/>
    </row>
    <row r="4089" spans="9:13" x14ac:dyDescent="0.3">
      <c r="I4089" s="82"/>
      <c r="M4089" s="85"/>
    </row>
    <row r="4090" spans="9:13" x14ac:dyDescent="0.3">
      <c r="I4090" s="82"/>
      <c r="M4090" s="85"/>
    </row>
    <row r="4091" spans="9:13" x14ac:dyDescent="0.3">
      <c r="I4091" s="82"/>
      <c r="M4091" s="85"/>
    </row>
    <row r="4092" spans="9:13" x14ac:dyDescent="0.3">
      <c r="I4092" s="82"/>
      <c r="M4092" s="85"/>
    </row>
    <row r="4093" spans="9:13" x14ac:dyDescent="0.3">
      <c r="I4093" s="82"/>
      <c r="M4093" s="85"/>
    </row>
    <row r="4094" spans="9:13" x14ac:dyDescent="0.3">
      <c r="I4094" s="82"/>
      <c r="M4094" s="85"/>
    </row>
    <row r="4095" spans="9:13" x14ac:dyDescent="0.3">
      <c r="I4095" s="82"/>
      <c r="M4095" s="85"/>
    </row>
    <row r="4096" spans="9:13" x14ac:dyDescent="0.3">
      <c r="I4096" s="82"/>
      <c r="M4096" s="85"/>
    </row>
    <row r="4097" spans="9:13" x14ac:dyDescent="0.3">
      <c r="I4097" s="82"/>
      <c r="M4097" s="85"/>
    </row>
    <row r="4098" spans="9:13" x14ac:dyDescent="0.3">
      <c r="I4098" s="82"/>
      <c r="M4098" s="85"/>
    </row>
    <row r="4099" spans="9:13" x14ac:dyDescent="0.3">
      <c r="I4099" s="82"/>
      <c r="M4099" s="85"/>
    </row>
    <row r="4100" spans="9:13" x14ac:dyDescent="0.3">
      <c r="I4100" s="82"/>
      <c r="M4100" s="85"/>
    </row>
    <row r="4101" spans="9:13" x14ac:dyDescent="0.3">
      <c r="I4101" s="82"/>
      <c r="M4101" s="85"/>
    </row>
    <row r="4102" spans="9:13" x14ac:dyDescent="0.3">
      <c r="I4102" s="82"/>
      <c r="M4102" s="85"/>
    </row>
    <row r="4103" spans="9:13" x14ac:dyDescent="0.3">
      <c r="I4103" s="82"/>
      <c r="M4103" s="85"/>
    </row>
    <row r="4104" spans="9:13" x14ac:dyDescent="0.3">
      <c r="I4104" s="82"/>
      <c r="M4104" s="85"/>
    </row>
    <row r="4105" spans="9:13" x14ac:dyDescent="0.3">
      <c r="I4105" s="82"/>
      <c r="M4105" s="85"/>
    </row>
    <row r="4106" spans="9:13" x14ac:dyDescent="0.3">
      <c r="I4106" s="82"/>
      <c r="M4106" s="85"/>
    </row>
    <row r="4107" spans="9:13" x14ac:dyDescent="0.3">
      <c r="I4107" s="82"/>
      <c r="M4107" s="85"/>
    </row>
    <row r="4108" spans="9:13" x14ac:dyDescent="0.3">
      <c r="I4108" s="82"/>
      <c r="M4108" s="85"/>
    </row>
    <row r="4109" spans="9:13" x14ac:dyDescent="0.3">
      <c r="I4109" s="82"/>
      <c r="M4109" s="85"/>
    </row>
    <row r="4110" spans="9:13" x14ac:dyDescent="0.3">
      <c r="I4110" s="82"/>
      <c r="M4110" s="85"/>
    </row>
    <row r="4111" spans="9:13" x14ac:dyDescent="0.3">
      <c r="I4111" s="82"/>
      <c r="M4111" s="85"/>
    </row>
    <row r="4112" spans="9:13" x14ac:dyDescent="0.3">
      <c r="I4112" s="82"/>
      <c r="M4112" s="85"/>
    </row>
    <row r="4113" spans="9:13" x14ac:dyDescent="0.3">
      <c r="I4113" s="82"/>
      <c r="M4113" s="85"/>
    </row>
    <row r="4114" spans="9:13" x14ac:dyDescent="0.3">
      <c r="I4114" s="82"/>
      <c r="M4114" s="85"/>
    </row>
    <row r="4115" spans="9:13" x14ac:dyDescent="0.3">
      <c r="I4115" s="82"/>
      <c r="M4115" s="85"/>
    </row>
    <row r="4116" spans="9:13" x14ac:dyDescent="0.3">
      <c r="I4116" s="82"/>
      <c r="M4116" s="85"/>
    </row>
    <row r="4117" spans="9:13" x14ac:dyDescent="0.3">
      <c r="I4117" s="82"/>
      <c r="M4117" s="85"/>
    </row>
    <row r="4118" spans="9:13" x14ac:dyDescent="0.3">
      <c r="I4118" s="82"/>
      <c r="M4118" s="85"/>
    </row>
    <row r="4119" spans="9:13" x14ac:dyDescent="0.3">
      <c r="I4119" s="82"/>
      <c r="M4119" s="85"/>
    </row>
    <row r="4120" spans="9:13" x14ac:dyDescent="0.3">
      <c r="I4120" s="82"/>
      <c r="M4120" s="85"/>
    </row>
    <row r="4121" spans="9:13" x14ac:dyDescent="0.3">
      <c r="I4121" s="82"/>
      <c r="M4121" s="85"/>
    </row>
    <row r="4122" spans="9:13" x14ac:dyDescent="0.3">
      <c r="I4122" s="82"/>
      <c r="M4122" s="85"/>
    </row>
    <row r="4123" spans="9:13" x14ac:dyDescent="0.3">
      <c r="I4123" s="82"/>
      <c r="M4123" s="85"/>
    </row>
    <row r="4124" spans="9:13" x14ac:dyDescent="0.3">
      <c r="I4124" s="82"/>
      <c r="M4124" s="85"/>
    </row>
    <row r="4125" spans="9:13" x14ac:dyDescent="0.3">
      <c r="I4125" s="82"/>
      <c r="M4125" s="85"/>
    </row>
    <row r="4126" spans="9:13" x14ac:dyDescent="0.3">
      <c r="I4126" s="82"/>
      <c r="M4126" s="85"/>
    </row>
    <row r="4127" spans="9:13" x14ac:dyDescent="0.3">
      <c r="I4127" s="82"/>
      <c r="M4127" s="85"/>
    </row>
    <row r="4128" spans="9:13" x14ac:dyDescent="0.3">
      <c r="I4128" s="82"/>
      <c r="M4128" s="85"/>
    </row>
    <row r="4129" spans="9:13" x14ac:dyDescent="0.3">
      <c r="I4129" s="82"/>
      <c r="M4129" s="85"/>
    </row>
    <row r="4130" spans="9:13" x14ac:dyDescent="0.3">
      <c r="I4130" s="82"/>
      <c r="M4130" s="85"/>
    </row>
    <row r="4131" spans="9:13" x14ac:dyDescent="0.3">
      <c r="I4131" s="82"/>
      <c r="M4131" s="85"/>
    </row>
    <row r="4132" spans="9:13" x14ac:dyDescent="0.3">
      <c r="I4132" s="82"/>
      <c r="M4132" s="85"/>
    </row>
    <row r="4133" spans="9:13" x14ac:dyDescent="0.3">
      <c r="I4133" s="82"/>
      <c r="M4133" s="85"/>
    </row>
    <row r="4134" spans="9:13" x14ac:dyDescent="0.3">
      <c r="I4134" s="82"/>
      <c r="M4134" s="85"/>
    </row>
    <row r="4135" spans="9:13" x14ac:dyDescent="0.3">
      <c r="I4135" s="82"/>
      <c r="M4135" s="85"/>
    </row>
    <row r="4136" spans="9:13" x14ac:dyDescent="0.3">
      <c r="I4136" s="82"/>
      <c r="M4136" s="85"/>
    </row>
    <row r="4137" spans="9:13" x14ac:dyDescent="0.3">
      <c r="I4137" s="82"/>
      <c r="M4137" s="85"/>
    </row>
    <row r="4138" spans="9:13" x14ac:dyDescent="0.3">
      <c r="I4138" s="82"/>
      <c r="M4138" s="85"/>
    </row>
    <row r="4139" spans="9:13" x14ac:dyDescent="0.3">
      <c r="I4139" s="82"/>
      <c r="M4139" s="85"/>
    </row>
    <row r="4140" spans="9:13" x14ac:dyDescent="0.3">
      <c r="I4140" s="82"/>
      <c r="M4140" s="85"/>
    </row>
    <row r="4141" spans="9:13" x14ac:dyDescent="0.3">
      <c r="I4141" s="82"/>
      <c r="M4141" s="85"/>
    </row>
    <row r="4142" spans="9:13" x14ac:dyDescent="0.3">
      <c r="I4142" s="82"/>
      <c r="M4142" s="85"/>
    </row>
    <row r="4143" spans="9:13" x14ac:dyDescent="0.3">
      <c r="I4143" s="82"/>
      <c r="M4143" s="85"/>
    </row>
    <row r="4144" spans="9:13" x14ac:dyDescent="0.3">
      <c r="I4144" s="82"/>
      <c r="M4144" s="85"/>
    </row>
    <row r="4145" spans="9:13" x14ac:dyDescent="0.3">
      <c r="I4145" s="82"/>
      <c r="M4145" s="85"/>
    </row>
    <row r="4146" spans="9:13" x14ac:dyDescent="0.3">
      <c r="I4146" s="82"/>
      <c r="M4146" s="85"/>
    </row>
    <row r="4147" spans="9:13" x14ac:dyDescent="0.3">
      <c r="I4147" s="82"/>
      <c r="M4147" s="85"/>
    </row>
    <row r="4148" spans="9:13" x14ac:dyDescent="0.3">
      <c r="I4148" s="82"/>
      <c r="M4148" s="85"/>
    </row>
    <row r="4149" spans="9:13" x14ac:dyDescent="0.3">
      <c r="I4149" s="82"/>
      <c r="M4149" s="85"/>
    </row>
    <row r="4150" spans="9:13" x14ac:dyDescent="0.3">
      <c r="I4150" s="82"/>
      <c r="M4150" s="85"/>
    </row>
    <row r="4151" spans="9:13" x14ac:dyDescent="0.3">
      <c r="I4151" s="82"/>
      <c r="M4151" s="85"/>
    </row>
    <row r="4152" spans="9:13" x14ac:dyDescent="0.3">
      <c r="I4152" s="82"/>
      <c r="M4152" s="85"/>
    </row>
    <row r="4153" spans="9:13" x14ac:dyDescent="0.3">
      <c r="I4153" s="82"/>
      <c r="M4153" s="85"/>
    </row>
    <row r="4154" spans="9:13" x14ac:dyDescent="0.3">
      <c r="I4154" s="82"/>
      <c r="M4154" s="85"/>
    </row>
    <row r="4155" spans="9:13" x14ac:dyDescent="0.3">
      <c r="I4155" s="82"/>
      <c r="M4155" s="85"/>
    </row>
    <row r="4156" spans="9:13" x14ac:dyDescent="0.3">
      <c r="I4156" s="82"/>
      <c r="M4156" s="85"/>
    </row>
    <row r="4157" spans="9:13" x14ac:dyDescent="0.3">
      <c r="I4157" s="82"/>
      <c r="M4157" s="85"/>
    </row>
    <row r="4158" spans="9:13" x14ac:dyDescent="0.3">
      <c r="I4158" s="82"/>
      <c r="M4158" s="85"/>
    </row>
    <row r="4159" spans="9:13" x14ac:dyDescent="0.3">
      <c r="I4159" s="82"/>
      <c r="M4159" s="85"/>
    </row>
    <row r="4160" spans="9:13" x14ac:dyDescent="0.3">
      <c r="I4160" s="82"/>
      <c r="M4160" s="85"/>
    </row>
    <row r="4161" spans="9:13" x14ac:dyDescent="0.3">
      <c r="I4161" s="82"/>
      <c r="M4161" s="85"/>
    </row>
    <row r="4162" spans="9:13" x14ac:dyDescent="0.3">
      <c r="I4162" s="82"/>
      <c r="M4162" s="85"/>
    </row>
    <row r="4163" spans="9:13" x14ac:dyDescent="0.3">
      <c r="I4163" s="82"/>
      <c r="M4163" s="85"/>
    </row>
    <row r="4164" spans="9:13" x14ac:dyDescent="0.3">
      <c r="I4164" s="82"/>
      <c r="M4164" s="85"/>
    </row>
    <row r="4165" spans="9:13" x14ac:dyDescent="0.3">
      <c r="I4165" s="82"/>
      <c r="M4165" s="85"/>
    </row>
    <row r="4166" spans="9:13" x14ac:dyDescent="0.3">
      <c r="I4166" s="82"/>
      <c r="M4166" s="85"/>
    </row>
    <row r="4167" spans="9:13" x14ac:dyDescent="0.3">
      <c r="I4167" s="82"/>
      <c r="M4167" s="85"/>
    </row>
    <row r="4168" spans="9:13" x14ac:dyDescent="0.3">
      <c r="I4168" s="82"/>
      <c r="M4168" s="85"/>
    </row>
    <row r="4169" spans="9:13" x14ac:dyDescent="0.3">
      <c r="I4169" s="82"/>
      <c r="M4169" s="85"/>
    </row>
    <row r="4170" spans="9:13" x14ac:dyDescent="0.3">
      <c r="I4170" s="82"/>
      <c r="M4170" s="85"/>
    </row>
    <row r="4171" spans="9:13" x14ac:dyDescent="0.3">
      <c r="I4171" s="82"/>
      <c r="M4171" s="85"/>
    </row>
    <row r="4172" spans="9:13" x14ac:dyDescent="0.3">
      <c r="I4172" s="82"/>
      <c r="M4172" s="85"/>
    </row>
    <row r="4173" spans="9:13" x14ac:dyDescent="0.3">
      <c r="I4173" s="82"/>
      <c r="M4173" s="85"/>
    </row>
    <row r="4174" spans="9:13" x14ac:dyDescent="0.3">
      <c r="I4174" s="82"/>
      <c r="M4174" s="85"/>
    </row>
    <row r="4175" spans="9:13" x14ac:dyDescent="0.3">
      <c r="I4175" s="82"/>
      <c r="M4175" s="85"/>
    </row>
    <row r="4176" spans="9:13" x14ac:dyDescent="0.3">
      <c r="I4176" s="82"/>
      <c r="M4176" s="85"/>
    </row>
    <row r="4177" spans="9:13" x14ac:dyDescent="0.3">
      <c r="I4177" s="82"/>
      <c r="M4177" s="85"/>
    </row>
    <row r="4178" spans="9:13" x14ac:dyDescent="0.3">
      <c r="I4178" s="82"/>
      <c r="M4178" s="85"/>
    </row>
    <row r="4179" spans="9:13" x14ac:dyDescent="0.3">
      <c r="I4179" s="82"/>
      <c r="M4179" s="85"/>
    </row>
    <row r="4180" spans="9:13" x14ac:dyDescent="0.3">
      <c r="I4180" s="82"/>
      <c r="M4180" s="85"/>
    </row>
    <row r="4181" spans="9:13" x14ac:dyDescent="0.3">
      <c r="I4181" s="82"/>
      <c r="M4181" s="85"/>
    </row>
    <row r="4182" spans="9:13" x14ac:dyDescent="0.3">
      <c r="I4182" s="82"/>
      <c r="M4182" s="85"/>
    </row>
    <row r="4183" spans="9:13" x14ac:dyDescent="0.3">
      <c r="I4183" s="82"/>
      <c r="M4183" s="85"/>
    </row>
    <row r="4184" spans="9:13" x14ac:dyDescent="0.3">
      <c r="I4184" s="82"/>
      <c r="M4184" s="85"/>
    </row>
    <row r="4185" spans="9:13" x14ac:dyDescent="0.3">
      <c r="I4185" s="82"/>
      <c r="M4185" s="85"/>
    </row>
    <row r="4186" spans="9:13" x14ac:dyDescent="0.3">
      <c r="I4186" s="82"/>
      <c r="M4186" s="85"/>
    </row>
    <row r="4187" spans="9:13" x14ac:dyDescent="0.3">
      <c r="I4187" s="82"/>
      <c r="M4187" s="85"/>
    </row>
    <row r="4188" spans="9:13" x14ac:dyDescent="0.3">
      <c r="I4188" s="82"/>
      <c r="M4188" s="85"/>
    </row>
    <row r="4189" spans="9:13" x14ac:dyDescent="0.3">
      <c r="I4189" s="82"/>
      <c r="M4189" s="85"/>
    </row>
    <row r="4190" spans="9:13" x14ac:dyDescent="0.3">
      <c r="I4190" s="82"/>
      <c r="M4190" s="85"/>
    </row>
    <row r="4191" spans="9:13" x14ac:dyDescent="0.3">
      <c r="I4191" s="82"/>
      <c r="M4191" s="85"/>
    </row>
    <row r="4192" spans="9:13" x14ac:dyDescent="0.3">
      <c r="I4192" s="82"/>
      <c r="M4192" s="85"/>
    </row>
    <row r="4193" spans="9:13" x14ac:dyDescent="0.3">
      <c r="I4193" s="82"/>
      <c r="M4193" s="85"/>
    </row>
    <row r="4194" spans="9:13" x14ac:dyDescent="0.3">
      <c r="I4194" s="82"/>
      <c r="M4194" s="85"/>
    </row>
    <row r="4195" spans="9:13" x14ac:dyDescent="0.3">
      <c r="I4195" s="82"/>
      <c r="M4195" s="85"/>
    </row>
    <row r="4196" spans="9:13" x14ac:dyDescent="0.3">
      <c r="I4196" s="82"/>
      <c r="M4196" s="85"/>
    </row>
    <row r="4197" spans="9:13" x14ac:dyDescent="0.3">
      <c r="I4197" s="82"/>
      <c r="M4197" s="85"/>
    </row>
    <row r="4198" spans="9:13" x14ac:dyDescent="0.3">
      <c r="I4198" s="82"/>
      <c r="M4198" s="85"/>
    </row>
    <row r="4199" spans="9:13" x14ac:dyDescent="0.3">
      <c r="I4199" s="82"/>
      <c r="M4199" s="85"/>
    </row>
    <row r="4200" spans="9:13" x14ac:dyDescent="0.3">
      <c r="I4200" s="82"/>
      <c r="M4200" s="85"/>
    </row>
    <row r="4201" spans="9:13" x14ac:dyDescent="0.3">
      <c r="I4201" s="82"/>
      <c r="M4201" s="85"/>
    </row>
    <row r="4202" spans="9:13" x14ac:dyDescent="0.3">
      <c r="I4202" s="82"/>
      <c r="M4202" s="85"/>
    </row>
    <row r="4203" spans="9:13" x14ac:dyDescent="0.3">
      <c r="I4203" s="82"/>
      <c r="M4203" s="85"/>
    </row>
    <row r="4204" spans="9:13" x14ac:dyDescent="0.3">
      <c r="I4204" s="82"/>
      <c r="M4204" s="85"/>
    </row>
    <row r="4205" spans="9:13" x14ac:dyDescent="0.3">
      <c r="I4205" s="82"/>
      <c r="M4205" s="85"/>
    </row>
    <row r="4206" spans="9:13" x14ac:dyDescent="0.3">
      <c r="I4206" s="82"/>
      <c r="M4206" s="85"/>
    </row>
    <row r="4207" spans="9:13" x14ac:dyDescent="0.3">
      <c r="I4207" s="82"/>
      <c r="M4207" s="85"/>
    </row>
    <row r="4208" spans="9:13" x14ac:dyDescent="0.3">
      <c r="I4208" s="82"/>
      <c r="M4208" s="85"/>
    </row>
    <row r="4209" spans="9:13" x14ac:dyDescent="0.3">
      <c r="I4209" s="82"/>
      <c r="M4209" s="85"/>
    </row>
    <row r="4210" spans="9:13" x14ac:dyDescent="0.3">
      <c r="I4210" s="82"/>
      <c r="M4210" s="85"/>
    </row>
    <row r="4211" spans="9:13" x14ac:dyDescent="0.3">
      <c r="I4211" s="82"/>
      <c r="M4211" s="85"/>
    </row>
    <row r="4212" spans="9:13" x14ac:dyDescent="0.3">
      <c r="I4212" s="82"/>
      <c r="M4212" s="85"/>
    </row>
    <row r="4213" spans="9:13" x14ac:dyDescent="0.3">
      <c r="I4213" s="82"/>
      <c r="M4213" s="85"/>
    </row>
    <row r="4214" spans="9:13" x14ac:dyDescent="0.3">
      <c r="I4214" s="82"/>
      <c r="M4214" s="85"/>
    </row>
    <row r="4215" spans="9:13" x14ac:dyDescent="0.3">
      <c r="I4215" s="82"/>
      <c r="M4215" s="85"/>
    </row>
    <row r="4216" spans="9:13" x14ac:dyDescent="0.3">
      <c r="I4216" s="82"/>
      <c r="M4216" s="85"/>
    </row>
    <row r="4217" spans="9:13" x14ac:dyDescent="0.3">
      <c r="I4217" s="82"/>
      <c r="M4217" s="85"/>
    </row>
    <row r="4218" spans="9:13" x14ac:dyDescent="0.3">
      <c r="I4218" s="82"/>
      <c r="M4218" s="85"/>
    </row>
    <row r="4219" spans="9:13" x14ac:dyDescent="0.3">
      <c r="I4219" s="82"/>
      <c r="M4219" s="85"/>
    </row>
    <row r="4220" spans="9:13" x14ac:dyDescent="0.3">
      <c r="I4220" s="82"/>
      <c r="M4220" s="85"/>
    </row>
    <row r="4221" spans="9:13" x14ac:dyDescent="0.3">
      <c r="I4221" s="82"/>
      <c r="M4221" s="85"/>
    </row>
    <row r="4222" spans="9:13" x14ac:dyDescent="0.3">
      <c r="I4222" s="82"/>
      <c r="M4222" s="85"/>
    </row>
    <row r="4223" spans="9:13" x14ac:dyDescent="0.3">
      <c r="I4223" s="82"/>
      <c r="M4223" s="85"/>
    </row>
    <row r="4224" spans="9:13" x14ac:dyDescent="0.3">
      <c r="I4224" s="82"/>
      <c r="M4224" s="85"/>
    </row>
    <row r="4225" spans="9:13" x14ac:dyDescent="0.3">
      <c r="I4225" s="82"/>
      <c r="M4225" s="85"/>
    </row>
    <row r="4226" spans="9:13" x14ac:dyDescent="0.3">
      <c r="I4226" s="82"/>
      <c r="M4226" s="85"/>
    </row>
    <row r="4227" spans="9:13" x14ac:dyDescent="0.3">
      <c r="I4227" s="82"/>
      <c r="M4227" s="85"/>
    </row>
    <row r="4228" spans="9:13" x14ac:dyDescent="0.3">
      <c r="I4228" s="82"/>
      <c r="M4228" s="85"/>
    </row>
    <row r="4229" spans="9:13" x14ac:dyDescent="0.3">
      <c r="I4229" s="82"/>
      <c r="M4229" s="85"/>
    </row>
    <row r="4230" spans="9:13" x14ac:dyDescent="0.3">
      <c r="I4230" s="82"/>
      <c r="M4230" s="85"/>
    </row>
    <row r="4231" spans="9:13" x14ac:dyDescent="0.3">
      <c r="I4231" s="82"/>
      <c r="M4231" s="85"/>
    </row>
    <row r="4232" spans="9:13" x14ac:dyDescent="0.3">
      <c r="I4232" s="82"/>
      <c r="M4232" s="85"/>
    </row>
    <row r="4233" spans="9:13" x14ac:dyDescent="0.3">
      <c r="I4233" s="82"/>
      <c r="M4233" s="85"/>
    </row>
    <row r="4234" spans="9:13" x14ac:dyDescent="0.3">
      <c r="I4234" s="82"/>
      <c r="M4234" s="85"/>
    </row>
    <row r="4235" spans="9:13" x14ac:dyDescent="0.3">
      <c r="I4235" s="82"/>
      <c r="M4235" s="85"/>
    </row>
    <row r="4236" spans="9:13" x14ac:dyDescent="0.3">
      <c r="I4236" s="82"/>
      <c r="M4236" s="85"/>
    </row>
    <row r="4237" spans="9:13" x14ac:dyDescent="0.3">
      <c r="I4237" s="82"/>
      <c r="M4237" s="85"/>
    </row>
    <row r="4238" spans="9:13" x14ac:dyDescent="0.3">
      <c r="I4238" s="82"/>
      <c r="M4238" s="85"/>
    </row>
    <row r="4239" spans="9:13" x14ac:dyDescent="0.3">
      <c r="I4239" s="82"/>
      <c r="M4239" s="85"/>
    </row>
    <row r="4240" spans="9:13" x14ac:dyDescent="0.3">
      <c r="I4240" s="82"/>
      <c r="M4240" s="85"/>
    </row>
    <row r="4241" spans="9:13" x14ac:dyDescent="0.3">
      <c r="I4241" s="82"/>
      <c r="M4241" s="85"/>
    </row>
    <row r="4242" spans="9:13" x14ac:dyDescent="0.3">
      <c r="I4242" s="82"/>
      <c r="M4242" s="85"/>
    </row>
    <row r="4243" spans="9:13" x14ac:dyDescent="0.3">
      <c r="I4243" s="82"/>
      <c r="M4243" s="85"/>
    </row>
    <row r="4244" spans="9:13" x14ac:dyDescent="0.3">
      <c r="I4244" s="82"/>
      <c r="M4244" s="85"/>
    </row>
    <row r="4245" spans="9:13" x14ac:dyDescent="0.3">
      <c r="I4245" s="82"/>
      <c r="M4245" s="85"/>
    </row>
    <row r="4246" spans="9:13" x14ac:dyDescent="0.3">
      <c r="I4246" s="82"/>
      <c r="M4246" s="85"/>
    </row>
    <row r="4247" spans="9:13" x14ac:dyDescent="0.3">
      <c r="I4247" s="82"/>
      <c r="M4247" s="85"/>
    </row>
    <row r="4248" spans="9:13" x14ac:dyDescent="0.3">
      <c r="I4248" s="82"/>
      <c r="M4248" s="85"/>
    </row>
    <row r="4249" spans="9:13" x14ac:dyDescent="0.3">
      <c r="I4249" s="82"/>
      <c r="M4249" s="85"/>
    </row>
    <row r="4250" spans="9:13" x14ac:dyDescent="0.3">
      <c r="I4250" s="82"/>
      <c r="M4250" s="85"/>
    </row>
    <row r="4251" spans="9:13" x14ac:dyDescent="0.3">
      <c r="I4251" s="82"/>
      <c r="M4251" s="85"/>
    </row>
    <row r="4252" spans="9:13" x14ac:dyDescent="0.3">
      <c r="I4252" s="82"/>
      <c r="M4252" s="85"/>
    </row>
    <row r="4253" spans="9:13" x14ac:dyDescent="0.3">
      <c r="I4253" s="82"/>
      <c r="M4253" s="85"/>
    </row>
    <row r="4254" spans="9:13" x14ac:dyDescent="0.3">
      <c r="I4254" s="82"/>
      <c r="M4254" s="85"/>
    </row>
    <row r="4255" spans="9:13" x14ac:dyDescent="0.3">
      <c r="I4255" s="82"/>
      <c r="M4255" s="85"/>
    </row>
    <row r="4256" spans="9:13" x14ac:dyDescent="0.3">
      <c r="I4256" s="82"/>
      <c r="M4256" s="85"/>
    </row>
    <row r="4257" spans="9:13" x14ac:dyDescent="0.3">
      <c r="I4257" s="82"/>
      <c r="M4257" s="85"/>
    </row>
    <row r="4258" spans="9:13" x14ac:dyDescent="0.3">
      <c r="I4258" s="82"/>
      <c r="M4258" s="85"/>
    </row>
    <row r="4259" spans="9:13" x14ac:dyDescent="0.3">
      <c r="I4259" s="82"/>
      <c r="M4259" s="85"/>
    </row>
    <row r="4260" spans="9:13" x14ac:dyDescent="0.3">
      <c r="I4260" s="82"/>
      <c r="M4260" s="85"/>
    </row>
    <row r="4261" spans="9:13" x14ac:dyDescent="0.3">
      <c r="I4261" s="82"/>
      <c r="M4261" s="85"/>
    </row>
    <row r="4262" spans="9:13" x14ac:dyDescent="0.3">
      <c r="I4262" s="82"/>
      <c r="M4262" s="85"/>
    </row>
    <row r="4263" spans="9:13" x14ac:dyDescent="0.3">
      <c r="I4263" s="82"/>
      <c r="M4263" s="85"/>
    </row>
    <row r="4264" spans="9:13" x14ac:dyDescent="0.3">
      <c r="I4264" s="82"/>
      <c r="M4264" s="85"/>
    </row>
    <row r="4265" spans="9:13" x14ac:dyDescent="0.3">
      <c r="I4265" s="82"/>
      <c r="M4265" s="85"/>
    </row>
    <row r="4266" spans="9:13" x14ac:dyDescent="0.3">
      <c r="I4266" s="82"/>
      <c r="M4266" s="85"/>
    </row>
    <row r="4267" spans="9:13" x14ac:dyDescent="0.3">
      <c r="I4267" s="82"/>
      <c r="M4267" s="85"/>
    </row>
    <row r="4268" spans="9:13" x14ac:dyDescent="0.3">
      <c r="I4268" s="82"/>
      <c r="M4268" s="85"/>
    </row>
    <row r="4269" spans="9:13" x14ac:dyDescent="0.3">
      <c r="I4269" s="82"/>
      <c r="M4269" s="85"/>
    </row>
    <row r="4270" spans="9:13" x14ac:dyDescent="0.3">
      <c r="I4270" s="82"/>
      <c r="M4270" s="85"/>
    </row>
    <row r="4271" spans="9:13" x14ac:dyDescent="0.3">
      <c r="I4271" s="82"/>
      <c r="M4271" s="85"/>
    </row>
    <row r="4272" spans="9:13" x14ac:dyDescent="0.3">
      <c r="I4272" s="82"/>
      <c r="M4272" s="85"/>
    </row>
    <row r="4273" spans="9:13" x14ac:dyDescent="0.3">
      <c r="I4273" s="82"/>
      <c r="M4273" s="85"/>
    </row>
    <row r="4274" spans="9:13" x14ac:dyDescent="0.3">
      <c r="I4274" s="82"/>
      <c r="M4274" s="85"/>
    </row>
    <row r="4275" spans="9:13" x14ac:dyDescent="0.3">
      <c r="I4275" s="82"/>
      <c r="M4275" s="85"/>
    </row>
    <row r="4276" spans="9:13" x14ac:dyDescent="0.3">
      <c r="I4276" s="82"/>
      <c r="M4276" s="85"/>
    </row>
    <row r="4277" spans="9:13" x14ac:dyDescent="0.3">
      <c r="I4277" s="82"/>
      <c r="M4277" s="85"/>
    </row>
    <row r="4278" spans="9:13" x14ac:dyDescent="0.3">
      <c r="I4278" s="82"/>
      <c r="M4278" s="85"/>
    </row>
    <row r="4279" spans="9:13" x14ac:dyDescent="0.3">
      <c r="I4279" s="82"/>
      <c r="M4279" s="85"/>
    </row>
    <row r="4280" spans="9:13" x14ac:dyDescent="0.3">
      <c r="I4280" s="82"/>
      <c r="M4280" s="85"/>
    </row>
    <row r="4281" spans="9:13" x14ac:dyDescent="0.3">
      <c r="I4281" s="82"/>
      <c r="M4281" s="85"/>
    </row>
    <row r="4282" spans="9:13" x14ac:dyDescent="0.3">
      <c r="I4282" s="82"/>
      <c r="M4282" s="85"/>
    </row>
    <row r="4283" spans="9:13" x14ac:dyDescent="0.3">
      <c r="I4283" s="82"/>
      <c r="M4283" s="85"/>
    </row>
    <row r="4284" spans="9:13" x14ac:dyDescent="0.3">
      <c r="I4284" s="82"/>
      <c r="M4284" s="85"/>
    </row>
    <row r="4285" spans="9:13" x14ac:dyDescent="0.3">
      <c r="I4285" s="82"/>
      <c r="M4285" s="85"/>
    </row>
    <row r="4286" spans="9:13" x14ac:dyDescent="0.3">
      <c r="I4286" s="82"/>
      <c r="M4286" s="85"/>
    </row>
    <row r="4287" spans="9:13" x14ac:dyDescent="0.3">
      <c r="I4287" s="82"/>
      <c r="M4287" s="85"/>
    </row>
    <row r="4288" spans="9:13" x14ac:dyDescent="0.3">
      <c r="I4288" s="82"/>
      <c r="M4288" s="85"/>
    </row>
    <row r="4289" spans="9:13" x14ac:dyDescent="0.3">
      <c r="I4289" s="82"/>
      <c r="M4289" s="85"/>
    </row>
    <row r="4290" spans="9:13" x14ac:dyDescent="0.3">
      <c r="I4290" s="82"/>
      <c r="M4290" s="85"/>
    </row>
    <row r="4291" spans="9:13" x14ac:dyDescent="0.3">
      <c r="I4291" s="82"/>
      <c r="M4291" s="85"/>
    </row>
    <row r="4292" spans="9:13" x14ac:dyDescent="0.3">
      <c r="I4292" s="82"/>
      <c r="M4292" s="85"/>
    </row>
    <row r="4293" spans="9:13" x14ac:dyDescent="0.3">
      <c r="I4293" s="82"/>
      <c r="M4293" s="85"/>
    </row>
    <row r="4294" spans="9:13" x14ac:dyDescent="0.3">
      <c r="I4294" s="82"/>
      <c r="M4294" s="85"/>
    </row>
    <row r="4295" spans="9:13" x14ac:dyDescent="0.3">
      <c r="I4295" s="82"/>
      <c r="M4295" s="85"/>
    </row>
    <row r="4296" spans="9:13" x14ac:dyDescent="0.3">
      <c r="I4296" s="82"/>
      <c r="M4296" s="85"/>
    </row>
    <row r="4297" spans="9:13" x14ac:dyDescent="0.3">
      <c r="I4297" s="82"/>
      <c r="M4297" s="85"/>
    </row>
    <row r="4298" spans="9:13" x14ac:dyDescent="0.3">
      <c r="I4298" s="82"/>
      <c r="M4298" s="85"/>
    </row>
    <row r="4299" spans="9:13" x14ac:dyDescent="0.3">
      <c r="I4299" s="82"/>
      <c r="M4299" s="85"/>
    </row>
    <row r="4300" spans="9:13" x14ac:dyDescent="0.3">
      <c r="I4300" s="82"/>
      <c r="M4300" s="85"/>
    </row>
    <row r="4301" spans="9:13" x14ac:dyDescent="0.3">
      <c r="I4301" s="82"/>
      <c r="M4301" s="85"/>
    </row>
    <row r="4302" spans="9:13" x14ac:dyDescent="0.3">
      <c r="I4302" s="82"/>
      <c r="M4302" s="85"/>
    </row>
    <row r="4303" spans="9:13" x14ac:dyDescent="0.3">
      <c r="I4303" s="82"/>
      <c r="M4303" s="85"/>
    </row>
    <row r="4304" spans="9:13" x14ac:dyDescent="0.3">
      <c r="I4304" s="82"/>
      <c r="M4304" s="85"/>
    </row>
    <row r="4305" spans="9:13" x14ac:dyDescent="0.3">
      <c r="I4305" s="82"/>
      <c r="M4305" s="85"/>
    </row>
    <row r="4306" spans="9:13" x14ac:dyDescent="0.3">
      <c r="I4306" s="82"/>
      <c r="M4306" s="85"/>
    </row>
    <row r="4307" spans="9:13" x14ac:dyDescent="0.3">
      <c r="I4307" s="82"/>
      <c r="M4307" s="85"/>
    </row>
    <row r="4308" spans="9:13" x14ac:dyDescent="0.3">
      <c r="I4308" s="82"/>
      <c r="M4308" s="85"/>
    </row>
    <row r="4309" spans="9:13" x14ac:dyDescent="0.3">
      <c r="I4309" s="82"/>
      <c r="M4309" s="85"/>
    </row>
    <row r="4310" spans="9:13" x14ac:dyDescent="0.3">
      <c r="I4310" s="82"/>
      <c r="M4310" s="85"/>
    </row>
    <row r="4311" spans="9:13" x14ac:dyDescent="0.3">
      <c r="I4311" s="82"/>
      <c r="M4311" s="85"/>
    </row>
    <row r="4312" spans="9:13" x14ac:dyDescent="0.3">
      <c r="I4312" s="82"/>
      <c r="M4312" s="85"/>
    </row>
    <row r="4313" spans="9:13" x14ac:dyDescent="0.3">
      <c r="I4313" s="82"/>
      <c r="M4313" s="85"/>
    </row>
    <row r="4314" spans="9:13" x14ac:dyDescent="0.3">
      <c r="I4314" s="82"/>
      <c r="M4314" s="85"/>
    </row>
    <row r="4315" spans="9:13" x14ac:dyDescent="0.3">
      <c r="I4315" s="82"/>
      <c r="M4315" s="85"/>
    </row>
    <row r="4316" spans="9:13" x14ac:dyDescent="0.3">
      <c r="I4316" s="82"/>
      <c r="M4316" s="85"/>
    </row>
    <row r="4317" spans="9:13" x14ac:dyDescent="0.3">
      <c r="I4317" s="82"/>
      <c r="M4317" s="85"/>
    </row>
    <row r="4318" spans="9:13" x14ac:dyDescent="0.3">
      <c r="I4318" s="82"/>
      <c r="M4318" s="85"/>
    </row>
    <row r="4319" spans="9:13" x14ac:dyDescent="0.3">
      <c r="I4319" s="82"/>
      <c r="M4319" s="85"/>
    </row>
    <row r="4320" spans="9:13" x14ac:dyDescent="0.3">
      <c r="I4320" s="82"/>
      <c r="M4320" s="85"/>
    </row>
    <row r="4321" spans="9:13" x14ac:dyDescent="0.3">
      <c r="I4321" s="82"/>
      <c r="M4321" s="85"/>
    </row>
    <row r="4322" spans="9:13" x14ac:dyDescent="0.3">
      <c r="I4322" s="82"/>
      <c r="M4322" s="85"/>
    </row>
    <row r="4323" spans="9:13" x14ac:dyDescent="0.3">
      <c r="I4323" s="82"/>
      <c r="M4323" s="85"/>
    </row>
    <row r="4324" spans="9:13" x14ac:dyDescent="0.3">
      <c r="I4324" s="82"/>
      <c r="M4324" s="85"/>
    </row>
    <row r="4325" spans="9:13" x14ac:dyDescent="0.3">
      <c r="I4325" s="82"/>
      <c r="M4325" s="85"/>
    </row>
    <row r="4326" spans="9:13" x14ac:dyDescent="0.3">
      <c r="I4326" s="82"/>
      <c r="M4326" s="85"/>
    </row>
    <row r="4327" spans="9:13" x14ac:dyDescent="0.3">
      <c r="I4327" s="82"/>
      <c r="M4327" s="85"/>
    </row>
    <row r="4328" spans="9:13" x14ac:dyDescent="0.3">
      <c r="I4328" s="82"/>
      <c r="M4328" s="85"/>
    </row>
    <row r="4329" spans="9:13" x14ac:dyDescent="0.3">
      <c r="I4329" s="82"/>
      <c r="M4329" s="85"/>
    </row>
    <row r="4330" spans="9:13" x14ac:dyDescent="0.3">
      <c r="I4330" s="82"/>
      <c r="M4330" s="85"/>
    </row>
    <row r="4331" spans="9:13" x14ac:dyDescent="0.3">
      <c r="I4331" s="82"/>
      <c r="M4331" s="85"/>
    </row>
    <row r="4332" spans="9:13" x14ac:dyDescent="0.3">
      <c r="I4332" s="82"/>
      <c r="M4332" s="85"/>
    </row>
    <row r="4333" spans="9:13" x14ac:dyDescent="0.3">
      <c r="I4333" s="82"/>
      <c r="M4333" s="85"/>
    </row>
    <row r="4334" spans="9:13" x14ac:dyDescent="0.3">
      <c r="I4334" s="82"/>
      <c r="M4334" s="85"/>
    </row>
    <row r="4335" spans="9:13" x14ac:dyDescent="0.3">
      <c r="I4335" s="82"/>
      <c r="M4335" s="85"/>
    </row>
    <row r="4336" spans="9:13" x14ac:dyDescent="0.3">
      <c r="I4336" s="82"/>
      <c r="M4336" s="85"/>
    </row>
    <row r="4337" spans="9:13" x14ac:dyDescent="0.3">
      <c r="I4337" s="82"/>
      <c r="M4337" s="85"/>
    </row>
    <row r="4338" spans="9:13" x14ac:dyDescent="0.3">
      <c r="I4338" s="82"/>
      <c r="M4338" s="85"/>
    </row>
    <row r="4339" spans="9:13" x14ac:dyDescent="0.3">
      <c r="I4339" s="82"/>
      <c r="M4339" s="85"/>
    </row>
    <row r="4340" spans="9:13" x14ac:dyDescent="0.3">
      <c r="I4340" s="82"/>
      <c r="M4340" s="85"/>
    </row>
    <row r="4341" spans="9:13" x14ac:dyDescent="0.3">
      <c r="I4341" s="82"/>
      <c r="M4341" s="85"/>
    </row>
    <row r="4342" spans="9:13" x14ac:dyDescent="0.3">
      <c r="I4342" s="82"/>
      <c r="M4342" s="85"/>
    </row>
    <row r="4343" spans="9:13" x14ac:dyDescent="0.3">
      <c r="I4343" s="82"/>
      <c r="M4343" s="85"/>
    </row>
    <row r="4344" spans="9:13" x14ac:dyDescent="0.3">
      <c r="I4344" s="82"/>
      <c r="M4344" s="85"/>
    </row>
    <row r="4345" spans="9:13" x14ac:dyDescent="0.3">
      <c r="I4345" s="82"/>
      <c r="M4345" s="85"/>
    </row>
    <row r="4346" spans="9:13" x14ac:dyDescent="0.3">
      <c r="I4346" s="82"/>
      <c r="M4346" s="85"/>
    </row>
    <row r="4347" spans="9:13" x14ac:dyDescent="0.3">
      <c r="I4347" s="82"/>
      <c r="M4347" s="85"/>
    </row>
    <row r="4348" spans="9:13" x14ac:dyDescent="0.3">
      <c r="I4348" s="82"/>
      <c r="M4348" s="85"/>
    </row>
    <row r="4349" spans="9:13" x14ac:dyDescent="0.3">
      <c r="I4349" s="82"/>
      <c r="M4349" s="85"/>
    </row>
    <row r="4350" spans="9:13" x14ac:dyDescent="0.3">
      <c r="I4350" s="82"/>
      <c r="M4350" s="85"/>
    </row>
    <row r="4351" spans="9:13" x14ac:dyDescent="0.3">
      <c r="I4351" s="82"/>
      <c r="M4351" s="85"/>
    </row>
    <row r="4352" spans="9:13" x14ac:dyDescent="0.3">
      <c r="I4352" s="82"/>
      <c r="M4352" s="85"/>
    </row>
    <row r="4353" spans="9:13" x14ac:dyDescent="0.3">
      <c r="I4353" s="82"/>
      <c r="M4353" s="85"/>
    </row>
    <row r="4354" spans="9:13" x14ac:dyDescent="0.3">
      <c r="I4354" s="82"/>
      <c r="M4354" s="85"/>
    </row>
    <row r="4355" spans="9:13" x14ac:dyDescent="0.3">
      <c r="I4355" s="82"/>
      <c r="M4355" s="85"/>
    </row>
    <row r="4356" spans="9:13" x14ac:dyDescent="0.3">
      <c r="I4356" s="82"/>
      <c r="M4356" s="85"/>
    </row>
    <row r="4357" spans="9:13" x14ac:dyDescent="0.3">
      <c r="I4357" s="82"/>
      <c r="M4357" s="85"/>
    </row>
    <row r="4358" spans="9:13" x14ac:dyDescent="0.3">
      <c r="I4358" s="82"/>
      <c r="M4358" s="85"/>
    </row>
    <row r="4359" spans="9:13" x14ac:dyDescent="0.3">
      <c r="I4359" s="82"/>
      <c r="M4359" s="85"/>
    </row>
    <row r="4360" spans="9:13" x14ac:dyDescent="0.3">
      <c r="I4360" s="82"/>
      <c r="M4360" s="85"/>
    </row>
    <row r="4361" spans="9:13" x14ac:dyDescent="0.3">
      <c r="I4361" s="82"/>
      <c r="M4361" s="85"/>
    </row>
    <row r="4362" spans="9:13" x14ac:dyDescent="0.3">
      <c r="I4362" s="82"/>
      <c r="M4362" s="85"/>
    </row>
    <row r="4363" spans="9:13" x14ac:dyDescent="0.3">
      <c r="I4363" s="82"/>
      <c r="M4363" s="85"/>
    </row>
    <row r="4364" spans="9:13" x14ac:dyDescent="0.3">
      <c r="I4364" s="82"/>
      <c r="M4364" s="85"/>
    </row>
    <row r="4365" spans="9:13" x14ac:dyDescent="0.3">
      <c r="I4365" s="82"/>
      <c r="M4365" s="85"/>
    </row>
    <row r="4366" spans="9:13" x14ac:dyDescent="0.3">
      <c r="I4366" s="82"/>
      <c r="M4366" s="85"/>
    </row>
    <row r="4367" spans="9:13" x14ac:dyDescent="0.3">
      <c r="I4367" s="82"/>
      <c r="M4367" s="85"/>
    </row>
    <row r="4368" spans="9:13" x14ac:dyDescent="0.3">
      <c r="I4368" s="82"/>
      <c r="M4368" s="85"/>
    </row>
    <row r="4369" spans="9:13" x14ac:dyDescent="0.3">
      <c r="I4369" s="82"/>
      <c r="M4369" s="85"/>
    </row>
    <row r="4370" spans="9:13" x14ac:dyDescent="0.3">
      <c r="I4370" s="82"/>
      <c r="M4370" s="85"/>
    </row>
    <row r="4371" spans="9:13" x14ac:dyDescent="0.3">
      <c r="I4371" s="82"/>
      <c r="M4371" s="85"/>
    </row>
    <row r="4372" spans="9:13" x14ac:dyDescent="0.3">
      <c r="I4372" s="82"/>
      <c r="M4372" s="85"/>
    </row>
    <row r="4373" spans="9:13" x14ac:dyDescent="0.3">
      <c r="I4373" s="82"/>
      <c r="M4373" s="85"/>
    </row>
    <row r="4374" spans="9:13" x14ac:dyDescent="0.3">
      <c r="I4374" s="82"/>
      <c r="M4374" s="85"/>
    </row>
    <row r="4375" spans="9:13" x14ac:dyDescent="0.3">
      <c r="I4375" s="82"/>
      <c r="M4375" s="85"/>
    </row>
    <row r="4376" spans="9:13" x14ac:dyDescent="0.3">
      <c r="I4376" s="82"/>
      <c r="M4376" s="85"/>
    </row>
    <row r="4377" spans="9:13" x14ac:dyDescent="0.3">
      <c r="I4377" s="82"/>
      <c r="M4377" s="85"/>
    </row>
    <row r="4378" spans="9:13" x14ac:dyDescent="0.3">
      <c r="I4378" s="82"/>
      <c r="M4378" s="85"/>
    </row>
    <row r="4379" spans="9:13" x14ac:dyDescent="0.3">
      <c r="I4379" s="82"/>
      <c r="M4379" s="85"/>
    </row>
    <row r="4380" spans="9:13" x14ac:dyDescent="0.3">
      <c r="I4380" s="82"/>
      <c r="M4380" s="85"/>
    </row>
    <row r="4381" spans="9:13" x14ac:dyDescent="0.3">
      <c r="I4381" s="82"/>
      <c r="M4381" s="85"/>
    </row>
    <row r="4382" spans="9:13" x14ac:dyDescent="0.3">
      <c r="I4382" s="82"/>
      <c r="M4382" s="85"/>
    </row>
    <row r="4383" spans="9:13" x14ac:dyDescent="0.3">
      <c r="I4383" s="82"/>
      <c r="M4383" s="85"/>
    </row>
    <row r="4384" spans="9:13" x14ac:dyDescent="0.3">
      <c r="I4384" s="82"/>
      <c r="M4384" s="85"/>
    </row>
    <row r="4385" spans="9:13" x14ac:dyDescent="0.3">
      <c r="I4385" s="82"/>
      <c r="M4385" s="85"/>
    </row>
    <row r="4386" spans="9:13" x14ac:dyDescent="0.3">
      <c r="I4386" s="82"/>
      <c r="M4386" s="85"/>
    </row>
    <row r="4387" spans="9:13" x14ac:dyDescent="0.3">
      <c r="I4387" s="82"/>
      <c r="M4387" s="85"/>
    </row>
    <row r="4388" spans="9:13" x14ac:dyDescent="0.3">
      <c r="I4388" s="82"/>
      <c r="M4388" s="85"/>
    </row>
    <row r="4389" spans="9:13" x14ac:dyDescent="0.3">
      <c r="I4389" s="82"/>
      <c r="M4389" s="85"/>
    </row>
    <row r="4390" spans="9:13" x14ac:dyDescent="0.3">
      <c r="I4390" s="82"/>
      <c r="M4390" s="85"/>
    </row>
    <row r="4391" spans="9:13" x14ac:dyDescent="0.3">
      <c r="I4391" s="82"/>
      <c r="M4391" s="85"/>
    </row>
    <row r="4392" spans="9:13" x14ac:dyDescent="0.3">
      <c r="I4392" s="82"/>
      <c r="M4392" s="85"/>
    </row>
    <row r="4393" spans="9:13" x14ac:dyDescent="0.3">
      <c r="I4393" s="82"/>
      <c r="M4393" s="85"/>
    </row>
    <row r="4394" spans="9:13" x14ac:dyDescent="0.3">
      <c r="I4394" s="82"/>
      <c r="M4394" s="85"/>
    </row>
    <row r="4395" spans="9:13" x14ac:dyDescent="0.3">
      <c r="I4395" s="82"/>
      <c r="M4395" s="85"/>
    </row>
    <row r="4396" spans="9:13" x14ac:dyDescent="0.3">
      <c r="I4396" s="82"/>
      <c r="M4396" s="85"/>
    </row>
    <row r="4397" spans="9:13" x14ac:dyDescent="0.3">
      <c r="I4397" s="82"/>
      <c r="M4397" s="85"/>
    </row>
    <row r="4398" spans="9:13" x14ac:dyDescent="0.3">
      <c r="I4398" s="82"/>
      <c r="M4398" s="85"/>
    </row>
    <row r="4399" spans="9:13" x14ac:dyDescent="0.3">
      <c r="I4399" s="82"/>
      <c r="M4399" s="85"/>
    </row>
    <row r="4400" spans="9:13" x14ac:dyDescent="0.3">
      <c r="I4400" s="82"/>
      <c r="M4400" s="85"/>
    </row>
    <row r="4401" spans="9:13" x14ac:dyDescent="0.3">
      <c r="I4401" s="82"/>
      <c r="M4401" s="85"/>
    </row>
    <row r="4402" spans="9:13" x14ac:dyDescent="0.3">
      <c r="I4402" s="82"/>
      <c r="M4402" s="85"/>
    </row>
    <row r="4403" spans="9:13" x14ac:dyDescent="0.3">
      <c r="I4403" s="82"/>
      <c r="M4403" s="85"/>
    </row>
    <row r="4404" spans="9:13" x14ac:dyDescent="0.3">
      <c r="I4404" s="82"/>
      <c r="M4404" s="85"/>
    </row>
    <row r="4405" spans="9:13" x14ac:dyDescent="0.3">
      <c r="I4405" s="82"/>
      <c r="M4405" s="85"/>
    </row>
    <row r="4406" spans="9:13" x14ac:dyDescent="0.3">
      <c r="I4406" s="82"/>
      <c r="M4406" s="85"/>
    </row>
    <row r="4407" spans="9:13" x14ac:dyDescent="0.3">
      <c r="I4407" s="82"/>
      <c r="M4407" s="85"/>
    </row>
    <row r="4408" spans="9:13" x14ac:dyDescent="0.3">
      <c r="I4408" s="82"/>
      <c r="M4408" s="85"/>
    </row>
    <row r="4409" spans="9:13" x14ac:dyDescent="0.3">
      <c r="I4409" s="82"/>
      <c r="M4409" s="85"/>
    </row>
    <row r="4410" spans="9:13" x14ac:dyDescent="0.3">
      <c r="I4410" s="82"/>
      <c r="M4410" s="85"/>
    </row>
    <row r="4411" spans="9:13" x14ac:dyDescent="0.3">
      <c r="I4411" s="82"/>
      <c r="M4411" s="85"/>
    </row>
    <row r="4412" spans="9:13" x14ac:dyDescent="0.3">
      <c r="I4412" s="82"/>
      <c r="M4412" s="85"/>
    </row>
    <row r="4413" spans="9:13" x14ac:dyDescent="0.3">
      <c r="I4413" s="82"/>
      <c r="M4413" s="85"/>
    </row>
    <row r="4414" spans="9:13" x14ac:dyDescent="0.3">
      <c r="I4414" s="82"/>
      <c r="M4414" s="85"/>
    </row>
    <row r="4415" spans="9:13" x14ac:dyDescent="0.3">
      <c r="I4415" s="82"/>
      <c r="M4415" s="85"/>
    </row>
    <row r="4416" spans="9:13" x14ac:dyDescent="0.3">
      <c r="I4416" s="82"/>
      <c r="M4416" s="85"/>
    </row>
    <row r="4417" spans="9:13" x14ac:dyDescent="0.3">
      <c r="I4417" s="82"/>
      <c r="M4417" s="85"/>
    </row>
    <row r="4418" spans="9:13" x14ac:dyDescent="0.3">
      <c r="I4418" s="82"/>
      <c r="M4418" s="85"/>
    </row>
    <row r="4419" spans="9:13" x14ac:dyDescent="0.3">
      <c r="I4419" s="82"/>
      <c r="M4419" s="85"/>
    </row>
    <row r="4420" spans="9:13" x14ac:dyDescent="0.3">
      <c r="I4420" s="82"/>
      <c r="M4420" s="85"/>
    </row>
    <row r="4421" spans="9:13" x14ac:dyDescent="0.3">
      <c r="I4421" s="82"/>
      <c r="M4421" s="85"/>
    </row>
    <row r="4422" spans="9:13" x14ac:dyDescent="0.3">
      <c r="I4422" s="82"/>
      <c r="M4422" s="85"/>
    </row>
    <row r="4423" spans="9:13" x14ac:dyDescent="0.3">
      <c r="I4423" s="82"/>
      <c r="M4423" s="85"/>
    </row>
    <row r="4424" spans="9:13" x14ac:dyDescent="0.3">
      <c r="I4424" s="82"/>
      <c r="M4424" s="85"/>
    </row>
    <row r="4425" spans="9:13" x14ac:dyDescent="0.3">
      <c r="I4425" s="82"/>
      <c r="M4425" s="85"/>
    </row>
    <row r="4426" spans="9:13" x14ac:dyDescent="0.3">
      <c r="I4426" s="82"/>
      <c r="M4426" s="85"/>
    </row>
    <row r="4427" spans="9:13" x14ac:dyDescent="0.3">
      <c r="I4427" s="82"/>
      <c r="M4427" s="85"/>
    </row>
    <row r="4428" spans="9:13" x14ac:dyDescent="0.3">
      <c r="I4428" s="82"/>
      <c r="M4428" s="85"/>
    </row>
    <row r="4429" spans="9:13" x14ac:dyDescent="0.3">
      <c r="I4429" s="82"/>
      <c r="M4429" s="85"/>
    </row>
    <row r="4430" spans="9:13" x14ac:dyDescent="0.3">
      <c r="I4430" s="82"/>
      <c r="M4430" s="85"/>
    </row>
    <row r="4431" spans="9:13" x14ac:dyDescent="0.3">
      <c r="I4431" s="82"/>
      <c r="M4431" s="85"/>
    </row>
    <row r="4432" spans="9:13" x14ac:dyDescent="0.3">
      <c r="I4432" s="82"/>
      <c r="M4432" s="85"/>
    </row>
    <row r="4433" spans="9:13" x14ac:dyDescent="0.3">
      <c r="I4433" s="82"/>
      <c r="M4433" s="85"/>
    </row>
    <row r="4434" spans="9:13" x14ac:dyDescent="0.3">
      <c r="I4434" s="82"/>
      <c r="M4434" s="85"/>
    </row>
    <row r="4435" spans="9:13" x14ac:dyDescent="0.3">
      <c r="I4435" s="82"/>
      <c r="M4435" s="85"/>
    </row>
    <row r="4436" spans="9:13" x14ac:dyDescent="0.3">
      <c r="I4436" s="82"/>
      <c r="M4436" s="85"/>
    </row>
    <row r="4437" spans="9:13" x14ac:dyDescent="0.3">
      <c r="I4437" s="82"/>
      <c r="M4437" s="85"/>
    </row>
    <row r="4438" spans="9:13" x14ac:dyDescent="0.3">
      <c r="I4438" s="82"/>
      <c r="M4438" s="85"/>
    </row>
    <row r="4439" spans="9:13" x14ac:dyDescent="0.3">
      <c r="I4439" s="82"/>
      <c r="M4439" s="85"/>
    </row>
    <row r="4440" spans="9:13" x14ac:dyDescent="0.3">
      <c r="I4440" s="82"/>
      <c r="M4440" s="85"/>
    </row>
    <row r="4441" spans="9:13" x14ac:dyDescent="0.3">
      <c r="I4441" s="82"/>
      <c r="M4441" s="85"/>
    </row>
    <row r="4442" spans="9:13" x14ac:dyDescent="0.3">
      <c r="I4442" s="82"/>
      <c r="M4442" s="85"/>
    </row>
    <row r="4443" spans="9:13" x14ac:dyDescent="0.3">
      <c r="I4443" s="82"/>
      <c r="M4443" s="85"/>
    </row>
    <row r="4444" spans="9:13" x14ac:dyDescent="0.3">
      <c r="I4444" s="82"/>
      <c r="M4444" s="85"/>
    </row>
    <row r="4445" spans="9:13" x14ac:dyDescent="0.3">
      <c r="I4445" s="82"/>
      <c r="M4445" s="85"/>
    </row>
    <row r="4446" spans="9:13" x14ac:dyDescent="0.3">
      <c r="I4446" s="82"/>
      <c r="M4446" s="85"/>
    </row>
    <row r="4447" spans="9:13" x14ac:dyDescent="0.3">
      <c r="I4447" s="82"/>
      <c r="M4447" s="85"/>
    </row>
    <row r="4448" spans="9:13" x14ac:dyDescent="0.3">
      <c r="I4448" s="82"/>
      <c r="M4448" s="85"/>
    </row>
    <row r="4449" spans="9:13" x14ac:dyDescent="0.3">
      <c r="I4449" s="82"/>
      <c r="M4449" s="85"/>
    </row>
    <row r="4450" spans="9:13" x14ac:dyDescent="0.3">
      <c r="I4450" s="82"/>
      <c r="M4450" s="85"/>
    </row>
    <row r="4451" spans="9:13" x14ac:dyDescent="0.3">
      <c r="I4451" s="82"/>
      <c r="M4451" s="85"/>
    </row>
    <row r="4452" spans="9:13" x14ac:dyDescent="0.3">
      <c r="I4452" s="82"/>
      <c r="M4452" s="85"/>
    </row>
    <row r="4453" spans="9:13" x14ac:dyDescent="0.3">
      <c r="I4453" s="82"/>
      <c r="M4453" s="85"/>
    </row>
    <row r="4454" spans="9:13" x14ac:dyDescent="0.3">
      <c r="I4454" s="82"/>
      <c r="M4454" s="85"/>
    </row>
    <row r="4455" spans="9:13" x14ac:dyDescent="0.3">
      <c r="I4455" s="82"/>
      <c r="M4455" s="85"/>
    </row>
    <row r="4456" spans="9:13" x14ac:dyDescent="0.3">
      <c r="I4456" s="82"/>
      <c r="M4456" s="85"/>
    </row>
    <row r="4457" spans="9:13" x14ac:dyDescent="0.3">
      <c r="I4457" s="82"/>
      <c r="M4457" s="85"/>
    </row>
    <row r="4458" spans="9:13" x14ac:dyDescent="0.3">
      <c r="I4458" s="82"/>
      <c r="M4458" s="85"/>
    </row>
    <row r="4459" spans="9:13" x14ac:dyDescent="0.3">
      <c r="I4459" s="82"/>
      <c r="M4459" s="85"/>
    </row>
    <row r="4460" spans="9:13" x14ac:dyDescent="0.3">
      <c r="I4460" s="82"/>
      <c r="M4460" s="85"/>
    </row>
    <row r="4461" spans="9:13" x14ac:dyDescent="0.3">
      <c r="I4461" s="82"/>
      <c r="M4461" s="85"/>
    </row>
    <row r="4462" spans="9:13" x14ac:dyDescent="0.3">
      <c r="I4462" s="82"/>
      <c r="M4462" s="85"/>
    </row>
    <row r="4463" spans="9:13" x14ac:dyDescent="0.3">
      <c r="I4463" s="82"/>
      <c r="M4463" s="85"/>
    </row>
    <row r="4464" spans="9:13" x14ac:dyDescent="0.3">
      <c r="I4464" s="82"/>
      <c r="M4464" s="85"/>
    </row>
    <row r="4465" spans="9:13" x14ac:dyDescent="0.3">
      <c r="I4465" s="82"/>
      <c r="M4465" s="85"/>
    </row>
    <row r="4466" spans="9:13" x14ac:dyDescent="0.3">
      <c r="I4466" s="82"/>
      <c r="M4466" s="85"/>
    </row>
    <row r="4467" spans="9:13" x14ac:dyDescent="0.3">
      <c r="I4467" s="82"/>
      <c r="M4467" s="85"/>
    </row>
    <row r="4468" spans="9:13" x14ac:dyDescent="0.3">
      <c r="I4468" s="82"/>
      <c r="M4468" s="85"/>
    </row>
    <row r="4469" spans="9:13" x14ac:dyDescent="0.3">
      <c r="I4469" s="82"/>
      <c r="M4469" s="85"/>
    </row>
    <row r="4470" spans="9:13" x14ac:dyDescent="0.3">
      <c r="I4470" s="82"/>
      <c r="M4470" s="85"/>
    </row>
    <row r="4471" spans="9:13" x14ac:dyDescent="0.3">
      <c r="I4471" s="82"/>
      <c r="M4471" s="85"/>
    </row>
    <row r="4472" spans="9:13" x14ac:dyDescent="0.3">
      <c r="I4472" s="82"/>
      <c r="M4472" s="85"/>
    </row>
    <row r="4473" spans="9:13" x14ac:dyDescent="0.3">
      <c r="I4473" s="82"/>
      <c r="M4473" s="85"/>
    </row>
    <row r="4474" spans="9:13" x14ac:dyDescent="0.3">
      <c r="I4474" s="82"/>
      <c r="M4474" s="85"/>
    </row>
    <row r="4475" spans="9:13" x14ac:dyDescent="0.3">
      <c r="I4475" s="82"/>
      <c r="M4475" s="85"/>
    </row>
    <row r="4476" spans="9:13" x14ac:dyDescent="0.3">
      <c r="I4476" s="82"/>
      <c r="M4476" s="85"/>
    </row>
    <row r="4477" spans="9:13" x14ac:dyDescent="0.3">
      <c r="I4477" s="82"/>
      <c r="M4477" s="85"/>
    </row>
    <row r="4478" spans="9:13" x14ac:dyDescent="0.3">
      <c r="I4478" s="82"/>
      <c r="M4478" s="85"/>
    </row>
    <row r="4479" spans="9:13" x14ac:dyDescent="0.3">
      <c r="I4479" s="82"/>
      <c r="M4479" s="85"/>
    </row>
    <row r="4480" spans="9:13" x14ac:dyDescent="0.3">
      <c r="I4480" s="82"/>
      <c r="M4480" s="85"/>
    </row>
    <row r="4481" spans="9:13" x14ac:dyDescent="0.3">
      <c r="I4481" s="82"/>
      <c r="M4481" s="85"/>
    </row>
    <row r="4482" spans="9:13" x14ac:dyDescent="0.3">
      <c r="I4482" s="82"/>
      <c r="M4482" s="85"/>
    </row>
    <row r="4483" spans="9:13" x14ac:dyDescent="0.3">
      <c r="I4483" s="82"/>
      <c r="M4483" s="85"/>
    </row>
    <row r="4484" spans="9:13" x14ac:dyDescent="0.3">
      <c r="I4484" s="82"/>
      <c r="M4484" s="85"/>
    </row>
    <row r="4485" spans="9:13" x14ac:dyDescent="0.3">
      <c r="I4485" s="82"/>
      <c r="M4485" s="85"/>
    </row>
    <row r="4486" spans="9:13" x14ac:dyDescent="0.3">
      <c r="I4486" s="82"/>
      <c r="M4486" s="85"/>
    </row>
    <row r="4487" spans="9:13" x14ac:dyDescent="0.3">
      <c r="I4487" s="82"/>
      <c r="M4487" s="85"/>
    </row>
    <row r="4488" spans="9:13" x14ac:dyDescent="0.3">
      <c r="I4488" s="82"/>
      <c r="M4488" s="85"/>
    </row>
    <row r="4489" spans="9:13" x14ac:dyDescent="0.3">
      <c r="I4489" s="82"/>
      <c r="M4489" s="85"/>
    </row>
    <row r="4490" spans="9:13" x14ac:dyDescent="0.3">
      <c r="I4490" s="82"/>
      <c r="M4490" s="85"/>
    </row>
    <row r="4491" spans="9:13" x14ac:dyDescent="0.3">
      <c r="I4491" s="82"/>
      <c r="M4491" s="85"/>
    </row>
    <row r="4492" spans="9:13" x14ac:dyDescent="0.3">
      <c r="I4492" s="82"/>
      <c r="M4492" s="85"/>
    </row>
    <row r="4493" spans="9:13" x14ac:dyDescent="0.3">
      <c r="I4493" s="82"/>
      <c r="M4493" s="85"/>
    </row>
    <row r="4494" spans="9:13" x14ac:dyDescent="0.3">
      <c r="I4494" s="82"/>
      <c r="M4494" s="85"/>
    </row>
    <row r="4495" spans="9:13" x14ac:dyDescent="0.3">
      <c r="I4495" s="82"/>
      <c r="M4495" s="85"/>
    </row>
    <row r="4496" spans="9:13" x14ac:dyDescent="0.3">
      <c r="I4496" s="82"/>
      <c r="M4496" s="85"/>
    </row>
    <row r="4497" spans="9:13" x14ac:dyDescent="0.3">
      <c r="I4497" s="82"/>
      <c r="M4497" s="85"/>
    </row>
    <row r="4498" spans="9:13" x14ac:dyDescent="0.3">
      <c r="I4498" s="82"/>
      <c r="M4498" s="85"/>
    </row>
    <row r="4499" spans="9:13" x14ac:dyDescent="0.3">
      <c r="I4499" s="82"/>
      <c r="M4499" s="85"/>
    </row>
    <row r="4500" spans="9:13" x14ac:dyDescent="0.3">
      <c r="I4500" s="82"/>
      <c r="M4500" s="85"/>
    </row>
    <row r="4501" spans="9:13" x14ac:dyDescent="0.3">
      <c r="I4501" s="82"/>
      <c r="M4501" s="85"/>
    </row>
    <row r="4502" spans="9:13" x14ac:dyDescent="0.3">
      <c r="I4502" s="82"/>
      <c r="M4502" s="85"/>
    </row>
    <row r="4503" spans="9:13" x14ac:dyDescent="0.3">
      <c r="I4503" s="82"/>
      <c r="M4503" s="85"/>
    </row>
    <row r="4504" spans="9:13" x14ac:dyDescent="0.3">
      <c r="I4504" s="82"/>
      <c r="M4504" s="85"/>
    </row>
    <row r="4505" spans="9:13" x14ac:dyDescent="0.3">
      <c r="I4505" s="82"/>
      <c r="M4505" s="85"/>
    </row>
    <row r="4506" spans="9:13" x14ac:dyDescent="0.3">
      <c r="I4506" s="82"/>
      <c r="M4506" s="85"/>
    </row>
    <row r="4507" spans="9:13" x14ac:dyDescent="0.3">
      <c r="I4507" s="82"/>
      <c r="M4507" s="85"/>
    </row>
    <row r="4508" spans="9:13" x14ac:dyDescent="0.3">
      <c r="I4508" s="82"/>
      <c r="M4508" s="85"/>
    </row>
    <row r="4509" spans="9:13" x14ac:dyDescent="0.3">
      <c r="I4509" s="82"/>
      <c r="M4509" s="85"/>
    </row>
    <row r="4510" spans="9:13" x14ac:dyDescent="0.3">
      <c r="I4510" s="82"/>
      <c r="M4510" s="85"/>
    </row>
    <row r="4511" spans="9:13" x14ac:dyDescent="0.3">
      <c r="I4511" s="82"/>
      <c r="M4511" s="85"/>
    </row>
    <row r="4512" spans="9:13" x14ac:dyDescent="0.3">
      <c r="I4512" s="82"/>
      <c r="M4512" s="85"/>
    </row>
    <row r="4513" spans="9:13" x14ac:dyDescent="0.3">
      <c r="I4513" s="82"/>
      <c r="M4513" s="85"/>
    </row>
    <row r="4514" spans="9:13" x14ac:dyDescent="0.3">
      <c r="I4514" s="82"/>
      <c r="M4514" s="85"/>
    </row>
    <row r="4515" spans="9:13" x14ac:dyDescent="0.3">
      <c r="I4515" s="82"/>
      <c r="M4515" s="85"/>
    </row>
    <row r="4516" spans="9:13" x14ac:dyDescent="0.3">
      <c r="I4516" s="82"/>
      <c r="M4516" s="85"/>
    </row>
    <row r="4517" spans="9:13" x14ac:dyDescent="0.3">
      <c r="I4517" s="82"/>
      <c r="M4517" s="85"/>
    </row>
    <row r="4518" spans="9:13" x14ac:dyDescent="0.3">
      <c r="I4518" s="82"/>
      <c r="M4518" s="85"/>
    </row>
    <row r="4519" spans="9:13" x14ac:dyDescent="0.3">
      <c r="I4519" s="82"/>
      <c r="M4519" s="85"/>
    </row>
    <row r="4520" spans="9:13" x14ac:dyDescent="0.3">
      <c r="I4520" s="82"/>
      <c r="M4520" s="85"/>
    </row>
    <row r="4521" spans="9:13" x14ac:dyDescent="0.3">
      <c r="I4521" s="82"/>
      <c r="M4521" s="85"/>
    </row>
    <row r="4522" spans="9:13" x14ac:dyDescent="0.3">
      <c r="I4522" s="82"/>
      <c r="M4522" s="85"/>
    </row>
    <row r="4523" spans="9:13" x14ac:dyDescent="0.3">
      <c r="I4523" s="82"/>
      <c r="M4523" s="85"/>
    </row>
    <row r="4524" spans="9:13" x14ac:dyDescent="0.3">
      <c r="I4524" s="82"/>
      <c r="M4524" s="85"/>
    </row>
    <row r="4525" spans="9:13" x14ac:dyDescent="0.3">
      <c r="I4525" s="82"/>
      <c r="M4525" s="85"/>
    </row>
    <row r="4526" spans="9:13" x14ac:dyDescent="0.3">
      <c r="I4526" s="82"/>
      <c r="M4526" s="85"/>
    </row>
    <row r="4527" spans="9:13" x14ac:dyDescent="0.3">
      <c r="I4527" s="82"/>
      <c r="M4527" s="85"/>
    </row>
    <row r="4528" spans="9:13" x14ac:dyDescent="0.3">
      <c r="I4528" s="82"/>
      <c r="M4528" s="85"/>
    </row>
    <row r="4529" spans="9:13" x14ac:dyDescent="0.3">
      <c r="I4529" s="82"/>
      <c r="M4529" s="85"/>
    </row>
    <row r="4530" spans="9:13" x14ac:dyDescent="0.3">
      <c r="I4530" s="82"/>
      <c r="M4530" s="85"/>
    </row>
    <row r="4531" spans="9:13" x14ac:dyDescent="0.3">
      <c r="I4531" s="82"/>
      <c r="M4531" s="85"/>
    </row>
    <row r="4532" spans="9:13" x14ac:dyDescent="0.3">
      <c r="I4532" s="82"/>
      <c r="M4532" s="85"/>
    </row>
    <row r="4533" spans="9:13" x14ac:dyDescent="0.3">
      <c r="I4533" s="82"/>
      <c r="M4533" s="85"/>
    </row>
    <row r="4534" spans="9:13" x14ac:dyDescent="0.3">
      <c r="I4534" s="82"/>
      <c r="M4534" s="85"/>
    </row>
    <row r="4535" spans="9:13" x14ac:dyDescent="0.3">
      <c r="I4535" s="82"/>
      <c r="M4535" s="85"/>
    </row>
    <row r="4536" spans="9:13" x14ac:dyDescent="0.3">
      <c r="I4536" s="82"/>
      <c r="M4536" s="85"/>
    </row>
    <row r="4537" spans="9:13" x14ac:dyDescent="0.3">
      <c r="I4537" s="82"/>
      <c r="M4537" s="85"/>
    </row>
    <row r="4538" spans="9:13" x14ac:dyDescent="0.3">
      <c r="I4538" s="82"/>
      <c r="M4538" s="85"/>
    </row>
    <row r="4539" spans="9:13" x14ac:dyDescent="0.3">
      <c r="I4539" s="82"/>
      <c r="M4539" s="85"/>
    </row>
    <row r="4540" spans="9:13" x14ac:dyDescent="0.3">
      <c r="I4540" s="82"/>
      <c r="M4540" s="85"/>
    </row>
    <row r="4541" spans="9:13" x14ac:dyDescent="0.3">
      <c r="I4541" s="82"/>
      <c r="M4541" s="85"/>
    </row>
    <row r="4542" spans="9:13" x14ac:dyDescent="0.3">
      <c r="I4542" s="82"/>
      <c r="M4542" s="85"/>
    </row>
    <row r="4543" spans="9:13" x14ac:dyDescent="0.3">
      <c r="I4543" s="82"/>
      <c r="M4543" s="85"/>
    </row>
    <row r="4544" spans="9:13" x14ac:dyDescent="0.3">
      <c r="I4544" s="82"/>
      <c r="M4544" s="85"/>
    </row>
    <row r="4545" spans="9:13" x14ac:dyDescent="0.3">
      <c r="I4545" s="82"/>
      <c r="M4545" s="85"/>
    </row>
    <row r="4546" spans="9:13" x14ac:dyDescent="0.3">
      <c r="I4546" s="82"/>
      <c r="M4546" s="85"/>
    </row>
    <row r="4547" spans="9:13" x14ac:dyDescent="0.3">
      <c r="I4547" s="82"/>
      <c r="M4547" s="85"/>
    </row>
    <row r="4548" spans="9:13" x14ac:dyDescent="0.3">
      <c r="I4548" s="82"/>
      <c r="M4548" s="85"/>
    </row>
    <row r="4549" spans="9:13" x14ac:dyDescent="0.3">
      <c r="I4549" s="82"/>
      <c r="M4549" s="85"/>
    </row>
    <row r="4550" spans="9:13" x14ac:dyDescent="0.3">
      <c r="I4550" s="82"/>
      <c r="M4550" s="85"/>
    </row>
    <row r="4551" spans="9:13" x14ac:dyDescent="0.3">
      <c r="I4551" s="82"/>
      <c r="M4551" s="85"/>
    </row>
    <row r="4552" spans="9:13" x14ac:dyDescent="0.3">
      <c r="I4552" s="82"/>
      <c r="M4552" s="85"/>
    </row>
    <row r="4553" spans="9:13" x14ac:dyDescent="0.3">
      <c r="I4553" s="82"/>
      <c r="M4553" s="85"/>
    </row>
    <row r="4554" spans="9:13" x14ac:dyDescent="0.3">
      <c r="I4554" s="82"/>
      <c r="M4554" s="85"/>
    </row>
    <row r="4555" spans="9:13" x14ac:dyDescent="0.3">
      <c r="I4555" s="82"/>
      <c r="M4555" s="85"/>
    </row>
    <row r="4556" spans="9:13" x14ac:dyDescent="0.3">
      <c r="I4556" s="82"/>
      <c r="M4556" s="85"/>
    </row>
    <row r="4557" spans="9:13" x14ac:dyDescent="0.3">
      <c r="I4557" s="82"/>
      <c r="M4557" s="85"/>
    </row>
    <row r="4558" spans="9:13" x14ac:dyDescent="0.3">
      <c r="I4558" s="82"/>
      <c r="M4558" s="85"/>
    </row>
    <row r="4559" spans="9:13" x14ac:dyDescent="0.3">
      <c r="I4559" s="82"/>
      <c r="M4559" s="85"/>
    </row>
    <row r="4560" spans="9:13" x14ac:dyDescent="0.3">
      <c r="I4560" s="82"/>
      <c r="M4560" s="85"/>
    </row>
    <row r="4561" spans="9:13" x14ac:dyDescent="0.3">
      <c r="I4561" s="82"/>
      <c r="M4561" s="85"/>
    </row>
    <row r="4562" spans="9:13" x14ac:dyDescent="0.3">
      <c r="I4562" s="82"/>
      <c r="M4562" s="85"/>
    </row>
    <row r="4563" spans="9:13" x14ac:dyDescent="0.3">
      <c r="I4563" s="82"/>
      <c r="M4563" s="85"/>
    </row>
    <row r="4564" spans="9:13" x14ac:dyDescent="0.3">
      <c r="I4564" s="82"/>
      <c r="M4564" s="85"/>
    </row>
    <row r="4565" spans="9:13" x14ac:dyDescent="0.3">
      <c r="I4565" s="82"/>
      <c r="M4565" s="85"/>
    </row>
    <row r="4566" spans="9:13" x14ac:dyDescent="0.3">
      <c r="I4566" s="82"/>
      <c r="M4566" s="85"/>
    </row>
    <row r="4567" spans="9:13" x14ac:dyDescent="0.3">
      <c r="I4567" s="82"/>
      <c r="M4567" s="85"/>
    </row>
    <row r="4568" spans="9:13" x14ac:dyDescent="0.3">
      <c r="I4568" s="82"/>
      <c r="M4568" s="85"/>
    </row>
    <row r="4569" spans="9:13" x14ac:dyDescent="0.3">
      <c r="I4569" s="82"/>
      <c r="M4569" s="85"/>
    </row>
    <row r="4570" spans="9:13" x14ac:dyDescent="0.3">
      <c r="I4570" s="82"/>
      <c r="M4570" s="85"/>
    </row>
    <row r="4571" spans="9:13" x14ac:dyDescent="0.3">
      <c r="I4571" s="82"/>
      <c r="M4571" s="85"/>
    </row>
    <row r="4572" spans="9:13" x14ac:dyDescent="0.3">
      <c r="I4572" s="82"/>
      <c r="M4572" s="85"/>
    </row>
    <row r="4573" spans="9:13" x14ac:dyDescent="0.3">
      <c r="I4573" s="82"/>
      <c r="M4573" s="85"/>
    </row>
    <row r="4574" spans="9:13" x14ac:dyDescent="0.3">
      <c r="I4574" s="82"/>
      <c r="M4574" s="85"/>
    </row>
    <row r="4575" spans="9:13" x14ac:dyDescent="0.3">
      <c r="I4575" s="82"/>
      <c r="M4575" s="85"/>
    </row>
    <row r="4576" spans="9:13" x14ac:dyDescent="0.3">
      <c r="I4576" s="82"/>
      <c r="M4576" s="85"/>
    </row>
    <row r="4577" spans="9:13" x14ac:dyDescent="0.3">
      <c r="I4577" s="82"/>
      <c r="M4577" s="85"/>
    </row>
    <row r="4578" spans="9:13" x14ac:dyDescent="0.3">
      <c r="I4578" s="82"/>
      <c r="M4578" s="85"/>
    </row>
    <row r="4579" spans="9:13" x14ac:dyDescent="0.3">
      <c r="I4579" s="82"/>
      <c r="M4579" s="85"/>
    </row>
    <row r="4580" spans="9:13" x14ac:dyDescent="0.3">
      <c r="I4580" s="82"/>
      <c r="M4580" s="85"/>
    </row>
    <row r="4581" spans="9:13" x14ac:dyDescent="0.3">
      <c r="I4581" s="82"/>
      <c r="M4581" s="85"/>
    </row>
    <row r="4582" spans="9:13" x14ac:dyDescent="0.3">
      <c r="I4582" s="82"/>
      <c r="M4582" s="85"/>
    </row>
    <row r="4583" spans="9:13" x14ac:dyDescent="0.3">
      <c r="I4583" s="82"/>
      <c r="M4583" s="85"/>
    </row>
    <row r="4584" spans="9:13" x14ac:dyDescent="0.3">
      <c r="I4584" s="82"/>
      <c r="M4584" s="85"/>
    </row>
    <row r="4585" spans="9:13" x14ac:dyDescent="0.3">
      <c r="I4585" s="82"/>
      <c r="M4585" s="85"/>
    </row>
    <row r="4586" spans="9:13" x14ac:dyDescent="0.3">
      <c r="I4586" s="82"/>
      <c r="M4586" s="85"/>
    </row>
    <row r="4587" spans="9:13" x14ac:dyDescent="0.3">
      <c r="I4587" s="82"/>
      <c r="M4587" s="85"/>
    </row>
    <row r="4588" spans="9:13" x14ac:dyDescent="0.3">
      <c r="I4588" s="82"/>
      <c r="M4588" s="85"/>
    </row>
    <row r="4589" spans="9:13" x14ac:dyDescent="0.3">
      <c r="I4589" s="82"/>
      <c r="M4589" s="85"/>
    </row>
    <row r="4590" spans="9:13" x14ac:dyDescent="0.3">
      <c r="I4590" s="82"/>
      <c r="M4590" s="85"/>
    </row>
    <row r="4591" spans="9:13" x14ac:dyDescent="0.3">
      <c r="I4591" s="82"/>
      <c r="M4591" s="85"/>
    </row>
    <row r="4592" spans="9:13" x14ac:dyDescent="0.3">
      <c r="I4592" s="82"/>
      <c r="M4592" s="85"/>
    </row>
    <row r="4593" spans="9:13" x14ac:dyDescent="0.3">
      <c r="I4593" s="82"/>
      <c r="M4593" s="85"/>
    </row>
    <row r="4594" spans="9:13" x14ac:dyDescent="0.3">
      <c r="I4594" s="82"/>
      <c r="M4594" s="85"/>
    </row>
    <row r="4595" spans="9:13" x14ac:dyDescent="0.3">
      <c r="I4595" s="82"/>
      <c r="M4595" s="85"/>
    </row>
    <row r="4596" spans="9:13" x14ac:dyDescent="0.3">
      <c r="I4596" s="82"/>
      <c r="M4596" s="85"/>
    </row>
    <row r="4597" spans="9:13" x14ac:dyDescent="0.3">
      <c r="I4597" s="82"/>
      <c r="M4597" s="85"/>
    </row>
    <row r="4598" spans="9:13" x14ac:dyDescent="0.3">
      <c r="I4598" s="82"/>
      <c r="M4598" s="85"/>
    </row>
    <row r="4599" spans="9:13" x14ac:dyDescent="0.3">
      <c r="I4599" s="82"/>
      <c r="M4599" s="85"/>
    </row>
    <row r="4600" spans="9:13" x14ac:dyDescent="0.3">
      <c r="I4600" s="82"/>
      <c r="M4600" s="85"/>
    </row>
    <row r="4601" spans="9:13" x14ac:dyDescent="0.3">
      <c r="I4601" s="82"/>
      <c r="M4601" s="85"/>
    </row>
    <row r="4602" spans="9:13" x14ac:dyDescent="0.3">
      <c r="I4602" s="82"/>
      <c r="M4602" s="85"/>
    </row>
    <row r="4603" spans="9:13" x14ac:dyDescent="0.3">
      <c r="I4603" s="82"/>
      <c r="M4603" s="85"/>
    </row>
    <row r="4604" spans="9:13" x14ac:dyDescent="0.3">
      <c r="I4604" s="82"/>
      <c r="M4604" s="85"/>
    </row>
    <row r="4605" spans="9:13" x14ac:dyDescent="0.3">
      <c r="I4605" s="82"/>
      <c r="M4605" s="85"/>
    </row>
    <row r="4606" spans="9:13" x14ac:dyDescent="0.3">
      <c r="I4606" s="82"/>
      <c r="M4606" s="85"/>
    </row>
    <row r="4607" spans="9:13" x14ac:dyDescent="0.3">
      <c r="I4607" s="82"/>
      <c r="M4607" s="85"/>
    </row>
    <row r="4608" spans="9:13" x14ac:dyDescent="0.3">
      <c r="I4608" s="82"/>
      <c r="M4608" s="85"/>
    </row>
    <row r="4609" spans="9:13" x14ac:dyDescent="0.3">
      <c r="I4609" s="82"/>
      <c r="M4609" s="85"/>
    </row>
    <row r="4610" spans="9:13" x14ac:dyDescent="0.3">
      <c r="I4610" s="82"/>
      <c r="M4610" s="85"/>
    </row>
    <row r="4611" spans="9:13" x14ac:dyDescent="0.3">
      <c r="I4611" s="82"/>
      <c r="M4611" s="85"/>
    </row>
    <row r="4612" spans="9:13" x14ac:dyDescent="0.3">
      <c r="I4612" s="82"/>
      <c r="M4612" s="85"/>
    </row>
    <row r="4613" spans="9:13" x14ac:dyDescent="0.3">
      <c r="I4613" s="82"/>
      <c r="M4613" s="85"/>
    </row>
    <row r="4614" spans="9:13" x14ac:dyDescent="0.3">
      <c r="I4614" s="82"/>
      <c r="M4614" s="85"/>
    </row>
    <row r="4615" spans="9:13" x14ac:dyDescent="0.3">
      <c r="I4615" s="82"/>
      <c r="M4615" s="85"/>
    </row>
    <row r="4616" spans="9:13" x14ac:dyDescent="0.3">
      <c r="I4616" s="82"/>
      <c r="M4616" s="85"/>
    </row>
    <row r="4617" spans="9:13" x14ac:dyDescent="0.3">
      <c r="I4617" s="82"/>
      <c r="M4617" s="85"/>
    </row>
    <row r="4618" spans="9:13" x14ac:dyDescent="0.3">
      <c r="I4618" s="82"/>
      <c r="M4618" s="85"/>
    </row>
    <row r="4619" spans="9:13" x14ac:dyDescent="0.3">
      <c r="I4619" s="82"/>
      <c r="M4619" s="85"/>
    </row>
    <row r="4620" spans="9:13" x14ac:dyDescent="0.3">
      <c r="I4620" s="82"/>
      <c r="M4620" s="85"/>
    </row>
    <row r="4621" spans="9:13" x14ac:dyDescent="0.3">
      <c r="I4621" s="82"/>
      <c r="M4621" s="85"/>
    </row>
    <row r="4622" spans="9:13" x14ac:dyDescent="0.3">
      <c r="I4622" s="82"/>
      <c r="M4622" s="85"/>
    </row>
    <row r="4623" spans="9:13" x14ac:dyDescent="0.3">
      <c r="I4623" s="82"/>
      <c r="M4623" s="85"/>
    </row>
    <row r="4624" spans="9:13" x14ac:dyDescent="0.3">
      <c r="I4624" s="82"/>
      <c r="M4624" s="85"/>
    </row>
    <row r="4625" spans="9:13" x14ac:dyDescent="0.3">
      <c r="I4625" s="82"/>
      <c r="M4625" s="85"/>
    </row>
    <row r="4626" spans="9:13" x14ac:dyDescent="0.3">
      <c r="I4626" s="82"/>
      <c r="M4626" s="85"/>
    </row>
    <row r="4627" spans="9:13" x14ac:dyDescent="0.3">
      <c r="I4627" s="82"/>
      <c r="M4627" s="85"/>
    </row>
    <row r="4628" spans="9:13" x14ac:dyDescent="0.3">
      <c r="I4628" s="82"/>
      <c r="M4628" s="85"/>
    </row>
    <row r="4629" spans="9:13" x14ac:dyDescent="0.3">
      <c r="I4629" s="82"/>
      <c r="M4629" s="85"/>
    </row>
    <row r="4630" spans="9:13" x14ac:dyDescent="0.3">
      <c r="I4630" s="82"/>
      <c r="M4630" s="85"/>
    </row>
    <row r="4631" spans="9:13" x14ac:dyDescent="0.3">
      <c r="I4631" s="82"/>
      <c r="M4631" s="85"/>
    </row>
    <row r="4632" spans="9:13" x14ac:dyDescent="0.3">
      <c r="I4632" s="82"/>
      <c r="M4632" s="85"/>
    </row>
    <row r="4633" spans="9:13" x14ac:dyDescent="0.3">
      <c r="I4633" s="82"/>
      <c r="M4633" s="85"/>
    </row>
    <row r="4634" spans="9:13" x14ac:dyDescent="0.3">
      <c r="I4634" s="82"/>
      <c r="M4634" s="85"/>
    </row>
    <row r="4635" spans="9:13" x14ac:dyDescent="0.3">
      <c r="I4635" s="82"/>
      <c r="M4635" s="85"/>
    </row>
    <row r="4636" spans="9:13" x14ac:dyDescent="0.3">
      <c r="I4636" s="82"/>
      <c r="M4636" s="85"/>
    </row>
    <row r="4637" spans="9:13" x14ac:dyDescent="0.3">
      <c r="I4637" s="82"/>
      <c r="M4637" s="85"/>
    </row>
    <row r="4638" spans="9:13" x14ac:dyDescent="0.3">
      <c r="I4638" s="82"/>
      <c r="M4638" s="85"/>
    </row>
    <row r="4639" spans="9:13" x14ac:dyDescent="0.3">
      <c r="I4639" s="82"/>
      <c r="M4639" s="85"/>
    </row>
    <row r="4640" spans="9:13" x14ac:dyDescent="0.3">
      <c r="I4640" s="82"/>
      <c r="M4640" s="85"/>
    </row>
    <row r="4641" spans="9:13" x14ac:dyDescent="0.3">
      <c r="I4641" s="82"/>
      <c r="M4641" s="85"/>
    </row>
    <row r="4642" spans="9:13" x14ac:dyDescent="0.3">
      <c r="I4642" s="82"/>
      <c r="M4642" s="85"/>
    </row>
    <row r="4643" spans="9:13" x14ac:dyDescent="0.3">
      <c r="I4643" s="82"/>
      <c r="M4643" s="85"/>
    </row>
    <row r="4644" spans="9:13" x14ac:dyDescent="0.3">
      <c r="I4644" s="82"/>
      <c r="M4644" s="85"/>
    </row>
    <row r="4645" spans="9:13" x14ac:dyDescent="0.3">
      <c r="I4645" s="82"/>
      <c r="M4645" s="85"/>
    </row>
    <row r="4646" spans="9:13" x14ac:dyDescent="0.3">
      <c r="I4646" s="82"/>
      <c r="M4646" s="85"/>
    </row>
    <row r="4647" spans="9:13" x14ac:dyDescent="0.3">
      <c r="I4647" s="82"/>
      <c r="M4647" s="85"/>
    </row>
    <row r="4648" spans="9:13" x14ac:dyDescent="0.3">
      <c r="I4648" s="82"/>
      <c r="M4648" s="85"/>
    </row>
    <row r="4649" spans="9:13" x14ac:dyDescent="0.3">
      <c r="I4649" s="82"/>
      <c r="M4649" s="85"/>
    </row>
    <row r="4650" spans="9:13" x14ac:dyDescent="0.3">
      <c r="I4650" s="82"/>
      <c r="M4650" s="85"/>
    </row>
    <row r="4651" spans="9:13" x14ac:dyDescent="0.3">
      <c r="I4651" s="82"/>
      <c r="M4651" s="85"/>
    </row>
    <row r="4652" spans="9:13" x14ac:dyDescent="0.3">
      <c r="I4652" s="82"/>
      <c r="M4652" s="85"/>
    </row>
    <row r="4653" spans="9:13" x14ac:dyDescent="0.3">
      <c r="I4653" s="82"/>
      <c r="M4653" s="85"/>
    </row>
    <row r="4654" spans="9:13" x14ac:dyDescent="0.3">
      <c r="I4654" s="82"/>
      <c r="M4654" s="85"/>
    </row>
    <row r="4655" spans="9:13" x14ac:dyDescent="0.3">
      <c r="I4655" s="82"/>
      <c r="M4655" s="85"/>
    </row>
    <row r="4656" spans="9:13" x14ac:dyDescent="0.3">
      <c r="I4656" s="82"/>
      <c r="M4656" s="85"/>
    </row>
    <row r="4657" spans="9:13" x14ac:dyDescent="0.3">
      <c r="I4657" s="82"/>
      <c r="M4657" s="85"/>
    </row>
    <row r="4658" spans="9:13" x14ac:dyDescent="0.3">
      <c r="I4658" s="82"/>
      <c r="M4658" s="85"/>
    </row>
    <row r="4659" spans="9:13" x14ac:dyDescent="0.3">
      <c r="I4659" s="82"/>
      <c r="M4659" s="85"/>
    </row>
    <row r="4660" spans="9:13" x14ac:dyDescent="0.3">
      <c r="I4660" s="82"/>
      <c r="M4660" s="85"/>
    </row>
    <row r="4661" spans="9:13" x14ac:dyDescent="0.3">
      <c r="I4661" s="82"/>
      <c r="M4661" s="85"/>
    </row>
    <row r="4662" spans="9:13" x14ac:dyDescent="0.3">
      <c r="I4662" s="82"/>
      <c r="M4662" s="85"/>
    </row>
    <row r="4663" spans="9:13" x14ac:dyDescent="0.3">
      <c r="I4663" s="82"/>
      <c r="M4663" s="85"/>
    </row>
    <row r="4664" spans="9:13" x14ac:dyDescent="0.3">
      <c r="I4664" s="82"/>
      <c r="M4664" s="85"/>
    </row>
    <row r="4665" spans="9:13" x14ac:dyDescent="0.3">
      <c r="I4665" s="82"/>
      <c r="M4665" s="85"/>
    </row>
    <row r="4666" spans="9:13" x14ac:dyDescent="0.3">
      <c r="I4666" s="82"/>
      <c r="M4666" s="85"/>
    </row>
    <row r="4667" spans="9:13" x14ac:dyDescent="0.3">
      <c r="I4667" s="82"/>
      <c r="M4667" s="85"/>
    </row>
    <row r="4668" spans="9:13" x14ac:dyDescent="0.3">
      <c r="I4668" s="82"/>
      <c r="M4668" s="85"/>
    </row>
    <row r="4669" spans="9:13" x14ac:dyDescent="0.3">
      <c r="I4669" s="82"/>
      <c r="M4669" s="85"/>
    </row>
    <row r="4670" spans="9:13" x14ac:dyDescent="0.3">
      <c r="I4670" s="82"/>
      <c r="M4670" s="85"/>
    </row>
    <row r="4671" spans="9:13" x14ac:dyDescent="0.3">
      <c r="I4671" s="82"/>
      <c r="M4671" s="85"/>
    </row>
    <row r="4672" spans="9:13" x14ac:dyDescent="0.3">
      <c r="I4672" s="82"/>
      <c r="M4672" s="85"/>
    </row>
    <row r="4673" spans="9:13" x14ac:dyDescent="0.3">
      <c r="I4673" s="82"/>
      <c r="M4673" s="85"/>
    </row>
    <row r="4674" spans="9:13" x14ac:dyDescent="0.3">
      <c r="I4674" s="82"/>
      <c r="M4674" s="85"/>
    </row>
    <row r="4675" spans="9:13" x14ac:dyDescent="0.3">
      <c r="I4675" s="82"/>
      <c r="M4675" s="85"/>
    </row>
    <row r="4676" spans="9:13" x14ac:dyDescent="0.3">
      <c r="I4676" s="82"/>
      <c r="M4676" s="85"/>
    </row>
    <row r="4677" spans="9:13" x14ac:dyDescent="0.3">
      <c r="I4677" s="82"/>
      <c r="M4677" s="85"/>
    </row>
    <row r="4678" spans="9:13" x14ac:dyDescent="0.3">
      <c r="I4678" s="82"/>
      <c r="M4678" s="85"/>
    </row>
    <row r="4679" spans="9:13" x14ac:dyDescent="0.3">
      <c r="I4679" s="82"/>
      <c r="M4679" s="85"/>
    </row>
    <row r="4680" spans="9:13" x14ac:dyDescent="0.3">
      <c r="I4680" s="82"/>
      <c r="M4680" s="85"/>
    </row>
    <row r="4681" spans="9:13" x14ac:dyDescent="0.3">
      <c r="I4681" s="82"/>
      <c r="M4681" s="85"/>
    </row>
    <row r="4682" spans="9:13" x14ac:dyDescent="0.3">
      <c r="I4682" s="82"/>
      <c r="M4682" s="85"/>
    </row>
    <row r="4683" spans="9:13" x14ac:dyDescent="0.3">
      <c r="I4683" s="82"/>
      <c r="M4683" s="85"/>
    </row>
    <row r="4684" spans="9:13" x14ac:dyDescent="0.3">
      <c r="I4684" s="82"/>
      <c r="M4684" s="85"/>
    </row>
    <row r="4685" spans="9:13" x14ac:dyDescent="0.3">
      <c r="I4685" s="82"/>
      <c r="M4685" s="85"/>
    </row>
    <row r="4686" spans="9:13" x14ac:dyDescent="0.3">
      <c r="I4686" s="82"/>
      <c r="M4686" s="85"/>
    </row>
    <row r="4687" spans="9:13" x14ac:dyDescent="0.3">
      <c r="I4687" s="82"/>
      <c r="M4687" s="85"/>
    </row>
    <row r="4688" spans="9:13" x14ac:dyDescent="0.3">
      <c r="I4688" s="82"/>
      <c r="M4688" s="85"/>
    </row>
    <row r="4689" spans="9:13" x14ac:dyDescent="0.3">
      <c r="I4689" s="82"/>
      <c r="M4689" s="85"/>
    </row>
    <row r="4690" spans="9:13" x14ac:dyDescent="0.3">
      <c r="I4690" s="82"/>
      <c r="M4690" s="85"/>
    </row>
    <row r="4691" spans="9:13" x14ac:dyDescent="0.3">
      <c r="I4691" s="82"/>
      <c r="M4691" s="85"/>
    </row>
    <row r="4692" spans="9:13" x14ac:dyDescent="0.3">
      <c r="I4692" s="82"/>
      <c r="M4692" s="85"/>
    </row>
    <row r="4693" spans="9:13" x14ac:dyDescent="0.3">
      <c r="I4693" s="82"/>
      <c r="M4693" s="85"/>
    </row>
    <row r="4694" spans="9:13" x14ac:dyDescent="0.3">
      <c r="I4694" s="82"/>
      <c r="M4694" s="85"/>
    </row>
    <row r="4695" spans="9:13" x14ac:dyDescent="0.3">
      <c r="I4695" s="82"/>
      <c r="M4695" s="85"/>
    </row>
    <row r="4696" spans="9:13" x14ac:dyDescent="0.3">
      <c r="I4696" s="82"/>
      <c r="M4696" s="85"/>
    </row>
    <row r="4697" spans="9:13" x14ac:dyDescent="0.3">
      <c r="I4697" s="82"/>
      <c r="M4697" s="85"/>
    </row>
    <row r="4698" spans="9:13" x14ac:dyDescent="0.3">
      <c r="I4698" s="82"/>
      <c r="M4698" s="85"/>
    </row>
    <row r="4699" spans="9:13" x14ac:dyDescent="0.3">
      <c r="I4699" s="82"/>
      <c r="M4699" s="85"/>
    </row>
    <row r="4700" spans="9:13" x14ac:dyDescent="0.3">
      <c r="I4700" s="82"/>
      <c r="M4700" s="85"/>
    </row>
    <row r="4701" spans="9:13" x14ac:dyDescent="0.3">
      <c r="I4701" s="82"/>
      <c r="M4701" s="85"/>
    </row>
    <row r="4702" spans="9:13" x14ac:dyDescent="0.3">
      <c r="I4702" s="82"/>
      <c r="M4702" s="85"/>
    </row>
    <row r="4703" spans="9:13" x14ac:dyDescent="0.3">
      <c r="I4703" s="82"/>
      <c r="M4703" s="85"/>
    </row>
    <row r="4704" spans="9:13" x14ac:dyDescent="0.3">
      <c r="I4704" s="82"/>
      <c r="M4704" s="85"/>
    </row>
    <row r="4705" spans="9:13" x14ac:dyDescent="0.3">
      <c r="I4705" s="82"/>
      <c r="M4705" s="85"/>
    </row>
    <row r="4706" spans="9:13" x14ac:dyDescent="0.3">
      <c r="I4706" s="82"/>
      <c r="M4706" s="85"/>
    </row>
    <row r="4707" spans="9:13" x14ac:dyDescent="0.3">
      <c r="I4707" s="82"/>
      <c r="M4707" s="85"/>
    </row>
    <row r="4708" spans="9:13" x14ac:dyDescent="0.3">
      <c r="I4708" s="82"/>
      <c r="M4708" s="85"/>
    </row>
    <row r="4709" spans="9:13" x14ac:dyDescent="0.3">
      <c r="I4709" s="82"/>
      <c r="M4709" s="85"/>
    </row>
    <row r="4710" spans="9:13" x14ac:dyDescent="0.3">
      <c r="I4710" s="82"/>
      <c r="M4710" s="85"/>
    </row>
    <row r="4711" spans="9:13" x14ac:dyDescent="0.3">
      <c r="I4711" s="82"/>
      <c r="M4711" s="85"/>
    </row>
    <row r="4712" spans="9:13" x14ac:dyDescent="0.3">
      <c r="I4712" s="82"/>
      <c r="M4712" s="85"/>
    </row>
    <row r="4713" spans="9:13" x14ac:dyDescent="0.3">
      <c r="I4713" s="82"/>
      <c r="M4713" s="85"/>
    </row>
    <row r="4714" spans="9:13" x14ac:dyDescent="0.3">
      <c r="I4714" s="82"/>
      <c r="M4714" s="85"/>
    </row>
    <row r="4715" spans="9:13" x14ac:dyDescent="0.3">
      <c r="I4715" s="82"/>
      <c r="M4715" s="85"/>
    </row>
    <row r="4716" spans="9:13" x14ac:dyDescent="0.3">
      <c r="I4716" s="82"/>
      <c r="M4716" s="85"/>
    </row>
    <row r="4717" spans="9:13" x14ac:dyDescent="0.3">
      <c r="I4717" s="82"/>
      <c r="M4717" s="85"/>
    </row>
    <row r="4718" spans="9:13" x14ac:dyDescent="0.3">
      <c r="I4718" s="82"/>
      <c r="M4718" s="85"/>
    </row>
    <row r="4719" spans="9:13" x14ac:dyDescent="0.3">
      <c r="I4719" s="82"/>
      <c r="M4719" s="85"/>
    </row>
    <row r="4720" spans="9:13" x14ac:dyDescent="0.3">
      <c r="I4720" s="82"/>
      <c r="M4720" s="85"/>
    </row>
    <row r="4721" spans="9:13" x14ac:dyDescent="0.3">
      <c r="I4721" s="82"/>
      <c r="M4721" s="85"/>
    </row>
    <row r="4722" spans="9:13" x14ac:dyDescent="0.3">
      <c r="I4722" s="82"/>
      <c r="M4722" s="85"/>
    </row>
    <row r="4723" spans="9:13" x14ac:dyDescent="0.3">
      <c r="I4723" s="82"/>
      <c r="M4723" s="85"/>
    </row>
    <row r="4724" spans="9:13" x14ac:dyDescent="0.3">
      <c r="I4724" s="82"/>
      <c r="M4724" s="85"/>
    </row>
    <row r="4725" spans="9:13" x14ac:dyDescent="0.3">
      <c r="I4725" s="82"/>
      <c r="M4725" s="85"/>
    </row>
    <row r="4726" spans="9:13" x14ac:dyDescent="0.3">
      <c r="I4726" s="82"/>
      <c r="M4726" s="85"/>
    </row>
    <row r="4727" spans="9:13" x14ac:dyDescent="0.3">
      <c r="I4727" s="82"/>
      <c r="M4727" s="85"/>
    </row>
    <row r="4728" spans="9:13" x14ac:dyDescent="0.3">
      <c r="I4728" s="82"/>
      <c r="M4728" s="85"/>
    </row>
    <row r="4729" spans="9:13" x14ac:dyDescent="0.3">
      <c r="I4729" s="82"/>
      <c r="M4729" s="85"/>
    </row>
    <row r="4730" spans="9:13" x14ac:dyDescent="0.3">
      <c r="I4730" s="82"/>
      <c r="M4730" s="85"/>
    </row>
    <row r="4731" spans="9:13" x14ac:dyDescent="0.3">
      <c r="I4731" s="82"/>
      <c r="M4731" s="85"/>
    </row>
    <row r="4732" spans="9:13" x14ac:dyDescent="0.3">
      <c r="I4732" s="82"/>
      <c r="M4732" s="85"/>
    </row>
    <row r="4733" spans="9:13" x14ac:dyDescent="0.3">
      <c r="I4733" s="82"/>
      <c r="M4733" s="85"/>
    </row>
    <row r="4734" spans="9:13" x14ac:dyDescent="0.3">
      <c r="I4734" s="82"/>
      <c r="M4734" s="85"/>
    </row>
    <row r="4735" spans="9:13" x14ac:dyDescent="0.3">
      <c r="I4735" s="82"/>
      <c r="M4735" s="85"/>
    </row>
    <row r="4736" spans="9:13" x14ac:dyDescent="0.3">
      <c r="I4736" s="82"/>
      <c r="M4736" s="85"/>
    </row>
    <row r="4737" spans="9:13" x14ac:dyDescent="0.3">
      <c r="I4737" s="82"/>
      <c r="M4737" s="85"/>
    </row>
    <row r="4738" spans="9:13" x14ac:dyDescent="0.3">
      <c r="I4738" s="82"/>
      <c r="M4738" s="85"/>
    </row>
    <row r="4739" spans="9:13" x14ac:dyDescent="0.3">
      <c r="I4739" s="82"/>
      <c r="M4739" s="85"/>
    </row>
    <row r="4740" spans="9:13" x14ac:dyDescent="0.3">
      <c r="I4740" s="82"/>
      <c r="M4740" s="85"/>
    </row>
    <row r="4741" spans="9:13" x14ac:dyDescent="0.3">
      <c r="I4741" s="82"/>
      <c r="M4741" s="85"/>
    </row>
    <row r="4742" spans="9:13" x14ac:dyDescent="0.3">
      <c r="I4742" s="82"/>
      <c r="M4742" s="85"/>
    </row>
    <row r="4743" spans="9:13" x14ac:dyDescent="0.3">
      <c r="I4743" s="82"/>
      <c r="M4743" s="85"/>
    </row>
    <row r="4744" spans="9:13" x14ac:dyDescent="0.3">
      <c r="I4744" s="82"/>
      <c r="M4744" s="85"/>
    </row>
    <row r="4745" spans="9:13" x14ac:dyDescent="0.3">
      <c r="I4745" s="82"/>
      <c r="M4745" s="85"/>
    </row>
    <row r="4746" spans="9:13" x14ac:dyDescent="0.3">
      <c r="I4746" s="82"/>
      <c r="M4746" s="85"/>
    </row>
    <row r="4747" spans="9:13" x14ac:dyDescent="0.3">
      <c r="I4747" s="82"/>
      <c r="M4747" s="85"/>
    </row>
    <row r="4748" spans="9:13" x14ac:dyDescent="0.3">
      <c r="I4748" s="82"/>
      <c r="M4748" s="85"/>
    </row>
    <row r="4749" spans="9:13" x14ac:dyDescent="0.3">
      <c r="I4749" s="82"/>
      <c r="M4749" s="85"/>
    </row>
    <row r="4750" spans="9:13" x14ac:dyDescent="0.3">
      <c r="I4750" s="82"/>
      <c r="M4750" s="85"/>
    </row>
    <row r="4751" spans="9:13" x14ac:dyDescent="0.3">
      <c r="I4751" s="82"/>
      <c r="M4751" s="85"/>
    </row>
    <row r="4752" spans="9:13" x14ac:dyDescent="0.3">
      <c r="I4752" s="82"/>
      <c r="M4752" s="85"/>
    </row>
    <row r="4753" spans="9:13" x14ac:dyDescent="0.3">
      <c r="I4753" s="82"/>
      <c r="M4753" s="85"/>
    </row>
    <row r="4754" spans="9:13" x14ac:dyDescent="0.3">
      <c r="I4754" s="82"/>
      <c r="M4754" s="85"/>
    </row>
    <row r="4755" spans="9:13" x14ac:dyDescent="0.3">
      <c r="I4755" s="82"/>
      <c r="M4755" s="85"/>
    </row>
    <row r="4756" spans="9:13" x14ac:dyDescent="0.3">
      <c r="I4756" s="82"/>
      <c r="M4756" s="85"/>
    </row>
    <row r="4757" spans="9:13" x14ac:dyDescent="0.3">
      <c r="I4757" s="82"/>
      <c r="M4757" s="85"/>
    </row>
    <row r="4758" spans="9:13" x14ac:dyDescent="0.3">
      <c r="I4758" s="82"/>
      <c r="M4758" s="85"/>
    </row>
    <row r="4759" spans="9:13" x14ac:dyDescent="0.3">
      <c r="I4759" s="82"/>
      <c r="M4759" s="85"/>
    </row>
    <row r="4760" spans="9:13" x14ac:dyDescent="0.3">
      <c r="I4760" s="82"/>
      <c r="M4760" s="85"/>
    </row>
    <row r="4761" spans="9:13" x14ac:dyDescent="0.3">
      <c r="I4761" s="82"/>
      <c r="M4761" s="85"/>
    </row>
    <row r="4762" spans="9:13" x14ac:dyDescent="0.3">
      <c r="I4762" s="82"/>
      <c r="M4762" s="85"/>
    </row>
    <row r="4763" spans="9:13" x14ac:dyDescent="0.3">
      <c r="I4763" s="82"/>
      <c r="M4763" s="85"/>
    </row>
    <row r="4764" spans="9:13" x14ac:dyDescent="0.3">
      <c r="I4764" s="82"/>
      <c r="M4764" s="85"/>
    </row>
    <row r="4765" spans="9:13" x14ac:dyDescent="0.3">
      <c r="I4765" s="82"/>
      <c r="M4765" s="85"/>
    </row>
    <row r="4766" spans="9:13" x14ac:dyDescent="0.3">
      <c r="I4766" s="82"/>
      <c r="M4766" s="85"/>
    </row>
    <row r="4767" spans="9:13" x14ac:dyDescent="0.3">
      <c r="I4767" s="82"/>
      <c r="M4767" s="85"/>
    </row>
    <row r="4768" spans="9:13" x14ac:dyDescent="0.3">
      <c r="I4768" s="82"/>
      <c r="M4768" s="85"/>
    </row>
    <row r="4769" spans="9:13" x14ac:dyDescent="0.3">
      <c r="I4769" s="82"/>
      <c r="M4769" s="85"/>
    </row>
    <row r="4770" spans="9:13" x14ac:dyDescent="0.3">
      <c r="I4770" s="82"/>
      <c r="M4770" s="85"/>
    </row>
    <row r="4771" spans="9:13" x14ac:dyDescent="0.3">
      <c r="I4771" s="82"/>
      <c r="M4771" s="85"/>
    </row>
    <row r="4772" spans="9:13" x14ac:dyDescent="0.3">
      <c r="I4772" s="82"/>
      <c r="M4772" s="85"/>
    </row>
    <row r="4773" spans="9:13" x14ac:dyDescent="0.3">
      <c r="I4773" s="82"/>
      <c r="M4773" s="85"/>
    </row>
    <row r="4774" spans="9:13" x14ac:dyDescent="0.3">
      <c r="I4774" s="82"/>
      <c r="M4774" s="85"/>
    </row>
    <row r="4775" spans="9:13" x14ac:dyDescent="0.3">
      <c r="I4775" s="82"/>
      <c r="M4775" s="85"/>
    </row>
    <row r="4776" spans="9:13" x14ac:dyDescent="0.3">
      <c r="I4776" s="82"/>
      <c r="M4776" s="85"/>
    </row>
    <row r="4777" spans="9:13" x14ac:dyDescent="0.3">
      <c r="I4777" s="82"/>
      <c r="M4777" s="85"/>
    </row>
    <row r="4778" spans="9:13" x14ac:dyDescent="0.3">
      <c r="I4778" s="82"/>
      <c r="M4778" s="85"/>
    </row>
    <row r="4779" spans="9:13" x14ac:dyDescent="0.3">
      <c r="I4779" s="82"/>
      <c r="M4779" s="85"/>
    </row>
    <row r="4780" spans="9:13" x14ac:dyDescent="0.3">
      <c r="I4780" s="82"/>
      <c r="M4780" s="85"/>
    </row>
    <row r="4781" spans="9:13" x14ac:dyDescent="0.3">
      <c r="I4781" s="82"/>
      <c r="M4781" s="85"/>
    </row>
    <row r="4782" spans="9:13" x14ac:dyDescent="0.3">
      <c r="I4782" s="82"/>
      <c r="M4782" s="85"/>
    </row>
    <row r="4783" spans="9:13" x14ac:dyDescent="0.3">
      <c r="I4783" s="82"/>
      <c r="M4783" s="85"/>
    </row>
    <row r="4784" spans="9:13" x14ac:dyDescent="0.3">
      <c r="I4784" s="82"/>
      <c r="M4784" s="85"/>
    </row>
    <row r="4785" spans="9:13" x14ac:dyDescent="0.3">
      <c r="I4785" s="82"/>
      <c r="M4785" s="85"/>
    </row>
    <row r="4786" spans="9:13" x14ac:dyDescent="0.3">
      <c r="I4786" s="82"/>
      <c r="M4786" s="85"/>
    </row>
    <row r="4787" spans="9:13" x14ac:dyDescent="0.3">
      <c r="I4787" s="82"/>
      <c r="M4787" s="85"/>
    </row>
    <row r="4788" spans="9:13" x14ac:dyDescent="0.3">
      <c r="I4788" s="82"/>
      <c r="M4788" s="85"/>
    </row>
    <row r="4789" spans="9:13" x14ac:dyDescent="0.3">
      <c r="I4789" s="82"/>
      <c r="M4789" s="85"/>
    </row>
    <row r="4790" spans="9:13" x14ac:dyDescent="0.3">
      <c r="I4790" s="82"/>
      <c r="M4790" s="85"/>
    </row>
    <row r="4791" spans="9:13" x14ac:dyDescent="0.3">
      <c r="I4791" s="82"/>
      <c r="M4791" s="85"/>
    </row>
    <row r="4792" spans="9:13" x14ac:dyDescent="0.3">
      <c r="I4792" s="82"/>
      <c r="M4792" s="85"/>
    </row>
    <row r="4793" spans="9:13" x14ac:dyDescent="0.3">
      <c r="I4793" s="82"/>
      <c r="M4793" s="85"/>
    </row>
    <row r="4794" spans="9:13" x14ac:dyDescent="0.3">
      <c r="I4794" s="82"/>
      <c r="M4794" s="85"/>
    </row>
    <row r="4795" spans="9:13" x14ac:dyDescent="0.3">
      <c r="I4795" s="82"/>
      <c r="M4795" s="85"/>
    </row>
    <row r="4796" spans="9:13" x14ac:dyDescent="0.3">
      <c r="I4796" s="82"/>
      <c r="M4796" s="85"/>
    </row>
    <row r="4797" spans="9:13" x14ac:dyDescent="0.3">
      <c r="I4797" s="82"/>
      <c r="M4797" s="85"/>
    </row>
    <row r="4798" spans="9:13" x14ac:dyDescent="0.3">
      <c r="I4798" s="82"/>
      <c r="M4798" s="85"/>
    </row>
    <row r="4799" spans="9:13" x14ac:dyDescent="0.3">
      <c r="I4799" s="82"/>
      <c r="M4799" s="85"/>
    </row>
    <row r="4800" spans="9:13" x14ac:dyDescent="0.3">
      <c r="I4800" s="82"/>
      <c r="M4800" s="85"/>
    </row>
    <row r="4801" spans="9:13" x14ac:dyDescent="0.3">
      <c r="I4801" s="82"/>
      <c r="M4801" s="85"/>
    </row>
    <row r="4802" spans="9:13" x14ac:dyDescent="0.3">
      <c r="I4802" s="82"/>
      <c r="M4802" s="85"/>
    </row>
    <row r="4803" spans="9:13" x14ac:dyDescent="0.3">
      <c r="I4803" s="82"/>
      <c r="M4803" s="85"/>
    </row>
    <row r="4804" spans="9:13" x14ac:dyDescent="0.3">
      <c r="I4804" s="82"/>
      <c r="M4804" s="85"/>
    </row>
    <row r="4805" spans="9:13" x14ac:dyDescent="0.3">
      <c r="I4805" s="82"/>
      <c r="M4805" s="85"/>
    </row>
    <row r="4806" spans="9:13" x14ac:dyDescent="0.3">
      <c r="I4806" s="82"/>
      <c r="M4806" s="85"/>
    </row>
    <row r="4807" spans="9:13" x14ac:dyDescent="0.3">
      <c r="I4807" s="82"/>
      <c r="M4807" s="85"/>
    </row>
    <row r="4808" spans="9:13" x14ac:dyDescent="0.3">
      <c r="I4808" s="82"/>
      <c r="M4808" s="85"/>
    </row>
    <row r="4809" spans="9:13" x14ac:dyDescent="0.3">
      <c r="I4809" s="82"/>
      <c r="M4809" s="85"/>
    </row>
    <row r="4810" spans="9:13" x14ac:dyDescent="0.3">
      <c r="I4810" s="82"/>
      <c r="M4810" s="85"/>
    </row>
    <row r="4811" spans="9:13" x14ac:dyDescent="0.3">
      <c r="I4811" s="82"/>
      <c r="M4811" s="85"/>
    </row>
    <row r="4812" spans="9:13" x14ac:dyDescent="0.3">
      <c r="I4812" s="82"/>
      <c r="M4812" s="85"/>
    </row>
    <row r="4813" spans="9:13" x14ac:dyDescent="0.3">
      <c r="I4813" s="82"/>
      <c r="M4813" s="85"/>
    </row>
    <row r="4814" spans="9:13" x14ac:dyDescent="0.3">
      <c r="I4814" s="82"/>
      <c r="M4814" s="85"/>
    </row>
    <row r="4815" spans="9:13" x14ac:dyDescent="0.3">
      <c r="I4815" s="82"/>
      <c r="M4815" s="85"/>
    </row>
    <row r="4816" spans="9:13" x14ac:dyDescent="0.3">
      <c r="I4816" s="82"/>
      <c r="M4816" s="85"/>
    </row>
    <row r="4817" spans="9:13" x14ac:dyDescent="0.3">
      <c r="I4817" s="82"/>
      <c r="M4817" s="85"/>
    </row>
    <row r="4818" spans="9:13" x14ac:dyDescent="0.3">
      <c r="I4818" s="82"/>
      <c r="M4818" s="85"/>
    </row>
    <row r="4819" spans="9:13" x14ac:dyDescent="0.3">
      <c r="I4819" s="82"/>
      <c r="M4819" s="85"/>
    </row>
    <row r="4820" spans="9:13" x14ac:dyDescent="0.3">
      <c r="I4820" s="82"/>
      <c r="M4820" s="85"/>
    </row>
    <row r="4821" spans="9:13" x14ac:dyDescent="0.3">
      <c r="I4821" s="82"/>
      <c r="M4821" s="85"/>
    </row>
    <row r="4822" spans="9:13" x14ac:dyDescent="0.3">
      <c r="I4822" s="82"/>
      <c r="M4822" s="85"/>
    </row>
    <row r="4823" spans="9:13" x14ac:dyDescent="0.3">
      <c r="I4823" s="82"/>
      <c r="M4823" s="85"/>
    </row>
    <row r="4824" spans="9:13" x14ac:dyDescent="0.3">
      <c r="I4824" s="82"/>
      <c r="M4824" s="85"/>
    </row>
    <row r="4825" spans="9:13" x14ac:dyDescent="0.3">
      <c r="I4825" s="82"/>
      <c r="M4825" s="85"/>
    </row>
    <row r="4826" spans="9:13" x14ac:dyDescent="0.3">
      <c r="I4826" s="82"/>
      <c r="M4826" s="85"/>
    </row>
    <row r="4827" spans="9:13" x14ac:dyDescent="0.3">
      <c r="I4827" s="82"/>
      <c r="M4827" s="85"/>
    </row>
    <row r="4828" spans="9:13" x14ac:dyDescent="0.3">
      <c r="I4828" s="82"/>
      <c r="M4828" s="85"/>
    </row>
    <row r="4829" spans="9:13" x14ac:dyDescent="0.3">
      <c r="I4829" s="82"/>
      <c r="M4829" s="85"/>
    </row>
    <row r="4830" spans="9:13" x14ac:dyDescent="0.3">
      <c r="I4830" s="82"/>
      <c r="M4830" s="85"/>
    </row>
    <row r="4831" spans="9:13" x14ac:dyDescent="0.3">
      <c r="I4831" s="82"/>
      <c r="M4831" s="85"/>
    </row>
    <row r="4832" spans="9:13" x14ac:dyDescent="0.3">
      <c r="I4832" s="82"/>
      <c r="M4832" s="85"/>
    </row>
    <row r="4833" spans="9:13" x14ac:dyDescent="0.3">
      <c r="I4833" s="82"/>
      <c r="M4833" s="85"/>
    </row>
    <row r="4834" spans="9:13" x14ac:dyDescent="0.3">
      <c r="I4834" s="82"/>
      <c r="M4834" s="85"/>
    </row>
    <row r="4835" spans="9:13" x14ac:dyDescent="0.3">
      <c r="I4835" s="82"/>
      <c r="M4835" s="85"/>
    </row>
    <row r="4836" spans="9:13" x14ac:dyDescent="0.3">
      <c r="I4836" s="82"/>
      <c r="M4836" s="85"/>
    </row>
    <row r="4837" spans="9:13" x14ac:dyDescent="0.3">
      <c r="I4837" s="82"/>
      <c r="M4837" s="85"/>
    </row>
    <row r="4838" spans="9:13" x14ac:dyDescent="0.3">
      <c r="I4838" s="82"/>
      <c r="M4838" s="85"/>
    </row>
    <row r="4839" spans="9:13" x14ac:dyDescent="0.3">
      <c r="I4839" s="82"/>
      <c r="M4839" s="85"/>
    </row>
    <row r="4840" spans="9:13" x14ac:dyDescent="0.3">
      <c r="I4840" s="82"/>
      <c r="M4840" s="85"/>
    </row>
    <row r="4841" spans="9:13" x14ac:dyDescent="0.3">
      <c r="I4841" s="82"/>
      <c r="M4841" s="85"/>
    </row>
    <row r="4842" spans="9:13" x14ac:dyDescent="0.3">
      <c r="I4842" s="82"/>
      <c r="M4842" s="85"/>
    </row>
    <row r="4843" spans="9:13" x14ac:dyDescent="0.3">
      <c r="I4843" s="82"/>
      <c r="M4843" s="85"/>
    </row>
    <row r="4844" spans="9:13" x14ac:dyDescent="0.3">
      <c r="I4844" s="82"/>
      <c r="M4844" s="85"/>
    </row>
    <row r="4845" spans="9:13" x14ac:dyDescent="0.3">
      <c r="I4845" s="82"/>
      <c r="M4845" s="85"/>
    </row>
    <row r="4846" spans="9:13" x14ac:dyDescent="0.3">
      <c r="I4846" s="82"/>
      <c r="M4846" s="85"/>
    </row>
    <row r="4847" spans="9:13" x14ac:dyDescent="0.3">
      <c r="I4847" s="82"/>
      <c r="M4847" s="85"/>
    </row>
    <row r="4848" spans="9:13" x14ac:dyDescent="0.3">
      <c r="I4848" s="82"/>
      <c r="M4848" s="85"/>
    </row>
    <row r="4849" spans="9:13" x14ac:dyDescent="0.3">
      <c r="I4849" s="82"/>
      <c r="M4849" s="85"/>
    </row>
    <row r="4850" spans="9:13" x14ac:dyDescent="0.3">
      <c r="I4850" s="82"/>
      <c r="M4850" s="85"/>
    </row>
    <row r="4851" spans="9:13" x14ac:dyDescent="0.3">
      <c r="I4851" s="82"/>
      <c r="M4851" s="85"/>
    </row>
    <row r="4852" spans="9:13" x14ac:dyDescent="0.3">
      <c r="I4852" s="82"/>
      <c r="M4852" s="85"/>
    </row>
    <row r="4853" spans="9:13" x14ac:dyDescent="0.3">
      <c r="I4853" s="82"/>
      <c r="M4853" s="85"/>
    </row>
    <row r="4854" spans="9:13" x14ac:dyDescent="0.3">
      <c r="I4854" s="82"/>
      <c r="M4854" s="85"/>
    </row>
    <row r="4855" spans="9:13" x14ac:dyDescent="0.3">
      <c r="I4855" s="82"/>
      <c r="M4855" s="85"/>
    </row>
    <row r="4856" spans="9:13" x14ac:dyDescent="0.3">
      <c r="I4856" s="82"/>
      <c r="M4856" s="85"/>
    </row>
    <row r="4857" spans="9:13" x14ac:dyDescent="0.3">
      <c r="I4857" s="82"/>
      <c r="M4857" s="85"/>
    </row>
    <row r="4858" spans="9:13" x14ac:dyDescent="0.3">
      <c r="I4858" s="82"/>
      <c r="M4858" s="85"/>
    </row>
    <row r="4859" spans="9:13" x14ac:dyDescent="0.3">
      <c r="I4859" s="82"/>
      <c r="M4859" s="85"/>
    </row>
    <row r="4860" spans="9:13" x14ac:dyDescent="0.3">
      <c r="I4860" s="82"/>
      <c r="M4860" s="85"/>
    </row>
    <row r="4861" spans="9:13" x14ac:dyDescent="0.3">
      <c r="I4861" s="82"/>
      <c r="M4861" s="85"/>
    </row>
    <row r="4862" spans="9:13" x14ac:dyDescent="0.3">
      <c r="I4862" s="82"/>
      <c r="M4862" s="85"/>
    </row>
    <row r="4863" spans="9:13" x14ac:dyDescent="0.3">
      <c r="I4863" s="82"/>
      <c r="M4863" s="85"/>
    </row>
    <row r="4864" spans="9:13" x14ac:dyDescent="0.3">
      <c r="I4864" s="82"/>
      <c r="M4864" s="85"/>
    </row>
    <row r="4865" spans="9:13" x14ac:dyDescent="0.3">
      <c r="I4865" s="82"/>
      <c r="M4865" s="85"/>
    </row>
    <row r="4866" spans="9:13" x14ac:dyDescent="0.3">
      <c r="I4866" s="82"/>
      <c r="M4866" s="85"/>
    </row>
    <row r="4867" spans="9:13" x14ac:dyDescent="0.3">
      <c r="I4867" s="82"/>
      <c r="M4867" s="85"/>
    </row>
    <row r="4868" spans="9:13" x14ac:dyDescent="0.3">
      <c r="I4868" s="82"/>
      <c r="M4868" s="85"/>
    </row>
    <row r="4869" spans="9:13" x14ac:dyDescent="0.3">
      <c r="I4869" s="82"/>
      <c r="M4869" s="85"/>
    </row>
    <row r="4870" spans="9:13" x14ac:dyDescent="0.3">
      <c r="I4870" s="82"/>
      <c r="M4870" s="85"/>
    </row>
    <row r="4871" spans="9:13" x14ac:dyDescent="0.3">
      <c r="I4871" s="82"/>
      <c r="M4871" s="85"/>
    </row>
    <row r="4872" spans="9:13" x14ac:dyDescent="0.3">
      <c r="I4872" s="82"/>
      <c r="M4872" s="85"/>
    </row>
    <row r="4873" spans="9:13" x14ac:dyDescent="0.3">
      <c r="I4873" s="82"/>
      <c r="M4873" s="85"/>
    </row>
    <row r="4874" spans="9:13" x14ac:dyDescent="0.3">
      <c r="I4874" s="82"/>
      <c r="M4874" s="85"/>
    </row>
    <row r="4875" spans="9:13" x14ac:dyDescent="0.3">
      <c r="I4875" s="82"/>
      <c r="M4875" s="85"/>
    </row>
    <row r="4876" spans="9:13" x14ac:dyDescent="0.3">
      <c r="I4876" s="82"/>
      <c r="M4876" s="85"/>
    </row>
    <row r="4877" spans="9:13" x14ac:dyDescent="0.3">
      <c r="I4877" s="82"/>
      <c r="M4877" s="85"/>
    </row>
    <row r="4878" spans="9:13" x14ac:dyDescent="0.3">
      <c r="I4878" s="82"/>
      <c r="M4878" s="85"/>
    </row>
    <row r="4879" spans="9:13" x14ac:dyDescent="0.3">
      <c r="I4879" s="82"/>
      <c r="M4879" s="85"/>
    </row>
    <row r="4880" spans="9:13" x14ac:dyDescent="0.3">
      <c r="I4880" s="82"/>
      <c r="M4880" s="85"/>
    </row>
    <row r="4881" spans="9:13" x14ac:dyDescent="0.3">
      <c r="I4881" s="82"/>
      <c r="M4881" s="85"/>
    </row>
    <row r="4882" spans="9:13" x14ac:dyDescent="0.3">
      <c r="I4882" s="82"/>
      <c r="M4882" s="85"/>
    </row>
    <row r="4883" spans="9:13" x14ac:dyDescent="0.3">
      <c r="I4883" s="82"/>
      <c r="M4883" s="85"/>
    </row>
    <row r="4884" spans="9:13" x14ac:dyDescent="0.3">
      <c r="I4884" s="82"/>
      <c r="M4884" s="85"/>
    </row>
    <row r="4885" spans="9:13" x14ac:dyDescent="0.3">
      <c r="I4885" s="82"/>
      <c r="M4885" s="85"/>
    </row>
    <row r="4886" spans="9:13" x14ac:dyDescent="0.3">
      <c r="I4886" s="82"/>
      <c r="M4886" s="85"/>
    </row>
    <row r="4887" spans="9:13" x14ac:dyDescent="0.3">
      <c r="I4887" s="82"/>
      <c r="M4887" s="85"/>
    </row>
    <row r="4888" spans="9:13" x14ac:dyDescent="0.3">
      <c r="I4888" s="82"/>
      <c r="M4888" s="85"/>
    </row>
    <row r="4889" spans="9:13" x14ac:dyDescent="0.3">
      <c r="I4889" s="82"/>
      <c r="M4889" s="85"/>
    </row>
    <row r="4890" spans="9:13" x14ac:dyDescent="0.3">
      <c r="I4890" s="82"/>
      <c r="M4890" s="85"/>
    </row>
    <row r="4891" spans="9:13" x14ac:dyDescent="0.3">
      <c r="I4891" s="82"/>
      <c r="M4891" s="85"/>
    </row>
    <row r="4892" spans="9:13" x14ac:dyDescent="0.3">
      <c r="I4892" s="82"/>
      <c r="M4892" s="85"/>
    </row>
    <row r="4893" spans="9:13" x14ac:dyDescent="0.3">
      <c r="I4893" s="82"/>
      <c r="M4893" s="85"/>
    </row>
    <row r="4894" spans="9:13" x14ac:dyDescent="0.3">
      <c r="I4894" s="82"/>
      <c r="M4894" s="85"/>
    </row>
    <row r="4895" spans="9:13" x14ac:dyDescent="0.3">
      <c r="I4895" s="82"/>
      <c r="M4895" s="85"/>
    </row>
    <row r="4896" spans="9:13" x14ac:dyDescent="0.3">
      <c r="I4896" s="82"/>
      <c r="M4896" s="85"/>
    </row>
    <row r="4897" spans="9:13" x14ac:dyDescent="0.3">
      <c r="I4897" s="82"/>
      <c r="M4897" s="85"/>
    </row>
    <row r="4898" spans="9:13" x14ac:dyDescent="0.3">
      <c r="I4898" s="82"/>
      <c r="M4898" s="85"/>
    </row>
    <row r="4899" spans="9:13" x14ac:dyDescent="0.3">
      <c r="I4899" s="82"/>
      <c r="M4899" s="85"/>
    </row>
    <row r="4900" spans="9:13" x14ac:dyDescent="0.3">
      <c r="I4900" s="82"/>
      <c r="M4900" s="85"/>
    </row>
    <row r="4901" spans="9:13" x14ac:dyDescent="0.3">
      <c r="I4901" s="82"/>
      <c r="M4901" s="85"/>
    </row>
    <row r="4902" spans="9:13" x14ac:dyDescent="0.3">
      <c r="I4902" s="82"/>
      <c r="M4902" s="85"/>
    </row>
    <row r="4903" spans="9:13" x14ac:dyDescent="0.3">
      <c r="I4903" s="82"/>
      <c r="M4903" s="85"/>
    </row>
    <row r="4904" spans="9:13" x14ac:dyDescent="0.3">
      <c r="I4904" s="82"/>
      <c r="M4904" s="85"/>
    </row>
    <row r="4905" spans="9:13" x14ac:dyDescent="0.3">
      <c r="I4905" s="82"/>
      <c r="M4905" s="85"/>
    </row>
    <row r="4906" spans="9:13" x14ac:dyDescent="0.3">
      <c r="I4906" s="82"/>
      <c r="M4906" s="85"/>
    </row>
    <row r="4907" spans="9:13" x14ac:dyDescent="0.3">
      <c r="I4907" s="82"/>
      <c r="M4907" s="85"/>
    </row>
    <row r="4908" spans="9:13" x14ac:dyDescent="0.3">
      <c r="I4908" s="82"/>
      <c r="M4908" s="85"/>
    </row>
    <row r="4909" spans="9:13" x14ac:dyDescent="0.3">
      <c r="I4909" s="82"/>
      <c r="M4909" s="85"/>
    </row>
    <row r="4910" spans="9:13" x14ac:dyDescent="0.3">
      <c r="I4910" s="82"/>
      <c r="M4910" s="85"/>
    </row>
    <row r="4911" spans="9:13" x14ac:dyDescent="0.3">
      <c r="I4911" s="82"/>
      <c r="M4911" s="85"/>
    </row>
    <row r="4912" spans="9:13" x14ac:dyDescent="0.3">
      <c r="I4912" s="82"/>
      <c r="M4912" s="85"/>
    </row>
    <row r="4913" spans="9:13" x14ac:dyDescent="0.3">
      <c r="I4913" s="82"/>
      <c r="M4913" s="85"/>
    </row>
    <row r="4914" spans="9:13" x14ac:dyDescent="0.3">
      <c r="I4914" s="82"/>
      <c r="M4914" s="85"/>
    </row>
    <row r="4915" spans="9:13" x14ac:dyDescent="0.3">
      <c r="I4915" s="82"/>
      <c r="M4915" s="85"/>
    </row>
    <row r="4916" spans="9:13" x14ac:dyDescent="0.3">
      <c r="I4916" s="82"/>
      <c r="M4916" s="85"/>
    </row>
    <row r="4917" spans="9:13" x14ac:dyDescent="0.3">
      <c r="I4917" s="82"/>
      <c r="M4917" s="85"/>
    </row>
    <row r="4918" spans="9:13" x14ac:dyDescent="0.3">
      <c r="I4918" s="82"/>
      <c r="M4918" s="85"/>
    </row>
    <row r="4919" spans="9:13" x14ac:dyDescent="0.3">
      <c r="I4919" s="82"/>
      <c r="M4919" s="85"/>
    </row>
    <row r="4920" spans="9:13" x14ac:dyDescent="0.3">
      <c r="I4920" s="82"/>
      <c r="M4920" s="85"/>
    </row>
    <row r="4921" spans="9:13" x14ac:dyDescent="0.3">
      <c r="I4921" s="82"/>
      <c r="M4921" s="85"/>
    </row>
    <row r="4922" spans="9:13" x14ac:dyDescent="0.3">
      <c r="I4922" s="82"/>
      <c r="M4922" s="85"/>
    </row>
    <row r="4923" spans="9:13" x14ac:dyDescent="0.3">
      <c r="I4923" s="82"/>
      <c r="M4923" s="85"/>
    </row>
    <row r="4924" spans="9:13" x14ac:dyDescent="0.3">
      <c r="I4924" s="82"/>
      <c r="M4924" s="85"/>
    </row>
    <row r="4925" spans="9:13" x14ac:dyDescent="0.3">
      <c r="I4925" s="82"/>
      <c r="M4925" s="85"/>
    </row>
    <row r="4926" spans="9:13" x14ac:dyDescent="0.3">
      <c r="I4926" s="82"/>
      <c r="M4926" s="85"/>
    </row>
    <row r="4927" spans="9:13" x14ac:dyDescent="0.3">
      <c r="I4927" s="82"/>
      <c r="M4927" s="85"/>
    </row>
    <row r="4928" spans="9:13" x14ac:dyDescent="0.3">
      <c r="I4928" s="82"/>
      <c r="M4928" s="85"/>
    </row>
    <row r="4929" spans="9:13" x14ac:dyDescent="0.3">
      <c r="I4929" s="82"/>
      <c r="M4929" s="85"/>
    </row>
    <row r="4930" spans="9:13" x14ac:dyDescent="0.3">
      <c r="I4930" s="82"/>
      <c r="M4930" s="85"/>
    </row>
    <row r="4931" spans="9:13" x14ac:dyDescent="0.3">
      <c r="I4931" s="82"/>
      <c r="M4931" s="85"/>
    </row>
    <row r="4932" spans="9:13" x14ac:dyDescent="0.3">
      <c r="I4932" s="82"/>
      <c r="M4932" s="85"/>
    </row>
    <row r="4933" spans="9:13" x14ac:dyDescent="0.3">
      <c r="I4933" s="82"/>
      <c r="M4933" s="85"/>
    </row>
    <row r="4934" spans="9:13" x14ac:dyDescent="0.3">
      <c r="I4934" s="82"/>
      <c r="M4934" s="85"/>
    </row>
    <row r="4935" spans="9:13" x14ac:dyDescent="0.3">
      <c r="I4935" s="82"/>
      <c r="M4935" s="85"/>
    </row>
    <row r="4936" spans="9:13" x14ac:dyDescent="0.3">
      <c r="I4936" s="82"/>
      <c r="M4936" s="85"/>
    </row>
    <row r="4937" spans="9:13" x14ac:dyDescent="0.3">
      <c r="I4937" s="82"/>
      <c r="M4937" s="85"/>
    </row>
    <row r="4938" spans="9:13" x14ac:dyDescent="0.3">
      <c r="I4938" s="82"/>
      <c r="M4938" s="85"/>
    </row>
    <row r="4939" spans="9:13" x14ac:dyDescent="0.3">
      <c r="I4939" s="82"/>
      <c r="M4939" s="85"/>
    </row>
    <row r="4940" spans="9:13" x14ac:dyDescent="0.3">
      <c r="I4940" s="82"/>
      <c r="M4940" s="85"/>
    </row>
    <row r="4941" spans="9:13" x14ac:dyDescent="0.3">
      <c r="I4941" s="82"/>
      <c r="M4941" s="85"/>
    </row>
    <row r="4942" spans="9:13" x14ac:dyDescent="0.3">
      <c r="I4942" s="82"/>
      <c r="M4942" s="85"/>
    </row>
    <row r="4943" spans="9:13" x14ac:dyDescent="0.3">
      <c r="I4943" s="82"/>
      <c r="M4943" s="85"/>
    </row>
    <row r="4944" spans="9:13" x14ac:dyDescent="0.3">
      <c r="I4944" s="82"/>
      <c r="M4944" s="85"/>
    </row>
    <row r="4945" spans="9:13" x14ac:dyDescent="0.3">
      <c r="I4945" s="82"/>
      <c r="M4945" s="85"/>
    </row>
    <row r="4946" spans="9:13" x14ac:dyDescent="0.3">
      <c r="I4946" s="82"/>
      <c r="M4946" s="85"/>
    </row>
    <row r="4947" spans="9:13" x14ac:dyDescent="0.3">
      <c r="I4947" s="82"/>
      <c r="M4947" s="85"/>
    </row>
    <row r="4948" spans="9:13" x14ac:dyDescent="0.3">
      <c r="I4948" s="82"/>
      <c r="M4948" s="85"/>
    </row>
    <row r="4949" spans="9:13" x14ac:dyDescent="0.3">
      <c r="I4949" s="82"/>
      <c r="M4949" s="85"/>
    </row>
    <row r="4950" spans="9:13" x14ac:dyDescent="0.3">
      <c r="I4950" s="82"/>
      <c r="M4950" s="85"/>
    </row>
    <row r="4951" spans="9:13" x14ac:dyDescent="0.3">
      <c r="I4951" s="82"/>
      <c r="M4951" s="85"/>
    </row>
    <row r="4952" spans="9:13" x14ac:dyDescent="0.3">
      <c r="I4952" s="82"/>
      <c r="M4952" s="85"/>
    </row>
    <row r="4953" spans="9:13" x14ac:dyDescent="0.3">
      <c r="I4953" s="82"/>
      <c r="M4953" s="85"/>
    </row>
    <row r="4954" spans="9:13" x14ac:dyDescent="0.3">
      <c r="I4954" s="82"/>
      <c r="M4954" s="85"/>
    </row>
    <row r="4955" spans="9:13" x14ac:dyDescent="0.3">
      <c r="I4955" s="82"/>
      <c r="M4955" s="85"/>
    </row>
    <row r="4956" spans="9:13" x14ac:dyDescent="0.3">
      <c r="I4956" s="82"/>
      <c r="M4956" s="85"/>
    </row>
    <row r="4957" spans="9:13" x14ac:dyDescent="0.3">
      <c r="I4957" s="82"/>
      <c r="M4957" s="85"/>
    </row>
    <row r="4958" spans="9:13" x14ac:dyDescent="0.3">
      <c r="I4958" s="82"/>
      <c r="M4958" s="85"/>
    </row>
    <row r="4959" spans="9:13" x14ac:dyDescent="0.3">
      <c r="I4959" s="82"/>
      <c r="M4959" s="85"/>
    </row>
    <row r="4960" spans="9:13" x14ac:dyDescent="0.3">
      <c r="I4960" s="82"/>
      <c r="M4960" s="85"/>
    </row>
    <row r="4961" spans="9:13" x14ac:dyDescent="0.3">
      <c r="I4961" s="82"/>
      <c r="M4961" s="85"/>
    </row>
    <row r="4962" spans="9:13" x14ac:dyDescent="0.3">
      <c r="I4962" s="82"/>
      <c r="M4962" s="85"/>
    </row>
    <row r="4963" spans="9:13" x14ac:dyDescent="0.3">
      <c r="I4963" s="82"/>
      <c r="M4963" s="85"/>
    </row>
    <row r="4964" spans="9:13" x14ac:dyDescent="0.3">
      <c r="I4964" s="82"/>
      <c r="M4964" s="85"/>
    </row>
    <row r="4965" spans="9:13" x14ac:dyDescent="0.3">
      <c r="I4965" s="82"/>
      <c r="M4965" s="85"/>
    </row>
    <row r="4966" spans="9:13" x14ac:dyDescent="0.3">
      <c r="I4966" s="82"/>
      <c r="M4966" s="85"/>
    </row>
    <row r="4967" spans="9:13" x14ac:dyDescent="0.3">
      <c r="I4967" s="82"/>
      <c r="M4967" s="85"/>
    </row>
    <row r="4968" spans="9:13" x14ac:dyDescent="0.3">
      <c r="I4968" s="82"/>
      <c r="M4968" s="85"/>
    </row>
    <row r="4969" spans="9:13" x14ac:dyDescent="0.3">
      <c r="I4969" s="82"/>
      <c r="M4969" s="85"/>
    </row>
    <row r="4970" spans="9:13" x14ac:dyDescent="0.3">
      <c r="I4970" s="82"/>
      <c r="M4970" s="85"/>
    </row>
    <row r="4971" spans="9:13" x14ac:dyDescent="0.3">
      <c r="I4971" s="82"/>
      <c r="M4971" s="85"/>
    </row>
    <row r="4972" spans="9:13" x14ac:dyDescent="0.3">
      <c r="I4972" s="82"/>
      <c r="M4972" s="85"/>
    </row>
    <row r="4973" spans="9:13" x14ac:dyDescent="0.3">
      <c r="I4973" s="82"/>
      <c r="M4973" s="85"/>
    </row>
    <row r="4974" spans="9:13" x14ac:dyDescent="0.3">
      <c r="I4974" s="82"/>
      <c r="M4974" s="85"/>
    </row>
    <row r="4975" spans="9:13" x14ac:dyDescent="0.3">
      <c r="I4975" s="82"/>
      <c r="M4975" s="85"/>
    </row>
    <row r="4976" spans="9:13" x14ac:dyDescent="0.3">
      <c r="I4976" s="82"/>
      <c r="M4976" s="85"/>
    </row>
    <row r="4977" spans="9:13" x14ac:dyDescent="0.3">
      <c r="I4977" s="82"/>
      <c r="M4977" s="85"/>
    </row>
    <row r="4978" spans="9:13" x14ac:dyDescent="0.3">
      <c r="I4978" s="82"/>
      <c r="M4978" s="85"/>
    </row>
    <row r="4979" spans="9:13" x14ac:dyDescent="0.3">
      <c r="I4979" s="82"/>
      <c r="M4979" s="85"/>
    </row>
    <row r="4980" spans="9:13" x14ac:dyDescent="0.3">
      <c r="I4980" s="82"/>
      <c r="M4980" s="85"/>
    </row>
    <row r="4981" spans="9:13" x14ac:dyDescent="0.3">
      <c r="I4981" s="82"/>
      <c r="M4981" s="85"/>
    </row>
    <row r="4982" spans="9:13" x14ac:dyDescent="0.3">
      <c r="I4982" s="82"/>
      <c r="M4982" s="85"/>
    </row>
    <row r="4983" spans="9:13" x14ac:dyDescent="0.3">
      <c r="I4983" s="82"/>
      <c r="M4983" s="85"/>
    </row>
    <row r="4984" spans="9:13" x14ac:dyDescent="0.3">
      <c r="I4984" s="82"/>
      <c r="M4984" s="85"/>
    </row>
    <row r="4985" spans="9:13" x14ac:dyDescent="0.3">
      <c r="I4985" s="82"/>
      <c r="M4985" s="85"/>
    </row>
    <row r="4986" spans="9:13" x14ac:dyDescent="0.3">
      <c r="I4986" s="82"/>
      <c r="M4986" s="85"/>
    </row>
    <row r="4987" spans="9:13" x14ac:dyDescent="0.3">
      <c r="I4987" s="82"/>
      <c r="M4987" s="85"/>
    </row>
    <row r="4988" spans="9:13" x14ac:dyDescent="0.3">
      <c r="I4988" s="82"/>
      <c r="M4988" s="85"/>
    </row>
    <row r="4989" spans="9:13" x14ac:dyDescent="0.3">
      <c r="I4989" s="82"/>
      <c r="M4989" s="85"/>
    </row>
    <row r="4990" spans="9:13" x14ac:dyDescent="0.3">
      <c r="I4990" s="82"/>
      <c r="M4990" s="85"/>
    </row>
    <row r="4991" spans="9:13" x14ac:dyDescent="0.3">
      <c r="I4991" s="82"/>
      <c r="M4991" s="85"/>
    </row>
    <row r="4992" spans="9:13" x14ac:dyDescent="0.3">
      <c r="I4992" s="82"/>
      <c r="M4992" s="85"/>
    </row>
    <row r="4993" spans="9:13" x14ac:dyDescent="0.3">
      <c r="I4993" s="82"/>
      <c r="M4993" s="85"/>
    </row>
    <row r="4994" spans="9:13" x14ac:dyDescent="0.3">
      <c r="I4994" s="82"/>
      <c r="M4994" s="85"/>
    </row>
    <row r="4995" spans="9:13" x14ac:dyDescent="0.3">
      <c r="I4995" s="82"/>
      <c r="M4995" s="85"/>
    </row>
    <row r="4996" spans="9:13" x14ac:dyDescent="0.3">
      <c r="I4996" s="82"/>
      <c r="M4996" s="85"/>
    </row>
    <row r="4997" spans="9:13" x14ac:dyDescent="0.3">
      <c r="I4997" s="82"/>
      <c r="M4997" s="85"/>
    </row>
    <row r="4998" spans="9:13" x14ac:dyDescent="0.3">
      <c r="I4998" s="82"/>
      <c r="M4998" s="85"/>
    </row>
    <row r="4999" spans="9:13" x14ac:dyDescent="0.3">
      <c r="I4999" s="82"/>
      <c r="M4999" s="85"/>
    </row>
    <row r="5000" spans="9:13" x14ac:dyDescent="0.3">
      <c r="I5000" s="82"/>
      <c r="M5000" s="85"/>
    </row>
    <row r="5001" spans="9:13" x14ac:dyDescent="0.3">
      <c r="I5001" s="82"/>
      <c r="M5001" s="85"/>
    </row>
    <row r="5002" spans="9:13" x14ac:dyDescent="0.3">
      <c r="I5002" s="82"/>
      <c r="M5002" s="85"/>
    </row>
    <row r="5003" spans="9:13" x14ac:dyDescent="0.3">
      <c r="I5003" s="82"/>
      <c r="M5003" s="85"/>
    </row>
    <row r="5004" spans="9:13" x14ac:dyDescent="0.3">
      <c r="I5004" s="82"/>
      <c r="M5004" s="85"/>
    </row>
    <row r="5005" spans="9:13" x14ac:dyDescent="0.3">
      <c r="I5005" s="82"/>
      <c r="M5005" s="85"/>
    </row>
    <row r="5006" spans="9:13" x14ac:dyDescent="0.3">
      <c r="I5006" s="82"/>
      <c r="M5006" s="85"/>
    </row>
    <row r="5007" spans="9:13" x14ac:dyDescent="0.3">
      <c r="I5007" s="82"/>
      <c r="M5007" s="85"/>
    </row>
    <row r="5008" spans="9:13" x14ac:dyDescent="0.3">
      <c r="I5008" s="82"/>
      <c r="M5008" s="85"/>
    </row>
    <row r="5009" spans="9:13" x14ac:dyDescent="0.3">
      <c r="I5009" s="82"/>
      <c r="M5009" s="85"/>
    </row>
    <row r="5010" spans="9:13" x14ac:dyDescent="0.3">
      <c r="I5010" s="82"/>
      <c r="M5010" s="85"/>
    </row>
    <row r="5011" spans="9:13" x14ac:dyDescent="0.3">
      <c r="I5011" s="82"/>
      <c r="M5011" s="85"/>
    </row>
    <row r="5012" spans="9:13" x14ac:dyDescent="0.3">
      <c r="I5012" s="82"/>
      <c r="M5012" s="85"/>
    </row>
    <row r="5013" spans="9:13" x14ac:dyDescent="0.3">
      <c r="I5013" s="82"/>
      <c r="M5013" s="85"/>
    </row>
    <row r="5014" spans="9:13" x14ac:dyDescent="0.3">
      <c r="I5014" s="82"/>
      <c r="M5014" s="85"/>
    </row>
    <row r="5015" spans="9:13" x14ac:dyDescent="0.3">
      <c r="I5015" s="82"/>
      <c r="M5015" s="85"/>
    </row>
    <row r="5016" spans="9:13" x14ac:dyDescent="0.3">
      <c r="I5016" s="82"/>
      <c r="M5016" s="85"/>
    </row>
    <row r="5017" spans="9:13" x14ac:dyDescent="0.3">
      <c r="I5017" s="82"/>
      <c r="M5017" s="85"/>
    </row>
    <row r="5018" spans="9:13" x14ac:dyDescent="0.3">
      <c r="I5018" s="82"/>
      <c r="M5018" s="85"/>
    </row>
    <row r="5019" spans="9:13" x14ac:dyDescent="0.3">
      <c r="I5019" s="82"/>
      <c r="M5019" s="85"/>
    </row>
    <row r="5020" spans="9:13" x14ac:dyDescent="0.3">
      <c r="I5020" s="82"/>
      <c r="M5020" s="85"/>
    </row>
    <row r="5021" spans="9:13" x14ac:dyDescent="0.3">
      <c r="I5021" s="82"/>
      <c r="M5021" s="85"/>
    </row>
    <row r="5022" spans="9:13" x14ac:dyDescent="0.3">
      <c r="I5022" s="82"/>
      <c r="M5022" s="85"/>
    </row>
    <row r="5023" spans="9:13" x14ac:dyDescent="0.3">
      <c r="I5023" s="82"/>
      <c r="M5023" s="85"/>
    </row>
    <row r="5024" spans="9:13" x14ac:dyDescent="0.3">
      <c r="I5024" s="82"/>
      <c r="M5024" s="85"/>
    </row>
    <row r="5025" spans="9:13" x14ac:dyDescent="0.3">
      <c r="I5025" s="82"/>
      <c r="M5025" s="85"/>
    </row>
    <row r="5026" spans="9:13" x14ac:dyDescent="0.3">
      <c r="I5026" s="82"/>
      <c r="M5026" s="85"/>
    </row>
    <row r="5027" spans="9:13" x14ac:dyDescent="0.3">
      <c r="I5027" s="82"/>
      <c r="M5027" s="85"/>
    </row>
    <row r="5028" spans="9:13" x14ac:dyDescent="0.3">
      <c r="I5028" s="82"/>
      <c r="M5028" s="85"/>
    </row>
    <row r="5029" spans="9:13" x14ac:dyDescent="0.3">
      <c r="I5029" s="82"/>
      <c r="M5029" s="85"/>
    </row>
    <row r="5030" spans="9:13" x14ac:dyDescent="0.3">
      <c r="I5030" s="82"/>
      <c r="M5030" s="85"/>
    </row>
    <row r="5031" spans="9:13" x14ac:dyDescent="0.3">
      <c r="I5031" s="82"/>
      <c r="M5031" s="85"/>
    </row>
    <row r="5032" spans="9:13" x14ac:dyDescent="0.3">
      <c r="I5032" s="82"/>
      <c r="M5032" s="85"/>
    </row>
    <row r="5033" spans="9:13" x14ac:dyDescent="0.3">
      <c r="I5033" s="82"/>
      <c r="M5033" s="85"/>
    </row>
    <row r="5034" spans="9:13" x14ac:dyDescent="0.3">
      <c r="I5034" s="82"/>
      <c r="M5034" s="85"/>
    </row>
    <row r="5035" spans="9:13" x14ac:dyDescent="0.3">
      <c r="I5035" s="82"/>
      <c r="M5035" s="85"/>
    </row>
    <row r="5036" spans="9:13" x14ac:dyDescent="0.3">
      <c r="I5036" s="82"/>
      <c r="M5036" s="85"/>
    </row>
    <row r="5037" spans="9:13" x14ac:dyDescent="0.3">
      <c r="I5037" s="82"/>
      <c r="M5037" s="85"/>
    </row>
    <row r="5038" spans="9:13" x14ac:dyDescent="0.3">
      <c r="I5038" s="82"/>
      <c r="M5038" s="85"/>
    </row>
    <row r="5039" spans="9:13" x14ac:dyDescent="0.3">
      <c r="I5039" s="82"/>
      <c r="M5039" s="85"/>
    </row>
    <row r="5040" spans="9:13" x14ac:dyDescent="0.3">
      <c r="I5040" s="82"/>
      <c r="M5040" s="85"/>
    </row>
    <row r="5041" spans="9:13" x14ac:dyDescent="0.3">
      <c r="I5041" s="82"/>
      <c r="M5041" s="85"/>
    </row>
    <row r="5042" spans="9:13" x14ac:dyDescent="0.3">
      <c r="I5042" s="82"/>
      <c r="M5042" s="85"/>
    </row>
    <row r="5043" spans="9:13" x14ac:dyDescent="0.3">
      <c r="I5043" s="82"/>
      <c r="M5043" s="85"/>
    </row>
    <row r="5044" spans="9:13" x14ac:dyDescent="0.3">
      <c r="I5044" s="82"/>
      <c r="M5044" s="85"/>
    </row>
    <row r="5045" spans="9:13" x14ac:dyDescent="0.3">
      <c r="I5045" s="82"/>
      <c r="M5045" s="85"/>
    </row>
    <row r="5046" spans="9:13" x14ac:dyDescent="0.3">
      <c r="I5046" s="82"/>
      <c r="M5046" s="85"/>
    </row>
    <row r="5047" spans="9:13" x14ac:dyDescent="0.3">
      <c r="I5047" s="82"/>
      <c r="M5047" s="85"/>
    </row>
    <row r="5048" spans="9:13" x14ac:dyDescent="0.3">
      <c r="I5048" s="82"/>
      <c r="M5048" s="85"/>
    </row>
    <row r="5049" spans="9:13" x14ac:dyDescent="0.3">
      <c r="I5049" s="82"/>
      <c r="M5049" s="85"/>
    </row>
    <row r="5050" spans="9:13" x14ac:dyDescent="0.3">
      <c r="I5050" s="82"/>
      <c r="M5050" s="85"/>
    </row>
    <row r="5051" spans="9:13" x14ac:dyDescent="0.3">
      <c r="I5051" s="82"/>
      <c r="M5051" s="85"/>
    </row>
    <row r="5052" spans="9:13" x14ac:dyDescent="0.3">
      <c r="I5052" s="82"/>
      <c r="M5052" s="85"/>
    </row>
    <row r="5053" spans="9:13" x14ac:dyDescent="0.3">
      <c r="I5053" s="82"/>
      <c r="M5053" s="85"/>
    </row>
    <row r="5054" spans="9:13" x14ac:dyDescent="0.3">
      <c r="I5054" s="82"/>
      <c r="M5054" s="85"/>
    </row>
    <row r="5055" spans="9:13" x14ac:dyDescent="0.3">
      <c r="I5055" s="82"/>
      <c r="M5055" s="85"/>
    </row>
    <row r="5056" spans="9:13" x14ac:dyDescent="0.3">
      <c r="I5056" s="82"/>
      <c r="M5056" s="85"/>
    </row>
    <row r="5057" spans="9:13" x14ac:dyDescent="0.3">
      <c r="I5057" s="82"/>
      <c r="M5057" s="85"/>
    </row>
    <row r="5058" spans="9:13" x14ac:dyDescent="0.3">
      <c r="I5058" s="82"/>
      <c r="M5058" s="85"/>
    </row>
    <row r="5059" spans="9:13" x14ac:dyDescent="0.3">
      <c r="I5059" s="82"/>
      <c r="M5059" s="85"/>
    </row>
    <row r="5060" spans="9:13" x14ac:dyDescent="0.3">
      <c r="I5060" s="82"/>
      <c r="M5060" s="85"/>
    </row>
    <row r="5061" spans="9:13" x14ac:dyDescent="0.3">
      <c r="I5061" s="82"/>
      <c r="M5061" s="85"/>
    </row>
    <row r="5062" spans="9:13" x14ac:dyDescent="0.3">
      <c r="I5062" s="82"/>
      <c r="M5062" s="85"/>
    </row>
    <row r="5063" spans="9:13" x14ac:dyDescent="0.3">
      <c r="I5063" s="82"/>
      <c r="M5063" s="85"/>
    </row>
    <row r="5064" spans="9:13" x14ac:dyDescent="0.3">
      <c r="I5064" s="82"/>
      <c r="M5064" s="85"/>
    </row>
    <row r="5065" spans="9:13" x14ac:dyDescent="0.3">
      <c r="I5065" s="82"/>
      <c r="M5065" s="85"/>
    </row>
    <row r="5066" spans="9:13" x14ac:dyDescent="0.3">
      <c r="I5066" s="82"/>
      <c r="M5066" s="85"/>
    </row>
    <row r="5067" spans="9:13" x14ac:dyDescent="0.3">
      <c r="I5067" s="82"/>
      <c r="M5067" s="85"/>
    </row>
    <row r="5068" spans="9:13" x14ac:dyDescent="0.3">
      <c r="I5068" s="82"/>
      <c r="M5068" s="85"/>
    </row>
    <row r="5069" spans="9:13" x14ac:dyDescent="0.3">
      <c r="I5069" s="82"/>
      <c r="M5069" s="85"/>
    </row>
    <row r="5070" spans="9:13" x14ac:dyDescent="0.3">
      <c r="I5070" s="82"/>
      <c r="M5070" s="85"/>
    </row>
    <row r="5071" spans="9:13" x14ac:dyDescent="0.3">
      <c r="I5071" s="82"/>
      <c r="M5071" s="85"/>
    </row>
    <row r="5072" spans="9:13" x14ac:dyDescent="0.3">
      <c r="I5072" s="82"/>
      <c r="M5072" s="85"/>
    </row>
    <row r="5073" spans="9:13" x14ac:dyDescent="0.3">
      <c r="I5073" s="82"/>
      <c r="M5073" s="85"/>
    </row>
    <row r="5074" spans="9:13" x14ac:dyDescent="0.3">
      <c r="I5074" s="82"/>
      <c r="M5074" s="85"/>
    </row>
    <row r="5075" spans="9:13" x14ac:dyDescent="0.3">
      <c r="I5075" s="82"/>
      <c r="M5075" s="85"/>
    </row>
    <row r="5076" spans="9:13" x14ac:dyDescent="0.3">
      <c r="I5076" s="82"/>
      <c r="M5076" s="85"/>
    </row>
    <row r="5077" spans="9:13" x14ac:dyDescent="0.3">
      <c r="I5077" s="82"/>
      <c r="M5077" s="85"/>
    </row>
    <row r="5078" spans="9:13" x14ac:dyDescent="0.3">
      <c r="I5078" s="82"/>
      <c r="M5078" s="85"/>
    </row>
    <row r="5079" spans="9:13" x14ac:dyDescent="0.3">
      <c r="I5079" s="82"/>
      <c r="M5079" s="85"/>
    </row>
    <row r="5080" spans="9:13" x14ac:dyDescent="0.3">
      <c r="I5080" s="82"/>
      <c r="M5080" s="85"/>
    </row>
    <row r="5081" spans="9:13" x14ac:dyDescent="0.3">
      <c r="I5081" s="82"/>
      <c r="M5081" s="85"/>
    </row>
    <row r="5082" spans="9:13" x14ac:dyDescent="0.3">
      <c r="I5082" s="82"/>
      <c r="M5082" s="85"/>
    </row>
    <row r="5083" spans="9:13" x14ac:dyDescent="0.3">
      <c r="I5083" s="82"/>
      <c r="M5083" s="85"/>
    </row>
    <row r="5084" spans="9:13" x14ac:dyDescent="0.3">
      <c r="I5084" s="82"/>
      <c r="M5084" s="85"/>
    </row>
    <row r="5085" spans="9:13" x14ac:dyDescent="0.3">
      <c r="I5085" s="82"/>
      <c r="M5085" s="85"/>
    </row>
    <row r="5086" spans="9:13" x14ac:dyDescent="0.3">
      <c r="I5086" s="82"/>
      <c r="M5086" s="85"/>
    </row>
    <row r="5087" spans="9:13" x14ac:dyDescent="0.3">
      <c r="I5087" s="82"/>
      <c r="M5087" s="85"/>
    </row>
    <row r="5088" spans="9:13" x14ac:dyDescent="0.3">
      <c r="I5088" s="82"/>
      <c r="M5088" s="85"/>
    </row>
    <row r="5089" spans="9:13" x14ac:dyDescent="0.3">
      <c r="I5089" s="82"/>
      <c r="M5089" s="85"/>
    </row>
    <row r="5090" spans="9:13" x14ac:dyDescent="0.3">
      <c r="I5090" s="82"/>
      <c r="M5090" s="85"/>
    </row>
    <row r="5091" spans="9:13" x14ac:dyDescent="0.3">
      <c r="I5091" s="82"/>
      <c r="M5091" s="85"/>
    </row>
    <row r="5092" spans="9:13" x14ac:dyDescent="0.3">
      <c r="I5092" s="82"/>
      <c r="M5092" s="85"/>
    </row>
    <row r="5093" spans="9:13" x14ac:dyDescent="0.3">
      <c r="I5093" s="82"/>
      <c r="M5093" s="85"/>
    </row>
    <row r="5094" spans="9:13" x14ac:dyDescent="0.3">
      <c r="I5094" s="82"/>
      <c r="M5094" s="85"/>
    </row>
    <row r="5095" spans="9:13" x14ac:dyDescent="0.3">
      <c r="I5095" s="82"/>
      <c r="M5095" s="85"/>
    </row>
    <row r="5096" spans="9:13" x14ac:dyDescent="0.3">
      <c r="I5096" s="82"/>
      <c r="M5096" s="85"/>
    </row>
    <row r="5097" spans="9:13" x14ac:dyDescent="0.3">
      <c r="I5097" s="82"/>
      <c r="M5097" s="85"/>
    </row>
    <row r="5098" spans="9:13" x14ac:dyDescent="0.3">
      <c r="I5098" s="82"/>
      <c r="M5098" s="85"/>
    </row>
    <row r="5099" spans="9:13" x14ac:dyDescent="0.3">
      <c r="I5099" s="82"/>
      <c r="M5099" s="85"/>
    </row>
    <row r="5100" spans="9:13" x14ac:dyDescent="0.3">
      <c r="I5100" s="82"/>
      <c r="M5100" s="85"/>
    </row>
    <row r="5101" spans="9:13" x14ac:dyDescent="0.3">
      <c r="I5101" s="82"/>
      <c r="M5101" s="85"/>
    </row>
    <row r="5102" spans="9:13" x14ac:dyDescent="0.3">
      <c r="I5102" s="82"/>
      <c r="M5102" s="85"/>
    </row>
    <row r="5103" spans="9:13" x14ac:dyDescent="0.3">
      <c r="I5103" s="82"/>
      <c r="M5103" s="85"/>
    </row>
    <row r="5104" spans="9:13" x14ac:dyDescent="0.3">
      <c r="I5104" s="82"/>
      <c r="M5104" s="85"/>
    </row>
    <row r="5105" spans="9:13" x14ac:dyDescent="0.3">
      <c r="I5105" s="82"/>
      <c r="M5105" s="85"/>
    </row>
    <row r="5106" spans="9:13" x14ac:dyDescent="0.3">
      <c r="I5106" s="82"/>
      <c r="M5106" s="85"/>
    </row>
    <row r="5107" spans="9:13" x14ac:dyDescent="0.3">
      <c r="I5107" s="82"/>
      <c r="M5107" s="85"/>
    </row>
    <row r="5108" spans="9:13" x14ac:dyDescent="0.3">
      <c r="I5108" s="82"/>
      <c r="M5108" s="85"/>
    </row>
    <row r="5109" spans="9:13" x14ac:dyDescent="0.3">
      <c r="I5109" s="82"/>
      <c r="M5109" s="85"/>
    </row>
    <row r="5110" spans="9:13" x14ac:dyDescent="0.3">
      <c r="I5110" s="82"/>
      <c r="M5110" s="85"/>
    </row>
    <row r="5111" spans="9:13" x14ac:dyDescent="0.3">
      <c r="I5111" s="82"/>
      <c r="M5111" s="85"/>
    </row>
    <row r="5112" spans="9:13" x14ac:dyDescent="0.3">
      <c r="I5112" s="82"/>
      <c r="M5112" s="85"/>
    </row>
    <row r="5113" spans="9:13" x14ac:dyDescent="0.3">
      <c r="I5113" s="82"/>
      <c r="M5113" s="85"/>
    </row>
    <row r="5114" spans="9:13" x14ac:dyDescent="0.3">
      <c r="I5114" s="82"/>
      <c r="M5114" s="85"/>
    </row>
    <row r="5115" spans="9:13" x14ac:dyDescent="0.3">
      <c r="I5115" s="82"/>
      <c r="M5115" s="85"/>
    </row>
    <row r="5116" spans="9:13" x14ac:dyDescent="0.3">
      <c r="I5116" s="82"/>
      <c r="M5116" s="85"/>
    </row>
    <row r="5117" spans="9:13" x14ac:dyDescent="0.3">
      <c r="I5117" s="82"/>
      <c r="M5117" s="85"/>
    </row>
    <row r="5118" spans="9:13" x14ac:dyDescent="0.3">
      <c r="I5118" s="82"/>
      <c r="M5118" s="85"/>
    </row>
    <row r="5119" spans="9:13" x14ac:dyDescent="0.3">
      <c r="I5119" s="82"/>
      <c r="M5119" s="85"/>
    </row>
    <row r="5120" spans="9:13" x14ac:dyDescent="0.3">
      <c r="I5120" s="82"/>
      <c r="M5120" s="85"/>
    </row>
    <row r="5121" spans="9:13" x14ac:dyDescent="0.3">
      <c r="I5121" s="82"/>
      <c r="M5121" s="85"/>
    </row>
    <row r="5122" spans="9:13" x14ac:dyDescent="0.3">
      <c r="I5122" s="82"/>
      <c r="M5122" s="85"/>
    </row>
    <row r="5123" spans="9:13" x14ac:dyDescent="0.3">
      <c r="I5123" s="82"/>
      <c r="M5123" s="85"/>
    </row>
    <row r="5124" spans="9:13" x14ac:dyDescent="0.3">
      <c r="I5124" s="82"/>
      <c r="M5124" s="85"/>
    </row>
    <row r="5125" spans="9:13" x14ac:dyDescent="0.3">
      <c r="I5125" s="82"/>
      <c r="M5125" s="85"/>
    </row>
    <row r="5126" spans="9:13" x14ac:dyDescent="0.3">
      <c r="I5126" s="82"/>
      <c r="M5126" s="85"/>
    </row>
    <row r="5127" spans="9:13" x14ac:dyDescent="0.3">
      <c r="I5127" s="82"/>
      <c r="M5127" s="85"/>
    </row>
    <row r="5128" spans="9:13" x14ac:dyDescent="0.3">
      <c r="I5128" s="82"/>
      <c r="M5128" s="85"/>
    </row>
    <row r="5129" spans="9:13" x14ac:dyDescent="0.3">
      <c r="I5129" s="82"/>
      <c r="M5129" s="85"/>
    </row>
    <row r="5130" spans="9:13" x14ac:dyDescent="0.3">
      <c r="I5130" s="82"/>
      <c r="M5130" s="85"/>
    </row>
    <row r="5131" spans="9:13" x14ac:dyDescent="0.3">
      <c r="I5131" s="82"/>
      <c r="M5131" s="85"/>
    </row>
    <row r="5132" spans="9:13" x14ac:dyDescent="0.3">
      <c r="I5132" s="82"/>
      <c r="M5132" s="85"/>
    </row>
    <row r="5133" spans="9:13" x14ac:dyDescent="0.3">
      <c r="I5133" s="82"/>
      <c r="M5133" s="85"/>
    </row>
    <row r="5134" spans="9:13" x14ac:dyDescent="0.3">
      <c r="I5134" s="82"/>
      <c r="M5134" s="85"/>
    </row>
    <row r="5135" spans="9:13" x14ac:dyDescent="0.3">
      <c r="I5135" s="82"/>
      <c r="M5135" s="85"/>
    </row>
    <row r="5136" spans="9:13" x14ac:dyDescent="0.3">
      <c r="I5136" s="82"/>
      <c r="M5136" s="85"/>
    </row>
    <row r="5137" spans="9:13" x14ac:dyDescent="0.3">
      <c r="I5137" s="82"/>
      <c r="M5137" s="85"/>
    </row>
    <row r="5138" spans="9:13" x14ac:dyDescent="0.3">
      <c r="I5138" s="82"/>
      <c r="M5138" s="85"/>
    </row>
    <row r="5139" spans="9:13" x14ac:dyDescent="0.3">
      <c r="I5139" s="82"/>
      <c r="M5139" s="85"/>
    </row>
    <row r="5140" spans="9:13" x14ac:dyDescent="0.3">
      <c r="I5140" s="82"/>
      <c r="M5140" s="85"/>
    </row>
    <row r="5141" spans="9:13" x14ac:dyDescent="0.3">
      <c r="I5141" s="82"/>
      <c r="M5141" s="85"/>
    </row>
    <row r="5142" spans="9:13" x14ac:dyDescent="0.3">
      <c r="I5142" s="82"/>
      <c r="M5142" s="85"/>
    </row>
    <row r="5143" spans="9:13" x14ac:dyDescent="0.3">
      <c r="I5143" s="82"/>
      <c r="M5143" s="85"/>
    </row>
    <row r="5144" spans="9:13" x14ac:dyDescent="0.3">
      <c r="I5144" s="82"/>
      <c r="M5144" s="85"/>
    </row>
    <row r="5145" spans="9:13" x14ac:dyDescent="0.3">
      <c r="I5145" s="82"/>
      <c r="M5145" s="85"/>
    </row>
    <row r="5146" spans="9:13" x14ac:dyDescent="0.3">
      <c r="I5146" s="82"/>
      <c r="M5146" s="85"/>
    </row>
    <row r="5147" spans="9:13" x14ac:dyDescent="0.3">
      <c r="I5147" s="82"/>
      <c r="M5147" s="85"/>
    </row>
    <row r="5148" spans="9:13" x14ac:dyDescent="0.3">
      <c r="I5148" s="82"/>
      <c r="M5148" s="85"/>
    </row>
    <row r="5149" spans="9:13" x14ac:dyDescent="0.3">
      <c r="I5149" s="82"/>
      <c r="M5149" s="85"/>
    </row>
    <row r="5150" spans="9:13" x14ac:dyDescent="0.3">
      <c r="I5150" s="82"/>
      <c r="M5150" s="85"/>
    </row>
    <row r="5151" spans="9:13" x14ac:dyDescent="0.3">
      <c r="I5151" s="82"/>
      <c r="M5151" s="85"/>
    </row>
    <row r="5152" spans="9:13" x14ac:dyDescent="0.3">
      <c r="I5152" s="82"/>
      <c r="M5152" s="85"/>
    </row>
    <row r="5153" spans="9:13" x14ac:dyDescent="0.3">
      <c r="I5153" s="82"/>
      <c r="M5153" s="85"/>
    </row>
    <row r="5154" spans="9:13" x14ac:dyDescent="0.3">
      <c r="I5154" s="82"/>
      <c r="M5154" s="85"/>
    </row>
    <row r="5155" spans="9:13" x14ac:dyDescent="0.3">
      <c r="I5155" s="82"/>
      <c r="M5155" s="85"/>
    </row>
    <row r="5156" spans="9:13" x14ac:dyDescent="0.3">
      <c r="I5156" s="82"/>
      <c r="M5156" s="85"/>
    </row>
    <row r="5157" spans="9:13" x14ac:dyDescent="0.3">
      <c r="I5157" s="82"/>
      <c r="M5157" s="85"/>
    </row>
    <row r="5158" spans="9:13" x14ac:dyDescent="0.3">
      <c r="I5158" s="82"/>
      <c r="M5158" s="85"/>
    </row>
    <row r="5159" spans="9:13" x14ac:dyDescent="0.3">
      <c r="I5159" s="82"/>
      <c r="M5159" s="85"/>
    </row>
    <row r="5160" spans="9:13" x14ac:dyDescent="0.3">
      <c r="I5160" s="82"/>
      <c r="M5160" s="85"/>
    </row>
    <row r="5161" spans="9:13" x14ac:dyDescent="0.3">
      <c r="I5161" s="82"/>
      <c r="M5161" s="85"/>
    </row>
    <row r="5162" spans="9:13" x14ac:dyDescent="0.3">
      <c r="I5162" s="82"/>
      <c r="M5162" s="85"/>
    </row>
    <row r="5163" spans="9:13" x14ac:dyDescent="0.3">
      <c r="I5163" s="82"/>
      <c r="M5163" s="85"/>
    </row>
    <row r="5164" spans="9:13" x14ac:dyDescent="0.3">
      <c r="I5164" s="82"/>
      <c r="M5164" s="85"/>
    </row>
    <row r="5165" spans="9:13" x14ac:dyDescent="0.3">
      <c r="I5165" s="82"/>
      <c r="M5165" s="85"/>
    </row>
    <row r="5166" spans="9:13" x14ac:dyDescent="0.3">
      <c r="I5166" s="82"/>
      <c r="M5166" s="85"/>
    </row>
    <row r="5167" spans="9:13" x14ac:dyDescent="0.3">
      <c r="I5167" s="82"/>
      <c r="M5167" s="85"/>
    </row>
    <row r="5168" spans="9:13" x14ac:dyDescent="0.3">
      <c r="I5168" s="82"/>
      <c r="M5168" s="85"/>
    </row>
    <row r="5169" spans="9:13" x14ac:dyDescent="0.3">
      <c r="I5169" s="82"/>
      <c r="M5169" s="85"/>
    </row>
    <row r="5170" spans="9:13" x14ac:dyDescent="0.3">
      <c r="I5170" s="82"/>
      <c r="M5170" s="85"/>
    </row>
    <row r="5171" spans="9:13" x14ac:dyDescent="0.3">
      <c r="I5171" s="82"/>
      <c r="M5171" s="85"/>
    </row>
    <row r="5172" spans="9:13" x14ac:dyDescent="0.3">
      <c r="I5172" s="82"/>
      <c r="M5172" s="85"/>
    </row>
    <row r="5173" spans="9:13" x14ac:dyDescent="0.3">
      <c r="I5173" s="82"/>
      <c r="M5173" s="85"/>
    </row>
    <row r="5174" spans="9:13" x14ac:dyDescent="0.3">
      <c r="I5174" s="82"/>
      <c r="M5174" s="85"/>
    </row>
    <row r="5175" spans="9:13" x14ac:dyDescent="0.3">
      <c r="I5175" s="82"/>
      <c r="M5175" s="85"/>
    </row>
    <row r="5176" spans="9:13" x14ac:dyDescent="0.3">
      <c r="I5176" s="82"/>
      <c r="M5176" s="85"/>
    </row>
    <row r="5177" spans="9:13" x14ac:dyDescent="0.3">
      <c r="I5177" s="82"/>
      <c r="M5177" s="85"/>
    </row>
    <row r="5178" spans="9:13" x14ac:dyDescent="0.3">
      <c r="I5178" s="82"/>
      <c r="M5178" s="85"/>
    </row>
    <row r="5179" spans="9:13" x14ac:dyDescent="0.3">
      <c r="I5179" s="82"/>
      <c r="M5179" s="85"/>
    </row>
    <row r="5180" spans="9:13" x14ac:dyDescent="0.3">
      <c r="I5180" s="82"/>
      <c r="M5180" s="85"/>
    </row>
    <row r="5181" spans="9:13" x14ac:dyDescent="0.3">
      <c r="I5181" s="82"/>
      <c r="M5181" s="85"/>
    </row>
    <row r="5182" spans="9:13" x14ac:dyDescent="0.3">
      <c r="I5182" s="82"/>
      <c r="M5182" s="85"/>
    </row>
    <row r="5183" spans="9:13" x14ac:dyDescent="0.3">
      <c r="I5183" s="82"/>
      <c r="M5183" s="85"/>
    </row>
    <row r="5184" spans="9:13" x14ac:dyDescent="0.3">
      <c r="I5184" s="82"/>
      <c r="M5184" s="85"/>
    </row>
    <row r="5185" spans="9:13" x14ac:dyDescent="0.3">
      <c r="I5185" s="82"/>
      <c r="M5185" s="85"/>
    </row>
    <row r="5186" spans="9:13" x14ac:dyDescent="0.3">
      <c r="I5186" s="82"/>
      <c r="M5186" s="85"/>
    </row>
    <row r="5187" spans="9:13" x14ac:dyDescent="0.3">
      <c r="I5187" s="82"/>
      <c r="M5187" s="85"/>
    </row>
    <row r="5188" spans="9:13" x14ac:dyDescent="0.3">
      <c r="I5188" s="82"/>
      <c r="M5188" s="85"/>
    </row>
    <row r="5189" spans="9:13" x14ac:dyDescent="0.3">
      <c r="I5189" s="82"/>
      <c r="M5189" s="85"/>
    </row>
    <row r="5190" spans="9:13" x14ac:dyDescent="0.3">
      <c r="I5190" s="82"/>
      <c r="M5190" s="85"/>
    </row>
    <row r="5191" spans="9:13" x14ac:dyDescent="0.3">
      <c r="I5191" s="82"/>
      <c r="M5191" s="85"/>
    </row>
    <row r="5192" spans="9:13" x14ac:dyDescent="0.3">
      <c r="I5192" s="82"/>
      <c r="M5192" s="85"/>
    </row>
    <row r="5193" spans="9:13" x14ac:dyDescent="0.3">
      <c r="I5193" s="82"/>
      <c r="M5193" s="85"/>
    </row>
    <row r="5194" spans="9:13" x14ac:dyDescent="0.3">
      <c r="I5194" s="82"/>
      <c r="M5194" s="85"/>
    </row>
    <row r="5195" spans="9:13" x14ac:dyDescent="0.3">
      <c r="I5195" s="82"/>
      <c r="M5195" s="85"/>
    </row>
    <row r="5196" spans="9:13" x14ac:dyDescent="0.3">
      <c r="I5196" s="82"/>
      <c r="M5196" s="85"/>
    </row>
    <row r="5197" spans="9:13" x14ac:dyDescent="0.3">
      <c r="I5197" s="82"/>
      <c r="M5197" s="85"/>
    </row>
    <row r="5198" spans="9:13" x14ac:dyDescent="0.3">
      <c r="I5198" s="82"/>
      <c r="M5198" s="85"/>
    </row>
    <row r="5199" spans="9:13" x14ac:dyDescent="0.3">
      <c r="I5199" s="82"/>
      <c r="M5199" s="85"/>
    </row>
    <row r="5200" spans="9:13" x14ac:dyDescent="0.3">
      <c r="I5200" s="82"/>
      <c r="M5200" s="85"/>
    </row>
    <row r="5201" spans="9:13" x14ac:dyDescent="0.3">
      <c r="I5201" s="82"/>
      <c r="M5201" s="85"/>
    </row>
    <row r="5202" spans="9:13" x14ac:dyDescent="0.3">
      <c r="I5202" s="82"/>
      <c r="M5202" s="85"/>
    </row>
    <row r="5203" spans="9:13" x14ac:dyDescent="0.3">
      <c r="I5203" s="82"/>
      <c r="M5203" s="85"/>
    </row>
    <row r="5204" spans="9:13" x14ac:dyDescent="0.3">
      <c r="I5204" s="82"/>
      <c r="M5204" s="85"/>
    </row>
    <row r="5205" spans="9:13" x14ac:dyDescent="0.3">
      <c r="I5205" s="82"/>
      <c r="M5205" s="85"/>
    </row>
    <row r="5206" spans="9:13" x14ac:dyDescent="0.3">
      <c r="I5206" s="82"/>
      <c r="M5206" s="85"/>
    </row>
    <row r="5207" spans="9:13" x14ac:dyDescent="0.3">
      <c r="I5207" s="82"/>
      <c r="M5207" s="85"/>
    </row>
    <row r="5208" spans="9:13" x14ac:dyDescent="0.3">
      <c r="I5208" s="82"/>
      <c r="M5208" s="85"/>
    </row>
    <row r="5209" spans="9:13" x14ac:dyDescent="0.3">
      <c r="I5209" s="82"/>
      <c r="M5209" s="85"/>
    </row>
    <row r="5210" spans="9:13" x14ac:dyDescent="0.3">
      <c r="I5210" s="82"/>
      <c r="M5210" s="85"/>
    </row>
    <row r="5211" spans="9:13" x14ac:dyDescent="0.3">
      <c r="I5211" s="82"/>
      <c r="M5211" s="85"/>
    </row>
    <row r="5212" spans="9:13" x14ac:dyDescent="0.3">
      <c r="I5212" s="82"/>
      <c r="M5212" s="85"/>
    </row>
    <row r="5213" spans="9:13" x14ac:dyDescent="0.3">
      <c r="I5213" s="82"/>
      <c r="M5213" s="85"/>
    </row>
    <row r="5214" spans="9:13" x14ac:dyDescent="0.3">
      <c r="I5214" s="82"/>
      <c r="M5214" s="85"/>
    </row>
    <row r="5215" spans="9:13" x14ac:dyDescent="0.3">
      <c r="I5215" s="82"/>
      <c r="M5215" s="85"/>
    </row>
    <row r="5216" spans="9:13" x14ac:dyDescent="0.3">
      <c r="I5216" s="82"/>
      <c r="M5216" s="85"/>
    </row>
    <row r="5217" spans="9:13" x14ac:dyDescent="0.3">
      <c r="I5217" s="82"/>
      <c r="M5217" s="85"/>
    </row>
    <row r="5218" spans="9:13" x14ac:dyDescent="0.3">
      <c r="I5218" s="82"/>
      <c r="M5218" s="85"/>
    </row>
    <row r="5219" spans="9:13" x14ac:dyDescent="0.3">
      <c r="I5219" s="82"/>
      <c r="M5219" s="85"/>
    </row>
    <row r="5220" spans="9:13" x14ac:dyDescent="0.3">
      <c r="I5220" s="82"/>
      <c r="M5220" s="85"/>
    </row>
    <row r="5221" spans="9:13" x14ac:dyDescent="0.3">
      <c r="I5221" s="82"/>
      <c r="M5221" s="85"/>
    </row>
    <row r="5222" spans="9:13" x14ac:dyDescent="0.3">
      <c r="I5222" s="82"/>
      <c r="M5222" s="85"/>
    </row>
    <row r="5223" spans="9:13" x14ac:dyDescent="0.3">
      <c r="I5223" s="82"/>
      <c r="M5223" s="85"/>
    </row>
    <row r="5224" spans="9:13" x14ac:dyDescent="0.3">
      <c r="I5224" s="82"/>
      <c r="M5224" s="85"/>
    </row>
    <row r="5225" spans="9:13" x14ac:dyDescent="0.3">
      <c r="I5225" s="82"/>
      <c r="M5225" s="85"/>
    </row>
    <row r="5226" spans="9:13" x14ac:dyDescent="0.3">
      <c r="I5226" s="82"/>
      <c r="M5226" s="85"/>
    </row>
    <row r="5227" spans="9:13" x14ac:dyDescent="0.3">
      <c r="I5227" s="82"/>
      <c r="M5227" s="85"/>
    </row>
    <row r="5228" spans="9:13" x14ac:dyDescent="0.3">
      <c r="I5228" s="82"/>
      <c r="M5228" s="85"/>
    </row>
    <row r="5229" spans="9:13" x14ac:dyDescent="0.3">
      <c r="I5229" s="82"/>
      <c r="M5229" s="85"/>
    </row>
    <row r="5230" spans="9:13" x14ac:dyDescent="0.3">
      <c r="I5230" s="82"/>
      <c r="M5230" s="85"/>
    </row>
    <row r="5231" spans="9:13" x14ac:dyDescent="0.3">
      <c r="I5231" s="82"/>
      <c r="M5231" s="85"/>
    </row>
    <row r="5232" spans="9:13" x14ac:dyDescent="0.3">
      <c r="I5232" s="82"/>
      <c r="M5232" s="85"/>
    </row>
    <row r="5233" spans="9:13" x14ac:dyDescent="0.3">
      <c r="I5233" s="82"/>
      <c r="M5233" s="85"/>
    </row>
    <row r="5234" spans="9:13" x14ac:dyDescent="0.3">
      <c r="I5234" s="82"/>
      <c r="M5234" s="85"/>
    </row>
    <row r="5235" spans="9:13" x14ac:dyDescent="0.3">
      <c r="I5235" s="82"/>
      <c r="M5235" s="85"/>
    </row>
    <row r="5236" spans="9:13" x14ac:dyDescent="0.3">
      <c r="I5236" s="82"/>
      <c r="M5236" s="85"/>
    </row>
    <row r="5237" spans="9:13" x14ac:dyDescent="0.3">
      <c r="I5237" s="82"/>
      <c r="M5237" s="85"/>
    </row>
    <row r="5238" spans="9:13" x14ac:dyDescent="0.3">
      <c r="I5238" s="82"/>
      <c r="M5238" s="85"/>
    </row>
    <row r="5239" spans="9:13" x14ac:dyDescent="0.3">
      <c r="I5239" s="82"/>
      <c r="M5239" s="85"/>
    </row>
    <row r="5240" spans="9:13" x14ac:dyDescent="0.3">
      <c r="I5240" s="82"/>
      <c r="M5240" s="85"/>
    </row>
    <row r="5241" spans="9:13" x14ac:dyDescent="0.3">
      <c r="I5241" s="82"/>
      <c r="M5241" s="85"/>
    </row>
    <row r="5242" spans="9:13" x14ac:dyDescent="0.3">
      <c r="I5242" s="82"/>
      <c r="M5242" s="85"/>
    </row>
    <row r="5243" spans="9:13" x14ac:dyDescent="0.3">
      <c r="I5243" s="82"/>
      <c r="M5243" s="85"/>
    </row>
    <row r="5244" spans="9:13" x14ac:dyDescent="0.3">
      <c r="I5244" s="82"/>
      <c r="M5244" s="85"/>
    </row>
    <row r="5245" spans="9:13" x14ac:dyDescent="0.3">
      <c r="I5245" s="82"/>
      <c r="M5245" s="85"/>
    </row>
    <row r="5246" spans="9:13" x14ac:dyDescent="0.3">
      <c r="I5246" s="82"/>
      <c r="M5246" s="85"/>
    </row>
    <row r="5247" spans="9:13" x14ac:dyDescent="0.3">
      <c r="I5247" s="82"/>
      <c r="M5247" s="85"/>
    </row>
    <row r="5248" spans="9:13" x14ac:dyDescent="0.3">
      <c r="I5248" s="82"/>
      <c r="M5248" s="85"/>
    </row>
    <row r="5249" spans="9:13" x14ac:dyDescent="0.3">
      <c r="I5249" s="82"/>
      <c r="M5249" s="85"/>
    </row>
    <row r="5250" spans="9:13" x14ac:dyDescent="0.3">
      <c r="I5250" s="82"/>
      <c r="M5250" s="85"/>
    </row>
    <row r="5251" spans="9:13" x14ac:dyDescent="0.3">
      <c r="I5251" s="82"/>
      <c r="M5251" s="85"/>
    </row>
    <row r="5252" spans="9:13" x14ac:dyDescent="0.3">
      <c r="I5252" s="82"/>
      <c r="M5252" s="85"/>
    </row>
    <row r="5253" spans="9:13" x14ac:dyDescent="0.3">
      <c r="I5253" s="82"/>
      <c r="M5253" s="85"/>
    </row>
    <row r="5254" spans="9:13" x14ac:dyDescent="0.3">
      <c r="I5254" s="82"/>
      <c r="M5254" s="85"/>
    </row>
    <row r="5255" spans="9:13" x14ac:dyDescent="0.3">
      <c r="I5255" s="82"/>
      <c r="M5255" s="85"/>
    </row>
    <row r="5256" spans="9:13" x14ac:dyDescent="0.3">
      <c r="I5256" s="82"/>
      <c r="M5256" s="85"/>
    </row>
    <row r="5257" spans="9:13" x14ac:dyDescent="0.3">
      <c r="I5257" s="82"/>
      <c r="M5257" s="85"/>
    </row>
    <row r="5258" spans="9:13" x14ac:dyDescent="0.3">
      <c r="I5258" s="82"/>
      <c r="M5258" s="85"/>
    </row>
    <row r="5259" spans="9:13" x14ac:dyDescent="0.3">
      <c r="I5259" s="82"/>
      <c r="M5259" s="85"/>
    </row>
    <row r="5260" spans="9:13" x14ac:dyDescent="0.3">
      <c r="I5260" s="82"/>
      <c r="M5260" s="85"/>
    </row>
    <row r="5261" spans="9:13" x14ac:dyDescent="0.3">
      <c r="I5261" s="82"/>
      <c r="M5261" s="85"/>
    </row>
    <row r="5262" spans="9:13" x14ac:dyDescent="0.3">
      <c r="I5262" s="82"/>
      <c r="M5262" s="85"/>
    </row>
    <row r="5263" spans="9:13" x14ac:dyDescent="0.3">
      <c r="I5263" s="82"/>
      <c r="M5263" s="85"/>
    </row>
    <row r="5264" spans="9:13" x14ac:dyDescent="0.3">
      <c r="I5264" s="82"/>
      <c r="M5264" s="85"/>
    </row>
    <row r="5265" spans="9:13" x14ac:dyDescent="0.3">
      <c r="I5265" s="82"/>
      <c r="M5265" s="85"/>
    </row>
    <row r="5266" spans="9:13" x14ac:dyDescent="0.3">
      <c r="I5266" s="82"/>
      <c r="M5266" s="85"/>
    </row>
    <row r="5267" spans="9:13" x14ac:dyDescent="0.3">
      <c r="I5267" s="82"/>
      <c r="M5267" s="85"/>
    </row>
    <row r="5268" spans="9:13" x14ac:dyDescent="0.3">
      <c r="I5268" s="82"/>
      <c r="M5268" s="85"/>
    </row>
    <row r="5269" spans="9:13" x14ac:dyDescent="0.3">
      <c r="I5269" s="82"/>
      <c r="M5269" s="85"/>
    </row>
    <row r="5270" spans="9:13" x14ac:dyDescent="0.3">
      <c r="I5270" s="82"/>
      <c r="M5270" s="85"/>
    </row>
    <row r="5271" spans="9:13" x14ac:dyDescent="0.3">
      <c r="I5271" s="82"/>
      <c r="M5271" s="85"/>
    </row>
    <row r="5272" spans="9:13" x14ac:dyDescent="0.3">
      <c r="I5272" s="82"/>
      <c r="M5272" s="85"/>
    </row>
    <row r="5273" spans="9:13" x14ac:dyDescent="0.3">
      <c r="I5273" s="82"/>
      <c r="M5273" s="85"/>
    </row>
    <row r="5274" spans="9:13" x14ac:dyDescent="0.3">
      <c r="I5274" s="82"/>
      <c r="M5274" s="85"/>
    </row>
    <row r="5275" spans="9:13" x14ac:dyDescent="0.3">
      <c r="I5275" s="82"/>
      <c r="M5275" s="85"/>
    </row>
    <row r="5276" spans="9:13" x14ac:dyDescent="0.3">
      <c r="I5276" s="82"/>
      <c r="M5276" s="85"/>
    </row>
    <row r="5277" spans="9:13" x14ac:dyDescent="0.3">
      <c r="I5277" s="82"/>
      <c r="M5277" s="85"/>
    </row>
    <row r="5278" spans="9:13" x14ac:dyDescent="0.3">
      <c r="I5278" s="82"/>
      <c r="M5278" s="85"/>
    </row>
    <row r="5279" spans="9:13" x14ac:dyDescent="0.3">
      <c r="I5279" s="82"/>
      <c r="M5279" s="85"/>
    </row>
    <row r="5280" spans="9:13" x14ac:dyDescent="0.3">
      <c r="I5280" s="82"/>
      <c r="M5280" s="85"/>
    </row>
    <row r="5281" spans="9:13" x14ac:dyDescent="0.3">
      <c r="I5281" s="82"/>
      <c r="M5281" s="85"/>
    </row>
    <row r="5282" spans="9:13" x14ac:dyDescent="0.3">
      <c r="I5282" s="82"/>
      <c r="M5282" s="85"/>
    </row>
    <row r="5283" spans="9:13" x14ac:dyDescent="0.3">
      <c r="I5283" s="82"/>
      <c r="M5283" s="85"/>
    </row>
    <row r="5284" spans="9:13" x14ac:dyDescent="0.3">
      <c r="I5284" s="82"/>
      <c r="M5284" s="85"/>
    </row>
    <row r="5285" spans="9:13" x14ac:dyDescent="0.3">
      <c r="I5285" s="82"/>
      <c r="M5285" s="85"/>
    </row>
    <row r="5286" spans="9:13" x14ac:dyDescent="0.3">
      <c r="I5286" s="82"/>
      <c r="M5286" s="85"/>
    </row>
    <row r="5287" spans="9:13" x14ac:dyDescent="0.3">
      <c r="I5287" s="82"/>
      <c r="M5287" s="85"/>
    </row>
    <row r="5288" spans="9:13" x14ac:dyDescent="0.3">
      <c r="I5288" s="82"/>
      <c r="M5288" s="85"/>
    </row>
    <row r="5289" spans="9:13" x14ac:dyDescent="0.3">
      <c r="I5289" s="82"/>
      <c r="M5289" s="85"/>
    </row>
    <row r="5290" spans="9:13" x14ac:dyDescent="0.3">
      <c r="I5290" s="82"/>
      <c r="M5290" s="85"/>
    </row>
    <row r="5291" spans="9:13" x14ac:dyDescent="0.3">
      <c r="I5291" s="82"/>
      <c r="M5291" s="85"/>
    </row>
    <row r="5292" spans="9:13" x14ac:dyDescent="0.3">
      <c r="I5292" s="82"/>
      <c r="M5292" s="85"/>
    </row>
    <row r="5293" spans="9:13" x14ac:dyDescent="0.3">
      <c r="I5293" s="82"/>
      <c r="M5293" s="85"/>
    </row>
    <row r="5294" spans="9:13" x14ac:dyDescent="0.3">
      <c r="I5294" s="82"/>
      <c r="M5294" s="85"/>
    </row>
    <row r="5295" spans="9:13" x14ac:dyDescent="0.3">
      <c r="I5295" s="82"/>
      <c r="M5295" s="85"/>
    </row>
    <row r="5296" spans="9:13" x14ac:dyDescent="0.3">
      <c r="I5296" s="82"/>
      <c r="M5296" s="85"/>
    </row>
    <row r="5297" spans="9:13" x14ac:dyDescent="0.3">
      <c r="I5297" s="82"/>
      <c r="M5297" s="85"/>
    </row>
    <row r="5298" spans="9:13" x14ac:dyDescent="0.3">
      <c r="I5298" s="82"/>
      <c r="M5298" s="85"/>
    </row>
    <row r="5299" spans="9:13" x14ac:dyDescent="0.3">
      <c r="I5299" s="82"/>
      <c r="M5299" s="85"/>
    </row>
    <row r="5300" spans="9:13" x14ac:dyDescent="0.3">
      <c r="I5300" s="82"/>
      <c r="M5300" s="85"/>
    </row>
    <row r="5301" spans="9:13" x14ac:dyDescent="0.3">
      <c r="I5301" s="82"/>
      <c r="M5301" s="85"/>
    </row>
    <row r="5302" spans="9:13" x14ac:dyDescent="0.3">
      <c r="I5302" s="82"/>
      <c r="M5302" s="85"/>
    </row>
    <row r="5303" spans="9:13" x14ac:dyDescent="0.3">
      <c r="I5303" s="82"/>
      <c r="M5303" s="85"/>
    </row>
    <row r="5304" spans="9:13" x14ac:dyDescent="0.3">
      <c r="I5304" s="82"/>
      <c r="M5304" s="85"/>
    </row>
    <row r="5305" spans="9:13" x14ac:dyDescent="0.3">
      <c r="I5305" s="82"/>
      <c r="M5305" s="85"/>
    </row>
    <row r="5306" spans="9:13" x14ac:dyDescent="0.3">
      <c r="I5306" s="82"/>
      <c r="M5306" s="85"/>
    </row>
    <row r="5307" spans="9:13" x14ac:dyDescent="0.3">
      <c r="I5307" s="82"/>
      <c r="M5307" s="85"/>
    </row>
    <row r="5308" spans="9:13" x14ac:dyDescent="0.3">
      <c r="I5308" s="82"/>
      <c r="M5308" s="85"/>
    </row>
    <row r="5309" spans="9:13" x14ac:dyDescent="0.3">
      <c r="I5309" s="82"/>
      <c r="M5309" s="85"/>
    </row>
    <row r="5310" spans="9:13" x14ac:dyDescent="0.3">
      <c r="I5310" s="82"/>
      <c r="M5310" s="85"/>
    </row>
    <row r="5311" spans="9:13" x14ac:dyDescent="0.3">
      <c r="I5311" s="82"/>
      <c r="M5311" s="85"/>
    </row>
    <row r="5312" spans="9:13" x14ac:dyDescent="0.3">
      <c r="I5312" s="82"/>
      <c r="M5312" s="85"/>
    </row>
    <row r="5313" spans="9:13" x14ac:dyDescent="0.3">
      <c r="I5313" s="82"/>
      <c r="M5313" s="85"/>
    </row>
    <row r="5314" spans="9:13" x14ac:dyDescent="0.3">
      <c r="I5314" s="82"/>
      <c r="M5314" s="85"/>
    </row>
    <row r="5315" spans="9:13" x14ac:dyDescent="0.3">
      <c r="I5315" s="82"/>
      <c r="M5315" s="85"/>
    </row>
    <row r="5316" spans="9:13" x14ac:dyDescent="0.3">
      <c r="I5316" s="82"/>
      <c r="M5316" s="85"/>
    </row>
    <row r="5317" spans="9:13" x14ac:dyDescent="0.3">
      <c r="I5317" s="82"/>
      <c r="M5317" s="85"/>
    </row>
    <row r="5318" spans="9:13" x14ac:dyDescent="0.3">
      <c r="I5318" s="82"/>
      <c r="M5318" s="85"/>
    </row>
    <row r="5319" spans="9:13" x14ac:dyDescent="0.3">
      <c r="I5319" s="82"/>
      <c r="M5319" s="85"/>
    </row>
    <row r="5320" spans="9:13" x14ac:dyDescent="0.3">
      <c r="I5320" s="82"/>
      <c r="M5320" s="85"/>
    </row>
    <row r="5321" spans="9:13" x14ac:dyDescent="0.3">
      <c r="I5321" s="82"/>
      <c r="M5321" s="85"/>
    </row>
    <row r="5322" spans="9:13" x14ac:dyDescent="0.3">
      <c r="I5322" s="82"/>
      <c r="M5322" s="85"/>
    </row>
    <row r="5323" spans="9:13" x14ac:dyDescent="0.3">
      <c r="I5323" s="82"/>
      <c r="M5323" s="85"/>
    </row>
    <row r="5324" spans="9:13" x14ac:dyDescent="0.3">
      <c r="I5324" s="82"/>
      <c r="M5324" s="85"/>
    </row>
    <row r="5325" spans="9:13" x14ac:dyDescent="0.3">
      <c r="I5325" s="82"/>
      <c r="M5325" s="85"/>
    </row>
    <row r="5326" spans="9:13" x14ac:dyDescent="0.3">
      <c r="I5326" s="82"/>
      <c r="M5326" s="85"/>
    </row>
    <row r="5327" spans="9:13" x14ac:dyDescent="0.3">
      <c r="I5327" s="82"/>
      <c r="M5327" s="85"/>
    </row>
    <row r="5328" spans="9:13" x14ac:dyDescent="0.3">
      <c r="I5328" s="82"/>
      <c r="M5328" s="85"/>
    </row>
    <row r="5329" spans="9:13" x14ac:dyDescent="0.3">
      <c r="I5329" s="82"/>
      <c r="M5329" s="85"/>
    </row>
    <row r="5330" spans="9:13" x14ac:dyDescent="0.3">
      <c r="I5330" s="82"/>
      <c r="M5330" s="85"/>
    </row>
    <row r="5331" spans="9:13" x14ac:dyDescent="0.3">
      <c r="I5331" s="82"/>
      <c r="M5331" s="85"/>
    </row>
    <row r="5332" spans="9:13" x14ac:dyDescent="0.3">
      <c r="I5332" s="82"/>
      <c r="M5332" s="85"/>
    </row>
    <row r="5333" spans="9:13" x14ac:dyDescent="0.3">
      <c r="I5333" s="82"/>
      <c r="M5333" s="85"/>
    </row>
    <row r="5334" spans="9:13" x14ac:dyDescent="0.3">
      <c r="I5334" s="82"/>
      <c r="M5334" s="85"/>
    </row>
    <row r="5335" spans="9:13" x14ac:dyDescent="0.3">
      <c r="I5335" s="82"/>
      <c r="M5335" s="85"/>
    </row>
    <row r="5336" spans="9:13" x14ac:dyDescent="0.3">
      <c r="I5336" s="82"/>
      <c r="M5336" s="85"/>
    </row>
    <row r="5337" spans="9:13" x14ac:dyDescent="0.3">
      <c r="I5337" s="82"/>
      <c r="M5337" s="85"/>
    </row>
    <row r="5338" spans="9:13" x14ac:dyDescent="0.3">
      <c r="I5338" s="82"/>
      <c r="M5338" s="85"/>
    </row>
    <row r="5339" spans="9:13" x14ac:dyDescent="0.3">
      <c r="I5339" s="82"/>
      <c r="M5339" s="85"/>
    </row>
    <row r="5340" spans="9:13" x14ac:dyDescent="0.3">
      <c r="I5340" s="82"/>
      <c r="M5340" s="85"/>
    </row>
    <row r="5341" spans="9:13" x14ac:dyDescent="0.3">
      <c r="I5341" s="82"/>
      <c r="M5341" s="85"/>
    </row>
    <row r="5342" spans="9:13" x14ac:dyDescent="0.3">
      <c r="I5342" s="82"/>
      <c r="M5342" s="85"/>
    </row>
    <row r="5343" spans="9:13" x14ac:dyDescent="0.3">
      <c r="I5343" s="82"/>
      <c r="M5343" s="85"/>
    </row>
    <row r="5344" spans="9:13" x14ac:dyDescent="0.3">
      <c r="I5344" s="82"/>
      <c r="M5344" s="85"/>
    </row>
    <row r="5345" spans="9:13" x14ac:dyDescent="0.3">
      <c r="I5345" s="82"/>
      <c r="M5345" s="85"/>
    </row>
    <row r="5346" spans="9:13" x14ac:dyDescent="0.3">
      <c r="I5346" s="82"/>
      <c r="M5346" s="85"/>
    </row>
    <row r="5347" spans="9:13" x14ac:dyDescent="0.3">
      <c r="I5347" s="82"/>
      <c r="M5347" s="85"/>
    </row>
    <row r="5348" spans="9:13" x14ac:dyDescent="0.3">
      <c r="I5348" s="82"/>
      <c r="M5348" s="85"/>
    </row>
    <row r="5349" spans="9:13" x14ac:dyDescent="0.3">
      <c r="I5349" s="82"/>
      <c r="M5349" s="85"/>
    </row>
    <row r="5350" spans="9:13" x14ac:dyDescent="0.3">
      <c r="I5350" s="82"/>
      <c r="M5350" s="85"/>
    </row>
    <row r="5351" spans="9:13" x14ac:dyDescent="0.3">
      <c r="I5351" s="82"/>
      <c r="M5351" s="85"/>
    </row>
    <row r="5352" spans="9:13" x14ac:dyDescent="0.3">
      <c r="I5352" s="82"/>
      <c r="M5352" s="85"/>
    </row>
    <row r="5353" spans="9:13" x14ac:dyDescent="0.3">
      <c r="I5353" s="82"/>
      <c r="M5353" s="85"/>
    </row>
    <row r="5354" spans="9:13" x14ac:dyDescent="0.3">
      <c r="I5354" s="82"/>
      <c r="M5354" s="85"/>
    </row>
    <row r="5355" spans="9:13" x14ac:dyDescent="0.3">
      <c r="I5355" s="82"/>
      <c r="M5355" s="85"/>
    </row>
    <row r="5356" spans="9:13" x14ac:dyDescent="0.3">
      <c r="I5356" s="82"/>
      <c r="M5356" s="85"/>
    </row>
    <row r="5357" spans="9:13" x14ac:dyDescent="0.3">
      <c r="I5357" s="82"/>
      <c r="M5357" s="85"/>
    </row>
    <row r="5358" spans="9:13" x14ac:dyDescent="0.3">
      <c r="I5358" s="82"/>
      <c r="M5358" s="85"/>
    </row>
    <row r="5359" spans="9:13" x14ac:dyDescent="0.3">
      <c r="I5359" s="82"/>
      <c r="M5359" s="85"/>
    </row>
    <row r="5360" spans="9:13" x14ac:dyDescent="0.3">
      <c r="I5360" s="82"/>
      <c r="M5360" s="85"/>
    </row>
    <row r="5361" spans="9:13" x14ac:dyDescent="0.3">
      <c r="I5361" s="82"/>
      <c r="M5361" s="85"/>
    </row>
    <row r="5362" spans="9:13" x14ac:dyDescent="0.3">
      <c r="I5362" s="82"/>
      <c r="M5362" s="85"/>
    </row>
    <row r="5363" spans="9:13" x14ac:dyDescent="0.3">
      <c r="I5363" s="82"/>
      <c r="M5363" s="85"/>
    </row>
    <row r="5364" spans="9:13" x14ac:dyDescent="0.3">
      <c r="I5364" s="82"/>
      <c r="M5364" s="85"/>
    </row>
    <row r="5365" spans="9:13" x14ac:dyDescent="0.3">
      <c r="I5365" s="82"/>
      <c r="M5365" s="85"/>
    </row>
    <row r="5366" spans="9:13" x14ac:dyDescent="0.3">
      <c r="I5366" s="82"/>
      <c r="M5366" s="85"/>
    </row>
    <row r="5367" spans="9:13" x14ac:dyDescent="0.3">
      <c r="I5367" s="82"/>
      <c r="M5367" s="85"/>
    </row>
    <row r="5368" spans="9:13" x14ac:dyDescent="0.3">
      <c r="I5368" s="82"/>
      <c r="M5368" s="85"/>
    </row>
    <row r="5369" spans="9:13" x14ac:dyDescent="0.3">
      <c r="I5369" s="82"/>
      <c r="M5369" s="85"/>
    </row>
    <row r="5370" spans="9:13" x14ac:dyDescent="0.3">
      <c r="I5370" s="82"/>
      <c r="M5370" s="85"/>
    </row>
    <row r="5371" spans="9:13" x14ac:dyDescent="0.3">
      <c r="I5371" s="82"/>
      <c r="M5371" s="85"/>
    </row>
    <row r="5372" spans="9:13" x14ac:dyDescent="0.3">
      <c r="I5372" s="82"/>
      <c r="M5372" s="85"/>
    </row>
    <row r="5373" spans="9:13" x14ac:dyDescent="0.3">
      <c r="I5373" s="82"/>
      <c r="M5373" s="85"/>
    </row>
    <row r="5374" spans="9:13" x14ac:dyDescent="0.3">
      <c r="I5374" s="82"/>
      <c r="M5374" s="85"/>
    </row>
    <row r="5375" spans="9:13" x14ac:dyDescent="0.3">
      <c r="I5375" s="82"/>
      <c r="M5375" s="85"/>
    </row>
    <row r="5376" spans="9:13" x14ac:dyDescent="0.3">
      <c r="I5376" s="82"/>
      <c r="M5376" s="85"/>
    </row>
    <row r="5377" spans="9:13" x14ac:dyDescent="0.3">
      <c r="I5377" s="82"/>
      <c r="M5377" s="85"/>
    </row>
    <row r="5378" spans="9:13" x14ac:dyDescent="0.3">
      <c r="I5378" s="82"/>
      <c r="M5378" s="85"/>
    </row>
    <row r="5379" spans="9:13" x14ac:dyDescent="0.3">
      <c r="I5379" s="82"/>
      <c r="M5379" s="85"/>
    </row>
    <row r="5380" spans="9:13" x14ac:dyDescent="0.3">
      <c r="I5380" s="82"/>
      <c r="M5380" s="85"/>
    </row>
    <row r="5381" spans="9:13" x14ac:dyDescent="0.3">
      <c r="I5381" s="82"/>
      <c r="M5381" s="85"/>
    </row>
    <row r="5382" spans="9:13" x14ac:dyDescent="0.3">
      <c r="I5382" s="82"/>
      <c r="M5382" s="85"/>
    </row>
    <row r="5383" spans="9:13" x14ac:dyDescent="0.3">
      <c r="I5383" s="82"/>
      <c r="M5383" s="85"/>
    </row>
    <row r="5384" spans="9:13" x14ac:dyDescent="0.3">
      <c r="I5384" s="82"/>
      <c r="M5384" s="85"/>
    </row>
    <row r="5385" spans="9:13" x14ac:dyDescent="0.3">
      <c r="I5385" s="82"/>
      <c r="M5385" s="85"/>
    </row>
    <row r="5386" spans="9:13" x14ac:dyDescent="0.3">
      <c r="I5386" s="82"/>
      <c r="M5386" s="85"/>
    </row>
    <row r="5387" spans="9:13" x14ac:dyDescent="0.3">
      <c r="I5387" s="82"/>
      <c r="M5387" s="85"/>
    </row>
    <row r="5388" spans="9:13" x14ac:dyDescent="0.3">
      <c r="I5388" s="82"/>
      <c r="M5388" s="85"/>
    </row>
    <row r="5389" spans="9:13" x14ac:dyDescent="0.3">
      <c r="I5389" s="82"/>
      <c r="M5389" s="85"/>
    </row>
    <row r="5390" spans="9:13" x14ac:dyDescent="0.3">
      <c r="I5390" s="82"/>
      <c r="M5390" s="85"/>
    </row>
    <row r="5391" spans="9:13" x14ac:dyDescent="0.3">
      <c r="I5391" s="82"/>
      <c r="M5391" s="85"/>
    </row>
    <row r="5392" spans="9:13" x14ac:dyDescent="0.3">
      <c r="I5392" s="82"/>
      <c r="M5392" s="85"/>
    </row>
    <row r="5393" spans="9:13" x14ac:dyDescent="0.3">
      <c r="I5393" s="82"/>
      <c r="M5393" s="85"/>
    </row>
    <row r="5394" spans="9:13" x14ac:dyDescent="0.3">
      <c r="I5394" s="82"/>
      <c r="M5394" s="85"/>
    </row>
    <row r="5395" spans="9:13" x14ac:dyDescent="0.3">
      <c r="I5395" s="82"/>
      <c r="M5395" s="85"/>
    </row>
    <row r="5396" spans="9:13" x14ac:dyDescent="0.3">
      <c r="I5396" s="82"/>
      <c r="M5396" s="85"/>
    </row>
    <row r="5397" spans="9:13" x14ac:dyDescent="0.3">
      <c r="I5397" s="82"/>
      <c r="M5397" s="85"/>
    </row>
    <row r="5398" spans="9:13" x14ac:dyDescent="0.3">
      <c r="I5398" s="82"/>
      <c r="M5398" s="85"/>
    </row>
    <row r="5399" spans="9:13" x14ac:dyDescent="0.3">
      <c r="I5399" s="82"/>
      <c r="M5399" s="85"/>
    </row>
    <row r="5400" spans="9:13" x14ac:dyDescent="0.3">
      <c r="I5400" s="82"/>
      <c r="M5400" s="85"/>
    </row>
    <row r="5401" spans="9:13" x14ac:dyDescent="0.3">
      <c r="I5401" s="82"/>
      <c r="M5401" s="85"/>
    </row>
    <row r="5402" spans="9:13" x14ac:dyDescent="0.3">
      <c r="I5402" s="82"/>
      <c r="M5402" s="85"/>
    </row>
    <row r="5403" spans="9:13" x14ac:dyDescent="0.3">
      <c r="I5403" s="82"/>
      <c r="M5403" s="85"/>
    </row>
    <row r="5404" spans="9:13" x14ac:dyDescent="0.3">
      <c r="I5404" s="82"/>
      <c r="M5404" s="85"/>
    </row>
    <row r="5405" spans="9:13" x14ac:dyDescent="0.3">
      <c r="I5405" s="82"/>
      <c r="M5405" s="85"/>
    </row>
    <row r="5406" spans="9:13" x14ac:dyDescent="0.3">
      <c r="I5406" s="82"/>
      <c r="M5406" s="85"/>
    </row>
    <row r="5407" spans="9:13" x14ac:dyDescent="0.3">
      <c r="I5407" s="82"/>
      <c r="M5407" s="85"/>
    </row>
    <row r="5408" spans="9:13" x14ac:dyDescent="0.3">
      <c r="I5408" s="82"/>
      <c r="M5408" s="85"/>
    </row>
    <row r="5409" spans="9:13" x14ac:dyDescent="0.3">
      <c r="I5409" s="82"/>
      <c r="M5409" s="85"/>
    </row>
    <row r="5410" spans="9:13" x14ac:dyDescent="0.3">
      <c r="I5410" s="82"/>
      <c r="M5410" s="85"/>
    </row>
    <row r="5411" spans="9:13" x14ac:dyDescent="0.3">
      <c r="I5411" s="82"/>
      <c r="M5411" s="85"/>
    </row>
    <row r="5412" spans="9:13" x14ac:dyDescent="0.3">
      <c r="I5412" s="82"/>
      <c r="M5412" s="85"/>
    </row>
    <row r="5413" spans="9:13" x14ac:dyDescent="0.3">
      <c r="I5413" s="82"/>
      <c r="M5413" s="85"/>
    </row>
    <row r="5414" spans="9:13" x14ac:dyDescent="0.3">
      <c r="I5414" s="82"/>
      <c r="M5414" s="85"/>
    </row>
    <row r="5415" spans="9:13" x14ac:dyDescent="0.3">
      <c r="I5415" s="82"/>
      <c r="M5415" s="85"/>
    </row>
    <row r="5416" spans="9:13" x14ac:dyDescent="0.3">
      <c r="I5416" s="82"/>
      <c r="M5416" s="85"/>
    </row>
    <row r="5417" spans="9:13" x14ac:dyDescent="0.3">
      <c r="I5417" s="82"/>
      <c r="M5417" s="85"/>
    </row>
    <row r="5418" spans="9:13" x14ac:dyDescent="0.3">
      <c r="I5418" s="82"/>
      <c r="M5418" s="85"/>
    </row>
    <row r="5419" spans="9:13" x14ac:dyDescent="0.3">
      <c r="I5419" s="82"/>
      <c r="M5419" s="85"/>
    </row>
    <row r="5420" spans="9:13" x14ac:dyDescent="0.3">
      <c r="I5420" s="82"/>
      <c r="M5420" s="85"/>
    </row>
    <row r="5421" spans="9:13" x14ac:dyDescent="0.3">
      <c r="I5421" s="82"/>
      <c r="M5421" s="85"/>
    </row>
    <row r="5422" spans="9:13" x14ac:dyDescent="0.3">
      <c r="I5422" s="82"/>
      <c r="M5422" s="85"/>
    </row>
    <row r="5423" spans="9:13" x14ac:dyDescent="0.3">
      <c r="I5423" s="82"/>
      <c r="M5423" s="85"/>
    </row>
    <row r="5424" spans="9:13" x14ac:dyDescent="0.3">
      <c r="I5424" s="82"/>
      <c r="M5424" s="85"/>
    </row>
    <row r="5425" spans="9:13" x14ac:dyDescent="0.3">
      <c r="I5425" s="82"/>
      <c r="M5425" s="85"/>
    </row>
    <row r="5426" spans="9:13" x14ac:dyDescent="0.3">
      <c r="I5426" s="82"/>
      <c r="M5426" s="85"/>
    </row>
    <row r="5427" spans="9:13" x14ac:dyDescent="0.3">
      <c r="I5427" s="82"/>
      <c r="M5427" s="85"/>
    </row>
    <row r="5428" spans="9:13" x14ac:dyDescent="0.3">
      <c r="I5428" s="82"/>
      <c r="M5428" s="85"/>
    </row>
    <row r="5429" spans="9:13" x14ac:dyDescent="0.3">
      <c r="I5429" s="82"/>
      <c r="M5429" s="85"/>
    </row>
    <row r="5430" spans="9:13" x14ac:dyDescent="0.3">
      <c r="I5430" s="82"/>
      <c r="M5430" s="85"/>
    </row>
    <row r="5431" spans="9:13" x14ac:dyDescent="0.3">
      <c r="I5431" s="82"/>
      <c r="M5431" s="85"/>
    </row>
    <row r="5432" spans="9:13" x14ac:dyDescent="0.3">
      <c r="I5432" s="82"/>
      <c r="M5432" s="85"/>
    </row>
    <row r="5433" spans="9:13" x14ac:dyDescent="0.3">
      <c r="I5433" s="82"/>
      <c r="M5433" s="85"/>
    </row>
    <row r="5434" spans="9:13" x14ac:dyDescent="0.3">
      <c r="I5434" s="82"/>
      <c r="M5434" s="85"/>
    </row>
    <row r="5435" spans="9:13" x14ac:dyDescent="0.3">
      <c r="I5435" s="82"/>
      <c r="M5435" s="85"/>
    </row>
    <row r="5436" spans="9:13" x14ac:dyDescent="0.3">
      <c r="I5436" s="82"/>
      <c r="M5436" s="85"/>
    </row>
    <row r="5437" spans="9:13" x14ac:dyDescent="0.3">
      <c r="I5437" s="82"/>
      <c r="M5437" s="85"/>
    </row>
    <row r="5438" spans="9:13" x14ac:dyDescent="0.3">
      <c r="I5438" s="82"/>
      <c r="M5438" s="85"/>
    </row>
    <row r="5439" spans="9:13" x14ac:dyDescent="0.3">
      <c r="I5439" s="82"/>
      <c r="M5439" s="85"/>
    </row>
    <row r="5440" spans="9:13" x14ac:dyDescent="0.3">
      <c r="I5440" s="82"/>
      <c r="M5440" s="85"/>
    </row>
    <row r="5441" spans="9:13" x14ac:dyDescent="0.3">
      <c r="I5441" s="82"/>
      <c r="M5441" s="85"/>
    </row>
    <row r="5442" spans="9:13" x14ac:dyDescent="0.3">
      <c r="I5442" s="82"/>
      <c r="M5442" s="85"/>
    </row>
    <row r="5443" spans="9:13" x14ac:dyDescent="0.3">
      <c r="I5443" s="82"/>
      <c r="M5443" s="85"/>
    </row>
    <row r="5444" spans="9:13" x14ac:dyDescent="0.3">
      <c r="I5444" s="82"/>
      <c r="M5444" s="85"/>
    </row>
    <row r="5445" spans="9:13" x14ac:dyDescent="0.3">
      <c r="I5445" s="82"/>
      <c r="M5445" s="85"/>
    </row>
    <row r="5446" spans="9:13" x14ac:dyDescent="0.3">
      <c r="I5446" s="82"/>
      <c r="M5446" s="85"/>
    </row>
    <row r="5447" spans="9:13" x14ac:dyDescent="0.3">
      <c r="I5447" s="82"/>
      <c r="M5447" s="85"/>
    </row>
    <row r="5448" spans="9:13" x14ac:dyDescent="0.3">
      <c r="I5448" s="82"/>
      <c r="M5448" s="85"/>
    </row>
    <row r="5449" spans="9:13" x14ac:dyDescent="0.3">
      <c r="I5449" s="82"/>
      <c r="M5449" s="85"/>
    </row>
    <row r="5450" spans="9:13" x14ac:dyDescent="0.3">
      <c r="I5450" s="82"/>
      <c r="M5450" s="85"/>
    </row>
    <row r="5451" spans="9:13" x14ac:dyDescent="0.3">
      <c r="I5451" s="82"/>
      <c r="M5451" s="85"/>
    </row>
    <row r="5452" spans="9:13" x14ac:dyDescent="0.3">
      <c r="I5452" s="82"/>
      <c r="M5452" s="85"/>
    </row>
    <row r="5453" spans="9:13" x14ac:dyDescent="0.3">
      <c r="I5453" s="82"/>
      <c r="M5453" s="85"/>
    </row>
    <row r="5454" spans="9:13" x14ac:dyDescent="0.3">
      <c r="I5454" s="82"/>
      <c r="M5454" s="85"/>
    </row>
    <row r="5455" spans="9:13" x14ac:dyDescent="0.3">
      <c r="I5455" s="82"/>
      <c r="M5455" s="85"/>
    </row>
    <row r="5456" spans="9:13" x14ac:dyDescent="0.3">
      <c r="I5456" s="82"/>
      <c r="M5456" s="85"/>
    </row>
    <row r="5457" spans="9:13" x14ac:dyDescent="0.3">
      <c r="I5457" s="82"/>
      <c r="M5457" s="85"/>
    </row>
    <row r="5458" spans="9:13" x14ac:dyDescent="0.3">
      <c r="I5458" s="82"/>
      <c r="M5458" s="85"/>
    </row>
    <row r="5459" spans="9:13" x14ac:dyDescent="0.3">
      <c r="I5459" s="82"/>
      <c r="M5459" s="85"/>
    </row>
    <row r="5460" spans="9:13" x14ac:dyDescent="0.3">
      <c r="I5460" s="82"/>
      <c r="M5460" s="85"/>
    </row>
    <row r="5461" spans="9:13" x14ac:dyDescent="0.3">
      <c r="I5461" s="82"/>
      <c r="M5461" s="85"/>
    </row>
    <row r="5462" spans="9:13" x14ac:dyDescent="0.3">
      <c r="I5462" s="82"/>
      <c r="M5462" s="85"/>
    </row>
    <row r="5463" spans="9:13" x14ac:dyDescent="0.3">
      <c r="I5463" s="82"/>
      <c r="M5463" s="85"/>
    </row>
    <row r="5464" spans="9:13" x14ac:dyDescent="0.3">
      <c r="I5464" s="82"/>
      <c r="M5464" s="85"/>
    </row>
    <row r="5465" spans="9:13" x14ac:dyDescent="0.3">
      <c r="I5465" s="82"/>
      <c r="M5465" s="85"/>
    </row>
    <row r="5466" spans="9:13" x14ac:dyDescent="0.3">
      <c r="I5466" s="82"/>
      <c r="M5466" s="85"/>
    </row>
    <row r="5467" spans="9:13" x14ac:dyDescent="0.3">
      <c r="I5467" s="82"/>
      <c r="M5467" s="85"/>
    </row>
    <row r="5468" spans="9:13" x14ac:dyDescent="0.3">
      <c r="I5468" s="82"/>
      <c r="M5468" s="85"/>
    </row>
    <row r="5469" spans="9:13" x14ac:dyDescent="0.3">
      <c r="I5469" s="82"/>
      <c r="M5469" s="85"/>
    </row>
    <row r="5470" spans="9:13" x14ac:dyDescent="0.3">
      <c r="I5470" s="82"/>
      <c r="M5470" s="85"/>
    </row>
    <row r="5471" spans="9:13" x14ac:dyDescent="0.3">
      <c r="I5471" s="82"/>
      <c r="M5471" s="85"/>
    </row>
    <row r="5472" spans="9:13" x14ac:dyDescent="0.3">
      <c r="I5472" s="82"/>
      <c r="M5472" s="85"/>
    </row>
    <row r="5473" spans="9:13" x14ac:dyDescent="0.3">
      <c r="I5473" s="82"/>
      <c r="M5473" s="85"/>
    </row>
    <row r="5474" spans="9:13" x14ac:dyDescent="0.3">
      <c r="I5474" s="82"/>
      <c r="M5474" s="85"/>
    </row>
    <row r="5475" spans="9:13" x14ac:dyDescent="0.3">
      <c r="I5475" s="82"/>
      <c r="M5475" s="85"/>
    </row>
    <row r="5476" spans="9:13" x14ac:dyDescent="0.3">
      <c r="I5476" s="82"/>
      <c r="M5476" s="85"/>
    </row>
    <row r="5477" spans="9:13" x14ac:dyDescent="0.3">
      <c r="I5477" s="82"/>
      <c r="M5477" s="85"/>
    </row>
    <row r="5478" spans="9:13" x14ac:dyDescent="0.3">
      <c r="I5478" s="82"/>
      <c r="M5478" s="85"/>
    </row>
    <row r="5479" spans="9:13" x14ac:dyDescent="0.3">
      <c r="I5479" s="82"/>
      <c r="M5479" s="85"/>
    </row>
    <row r="5480" spans="9:13" x14ac:dyDescent="0.3">
      <c r="I5480" s="82"/>
      <c r="M5480" s="85"/>
    </row>
    <row r="5481" spans="9:13" x14ac:dyDescent="0.3">
      <c r="I5481" s="82"/>
      <c r="M5481" s="85"/>
    </row>
    <row r="5482" spans="9:13" x14ac:dyDescent="0.3">
      <c r="I5482" s="82"/>
      <c r="M5482" s="85"/>
    </row>
    <row r="5483" spans="9:13" x14ac:dyDescent="0.3">
      <c r="I5483" s="82"/>
      <c r="M5483" s="85"/>
    </row>
    <row r="5484" spans="9:13" x14ac:dyDescent="0.3">
      <c r="I5484" s="82"/>
      <c r="M5484" s="85"/>
    </row>
    <row r="5485" spans="9:13" x14ac:dyDescent="0.3">
      <c r="I5485" s="82"/>
      <c r="M5485" s="85"/>
    </row>
    <row r="5486" spans="9:13" x14ac:dyDescent="0.3">
      <c r="I5486" s="82"/>
      <c r="M5486" s="85"/>
    </row>
    <row r="5487" spans="9:13" x14ac:dyDescent="0.3">
      <c r="I5487" s="82"/>
      <c r="M5487" s="85"/>
    </row>
    <row r="5488" spans="9:13" x14ac:dyDescent="0.3">
      <c r="I5488" s="82"/>
      <c r="M5488" s="85"/>
    </row>
    <row r="5489" spans="9:13" x14ac:dyDescent="0.3">
      <c r="I5489" s="82"/>
      <c r="M5489" s="85"/>
    </row>
    <row r="5490" spans="9:13" x14ac:dyDescent="0.3">
      <c r="I5490" s="82"/>
      <c r="M5490" s="85"/>
    </row>
    <row r="5491" spans="9:13" x14ac:dyDescent="0.3">
      <c r="I5491" s="82"/>
      <c r="M5491" s="85"/>
    </row>
    <row r="5492" spans="9:13" x14ac:dyDescent="0.3">
      <c r="I5492" s="82"/>
      <c r="M5492" s="85"/>
    </row>
    <row r="5493" spans="9:13" x14ac:dyDescent="0.3">
      <c r="I5493" s="82"/>
      <c r="M5493" s="85"/>
    </row>
    <row r="5494" spans="9:13" x14ac:dyDescent="0.3">
      <c r="I5494" s="82"/>
      <c r="M5494" s="85"/>
    </row>
    <row r="5495" spans="9:13" x14ac:dyDescent="0.3">
      <c r="I5495" s="82"/>
      <c r="M5495" s="85"/>
    </row>
    <row r="5496" spans="9:13" x14ac:dyDescent="0.3">
      <c r="I5496" s="82"/>
      <c r="M5496" s="85"/>
    </row>
    <row r="5497" spans="9:13" x14ac:dyDescent="0.3">
      <c r="I5497" s="82"/>
      <c r="M5497" s="85"/>
    </row>
    <row r="5498" spans="9:13" x14ac:dyDescent="0.3">
      <c r="I5498" s="82"/>
      <c r="M5498" s="85"/>
    </row>
    <row r="5499" spans="9:13" x14ac:dyDescent="0.3">
      <c r="I5499" s="82"/>
      <c r="M5499" s="85"/>
    </row>
    <row r="5500" spans="9:13" x14ac:dyDescent="0.3">
      <c r="I5500" s="82"/>
      <c r="M5500" s="85"/>
    </row>
    <row r="5501" spans="9:13" x14ac:dyDescent="0.3">
      <c r="I5501" s="82"/>
      <c r="M5501" s="85"/>
    </row>
    <row r="5502" spans="9:13" x14ac:dyDescent="0.3">
      <c r="I5502" s="82"/>
      <c r="M5502" s="85"/>
    </row>
    <row r="5503" spans="9:13" x14ac:dyDescent="0.3">
      <c r="I5503" s="82"/>
      <c r="M5503" s="85"/>
    </row>
    <row r="5504" spans="9:13" x14ac:dyDescent="0.3">
      <c r="I5504" s="82"/>
      <c r="M5504" s="85"/>
    </row>
    <row r="5505" spans="9:13" x14ac:dyDescent="0.3">
      <c r="I5505" s="82"/>
      <c r="M5505" s="85"/>
    </row>
    <row r="5506" spans="9:13" x14ac:dyDescent="0.3">
      <c r="I5506" s="82"/>
      <c r="M5506" s="85"/>
    </row>
    <row r="5507" spans="9:13" x14ac:dyDescent="0.3">
      <c r="I5507" s="82"/>
      <c r="M5507" s="85"/>
    </row>
    <row r="5508" spans="9:13" x14ac:dyDescent="0.3">
      <c r="I5508" s="82"/>
      <c r="M5508" s="85"/>
    </row>
    <row r="5509" spans="9:13" x14ac:dyDescent="0.3">
      <c r="I5509" s="82"/>
      <c r="M5509" s="85"/>
    </row>
    <row r="5510" spans="9:13" x14ac:dyDescent="0.3">
      <c r="I5510" s="82"/>
      <c r="M5510" s="85"/>
    </row>
    <row r="5511" spans="9:13" x14ac:dyDescent="0.3">
      <c r="I5511" s="82"/>
      <c r="M5511" s="85"/>
    </row>
    <row r="5512" spans="9:13" x14ac:dyDescent="0.3">
      <c r="I5512" s="82"/>
      <c r="M5512" s="85"/>
    </row>
    <row r="5513" spans="9:13" x14ac:dyDescent="0.3">
      <c r="I5513" s="82"/>
      <c r="M5513" s="85"/>
    </row>
    <row r="5514" spans="9:13" x14ac:dyDescent="0.3">
      <c r="I5514" s="82"/>
      <c r="M5514" s="85"/>
    </row>
    <row r="5515" spans="9:13" x14ac:dyDescent="0.3">
      <c r="I5515" s="82"/>
      <c r="M5515" s="85"/>
    </row>
    <row r="5516" spans="9:13" x14ac:dyDescent="0.3">
      <c r="I5516" s="82"/>
      <c r="M5516" s="85"/>
    </row>
    <row r="5517" spans="9:13" x14ac:dyDescent="0.3">
      <c r="I5517" s="82"/>
      <c r="M5517" s="85"/>
    </row>
    <row r="5518" spans="9:13" x14ac:dyDescent="0.3">
      <c r="I5518" s="82"/>
      <c r="M5518" s="85"/>
    </row>
    <row r="5519" spans="9:13" x14ac:dyDescent="0.3">
      <c r="I5519" s="82"/>
      <c r="M5519" s="85"/>
    </row>
    <row r="5520" spans="9:13" x14ac:dyDescent="0.3">
      <c r="I5520" s="82"/>
      <c r="M5520" s="85"/>
    </row>
    <row r="5521" spans="9:13" x14ac:dyDescent="0.3">
      <c r="I5521" s="82"/>
      <c r="M5521" s="85"/>
    </row>
    <row r="5522" spans="9:13" x14ac:dyDescent="0.3">
      <c r="I5522" s="82"/>
      <c r="M5522" s="85"/>
    </row>
    <row r="5523" spans="9:13" x14ac:dyDescent="0.3">
      <c r="I5523" s="82"/>
      <c r="M5523" s="85"/>
    </row>
    <row r="5524" spans="9:13" x14ac:dyDescent="0.3">
      <c r="I5524" s="82"/>
      <c r="M5524" s="85"/>
    </row>
    <row r="5525" spans="9:13" x14ac:dyDescent="0.3">
      <c r="I5525" s="82"/>
      <c r="M5525" s="85"/>
    </row>
    <row r="5526" spans="9:13" x14ac:dyDescent="0.3">
      <c r="I5526" s="82"/>
      <c r="M5526" s="85"/>
    </row>
    <row r="5527" spans="9:13" x14ac:dyDescent="0.3">
      <c r="I5527" s="82"/>
      <c r="M5527" s="85"/>
    </row>
    <row r="5528" spans="9:13" x14ac:dyDescent="0.3">
      <c r="I5528" s="82"/>
      <c r="M5528" s="85"/>
    </row>
    <row r="5529" spans="9:13" x14ac:dyDescent="0.3">
      <c r="I5529" s="82"/>
      <c r="M5529" s="85"/>
    </row>
    <row r="5530" spans="9:13" x14ac:dyDescent="0.3">
      <c r="I5530" s="82"/>
      <c r="M5530" s="85"/>
    </row>
    <row r="5531" spans="9:13" x14ac:dyDescent="0.3">
      <c r="I5531" s="82"/>
      <c r="M5531" s="85"/>
    </row>
    <row r="5532" spans="9:13" x14ac:dyDescent="0.3">
      <c r="I5532" s="82"/>
      <c r="M5532" s="85"/>
    </row>
    <row r="5533" spans="9:13" x14ac:dyDescent="0.3">
      <c r="I5533" s="82"/>
      <c r="M5533" s="85"/>
    </row>
    <row r="5534" spans="9:13" x14ac:dyDescent="0.3">
      <c r="I5534" s="82"/>
      <c r="M5534" s="85"/>
    </row>
    <row r="5535" spans="9:13" x14ac:dyDescent="0.3">
      <c r="I5535" s="82"/>
      <c r="M5535" s="85"/>
    </row>
    <row r="5536" spans="9:13" x14ac:dyDescent="0.3">
      <c r="I5536" s="82"/>
      <c r="M5536" s="85"/>
    </row>
    <row r="5537" spans="9:13" x14ac:dyDescent="0.3">
      <c r="I5537" s="82"/>
      <c r="M5537" s="85"/>
    </row>
    <row r="5538" spans="9:13" x14ac:dyDescent="0.3">
      <c r="I5538" s="82"/>
      <c r="M5538" s="85"/>
    </row>
    <row r="5539" spans="9:13" x14ac:dyDescent="0.3">
      <c r="I5539" s="82"/>
      <c r="M5539" s="85"/>
    </row>
    <row r="5540" spans="9:13" x14ac:dyDescent="0.3">
      <c r="I5540" s="82"/>
      <c r="M5540" s="85"/>
    </row>
    <row r="5541" spans="9:13" x14ac:dyDescent="0.3">
      <c r="I5541" s="82"/>
      <c r="M5541" s="85"/>
    </row>
    <row r="5542" spans="9:13" x14ac:dyDescent="0.3">
      <c r="I5542" s="82"/>
      <c r="M5542" s="85"/>
    </row>
    <row r="5543" spans="9:13" x14ac:dyDescent="0.3">
      <c r="I5543" s="82"/>
      <c r="M5543" s="85"/>
    </row>
    <row r="5544" spans="9:13" x14ac:dyDescent="0.3">
      <c r="I5544" s="82"/>
      <c r="M5544" s="85"/>
    </row>
    <row r="5545" spans="9:13" x14ac:dyDescent="0.3">
      <c r="I5545" s="82"/>
      <c r="M5545" s="85"/>
    </row>
    <row r="5546" spans="9:13" x14ac:dyDescent="0.3">
      <c r="I5546" s="82"/>
      <c r="M5546" s="85"/>
    </row>
    <row r="5547" spans="9:13" x14ac:dyDescent="0.3">
      <c r="I5547" s="82"/>
      <c r="M5547" s="85"/>
    </row>
    <row r="5548" spans="9:13" x14ac:dyDescent="0.3">
      <c r="I5548" s="82"/>
      <c r="M5548" s="85"/>
    </row>
    <row r="5549" spans="9:13" x14ac:dyDescent="0.3">
      <c r="I5549" s="82"/>
      <c r="M5549" s="85"/>
    </row>
    <row r="5550" spans="9:13" x14ac:dyDescent="0.3">
      <c r="I5550" s="82"/>
      <c r="M5550" s="85"/>
    </row>
    <row r="5551" spans="9:13" x14ac:dyDescent="0.3">
      <c r="I5551" s="82"/>
      <c r="M5551" s="85"/>
    </row>
    <row r="5552" spans="9:13" x14ac:dyDescent="0.3">
      <c r="I5552" s="82"/>
      <c r="M5552" s="85"/>
    </row>
    <row r="5553" spans="9:13" x14ac:dyDescent="0.3">
      <c r="I5553" s="82"/>
      <c r="M5553" s="85"/>
    </row>
    <row r="5554" spans="9:13" x14ac:dyDescent="0.3">
      <c r="I5554" s="82"/>
      <c r="M5554" s="85"/>
    </row>
    <row r="5555" spans="9:13" x14ac:dyDescent="0.3">
      <c r="I5555" s="82"/>
      <c r="M5555" s="85"/>
    </row>
    <row r="5556" spans="9:13" x14ac:dyDescent="0.3">
      <c r="I5556" s="82"/>
      <c r="M5556" s="85"/>
    </row>
    <row r="5557" spans="9:13" x14ac:dyDescent="0.3">
      <c r="I5557" s="82"/>
      <c r="M5557" s="85"/>
    </row>
    <row r="5558" spans="9:13" x14ac:dyDescent="0.3">
      <c r="I5558" s="82"/>
      <c r="M5558" s="85"/>
    </row>
    <row r="5559" spans="9:13" x14ac:dyDescent="0.3">
      <c r="I5559" s="82"/>
      <c r="M5559" s="85"/>
    </row>
    <row r="5560" spans="9:13" x14ac:dyDescent="0.3">
      <c r="I5560" s="82"/>
      <c r="M5560" s="85"/>
    </row>
    <row r="5561" spans="9:13" x14ac:dyDescent="0.3">
      <c r="I5561" s="82"/>
      <c r="M5561" s="85"/>
    </row>
    <row r="5562" spans="9:13" x14ac:dyDescent="0.3">
      <c r="I5562" s="82"/>
      <c r="M5562" s="85"/>
    </row>
    <row r="5563" spans="9:13" x14ac:dyDescent="0.3">
      <c r="I5563" s="82"/>
      <c r="M5563" s="85"/>
    </row>
    <row r="5564" spans="9:13" x14ac:dyDescent="0.3">
      <c r="I5564" s="82"/>
      <c r="M5564" s="85"/>
    </row>
    <row r="5565" spans="9:13" x14ac:dyDescent="0.3">
      <c r="I5565" s="82"/>
      <c r="M5565" s="85"/>
    </row>
    <row r="5566" spans="9:13" x14ac:dyDescent="0.3">
      <c r="I5566" s="82"/>
      <c r="M5566" s="85"/>
    </row>
    <row r="5567" spans="9:13" x14ac:dyDescent="0.3">
      <c r="I5567" s="82"/>
      <c r="M5567" s="85"/>
    </row>
    <row r="5568" spans="9:13" x14ac:dyDescent="0.3">
      <c r="I5568" s="82"/>
      <c r="M5568" s="85"/>
    </row>
    <row r="5569" spans="9:13" x14ac:dyDescent="0.3">
      <c r="I5569" s="82"/>
      <c r="M5569" s="85"/>
    </row>
    <row r="5570" spans="9:13" x14ac:dyDescent="0.3">
      <c r="I5570" s="82"/>
      <c r="M5570" s="85"/>
    </row>
    <row r="5571" spans="9:13" x14ac:dyDescent="0.3">
      <c r="I5571" s="82"/>
      <c r="M5571" s="85"/>
    </row>
    <row r="5572" spans="9:13" x14ac:dyDescent="0.3">
      <c r="I5572" s="82"/>
      <c r="M5572" s="85"/>
    </row>
    <row r="5573" spans="9:13" x14ac:dyDescent="0.3">
      <c r="I5573" s="82"/>
      <c r="M5573" s="85"/>
    </row>
    <row r="5574" spans="9:13" x14ac:dyDescent="0.3">
      <c r="I5574" s="82"/>
      <c r="M5574" s="85"/>
    </row>
    <row r="5575" spans="9:13" x14ac:dyDescent="0.3">
      <c r="I5575" s="82"/>
      <c r="M5575" s="85"/>
    </row>
    <row r="5576" spans="9:13" x14ac:dyDescent="0.3">
      <c r="I5576" s="82"/>
      <c r="M5576" s="85"/>
    </row>
    <row r="5577" spans="9:13" x14ac:dyDescent="0.3">
      <c r="I5577" s="82"/>
      <c r="M5577" s="85"/>
    </row>
    <row r="5578" spans="9:13" x14ac:dyDescent="0.3">
      <c r="I5578" s="82"/>
      <c r="M5578" s="85"/>
    </row>
    <row r="5579" spans="9:13" x14ac:dyDescent="0.3">
      <c r="I5579" s="82"/>
      <c r="M5579" s="85"/>
    </row>
    <row r="5580" spans="9:13" x14ac:dyDescent="0.3">
      <c r="I5580" s="82"/>
      <c r="M5580" s="85"/>
    </row>
    <row r="5581" spans="9:13" x14ac:dyDescent="0.3">
      <c r="I5581" s="82"/>
      <c r="M5581" s="85"/>
    </row>
    <row r="5582" spans="9:13" x14ac:dyDescent="0.3">
      <c r="I5582" s="82"/>
      <c r="M5582" s="85"/>
    </row>
    <row r="5583" spans="9:13" x14ac:dyDescent="0.3">
      <c r="I5583" s="82"/>
      <c r="M5583" s="85"/>
    </row>
    <row r="5584" spans="9:13" x14ac:dyDescent="0.3">
      <c r="I5584" s="82"/>
      <c r="M5584" s="85"/>
    </row>
    <row r="5585" spans="9:13" x14ac:dyDescent="0.3">
      <c r="I5585" s="82"/>
      <c r="M5585" s="85"/>
    </row>
    <row r="5586" spans="9:13" x14ac:dyDescent="0.3">
      <c r="I5586" s="82"/>
      <c r="M5586" s="85"/>
    </row>
    <row r="5587" spans="9:13" x14ac:dyDescent="0.3">
      <c r="I5587" s="82"/>
      <c r="M5587" s="85"/>
    </row>
    <row r="5588" spans="9:13" x14ac:dyDescent="0.3">
      <c r="I5588" s="82"/>
      <c r="M5588" s="85"/>
    </row>
    <row r="5589" spans="9:13" x14ac:dyDescent="0.3">
      <c r="I5589" s="82"/>
      <c r="M5589" s="85"/>
    </row>
    <row r="5590" spans="9:13" x14ac:dyDescent="0.3">
      <c r="I5590" s="82"/>
      <c r="M5590" s="85"/>
    </row>
    <row r="5591" spans="9:13" x14ac:dyDescent="0.3">
      <c r="I5591" s="82"/>
      <c r="M5591" s="85"/>
    </row>
    <row r="5592" spans="9:13" x14ac:dyDescent="0.3">
      <c r="I5592" s="82"/>
      <c r="M5592" s="85"/>
    </row>
    <row r="5593" spans="9:13" x14ac:dyDescent="0.3">
      <c r="I5593" s="82"/>
      <c r="M5593" s="85"/>
    </row>
    <row r="5594" spans="9:13" x14ac:dyDescent="0.3">
      <c r="I5594" s="82"/>
      <c r="M5594" s="85"/>
    </row>
    <row r="5595" spans="9:13" x14ac:dyDescent="0.3">
      <c r="I5595" s="82"/>
      <c r="M5595" s="85"/>
    </row>
    <row r="5596" spans="9:13" x14ac:dyDescent="0.3">
      <c r="I5596" s="82"/>
      <c r="M5596" s="85"/>
    </row>
    <row r="5597" spans="9:13" x14ac:dyDescent="0.3">
      <c r="I5597" s="82"/>
      <c r="M5597" s="85"/>
    </row>
    <row r="5598" spans="9:13" x14ac:dyDescent="0.3">
      <c r="I5598" s="82"/>
      <c r="M5598" s="85"/>
    </row>
    <row r="5599" spans="9:13" x14ac:dyDescent="0.3">
      <c r="I5599" s="82"/>
      <c r="M5599" s="85"/>
    </row>
    <row r="5600" spans="9:13" x14ac:dyDescent="0.3">
      <c r="I5600" s="82"/>
      <c r="M5600" s="85"/>
    </row>
    <row r="5601" spans="9:13" x14ac:dyDescent="0.3">
      <c r="I5601" s="82"/>
      <c r="M5601" s="85"/>
    </row>
    <row r="5602" spans="9:13" x14ac:dyDescent="0.3">
      <c r="I5602" s="82"/>
      <c r="M5602" s="85"/>
    </row>
    <row r="5603" spans="9:13" x14ac:dyDescent="0.3">
      <c r="I5603" s="82"/>
      <c r="M5603" s="85"/>
    </row>
    <row r="5604" spans="9:13" x14ac:dyDescent="0.3">
      <c r="I5604" s="82"/>
      <c r="M5604" s="85"/>
    </row>
    <row r="5605" spans="9:13" x14ac:dyDescent="0.3">
      <c r="I5605" s="82"/>
      <c r="M5605" s="85"/>
    </row>
    <row r="5606" spans="9:13" x14ac:dyDescent="0.3">
      <c r="I5606" s="82"/>
      <c r="M5606" s="85"/>
    </row>
    <row r="5607" spans="9:13" x14ac:dyDescent="0.3">
      <c r="I5607" s="82"/>
      <c r="M5607" s="85"/>
    </row>
    <row r="5608" spans="9:13" x14ac:dyDescent="0.3">
      <c r="I5608" s="82"/>
      <c r="M5608" s="85"/>
    </row>
    <row r="5609" spans="9:13" x14ac:dyDescent="0.3">
      <c r="I5609" s="82"/>
      <c r="M5609" s="85"/>
    </row>
    <row r="5610" spans="9:13" x14ac:dyDescent="0.3">
      <c r="I5610" s="82"/>
      <c r="M5610" s="85"/>
    </row>
    <row r="5611" spans="9:13" x14ac:dyDescent="0.3">
      <c r="I5611" s="82"/>
      <c r="M5611" s="85"/>
    </row>
    <row r="5612" spans="9:13" x14ac:dyDescent="0.3">
      <c r="I5612" s="82"/>
      <c r="M5612" s="85"/>
    </row>
    <row r="5613" spans="9:13" x14ac:dyDescent="0.3">
      <c r="I5613" s="82"/>
      <c r="M5613" s="85"/>
    </row>
    <row r="5614" spans="9:13" x14ac:dyDescent="0.3">
      <c r="I5614" s="82"/>
      <c r="M5614" s="85"/>
    </row>
    <row r="5615" spans="9:13" x14ac:dyDescent="0.3">
      <c r="I5615" s="82"/>
      <c r="M5615" s="85"/>
    </row>
    <row r="5616" spans="9:13" x14ac:dyDescent="0.3">
      <c r="I5616" s="82"/>
      <c r="M5616" s="85"/>
    </row>
    <row r="5617" spans="9:13" x14ac:dyDescent="0.3">
      <c r="I5617" s="82"/>
      <c r="M5617" s="85"/>
    </row>
    <row r="5618" spans="9:13" x14ac:dyDescent="0.3">
      <c r="I5618" s="82"/>
      <c r="M5618" s="85"/>
    </row>
    <row r="5619" spans="9:13" x14ac:dyDescent="0.3">
      <c r="I5619" s="82"/>
      <c r="M5619" s="85"/>
    </row>
    <row r="5620" spans="9:13" x14ac:dyDescent="0.3">
      <c r="I5620" s="82"/>
      <c r="M5620" s="85"/>
    </row>
    <row r="5621" spans="9:13" x14ac:dyDescent="0.3">
      <c r="I5621" s="82"/>
      <c r="M5621" s="85"/>
    </row>
    <row r="5622" spans="9:13" x14ac:dyDescent="0.3">
      <c r="I5622" s="82"/>
      <c r="M5622" s="85"/>
    </row>
    <row r="5623" spans="9:13" x14ac:dyDescent="0.3">
      <c r="I5623" s="82"/>
      <c r="M5623" s="85"/>
    </row>
    <row r="5624" spans="9:13" x14ac:dyDescent="0.3">
      <c r="I5624" s="82"/>
      <c r="M5624" s="85"/>
    </row>
    <row r="5625" spans="9:13" x14ac:dyDescent="0.3">
      <c r="I5625" s="82"/>
      <c r="M5625" s="85"/>
    </row>
    <row r="5626" spans="9:13" x14ac:dyDescent="0.3">
      <c r="I5626" s="82"/>
      <c r="M5626" s="85"/>
    </row>
    <row r="5627" spans="9:13" x14ac:dyDescent="0.3">
      <c r="I5627" s="82"/>
      <c r="M5627" s="85"/>
    </row>
    <row r="5628" spans="9:13" x14ac:dyDescent="0.3">
      <c r="I5628" s="82"/>
      <c r="M5628" s="85"/>
    </row>
    <row r="5629" spans="9:13" x14ac:dyDescent="0.3">
      <c r="I5629" s="82"/>
      <c r="M5629" s="85"/>
    </row>
    <row r="5630" spans="9:13" x14ac:dyDescent="0.3">
      <c r="I5630" s="82"/>
      <c r="M5630" s="85"/>
    </row>
    <row r="5631" spans="9:13" x14ac:dyDescent="0.3">
      <c r="I5631" s="82"/>
      <c r="M5631" s="85"/>
    </row>
    <row r="5632" spans="9:13" x14ac:dyDescent="0.3">
      <c r="I5632" s="82"/>
      <c r="M5632" s="85"/>
    </row>
    <row r="5633" spans="9:13" x14ac:dyDescent="0.3">
      <c r="I5633" s="82"/>
      <c r="M5633" s="85"/>
    </row>
    <row r="5634" spans="9:13" x14ac:dyDescent="0.3">
      <c r="I5634" s="82"/>
      <c r="M5634" s="85"/>
    </row>
    <row r="5635" spans="9:13" x14ac:dyDescent="0.3">
      <c r="I5635" s="82"/>
      <c r="M5635" s="85"/>
    </row>
    <row r="5636" spans="9:13" x14ac:dyDescent="0.3">
      <c r="I5636" s="82"/>
      <c r="M5636" s="85"/>
    </row>
    <row r="5637" spans="9:13" x14ac:dyDescent="0.3">
      <c r="I5637" s="82"/>
      <c r="M5637" s="85"/>
    </row>
    <row r="5638" spans="9:13" x14ac:dyDescent="0.3">
      <c r="I5638" s="82"/>
      <c r="M5638" s="85"/>
    </row>
    <row r="5639" spans="9:13" x14ac:dyDescent="0.3">
      <c r="I5639" s="82"/>
      <c r="M5639" s="85"/>
    </row>
    <row r="5640" spans="9:13" x14ac:dyDescent="0.3">
      <c r="I5640" s="82"/>
      <c r="M5640" s="85"/>
    </row>
    <row r="5641" spans="9:13" x14ac:dyDescent="0.3">
      <c r="I5641" s="82"/>
      <c r="M5641" s="85"/>
    </row>
    <row r="5642" spans="9:13" x14ac:dyDescent="0.3">
      <c r="I5642" s="82"/>
      <c r="M5642" s="85"/>
    </row>
    <row r="5643" spans="9:13" x14ac:dyDescent="0.3">
      <c r="I5643" s="82"/>
      <c r="M5643" s="85"/>
    </row>
    <row r="5644" spans="9:13" x14ac:dyDescent="0.3">
      <c r="I5644" s="82"/>
      <c r="M5644" s="85"/>
    </row>
    <row r="5645" spans="9:13" x14ac:dyDescent="0.3">
      <c r="I5645" s="82"/>
      <c r="M5645" s="85"/>
    </row>
    <row r="5646" spans="9:13" x14ac:dyDescent="0.3">
      <c r="I5646" s="82"/>
      <c r="M5646" s="85"/>
    </row>
    <row r="5647" spans="9:13" x14ac:dyDescent="0.3">
      <c r="I5647" s="82"/>
      <c r="M5647" s="85"/>
    </row>
    <row r="5648" spans="9:13" x14ac:dyDescent="0.3">
      <c r="I5648" s="82"/>
      <c r="M5648" s="85"/>
    </row>
    <row r="5649" spans="9:13" x14ac:dyDescent="0.3">
      <c r="I5649" s="82"/>
      <c r="M5649" s="85"/>
    </row>
    <row r="5650" spans="9:13" x14ac:dyDescent="0.3">
      <c r="I5650" s="82"/>
      <c r="M5650" s="85"/>
    </row>
    <row r="5651" spans="9:13" x14ac:dyDescent="0.3">
      <c r="I5651" s="82"/>
      <c r="M5651" s="85"/>
    </row>
    <row r="5652" spans="9:13" x14ac:dyDescent="0.3">
      <c r="I5652" s="82"/>
      <c r="M5652" s="85"/>
    </row>
    <row r="5653" spans="9:13" x14ac:dyDescent="0.3">
      <c r="I5653" s="82"/>
      <c r="M5653" s="85"/>
    </row>
    <row r="5654" spans="9:13" x14ac:dyDescent="0.3">
      <c r="I5654" s="82"/>
      <c r="M5654" s="85"/>
    </row>
    <row r="5655" spans="9:13" x14ac:dyDescent="0.3">
      <c r="I5655" s="82"/>
      <c r="M5655" s="85"/>
    </row>
    <row r="5656" spans="9:13" x14ac:dyDescent="0.3">
      <c r="I5656" s="82"/>
      <c r="M5656" s="85"/>
    </row>
    <row r="5657" spans="9:13" x14ac:dyDescent="0.3">
      <c r="I5657" s="82"/>
      <c r="M5657" s="85"/>
    </row>
    <row r="5658" spans="9:13" x14ac:dyDescent="0.3">
      <c r="I5658" s="82"/>
      <c r="M5658" s="85"/>
    </row>
    <row r="5659" spans="9:13" x14ac:dyDescent="0.3">
      <c r="I5659" s="82"/>
      <c r="M5659" s="85"/>
    </row>
    <row r="5660" spans="9:13" x14ac:dyDescent="0.3">
      <c r="I5660" s="82"/>
      <c r="M5660" s="85"/>
    </row>
    <row r="5661" spans="9:13" x14ac:dyDescent="0.3">
      <c r="I5661" s="82"/>
      <c r="M5661" s="85"/>
    </row>
    <row r="5662" spans="9:13" x14ac:dyDescent="0.3">
      <c r="I5662" s="82"/>
      <c r="M5662" s="85"/>
    </row>
    <row r="5663" spans="9:13" x14ac:dyDescent="0.3">
      <c r="I5663" s="82"/>
      <c r="M5663" s="85"/>
    </row>
    <row r="5664" spans="9:13" x14ac:dyDescent="0.3">
      <c r="I5664" s="82"/>
      <c r="M5664" s="85"/>
    </row>
    <row r="5665" spans="9:13" x14ac:dyDescent="0.3">
      <c r="I5665" s="82"/>
      <c r="M5665" s="85"/>
    </row>
    <row r="5666" spans="9:13" x14ac:dyDescent="0.3">
      <c r="I5666" s="82"/>
      <c r="M5666" s="85"/>
    </row>
    <row r="5667" spans="9:13" x14ac:dyDescent="0.3">
      <c r="I5667" s="82"/>
      <c r="M5667" s="85"/>
    </row>
    <row r="5668" spans="9:13" x14ac:dyDescent="0.3">
      <c r="I5668" s="82"/>
      <c r="M5668" s="85"/>
    </row>
    <row r="5669" spans="9:13" x14ac:dyDescent="0.3">
      <c r="I5669" s="82"/>
      <c r="M5669" s="85"/>
    </row>
    <row r="5670" spans="9:13" x14ac:dyDescent="0.3">
      <c r="I5670" s="82"/>
      <c r="M5670" s="85"/>
    </row>
    <row r="5671" spans="9:13" x14ac:dyDescent="0.3">
      <c r="I5671" s="82"/>
      <c r="M5671" s="85"/>
    </row>
    <row r="5672" spans="9:13" x14ac:dyDescent="0.3">
      <c r="I5672" s="82"/>
      <c r="M5672" s="85"/>
    </row>
    <row r="5673" spans="9:13" x14ac:dyDescent="0.3">
      <c r="I5673" s="82"/>
      <c r="M5673" s="85"/>
    </row>
    <row r="5674" spans="9:13" x14ac:dyDescent="0.3">
      <c r="I5674" s="82"/>
      <c r="M5674" s="85"/>
    </row>
    <row r="5675" spans="9:13" x14ac:dyDescent="0.3">
      <c r="I5675" s="82"/>
      <c r="M5675" s="85"/>
    </row>
    <row r="5676" spans="9:13" x14ac:dyDescent="0.3">
      <c r="I5676" s="82"/>
      <c r="M5676" s="85"/>
    </row>
    <row r="5677" spans="9:13" x14ac:dyDescent="0.3">
      <c r="I5677" s="82"/>
      <c r="M5677" s="85"/>
    </row>
    <row r="5678" spans="9:13" x14ac:dyDescent="0.3">
      <c r="I5678" s="82"/>
      <c r="M5678" s="85"/>
    </row>
    <row r="5679" spans="9:13" x14ac:dyDescent="0.3">
      <c r="I5679" s="82"/>
      <c r="M5679" s="85"/>
    </row>
    <row r="5680" spans="9:13" x14ac:dyDescent="0.3">
      <c r="I5680" s="82"/>
      <c r="M5680" s="85"/>
    </row>
    <row r="5681" spans="9:13" x14ac:dyDescent="0.3">
      <c r="I5681" s="82"/>
      <c r="M5681" s="85"/>
    </row>
    <row r="5682" spans="9:13" x14ac:dyDescent="0.3">
      <c r="I5682" s="82"/>
      <c r="M5682" s="85"/>
    </row>
    <row r="5683" spans="9:13" x14ac:dyDescent="0.3">
      <c r="I5683" s="82"/>
      <c r="M5683" s="85"/>
    </row>
    <row r="5684" spans="9:13" x14ac:dyDescent="0.3">
      <c r="I5684" s="82"/>
      <c r="M5684" s="85"/>
    </row>
    <row r="5685" spans="9:13" x14ac:dyDescent="0.3">
      <c r="I5685" s="82"/>
      <c r="M5685" s="85"/>
    </row>
    <row r="5686" spans="9:13" x14ac:dyDescent="0.3">
      <c r="I5686" s="82"/>
      <c r="M5686" s="85"/>
    </row>
    <row r="5687" spans="9:13" x14ac:dyDescent="0.3">
      <c r="I5687" s="82"/>
      <c r="M5687" s="85"/>
    </row>
    <row r="5688" spans="9:13" x14ac:dyDescent="0.3">
      <c r="I5688" s="82"/>
      <c r="M5688" s="85"/>
    </row>
    <row r="5689" spans="9:13" x14ac:dyDescent="0.3">
      <c r="I5689" s="82"/>
      <c r="M5689" s="85"/>
    </row>
    <row r="5690" spans="9:13" x14ac:dyDescent="0.3">
      <c r="I5690" s="82"/>
      <c r="M5690" s="85"/>
    </row>
    <row r="5691" spans="9:13" x14ac:dyDescent="0.3">
      <c r="I5691" s="82"/>
      <c r="M5691" s="85"/>
    </row>
    <row r="5692" spans="9:13" x14ac:dyDescent="0.3">
      <c r="I5692" s="82"/>
      <c r="M5692" s="85"/>
    </row>
    <row r="5693" spans="9:13" x14ac:dyDescent="0.3">
      <c r="I5693" s="82"/>
      <c r="M5693" s="85"/>
    </row>
    <row r="5694" spans="9:13" x14ac:dyDescent="0.3">
      <c r="I5694" s="82"/>
      <c r="M5694" s="85"/>
    </row>
    <row r="5695" spans="9:13" x14ac:dyDescent="0.3">
      <c r="I5695" s="82"/>
      <c r="M5695" s="85"/>
    </row>
    <row r="5696" spans="9:13" x14ac:dyDescent="0.3">
      <c r="I5696" s="82"/>
      <c r="M5696" s="85"/>
    </row>
    <row r="5697" spans="9:13" x14ac:dyDescent="0.3">
      <c r="I5697" s="82"/>
      <c r="M5697" s="85"/>
    </row>
    <row r="5698" spans="9:13" x14ac:dyDescent="0.3">
      <c r="I5698" s="82"/>
      <c r="M5698" s="85"/>
    </row>
    <row r="5699" spans="9:13" x14ac:dyDescent="0.3">
      <c r="I5699" s="82"/>
      <c r="M5699" s="85"/>
    </row>
    <row r="5700" spans="9:13" x14ac:dyDescent="0.3">
      <c r="I5700" s="82"/>
      <c r="M5700" s="85"/>
    </row>
    <row r="5701" spans="9:13" x14ac:dyDescent="0.3">
      <c r="I5701" s="82"/>
      <c r="M5701" s="85"/>
    </row>
    <row r="5702" spans="9:13" x14ac:dyDescent="0.3">
      <c r="I5702" s="82"/>
      <c r="M5702" s="85"/>
    </row>
    <row r="5703" spans="9:13" x14ac:dyDescent="0.3">
      <c r="I5703" s="82"/>
      <c r="M5703" s="85"/>
    </row>
    <row r="5704" spans="9:13" x14ac:dyDescent="0.3">
      <c r="I5704" s="82"/>
      <c r="M5704" s="85"/>
    </row>
    <row r="5705" spans="9:13" x14ac:dyDescent="0.3">
      <c r="I5705" s="82"/>
      <c r="M5705" s="85"/>
    </row>
    <row r="5706" spans="9:13" x14ac:dyDescent="0.3">
      <c r="I5706" s="82"/>
      <c r="M5706" s="85"/>
    </row>
    <row r="5707" spans="9:13" x14ac:dyDescent="0.3">
      <c r="I5707" s="82"/>
      <c r="M5707" s="85"/>
    </row>
    <row r="5708" spans="9:13" x14ac:dyDescent="0.3">
      <c r="I5708" s="82"/>
      <c r="M5708" s="85"/>
    </row>
    <row r="5709" spans="9:13" x14ac:dyDescent="0.3">
      <c r="I5709" s="82"/>
      <c r="M5709" s="85"/>
    </row>
    <row r="5710" spans="9:13" x14ac:dyDescent="0.3">
      <c r="I5710" s="82"/>
      <c r="M5710" s="85"/>
    </row>
    <row r="5711" spans="9:13" x14ac:dyDescent="0.3">
      <c r="I5711" s="82"/>
      <c r="M5711" s="85"/>
    </row>
    <row r="5712" spans="9:13" x14ac:dyDescent="0.3">
      <c r="I5712" s="82"/>
      <c r="M5712" s="85"/>
    </row>
    <row r="5713" spans="9:13" x14ac:dyDescent="0.3">
      <c r="I5713" s="82"/>
      <c r="M5713" s="85"/>
    </row>
    <row r="5714" spans="9:13" x14ac:dyDescent="0.3">
      <c r="I5714" s="82"/>
      <c r="M5714" s="85"/>
    </row>
    <row r="5715" spans="9:13" x14ac:dyDescent="0.3">
      <c r="I5715" s="82"/>
      <c r="M5715" s="85"/>
    </row>
    <row r="5716" spans="9:13" x14ac:dyDescent="0.3">
      <c r="I5716" s="82"/>
      <c r="M5716" s="85"/>
    </row>
    <row r="5717" spans="9:13" x14ac:dyDescent="0.3">
      <c r="I5717" s="82"/>
      <c r="M5717" s="85"/>
    </row>
    <row r="5718" spans="9:13" x14ac:dyDescent="0.3">
      <c r="I5718" s="82"/>
      <c r="M5718" s="85"/>
    </row>
    <row r="5719" spans="9:13" x14ac:dyDescent="0.3">
      <c r="I5719" s="82"/>
      <c r="M5719" s="85"/>
    </row>
    <row r="5720" spans="9:13" x14ac:dyDescent="0.3">
      <c r="I5720" s="82"/>
      <c r="M5720" s="85"/>
    </row>
    <row r="5721" spans="9:13" x14ac:dyDescent="0.3">
      <c r="I5721" s="82"/>
      <c r="M5721" s="85"/>
    </row>
    <row r="5722" spans="9:13" x14ac:dyDescent="0.3">
      <c r="I5722" s="82"/>
      <c r="M5722" s="85"/>
    </row>
    <row r="5723" spans="9:13" x14ac:dyDescent="0.3">
      <c r="I5723" s="82"/>
      <c r="M5723" s="85"/>
    </row>
    <row r="5724" spans="9:13" x14ac:dyDescent="0.3">
      <c r="I5724" s="82"/>
      <c r="M5724" s="85"/>
    </row>
    <row r="5725" spans="9:13" x14ac:dyDescent="0.3">
      <c r="I5725" s="82"/>
      <c r="M5725" s="85"/>
    </row>
    <row r="5726" spans="9:13" x14ac:dyDescent="0.3">
      <c r="I5726" s="82"/>
      <c r="M5726" s="85"/>
    </row>
    <row r="5727" spans="9:13" x14ac:dyDescent="0.3">
      <c r="I5727" s="82"/>
      <c r="M5727" s="85"/>
    </row>
    <row r="5728" spans="9:13" x14ac:dyDescent="0.3">
      <c r="I5728" s="82"/>
      <c r="M5728" s="85"/>
    </row>
    <row r="5729" spans="9:13" x14ac:dyDescent="0.3">
      <c r="I5729" s="82"/>
      <c r="M5729" s="85"/>
    </row>
    <row r="5730" spans="9:13" x14ac:dyDescent="0.3">
      <c r="I5730" s="82"/>
      <c r="M5730" s="85"/>
    </row>
    <row r="5731" spans="9:13" x14ac:dyDescent="0.3">
      <c r="I5731" s="82"/>
      <c r="M5731" s="85"/>
    </row>
    <row r="5732" spans="9:13" x14ac:dyDescent="0.3">
      <c r="I5732" s="82"/>
      <c r="M5732" s="85"/>
    </row>
    <row r="5733" spans="9:13" x14ac:dyDescent="0.3">
      <c r="I5733" s="82"/>
      <c r="M5733" s="85"/>
    </row>
    <row r="5734" spans="9:13" x14ac:dyDescent="0.3">
      <c r="I5734" s="82"/>
      <c r="M5734" s="85"/>
    </row>
    <row r="5735" spans="9:13" x14ac:dyDescent="0.3">
      <c r="I5735" s="82"/>
      <c r="M5735" s="85"/>
    </row>
    <row r="5736" spans="9:13" x14ac:dyDescent="0.3">
      <c r="I5736" s="82"/>
      <c r="M5736" s="85"/>
    </row>
    <row r="5737" spans="9:13" x14ac:dyDescent="0.3">
      <c r="I5737" s="82"/>
      <c r="M5737" s="85"/>
    </row>
    <row r="5738" spans="9:13" x14ac:dyDescent="0.3">
      <c r="I5738" s="82"/>
      <c r="M5738" s="85"/>
    </row>
    <row r="5739" spans="9:13" x14ac:dyDescent="0.3">
      <c r="I5739" s="82"/>
      <c r="M5739" s="85"/>
    </row>
    <row r="5740" spans="9:13" x14ac:dyDescent="0.3">
      <c r="I5740" s="82"/>
      <c r="M5740" s="85"/>
    </row>
    <row r="5741" spans="9:13" x14ac:dyDescent="0.3">
      <c r="I5741" s="82"/>
      <c r="M5741" s="85"/>
    </row>
    <row r="5742" spans="9:13" x14ac:dyDescent="0.3">
      <c r="I5742" s="82"/>
      <c r="M5742" s="85"/>
    </row>
    <row r="5743" spans="9:13" x14ac:dyDescent="0.3">
      <c r="I5743" s="82"/>
      <c r="M5743" s="85"/>
    </row>
    <row r="5744" spans="9:13" x14ac:dyDescent="0.3">
      <c r="I5744" s="82"/>
      <c r="M5744" s="85"/>
    </row>
    <row r="5745" spans="9:13" x14ac:dyDescent="0.3">
      <c r="I5745" s="82"/>
      <c r="M5745" s="85"/>
    </row>
    <row r="5746" spans="9:13" x14ac:dyDescent="0.3">
      <c r="I5746" s="82"/>
      <c r="M5746" s="85"/>
    </row>
    <row r="5747" spans="9:13" x14ac:dyDescent="0.3">
      <c r="I5747" s="82"/>
      <c r="M5747" s="85"/>
    </row>
    <row r="5748" spans="9:13" x14ac:dyDescent="0.3">
      <c r="I5748" s="82"/>
      <c r="M5748" s="85"/>
    </row>
    <row r="5749" spans="9:13" x14ac:dyDescent="0.3">
      <c r="I5749" s="82"/>
      <c r="M5749" s="85"/>
    </row>
    <row r="5750" spans="9:13" x14ac:dyDescent="0.3">
      <c r="I5750" s="82"/>
      <c r="M5750" s="85"/>
    </row>
    <row r="5751" spans="9:13" x14ac:dyDescent="0.3">
      <c r="I5751" s="82"/>
      <c r="M5751" s="85"/>
    </row>
    <row r="5752" spans="9:13" x14ac:dyDescent="0.3">
      <c r="I5752" s="82"/>
      <c r="M5752" s="85"/>
    </row>
    <row r="5753" spans="9:13" x14ac:dyDescent="0.3">
      <c r="I5753" s="82"/>
      <c r="M5753" s="85"/>
    </row>
    <row r="5754" spans="9:13" x14ac:dyDescent="0.3">
      <c r="I5754" s="82"/>
      <c r="M5754" s="85"/>
    </row>
    <row r="5755" spans="9:13" x14ac:dyDescent="0.3">
      <c r="I5755" s="82"/>
      <c r="M5755" s="85"/>
    </row>
    <row r="5756" spans="9:13" x14ac:dyDescent="0.3">
      <c r="I5756" s="82"/>
      <c r="M5756" s="85"/>
    </row>
    <row r="5757" spans="9:13" x14ac:dyDescent="0.3">
      <c r="I5757" s="82"/>
      <c r="M5757" s="85"/>
    </row>
    <row r="5758" spans="9:13" x14ac:dyDescent="0.3">
      <c r="I5758" s="82"/>
      <c r="M5758" s="85"/>
    </row>
    <row r="5759" spans="9:13" x14ac:dyDescent="0.3">
      <c r="I5759" s="82"/>
      <c r="M5759" s="85"/>
    </row>
    <row r="5760" spans="9:13" x14ac:dyDescent="0.3">
      <c r="I5760" s="82"/>
      <c r="M5760" s="85"/>
    </row>
    <row r="5761" spans="9:13" x14ac:dyDescent="0.3">
      <c r="I5761" s="82"/>
      <c r="M5761" s="85"/>
    </row>
    <row r="5762" spans="9:13" x14ac:dyDescent="0.3">
      <c r="I5762" s="82"/>
      <c r="M5762" s="85"/>
    </row>
    <row r="5763" spans="9:13" x14ac:dyDescent="0.3">
      <c r="I5763" s="82"/>
      <c r="M5763" s="85"/>
    </row>
    <row r="5764" spans="9:13" x14ac:dyDescent="0.3">
      <c r="I5764" s="82"/>
      <c r="M5764" s="85"/>
    </row>
    <row r="5765" spans="9:13" x14ac:dyDescent="0.3">
      <c r="I5765" s="82"/>
      <c r="M5765" s="85"/>
    </row>
    <row r="5766" spans="9:13" x14ac:dyDescent="0.3">
      <c r="I5766" s="82"/>
      <c r="M5766" s="85"/>
    </row>
    <row r="5767" spans="9:13" x14ac:dyDescent="0.3">
      <c r="I5767" s="82"/>
      <c r="M5767" s="85"/>
    </row>
    <row r="5768" spans="9:13" x14ac:dyDescent="0.3">
      <c r="I5768" s="82"/>
      <c r="M5768" s="85"/>
    </row>
    <row r="5769" spans="9:13" x14ac:dyDescent="0.3">
      <c r="I5769" s="82"/>
      <c r="M5769" s="85"/>
    </row>
    <row r="5770" spans="9:13" x14ac:dyDescent="0.3">
      <c r="I5770" s="82"/>
      <c r="M5770" s="85"/>
    </row>
    <row r="5771" spans="9:13" x14ac:dyDescent="0.3">
      <c r="I5771" s="82"/>
      <c r="M5771" s="85"/>
    </row>
    <row r="5772" spans="9:13" x14ac:dyDescent="0.3">
      <c r="I5772" s="82"/>
      <c r="M5772" s="85"/>
    </row>
    <row r="5773" spans="9:13" x14ac:dyDescent="0.3">
      <c r="I5773" s="82"/>
      <c r="M5773" s="85"/>
    </row>
    <row r="5774" spans="9:13" x14ac:dyDescent="0.3">
      <c r="I5774" s="82"/>
      <c r="M5774" s="85"/>
    </row>
    <row r="5775" spans="9:13" x14ac:dyDescent="0.3">
      <c r="I5775" s="82"/>
      <c r="M5775" s="85"/>
    </row>
    <row r="5776" spans="9:13" x14ac:dyDescent="0.3">
      <c r="I5776" s="82"/>
      <c r="M5776" s="85"/>
    </row>
    <row r="5777" spans="9:13" x14ac:dyDescent="0.3">
      <c r="I5777" s="82"/>
      <c r="M5777" s="85"/>
    </row>
    <row r="5778" spans="9:13" x14ac:dyDescent="0.3">
      <c r="I5778" s="82"/>
      <c r="M5778" s="85"/>
    </row>
    <row r="5779" spans="9:13" x14ac:dyDescent="0.3">
      <c r="I5779" s="82"/>
      <c r="M5779" s="85"/>
    </row>
    <row r="5780" spans="9:13" x14ac:dyDescent="0.3">
      <c r="I5780" s="82"/>
      <c r="M5780" s="85"/>
    </row>
    <row r="5781" spans="9:13" x14ac:dyDescent="0.3">
      <c r="I5781" s="82"/>
      <c r="M5781" s="85"/>
    </row>
    <row r="5782" spans="9:13" x14ac:dyDescent="0.3">
      <c r="I5782" s="82"/>
      <c r="M5782" s="85"/>
    </row>
    <row r="5783" spans="9:13" x14ac:dyDescent="0.3">
      <c r="I5783" s="82"/>
      <c r="M5783" s="85"/>
    </row>
    <row r="5784" spans="9:13" x14ac:dyDescent="0.3">
      <c r="I5784" s="82"/>
      <c r="M5784" s="85"/>
    </row>
    <row r="5785" spans="9:13" x14ac:dyDescent="0.3">
      <c r="I5785" s="82"/>
      <c r="M5785" s="85"/>
    </row>
    <row r="5786" spans="9:13" x14ac:dyDescent="0.3">
      <c r="I5786" s="82"/>
      <c r="M5786" s="85"/>
    </row>
    <row r="5787" spans="9:13" x14ac:dyDescent="0.3">
      <c r="I5787" s="82"/>
      <c r="M5787" s="85"/>
    </row>
    <row r="5788" spans="9:13" x14ac:dyDescent="0.3">
      <c r="I5788" s="82"/>
      <c r="M5788" s="85"/>
    </row>
    <row r="5789" spans="9:13" x14ac:dyDescent="0.3">
      <c r="I5789" s="82"/>
      <c r="M5789" s="85"/>
    </row>
    <row r="5790" spans="9:13" x14ac:dyDescent="0.3">
      <c r="I5790" s="82"/>
      <c r="M5790" s="85"/>
    </row>
    <row r="5791" spans="9:13" x14ac:dyDescent="0.3">
      <c r="I5791" s="82"/>
      <c r="M5791" s="85"/>
    </row>
    <row r="5792" spans="9:13" x14ac:dyDescent="0.3">
      <c r="I5792" s="82"/>
      <c r="M5792" s="85"/>
    </row>
    <row r="5793" spans="9:13" x14ac:dyDescent="0.3">
      <c r="I5793" s="82"/>
      <c r="M5793" s="85"/>
    </row>
    <row r="5794" spans="9:13" x14ac:dyDescent="0.3">
      <c r="I5794" s="82"/>
      <c r="M5794" s="85"/>
    </row>
    <row r="5795" spans="9:13" x14ac:dyDescent="0.3">
      <c r="I5795" s="82"/>
      <c r="M5795" s="85"/>
    </row>
    <row r="5796" spans="9:13" x14ac:dyDescent="0.3">
      <c r="I5796" s="82"/>
      <c r="M5796" s="85"/>
    </row>
    <row r="5797" spans="9:13" x14ac:dyDescent="0.3">
      <c r="I5797" s="82"/>
      <c r="M5797" s="85"/>
    </row>
    <row r="5798" spans="9:13" x14ac:dyDescent="0.3">
      <c r="I5798" s="82"/>
      <c r="M5798" s="85"/>
    </row>
    <row r="5799" spans="9:13" x14ac:dyDescent="0.3">
      <c r="I5799" s="82"/>
      <c r="M5799" s="85"/>
    </row>
    <row r="5800" spans="9:13" x14ac:dyDescent="0.3">
      <c r="I5800" s="82"/>
      <c r="M5800" s="85"/>
    </row>
    <row r="5801" spans="9:13" x14ac:dyDescent="0.3">
      <c r="I5801" s="82"/>
      <c r="M5801" s="85"/>
    </row>
    <row r="5802" spans="9:13" x14ac:dyDescent="0.3">
      <c r="I5802" s="82"/>
      <c r="M5802" s="85"/>
    </row>
    <row r="5803" spans="9:13" x14ac:dyDescent="0.3">
      <c r="I5803" s="82"/>
      <c r="M5803" s="85"/>
    </row>
    <row r="5804" spans="9:13" x14ac:dyDescent="0.3">
      <c r="I5804" s="82"/>
      <c r="M5804" s="85"/>
    </row>
    <row r="5805" spans="9:13" x14ac:dyDescent="0.3">
      <c r="I5805" s="82"/>
      <c r="M5805" s="85"/>
    </row>
    <row r="5806" spans="9:13" x14ac:dyDescent="0.3">
      <c r="I5806" s="82"/>
      <c r="M5806" s="85"/>
    </row>
    <row r="5807" spans="9:13" x14ac:dyDescent="0.3">
      <c r="I5807" s="82"/>
      <c r="M5807" s="85"/>
    </row>
    <row r="5808" spans="9:13" x14ac:dyDescent="0.3">
      <c r="I5808" s="82"/>
      <c r="M5808" s="85"/>
    </row>
    <row r="5809" spans="9:13" x14ac:dyDescent="0.3">
      <c r="I5809" s="82"/>
      <c r="M5809" s="85"/>
    </row>
    <row r="5810" spans="9:13" x14ac:dyDescent="0.3">
      <c r="I5810" s="82"/>
      <c r="M5810" s="85"/>
    </row>
    <row r="5811" spans="9:13" x14ac:dyDescent="0.3">
      <c r="I5811" s="82"/>
      <c r="M5811" s="85"/>
    </row>
    <row r="5812" spans="9:13" x14ac:dyDescent="0.3">
      <c r="I5812" s="82"/>
      <c r="M5812" s="85"/>
    </row>
    <row r="5813" spans="9:13" x14ac:dyDescent="0.3">
      <c r="I5813" s="82"/>
      <c r="M5813" s="85"/>
    </row>
    <row r="5814" spans="9:13" x14ac:dyDescent="0.3">
      <c r="I5814" s="82"/>
      <c r="M5814" s="85"/>
    </row>
    <row r="5815" spans="9:13" x14ac:dyDescent="0.3">
      <c r="I5815" s="82"/>
      <c r="M5815" s="85"/>
    </row>
    <row r="5816" spans="9:13" x14ac:dyDescent="0.3">
      <c r="I5816" s="82"/>
      <c r="M5816" s="85"/>
    </row>
    <row r="5817" spans="9:13" x14ac:dyDescent="0.3">
      <c r="I5817" s="82"/>
      <c r="M5817" s="85"/>
    </row>
    <row r="5818" spans="9:13" x14ac:dyDescent="0.3">
      <c r="I5818" s="82"/>
      <c r="M5818" s="85"/>
    </row>
    <row r="5819" spans="9:13" x14ac:dyDescent="0.3">
      <c r="I5819" s="82"/>
      <c r="M5819" s="85"/>
    </row>
    <row r="5820" spans="9:13" x14ac:dyDescent="0.3">
      <c r="I5820" s="82"/>
      <c r="M5820" s="85"/>
    </row>
    <row r="5821" spans="9:13" x14ac:dyDescent="0.3">
      <c r="I5821" s="82"/>
      <c r="M5821" s="85"/>
    </row>
    <row r="5822" spans="9:13" x14ac:dyDescent="0.3">
      <c r="I5822" s="82"/>
      <c r="M5822" s="85"/>
    </row>
    <row r="5823" spans="9:13" x14ac:dyDescent="0.3">
      <c r="I5823" s="82"/>
      <c r="M5823" s="85"/>
    </row>
    <row r="5824" spans="9:13" x14ac:dyDescent="0.3">
      <c r="I5824" s="82"/>
      <c r="M5824" s="85"/>
    </row>
    <row r="5825" spans="9:13" x14ac:dyDescent="0.3">
      <c r="I5825" s="82"/>
      <c r="M5825" s="85"/>
    </row>
    <row r="5826" spans="9:13" x14ac:dyDescent="0.3">
      <c r="I5826" s="82"/>
      <c r="M5826" s="85"/>
    </row>
    <row r="5827" spans="9:13" x14ac:dyDescent="0.3">
      <c r="I5827" s="82"/>
      <c r="M5827" s="85"/>
    </row>
    <row r="5828" spans="9:13" x14ac:dyDescent="0.3">
      <c r="I5828" s="82"/>
      <c r="M5828" s="85"/>
    </row>
    <row r="5829" spans="9:13" x14ac:dyDescent="0.3">
      <c r="I5829" s="82"/>
      <c r="M5829" s="85"/>
    </row>
    <row r="5830" spans="9:13" x14ac:dyDescent="0.3">
      <c r="I5830" s="82"/>
      <c r="M5830" s="85"/>
    </row>
    <row r="5831" spans="9:13" x14ac:dyDescent="0.3">
      <c r="I5831" s="82"/>
      <c r="M5831" s="85"/>
    </row>
    <row r="5832" spans="9:13" x14ac:dyDescent="0.3">
      <c r="I5832" s="82"/>
      <c r="M5832" s="85"/>
    </row>
    <row r="5833" spans="9:13" x14ac:dyDescent="0.3">
      <c r="I5833" s="82"/>
      <c r="M5833" s="85"/>
    </row>
    <row r="5834" spans="9:13" x14ac:dyDescent="0.3">
      <c r="I5834" s="82"/>
      <c r="M5834" s="85"/>
    </row>
    <row r="5835" spans="9:13" x14ac:dyDescent="0.3">
      <c r="I5835" s="82"/>
      <c r="M5835" s="85"/>
    </row>
    <row r="5836" spans="9:13" x14ac:dyDescent="0.3">
      <c r="I5836" s="82"/>
      <c r="M5836" s="85"/>
    </row>
    <row r="5837" spans="9:13" x14ac:dyDescent="0.3">
      <c r="I5837" s="82"/>
      <c r="M5837" s="85"/>
    </row>
    <row r="5838" spans="9:13" x14ac:dyDescent="0.3">
      <c r="I5838" s="82"/>
      <c r="M5838" s="85"/>
    </row>
    <row r="5839" spans="9:13" x14ac:dyDescent="0.3">
      <c r="I5839" s="82"/>
      <c r="M5839" s="85"/>
    </row>
    <row r="5840" spans="9:13" x14ac:dyDescent="0.3">
      <c r="I5840" s="82"/>
      <c r="M5840" s="85"/>
    </row>
    <row r="5841" spans="9:13" x14ac:dyDescent="0.3">
      <c r="I5841" s="82"/>
      <c r="M5841" s="85"/>
    </row>
    <row r="5842" spans="9:13" x14ac:dyDescent="0.3">
      <c r="I5842" s="82"/>
      <c r="M5842" s="85"/>
    </row>
    <row r="5843" spans="9:13" x14ac:dyDescent="0.3">
      <c r="I5843" s="82"/>
      <c r="M5843" s="85"/>
    </row>
    <row r="5844" spans="9:13" x14ac:dyDescent="0.3">
      <c r="I5844" s="82"/>
      <c r="M5844" s="85"/>
    </row>
    <row r="5845" spans="9:13" x14ac:dyDescent="0.3">
      <c r="I5845" s="82"/>
      <c r="M5845" s="85"/>
    </row>
    <row r="5846" spans="9:13" x14ac:dyDescent="0.3">
      <c r="I5846" s="82"/>
      <c r="M5846" s="85"/>
    </row>
    <row r="5847" spans="9:13" x14ac:dyDescent="0.3">
      <c r="I5847" s="82"/>
      <c r="M5847" s="85"/>
    </row>
    <row r="5848" spans="9:13" x14ac:dyDescent="0.3">
      <c r="I5848" s="82"/>
      <c r="M5848" s="85"/>
    </row>
    <row r="5849" spans="9:13" x14ac:dyDescent="0.3">
      <c r="I5849" s="82"/>
      <c r="M5849" s="85"/>
    </row>
    <row r="5850" spans="9:13" x14ac:dyDescent="0.3">
      <c r="I5850" s="82"/>
      <c r="M5850" s="85"/>
    </row>
    <row r="5851" spans="9:13" x14ac:dyDescent="0.3">
      <c r="I5851" s="82"/>
      <c r="M5851" s="85"/>
    </row>
    <row r="5852" spans="9:13" x14ac:dyDescent="0.3">
      <c r="I5852" s="82"/>
      <c r="M5852" s="85"/>
    </row>
    <row r="5853" spans="9:13" x14ac:dyDescent="0.3">
      <c r="I5853" s="82"/>
      <c r="M5853" s="85"/>
    </row>
    <row r="5854" spans="9:13" x14ac:dyDescent="0.3">
      <c r="I5854" s="82"/>
      <c r="M5854" s="85"/>
    </row>
    <row r="5855" spans="9:13" x14ac:dyDescent="0.3">
      <c r="I5855" s="82"/>
      <c r="M5855" s="85"/>
    </row>
    <row r="5856" spans="9:13" x14ac:dyDescent="0.3">
      <c r="I5856" s="82"/>
      <c r="M5856" s="85"/>
    </row>
    <row r="5857" spans="9:13" x14ac:dyDescent="0.3">
      <c r="I5857" s="82"/>
      <c r="M5857" s="85"/>
    </row>
    <row r="5858" spans="9:13" x14ac:dyDescent="0.3">
      <c r="I5858" s="82"/>
      <c r="M5858" s="85"/>
    </row>
    <row r="5859" spans="9:13" x14ac:dyDescent="0.3">
      <c r="I5859" s="82"/>
      <c r="M5859" s="85"/>
    </row>
    <row r="5860" spans="9:13" x14ac:dyDescent="0.3">
      <c r="I5860" s="82"/>
      <c r="M5860" s="85"/>
    </row>
    <row r="5861" spans="9:13" x14ac:dyDescent="0.3">
      <c r="I5861" s="82"/>
      <c r="M5861" s="85"/>
    </row>
    <row r="5862" spans="9:13" x14ac:dyDescent="0.3">
      <c r="I5862" s="82"/>
      <c r="M5862" s="85"/>
    </row>
    <row r="5863" spans="9:13" x14ac:dyDescent="0.3">
      <c r="I5863" s="82"/>
      <c r="M5863" s="85"/>
    </row>
    <row r="5864" spans="9:13" x14ac:dyDescent="0.3">
      <c r="I5864" s="82"/>
      <c r="M5864" s="85"/>
    </row>
    <row r="5865" spans="9:13" x14ac:dyDescent="0.3">
      <c r="I5865" s="82"/>
      <c r="M5865" s="85"/>
    </row>
    <row r="5866" spans="9:13" x14ac:dyDescent="0.3">
      <c r="I5866" s="82"/>
      <c r="M5866" s="85"/>
    </row>
    <row r="5867" spans="9:13" x14ac:dyDescent="0.3">
      <c r="I5867" s="82"/>
      <c r="M5867" s="85"/>
    </row>
    <row r="5868" spans="9:13" x14ac:dyDescent="0.3">
      <c r="I5868" s="82"/>
      <c r="M5868" s="85"/>
    </row>
    <row r="5869" spans="9:13" x14ac:dyDescent="0.3">
      <c r="I5869" s="82"/>
      <c r="M5869" s="85"/>
    </row>
    <row r="5870" spans="9:13" x14ac:dyDescent="0.3">
      <c r="I5870" s="82"/>
      <c r="M5870" s="85"/>
    </row>
    <row r="5871" spans="9:13" x14ac:dyDescent="0.3">
      <c r="I5871" s="82"/>
      <c r="M5871" s="85"/>
    </row>
    <row r="5872" spans="9:13" x14ac:dyDescent="0.3">
      <c r="I5872" s="82"/>
      <c r="M5872" s="85"/>
    </row>
    <row r="5873" spans="9:13" x14ac:dyDescent="0.3">
      <c r="I5873" s="82"/>
      <c r="M5873" s="85"/>
    </row>
    <row r="5874" spans="9:13" x14ac:dyDescent="0.3">
      <c r="I5874" s="82"/>
      <c r="M5874" s="85"/>
    </row>
    <row r="5875" spans="9:13" x14ac:dyDescent="0.3">
      <c r="I5875" s="82"/>
      <c r="M5875" s="85"/>
    </row>
    <row r="5876" spans="9:13" x14ac:dyDescent="0.3">
      <c r="I5876" s="82"/>
      <c r="M5876" s="85"/>
    </row>
    <row r="5877" spans="9:13" x14ac:dyDescent="0.3">
      <c r="I5877" s="82"/>
      <c r="M5877" s="85"/>
    </row>
    <row r="5878" spans="9:13" x14ac:dyDescent="0.3">
      <c r="I5878" s="82"/>
      <c r="M5878" s="85"/>
    </row>
    <row r="5879" spans="9:13" x14ac:dyDescent="0.3">
      <c r="I5879" s="82"/>
      <c r="M5879" s="85"/>
    </row>
    <row r="5880" spans="9:13" x14ac:dyDescent="0.3">
      <c r="I5880" s="82"/>
      <c r="M5880" s="85"/>
    </row>
    <row r="5881" spans="9:13" x14ac:dyDescent="0.3">
      <c r="I5881" s="82"/>
      <c r="M5881" s="85"/>
    </row>
    <row r="5882" spans="9:13" x14ac:dyDescent="0.3">
      <c r="I5882" s="82"/>
      <c r="M5882" s="85"/>
    </row>
    <row r="5883" spans="9:13" x14ac:dyDescent="0.3">
      <c r="I5883" s="82"/>
      <c r="M5883" s="85"/>
    </row>
    <row r="5884" spans="9:13" x14ac:dyDescent="0.3">
      <c r="I5884" s="82"/>
      <c r="M5884" s="85"/>
    </row>
    <row r="5885" spans="9:13" x14ac:dyDescent="0.3">
      <c r="I5885" s="82"/>
      <c r="M5885" s="85"/>
    </row>
    <row r="5886" spans="9:13" x14ac:dyDescent="0.3">
      <c r="I5886" s="82"/>
      <c r="M5886" s="85"/>
    </row>
    <row r="5887" spans="9:13" x14ac:dyDescent="0.3">
      <c r="I5887" s="82"/>
      <c r="M5887" s="85"/>
    </row>
    <row r="5888" spans="9:13" x14ac:dyDescent="0.3">
      <c r="I5888" s="82"/>
      <c r="M5888" s="85"/>
    </row>
    <row r="5889" spans="9:13" x14ac:dyDescent="0.3">
      <c r="I5889" s="82"/>
      <c r="M5889" s="85"/>
    </row>
    <row r="5890" spans="9:13" x14ac:dyDescent="0.3">
      <c r="I5890" s="82"/>
      <c r="M5890" s="85"/>
    </row>
    <row r="5891" spans="9:13" x14ac:dyDescent="0.3">
      <c r="I5891" s="82"/>
      <c r="M5891" s="85"/>
    </row>
    <row r="5892" spans="9:13" x14ac:dyDescent="0.3">
      <c r="I5892" s="82"/>
      <c r="M5892" s="85"/>
    </row>
    <row r="5893" spans="9:13" x14ac:dyDescent="0.3">
      <c r="I5893" s="82"/>
      <c r="M5893" s="85"/>
    </row>
    <row r="5894" spans="9:13" x14ac:dyDescent="0.3">
      <c r="I5894" s="82"/>
      <c r="M5894" s="85"/>
    </row>
    <row r="5895" spans="9:13" x14ac:dyDescent="0.3">
      <c r="I5895" s="82"/>
      <c r="M5895" s="85"/>
    </row>
    <row r="5896" spans="9:13" x14ac:dyDescent="0.3">
      <c r="I5896" s="82"/>
      <c r="M5896" s="85"/>
    </row>
    <row r="5897" spans="9:13" x14ac:dyDescent="0.3">
      <c r="I5897" s="82"/>
      <c r="M5897" s="85"/>
    </row>
    <row r="5898" spans="9:13" x14ac:dyDescent="0.3">
      <c r="I5898" s="82"/>
      <c r="M5898" s="85"/>
    </row>
    <row r="5899" spans="9:13" x14ac:dyDescent="0.3">
      <c r="I5899" s="82"/>
      <c r="M5899" s="85"/>
    </row>
    <row r="5900" spans="9:13" x14ac:dyDescent="0.3">
      <c r="I5900" s="82"/>
      <c r="M5900" s="85"/>
    </row>
    <row r="5901" spans="9:13" x14ac:dyDescent="0.3">
      <c r="I5901" s="82"/>
      <c r="M5901" s="85"/>
    </row>
    <row r="5902" spans="9:13" x14ac:dyDescent="0.3">
      <c r="I5902" s="82"/>
      <c r="M5902" s="85"/>
    </row>
    <row r="5903" spans="9:13" x14ac:dyDescent="0.3">
      <c r="I5903" s="82"/>
      <c r="M5903" s="85"/>
    </row>
    <row r="5904" spans="9:13" x14ac:dyDescent="0.3">
      <c r="I5904" s="82"/>
      <c r="M5904" s="85"/>
    </row>
    <row r="5905" spans="9:13" x14ac:dyDescent="0.3">
      <c r="I5905" s="82"/>
      <c r="M5905" s="85"/>
    </row>
    <row r="5906" spans="9:13" x14ac:dyDescent="0.3">
      <c r="I5906" s="82"/>
      <c r="M5906" s="85"/>
    </row>
    <row r="5907" spans="9:13" x14ac:dyDescent="0.3">
      <c r="I5907" s="82"/>
      <c r="M5907" s="85"/>
    </row>
    <row r="5908" spans="9:13" x14ac:dyDescent="0.3">
      <c r="I5908" s="82"/>
      <c r="M5908" s="85"/>
    </row>
    <row r="5909" spans="9:13" x14ac:dyDescent="0.3">
      <c r="I5909" s="82"/>
      <c r="M5909" s="85"/>
    </row>
    <row r="5910" spans="9:13" x14ac:dyDescent="0.3">
      <c r="I5910" s="82"/>
      <c r="M5910" s="85"/>
    </row>
    <row r="5911" spans="9:13" x14ac:dyDescent="0.3">
      <c r="I5911" s="82"/>
      <c r="M5911" s="85"/>
    </row>
    <row r="5912" spans="9:13" x14ac:dyDescent="0.3">
      <c r="I5912" s="82"/>
      <c r="M5912" s="85"/>
    </row>
    <row r="5913" spans="9:13" x14ac:dyDescent="0.3">
      <c r="I5913" s="82"/>
      <c r="M5913" s="85"/>
    </row>
    <row r="5914" spans="9:13" x14ac:dyDescent="0.3">
      <c r="I5914" s="82"/>
      <c r="M5914" s="85"/>
    </row>
    <row r="5915" spans="9:13" x14ac:dyDescent="0.3">
      <c r="I5915" s="82"/>
      <c r="M5915" s="85"/>
    </row>
    <row r="5916" spans="9:13" x14ac:dyDescent="0.3">
      <c r="I5916" s="82"/>
      <c r="M5916" s="85"/>
    </row>
    <row r="5917" spans="9:13" x14ac:dyDescent="0.3">
      <c r="I5917" s="82"/>
      <c r="M5917" s="85"/>
    </row>
    <row r="5918" spans="9:13" x14ac:dyDescent="0.3">
      <c r="I5918" s="82"/>
      <c r="M5918" s="85"/>
    </row>
    <row r="5919" spans="9:13" x14ac:dyDescent="0.3">
      <c r="I5919" s="82"/>
      <c r="M5919" s="85"/>
    </row>
    <row r="5920" spans="9:13" x14ac:dyDescent="0.3">
      <c r="I5920" s="82"/>
      <c r="M5920" s="85"/>
    </row>
    <row r="5921" spans="9:13" x14ac:dyDescent="0.3">
      <c r="I5921" s="82"/>
      <c r="M5921" s="85"/>
    </row>
    <row r="5922" spans="9:13" x14ac:dyDescent="0.3">
      <c r="I5922" s="82"/>
      <c r="M5922" s="85"/>
    </row>
    <row r="5923" spans="9:13" x14ac:dyDescent="0.3">
      <c r="I5923" s="82"/>
      <c r="M5923" s="85"/>
    </row>
    <row r="5924" spans="9:13" x14ac:dyDescent="0.3">
      <c r="I5924" s="82"/>
      <c r="M5924" s="85"/>
    </row>
    <row r="5925" spans="9:13" x14ac:dyDescent="0.3">
      <c r="I5925" s="82"/>
      <c r="M5925" s="85"/>
    </row>
    <row r="5926" spans="9:13" x14ac:dyDescent="0.3">
      <c r="I5926" s="82"/>
      <c r="M5926" s="85"/>
    </row>
    <row r="5927" spans="9:13" x14ac:dyDescent="0.3">
      <c r="I5927" s="82"/>
      <c r="M5927" s="85"/>
    </row>
    <row r="5928" spans="9:13" x14ac:dyDescent="0.3">
      <c r="I5928" s="82"/>
      <c r="M5928" s="85"/>
    </row>
    <row r="5929" spans="9:13" x14ac:dyDescent="0.3">
      <c r="I5929" s="82"/>
      <c r="M5929" s="85"/>
    </row>
    <row r="5930" spans="9:13" x14ac:dyDescent="0.3">
      <c r="I5930" s="82"/>
      <c r="M5930" s="85"/>
    </row>
    <row r="5931" spans="9:13" x14ac:dyDescent="0.3">
      <c r="I5931" s="82"/>
      <c r="M5931" s="85"/>
    </row>
    <row r="5932" spans="9:13" x14ac:dyDescent="0.3">
      <c r="I5932" s="82"/>
      <c r="M5932" s="85"/>
    </row>
    <row r="5933" spans="9:13" x14ac:dyDescent="0.3">
      <c r="I5933" s="82"/>
      <c r="M5933" s="85"/>
    </row>
    <row r="5934" spans="9:13" x14ac:dyDescent="0.3">
      <c r="I5934" s="82"/>
      <c r="M5934" s="85"/>
    </row>
    <row r="5935" spans="9:13" x14ac:dyDescent="0.3">
      <c r="I5935" s="82"/>
      <c r="M5935" s="85"/>
    </row>
    <row r="5936" spans="9:13" x14ac:dyDescent="0.3">
      <c r="I5936" s="82"/>
      <c r="M5936" s="85"/>
    </row>
    <row r="5937" spans="9:13" x14ac:dyDescent="0.3">
      <c r="I5937" s="82"/>
      <c r="M5937" s="85"/>
    </row>
    <row r="5938" spans="9:13" x14ac:dyDescent="0.3">
      <c r="I5938" s="82"/>
      <c r="M5938" s="85"/>
    </row>
    <row r="5939" spans="9:13" x14ac:dyDescent="0.3">
      <c r="I5939" s="82"/>
      <c r="M5939" s="85"/>
    </row>
    <row r="5940" spans="9:13" x14ac:dyDescent="0.3">
      <c r="I5940" s="82"/>
      <c r="M5940" s="85"/>
    </row>
    <row r="5941" spans="9:13" x14ac:dyDescent="0.3">
      <c r="I5941" s="82"/>
      <c r="M5941" s="85"/>
    </row>
    <row r="5942" spans="9:13" x14ac:dyDescent="0.3">
      <c r="I5942" s="82"/>
      <c r="M5942" s="85"/>
    </row>
    <row r="5943" spans="9:13" x14ac:dyDescent="0.3">
      <c r="I5943" s="82"/>
      <c r="M5943" s="85"/>
    </row>
    <row r="5944" spans="9:13" x14ac:dyDescent="0.3">
      <c r="I5944" s="82"/>
      <c r="M5944" s="85"/>
    </row>
    <row r="5945" spans="9:13" x14ac:dyDescent="0.3">
      <c r="I5945" s="82"/>
      <c r="M5945" s="85"/>
    </row>
    <row r="5946" spans="9:13" x14ac:dyDescent="0.3">
      <c r="I5946" s="82"/>
      <c r="M5946" s="85"/>
    </row>
    <row r="5947" spans="9:13" x14ac:dyDescent="0.3">
      <c r="I5947" s="82"/>
      <c r="M5947" s="85"/>
    </row>
    <row r="5948" spans="9:13" x14ac:dyDescent="0.3">
      <c r="I5948" s="82"/>
      <c r="M5948" s="85"/>
    </row>
    <row r="5949" spans="9:13" x14ac:dyDescent="0.3">
      <c r="I5949" s="82"/>
      <c r="M5949" s="85"/>
    </row>
    <row r="5950" spans="9:13" x14ac:dyDescent="0.3">
      <c r="I5950" s="82"/>
      <c r="M5950" s="85"/>
    </row>
    <row r="5951" spans="9:13" x14ac:dyDescent="0.3">
      <c r="I5951" s="82"/>
      <c r="M5951" s="85"/>
    </row>
    <row r="5952" spans="9:13" x14ac:dyDescent="0.3">
      <c r="I5952" s="82"/>
      <c r="M5952" s="85"/>
    </row>
    <row r="5953" spans="9:13" x14ac:dyDescent="0.3">
      <c r="I5953" s="82"/>
      <c r="M5953" s="85"/>
    </row>
    <row r="5954" spans="9:13" x14ac:dyDescent="0.3">
      <c r="I5954" s="82"/>
      <c r="M5954" s="85"/>
    </row>
    <row r="5955" spans="9:13" x14ac:dyDescent="0.3">
      <c r="I5955" s="82"/>
      <c r="M5955" s="85"/>
    </row>
    <row r="5956" spans="9:13" x14ac:dyDescent="0.3">
      <c r="I5956" s="82"/>
      <c r="M5956" s="85"/>
    </row>
    <row r="5957" spans="9:13" x14ac:dyDescent="0.3">
      <c r="I5957" s="82"/>
      <c r="M5957" s="85"/>
    </row>
    <row r="5958" spans="9:13" x14ac:dyDescent="0.3">
      <c r="I5958" s="82"/>
      <c r="M5958" s="85"/>
    </row>
    <row r="5959" spans="9:13" x14ac:dyDescent="0.3">
      <c r="I5959" s="82"/>
      <c r="M5959" s="85"/>
    </row>
    <row r="5960" spans="9:13" x14ac:dyDescent="0.3">
      <c r="I5960" s="82"/>
      <c r="M5960" s="85"/>
    </row>
    <row r="5961" spans="9:13" x14ac:dyDescent="0.3">
      <c r="I5961" s="82"/>
      <c r="M5961" s="85"/>
    </row>
    <row r="5962" spans="9:13" x14ac:dyDescent="0.3">
      <c r="I5962" s="82"/>
      <c r="M5962" s="85"/>
    </row>
    <row r="5963" spans="9:13" x14ac:dyDescent="0.3">
      <c r="I5963" s="82"/>
      <c r="M5963" s="85"/>
    </row>
    <row r="5964" spans="9:13" x14ac:dyDescent="0.3">
      <c r="I5964" s="82"/>
      <c r="M5964" s="85"/>
    </row>
    <row r="5965" spans="9:13" x14ac:dyDescent="0.3">
      <c r="I5965" s="82"/>
      <c r="M5965" s="85"/>
    </row>
    <row r="5966" spans="9:13" x14ac:dyDescent="0.3">
      <c r="I5966" s="82"/>
      <c r="M5966" s="85"/>
    </row>
    <row r="5967" spans="9:13" x14ac:dyDescent="0.3">
      <c r="I5967" s="82"/>
      <c r="M5967" s="85"/>
    </row>
    <row r="5968" spans="9:13" x14ac:dyDescent="0.3">
      <c r="I5968" s="82"/>
      <c r="M5968" s="85"/>
    </row>
    <row r="5969" spans="9:13" x14ac:dyDescent="0.3">
      <c r="I5969" s="82"/>
      <c r="M5969" s="85"/>
    </row>
    <row r="5970" spans="9:13" x14ac:dyDescent="0.3">
      <c r="I5970" s="82"/>
      <c r="M5970" s="85"/>
    </row>
    <row r="5971" spans="9:13" x14ac:dyDescent="0.3">
      <c r="I5971" s="82"/>
      <c r="M5971" s="85"/>
    </row>
    <row r="5972" spans="9:13" x14ac:dyDescent="0.3">
      <c r="I5972" s="82"/>
      <c r="M5972" s="85"/>
    </row>
    <row r="5973" spans="9:13" x14ac:dyDescent="0.3">
      <c r="I5973" s="82"/>
      <c r="M5973" s="85"/>
    </row>
    <row r="5974" spans="9:13" x14ac:dyDescent="0.3">
      <c r="I5974" s="82"/>
      <c r="M5974" s="85"/>
    </row>
    <row r="5975" spans="9:13" x14ac:dyDescent="0.3">
      <c r="I5975" s="82"/>
      <c r="M5975" s="85"/>
    </row>
    <row r="5976" spans="9:13" x14ac:dyDescent="0.3">
      <c r="I5976" s="82"/>
      <c r="M5976" s="85"/>
    </row>
    <row r="5977" spans="9:13" x14ac:dyDescent="0.3">
      <c r="I5977" s="82"/>
      <c r="M5977" s="85"/>
    </row>
    <row r="5978" spans="9:13" x14ac:dyDescent="0.3">
      <c r="I5978" s="82"/>
      <c r="M5978" s="85"/>
    </row>
    <row r="5979" spans="9:13" x14ac:dyDescent="0.3">
      <c r="I5979" s="82"/>
      <c r="M5979" s="85"/>
    </row>
    <row r="5980" spans="9:13" x14ac:dyDescent="0.3">
      <c r="I5980" s="82"/>
      <c r="M5980" s="85"/>
    </row>
    <row r="5981" spans="9:13" x14ac:dyDescent="0.3">
      <c r="I5981" s="82"/>
      <c r="M5981" s="85"/>
    </row>
    <row r="5982" spans="9:13" x14ac:dyDescent="0.3">
      <c r="I5982" s="82"/>
      <c r="M5982" s="85"/>
    </row>
    <row r="5983" spans="9:13" x14ac:dyDescent="0.3">
      <c r="I5983" s="82"/>
      <c r="M5983" s="85"/>
    </row>
    <row r="5984" spans="9:13" x14ac:dyDescent="0.3">
      <c r="I5984" s="82"/>
      <c r="M5984" s="85"/>
    </row>
    <row r="5985" spans="9:13" x14ac:dyDescent="0.3">
      <c r="I5985" s="82"/>
      <c r="M5985" s="85"/>
    </row>
    <row r="5986" spans="9:13" x14ac:dyDescent="0.3">
      <c r="I5986" s="82"/>
      <c r="M5986" s="85"/>
    </row>
    <row r="5987" spans="9:13" x14ac:dyDescent="0.3">
      <c r="I5987" s="82"/>
      <c r="M5987" s="85"/>
    </row>
    <row r="5988" spans="9:13" x14ac:dyDescent="0.3">
      <c r="I5988" s="82"/>
      <c r="M5988" s="85"/>
    </row>
    <row r="5989" spans="9:13" x14ac:dyDescent="0.3">
      <c r="I5989" s="82"/>
      <c r="M5989" s="85"/>
    </row>
    <row r="5990" spans="9:13" x14ac:dyDescent="0.3">
      <c r="I5990" s="82"/>
      <c r="M5990" s="85"/>
    </row>
    <row r="5991" spans="9:13" x14ac:dyDescent="0.3">
      <c r="I5991" s="82"/>
      <c r="M5991" s="85"/>
    </row>
    <row r="5992" spans="9:13" x14ac:dyDescent="0.3">
      <c r="I5992" s="82"/>
      <c r="M5992" s="85"/>
    </row>
    <row r="5993" spans="9:13" x14ac:dyDescent="0.3">
      <c r="I5993" s="82"/>
      <c r="M5993" s="85"/>
    </row>
    <row r="5994" spans="9:13" x14ac:dyDescent="0.3">
      <c r="I5994" s="82"/>
      <c r="M5994" s="85"/>
    </row>
    <row r="5995" spans="9:13" x14ac:dyDescent="0.3">
      <c r="I5995" s="82"/>
      <c r="M5995" s="85"/>
    </row>
    <row r="5996" spans="9:13" x14ac:dyDescent="0.3">
      <c r="I5996" s="82"/>
      <c r="M5996" s="85"/>
    </row>
    <row r="5997" spans="9:13" x14ac:dyDescent="0.3">
      <c r="I5997" s="82"/>
      <c r="M5997" s="85"/>
    </row>
    <row r="5998" spans="9:13" x14ac:dyDescent="0.3">
      <c r="I5998" s="82"/>
      <c r="M5998" s="85"/>
    </row>
    <row r="5999" spans="9:13" x14ac:dyDescent="0.3">
      <c r="I5999" s="82"/>
      <c r="M5999" s="85"/>
    </row>
    <row r="6000" spans="9:13" x14ac:dyDescent="0.3">
      <c r="I6000" s="82"/>
      <c r="M6000" s="85"/>
    </row>
    <row r="6001" spans="9:13" x14ac:dyDescent="0.3">
      <c r="I6001" s="82"/>
      <c r="M6001" s="85"/>
    </row>
    <row r="6002" spans="9:13" x14ac:dyDescent="0.3">
      <c r="I6002" s="82"/>
      <c r="M6002" s="85"/>
    </row>
    <row r="6003" spans="9:13" x14ac:dyDescent="0.3">
      <c r="I6003" s="82"/>
      <c r="M6003" s="85"/>
    </row>
    <row r="6004" spans="9:13" x14ac:dyDescent="0.3">
      <c r="I6004" s="82"/>
      <c r="M6004" s="85"/>
    </row>
    <row r="6005" spans="9:13" x14ac:dyDescent="0.3">
      <c r="I6005" s="82"/>
      <c r="M6005" s="85"/>
    </row>
    <row r="6006" spans="9:13" x14ac:dyDescent="0.3">
      <c r="I6006" s="82"/>
      <c r="M6006" s="85"/>
    </row>
    <row r="6007" spans="9:13" x14ac:dyDescent="0.3">
      <c r="I6007" s="82"/>
      <c r="M6007" s="85"/>
    </row>
    <row r="6008" spans="9:13" x14ac:dyDescent="0.3">
      <c r="I6008" s="82"/>
      <c r="M6008" s="85"/>
    </row>
    <row r="6009" spans="9:13" x14ac:dyDescent="0.3">
      <c r="I6009" s="82"/>
      <c r="M6009" s="85"/>
    </row>
    <row r="6010" spans="9:13" x14ac:dyDescent="0.3">
      <c r="I6010" s="82"/>
      <c r="M6010" s="85"/>
    </row>
    <row r="6011" spans="9:13" x14ac:dyDescent="0.3">
      <c r="I6011" s="82"/>
      <c r="M6011" s="85"/>
    </row>
    <row r="6012" spans="9:13" x14ac:dyDescent="0.3">
      <c r="I6012" s="82"/>
      <c r="M6012" s="85"/>
    </row>
    <row r="6013" spans="9:13" x14ac:dyDescent="0.3">
      <c r="I6013" s="82"/>
      <c r="M6013" s="85"/>
    </row>
    <row r="6014" spans="9:13" x14ac:dyDescent="0.3">
      <c r="I6014" s="82"/>
      <c r="M6014" s="85"/>
    </row>
    <row r="6015" spans="9:13" x14ac:dyDescent="0.3">
      <c r="I6015" s="82"/>
      <c r="M6015" s="85"/>
    </row>
    <row r="6016" spans="9:13" x14ac:dyDescent="0.3">
      <c r="I6016" s="82"/>
      <c r="M6016" s="85"/>
    </row>
    <row r="6017" spans="9:13" x14ac:dyDescent="0.3">
      <c r="I6017" s="82"/>
      <c r="M6017" s="85"/>
    </row>
    <row r="6018" spans="9:13" x14ac:dyDescent="0.3">
      <c r="I6018" s="82"/>
      <c r="M6018" s="85"/>
    </row>
    <row r="6019" spans="9:13" x14ac:dyDescent="0.3">
      <c r="I6019" s="82"/>
      <c r="M6019" s="85"/>
    </row>
    <row r="6020" spans="9:13" x14ac:dyDescent="0.3">
      <c r="I6020" s="82"/>
      <c r="M6020" s="85"/>
    </row>
    <row r="6021" spans="9:13" x14ac:dyDescent="0.3">
      <c r="I6021" s="82"/>
      <c r="M6021" s="85"/>
    </row>
    <row r="6022" spans="9:13" x14ac:dyDescent="0.3">
      <c r="I6022" s="82"/>
      <c r="M6022" s="85"/>
    </row>
    <row r="6023" spans="9:13" x14ac:dyDescent="0.3">
      <c r="I6023" s="82"/>
      <c r="M6023" s="85"/>
    </row>
    <row r="6024" spans="9:13" x14ac:dyDescent="0.3">
      <c r="I6024" s="82"/>
      <c r="M6024" s="85"/>
    </row>
    <row r="6025" spans="9:13" x14ac:dyDescent="0.3">
      <c r="I6025" s="82"/>
      <c r="M6025" s="85"/>
    </row>
    <row r="6026" spans="9:13" x14ac:dyDescent="0.3">
      <c r="I6026" s="82"/>
      <c r="M6026" s="85"/>
    </row>
    <row r="6027" spans="9:13" x14ac:dyDescent="0.3">
      <c r="I6027" s="82"/>
      <c r="M6027" s="85"/>
    </row>
    <row r="6028" spans="9:13" x14ac:dyDescent="0.3">
      <c r="I6028" s="82"/>
      <c r="M6028" s="85"/>
    </row>
    <row r="6029" spans="9:13" x14ac:dyDescent="0.3">
      <c r="I6029" s="82"/>
      <c r="M6029" s="85"/>
    </row>
    <row r="6030" spans="9:13" x14ac:dyDescent="0.3">
      <c r="I6030" s="82"/>
      <c r="M6030" s="85"/>
    </row>
    <row r="6031" spans="9:13" x14ac:dyDescent="0.3">
      <c r="I6031" s="82"/>
      <c r="M6031" s="85"/>
    </row>
    <row r="6032" spans="9:13" x14ac:dyDescent="0.3">
      <c r="I6032" s="82"/>
      <c r="M6032" s="85"/>
    </row>
    <row r="6033" spans="9:13" x14ac:dyDescent="0.3">
      <c r="I6033" s="82"/>
      <c r="M6033" s="85"/>
    </row>
    <row r="6034" spans="9:13" x14ac:dyDescent="0.3">
      <c r="I6034" s="82"/>
      <c r="M6034" s="85"/>
    </row>
    <row r="6035" spans="9:13" x14ac:dyDescent="0.3">
      <c r="I6035" s="82"/>
      <c r="M6035" s="85"/>
    </row>
    <row r="6036" spans="9:13" x14ac:dyDescent="0.3">
      <c r="I6036" s="82"/>
      <c r="M6036" s="85"/>
    </row>
    <row r="6037" spans="9:13" x14ac:dyDescent="0.3">
      <c r="I6037" s="82"/>
      <c r="M6037" s="85"/>
    </row>
    <row r="6038" spans="9:13" x14ac:dyDescent="0.3">
      <c r="I6038" s="82"/>
      <c r="M6038" s="85"/>
    </row>
    <row r="6039" spans="9:13" x14ac:dyDescent="0.3">
      <c r="I6039" s="82"/>
      <c r="M6039" s="85"/>
    </row>
    <row r="6040" spans="9:13" x14ac:dyDescent="0.3">
      <c r="I6040" s="82"/>
      <c r="M6040" s="85"/>
    </row>
    <row r="6041" spans="9:13" x14ac:dyDescent="0.3">
      <c r="I6041" s="82"/>
      <c r="M6041" s="85"/>
    </row>
    <row r="6042" spans="9:13" x14ac:dyDescent="0.3">
      <c r="I6042" s="82"/>
      <c r="M6042" s="85"/>
    </row>
    <row r="6043" spans="9:13" x14ac:dyDescent="0.3">
      <c r="I6043" s="82"/>
      <c r="M6043" s="85"/>
    </row>
    <row r="6044" spans="9:13" x14ac:dyDescent="0.3">
      <c r="I6044" s="82"/>
      <c r="M6044" s="85"/>
    </row>
    <row r="6045" spans="9:13" x14ac:dyDescent="0.3">
      <c r="I6045" s="82"/>
      <c r="M6045" s="85"/>
    </row>
    <row r="6046" spans="9:13" x14ac:dyDescent="0.3">
      <c r="I6046" s="82"/>
      <c r="M6046" s="85"/>
    </row>
    <row r="6047" spans="9:13" x14ac:dyDescent="0.3">
      <c r="I6047" s="82"/>
      <c r="M6047" s="85"/>
    </row>
    <row r="6048" spans="9:13" x14ac:dyDescent="0.3">
      <c r="I6048" s="82"/>
      <c r="M6048" s="85"/>
    </row>
    <row r="6049" spans="9:13" x14ac:dyDescent="0.3">
      <c r="I6049" s="82"/>
      <c r="M6049" s="85"/>
    </row>
    <row r="6050" spans="9:13" x14ac:dyDescent="0.3">
      <c r="I6050" s="82"/>
      <c r="M6050" s="85"/>
    </row>
    <row r="6051" spans="9:13" x14ac:dyDescent="0.3">
      <c r="I6051" s="82"/>
      <c r="M6051" s="85"/>
    </row>
    <row r="6052" spans="9:13" x14ac:dyDescent="0.3">
      <c r="I6052" s="82"/>
      <c r="M6052" s="85"/>
    </row>
    <row r="6053" spans="9:13" x14ac:dyDescent="0.3">
      <c r="I6053" s="82"/>
      <c r="M6053" s="85"/>
    </row>
    <row r="6054" spans="9:13" x14ac:dyDescent="0.3">
      <c r="I6054" s="82"/>
      <c r="M6054" s="85"/>
    </row>
    <row r="6055" spans="9:13" x14ac:dyDescent="0.3">
      <c r="I6055" s="82"/>
      <c r="M6055" s="85"/>
    </row>
    <row r="6056" spans="9:13" x14ac:dyDescent="0.3">
      <c r="I6056" s="82"/>
      <c r="M6056" s="85"/>
    </row>
    <row r="6057" spans="9:13" x14ac:dyDescent="0.3">
      <c r="I6057" s="82"/>
      <c r="M6057" s="85"/>
    </row>
    <row r="6058" spans="9:13" x14ac:dyDescent="0.3">
      <c r="I6058" s="82"/>
      <c r="M6058" s="85"/>
    </row>
    <row r="6059" spans="9:13" x14ac:dyDescent="0.3">
      <c r="I6059" s="82"/>
      <c r="M6059" s="85"/>
    </row>
    <row r="6060" spans="9:13" x14ac:dyDescent="0.3">
      <c r="I6060" s="82"/>
      <c r="M6060" s="85"/>
    </row>
    <row r="6061" spans="9:13" x14ac:dyDescent="0.3">
      <c r="I6061" s="82"/>
      <c r="M6061" s="85"/>
    </row>
    <row r="6062" spans="9:13" x14ac:dyDescent="0.3">
      <c r="I6062" s="82"/>
      <c r="M6062" s="85"/>
    </row>
    <row r="6063" spans="9:13" x14ac:dyDescent="0.3">
      <c r="I6063" s="82"/>
      <c r="M6063" s="85"/>
    </row>
    <row r="6064" spans="9:13" x14ac:dyDescent="0.3">
      <c r="I6064" s="82"/>
      <c r="M6064" s="85"/>
    </row>
    <row r="6065" spans="9:13" x14ac:dyDescent="0.3">
      <c r="I6065" s="82"/>
      <c r="M6065" s="85"/>
    </row>
    <row r="6066" spans="9:13" x14ac:dyDescent="0.3">
      <c r="I6066" s="82"/>
      <c r="M6066" s="85"/>
    </row>
    <row r="6067" spans="9:13" x14ac:dyDescent="0.3">
      <c r="I6067" s="82"/>
      <c r="M6067" s="85"/>
    </row>
    <row r="6068" spans="9:13" x14ac:dyDescent="0.3">
      <c r="I6068" s="82"/>
      <c r="M6068" s="85"/>
    </row>
    <row r="6069" spans="9:13" x14ac:dyDescent="0.3">
      <c r="I6069" s="82"/>
      <c r="M6069" s="85"/>
    </row>
    <row r="6070" spans="9:13" x14ac:dyDescent="0.3">
      <c r="I6070" s="82"/>
      <c r="M6070" s="85"/>
    </row>
    <row r="6071" spans="9:13" x14ac:dyDescent="0.3">
      <c r="I6071" s="82"/>
      <c r="M6071" s="85"/>
    </row>
    <row r="6072" spans="9:13" x14ac:dyDescent="0.3">
      <c r="I6072" s="82"/>
      <c r="M6072" s="85"/>
    </row>
    <row r="6073" spans="9:13" x14ac:dyDescent="0.3">
      <c r="I6073" s="82"/>
      <c r="M6073" s="85"/>
    </row>
    <row r="6074" spans="9:13" x14ac:dyDescent="0.3">
      <c r="I6074" s="82"/>
      <c r="M6074" s="85"/>
    </row>
    <row r="6075" spans="9:13" x14ac:dyDescent="0.3">
      <c r="I6075" s="82"/>
      <c r="M6075" s="85"/>
    </row>
    <row r="6076" spans="9:13" x14ac:dyDescent="0.3">
      <c r="I6076" s="82"/>
      <c r="M6076" s="85"/>
    </row>
    <row r="6077" spans="9:13" x14ac:dyDescent="0.3">
      <c r="I6077" s="82"/>
      <c r="M6077" s="85"/>
    </row>
    <row r="6078" spans="9:13" x14ac:dyDescent="0.3">
      <c r="I6078" s="82"/>
      <c r="M6078" s="85"/>
    </row>
    <row r="6079" spans="9:13" x14ac:dyDescent="0.3">
      <c r="I6079" s="82"/>
      <c r="M6079" s="85"/>
    </row>
    <row r="6080" spans="9:13" x14ac:dyDescent="0.3">
      <c r="I6080" s="82"/>
      <c r="M6080" s="85"/>
    </row>
    <row r="6081" spans="9:13" x14ac:dyDescent="0.3">
      <c r="I6081" s="82"/>
      <c r="M6081" s="85"/>
    </row>
    <row r="6082" spans="9:13" x14ac:dyDescent="0.3">
      <c r="I6082" s="82"/>
      <c r="M6082" s="85"/>
    </row>
    <row r="6083" spans="9:13" x14ac:dyDescent="0.3">
      <c r="I6083" s="82"/>
      <c r="M6083" s="85"/>
    </row>
    <row r="6084" spans="9:13" x14ac:dyDescent="0.3">
      <c r="I6084" s="82"/>
      <c r="M6084" s="85"/>
    </row>
    <row r="6085" spans="9:13" x14ac:dyDescent="0.3">
      <c r="I6085" s="82"/>
      <c r="M6085" s="85"/>
    </row>
    <row r="6086" spans="9:13" x14ac:dyDescent="0.3">
      <c r="I6086" s="82"/>
      <c r="M6086" s="85"/>
    </row>
    <row r="6087" spans="9:13" x14ac:dyDescent="0.3">
      <c r="I6087" s="82"/>
      <c r="M6087" s="85"/>
    </row>
    <row r="6088" spans="9:13" x14ac:dyDescent="0.3">
      <c r="I6088" s="82"/>
      <c r="M6088" s="85"/>
    </row>
    <row r="6089" spans="9:13" x14ac:dyDescent="0.3">
      <c r="I6089" s="82"/>
      <c r="M6089" s="85"/>
    </row>
    <row r="6090" spans="9:13" x14ac:dyDescent="0.3">
      <c r="I6090" s="82"/>
      <c r="M6090" s="85"/>
    </row>
    <row r="6091" spans="9:13" x14ac:dyDescent="0.3">
      <c r="I6091" s="82"/>
      <c r="M6091" s="85"/>
    </row>
    <row r="6092" spans="9:13" x14ac:dyDescent="0.3">
      <c r="I6092" s="82"/>
      <c r="M6092" s="85"/>
    </row>
    <row r="6093" spans="9:13" x14ac:dyDescent="0.3">
      <c r="I6093" s="82"/>
      <c r="M6093" s="85"/>
    </row>
    <row r="6094" spans="9:13" x14ac:dyDescent="0.3">
      <c r="I6094" s="82"/>
      <c r="M6094" s="85"/>
    </row>
    <row r="6095" spans="9:13" x14ac:dyDescent="0.3">
      <c r="I6095" s="82"/>
      <c r="M6095" s="85"/>
    </row>
    <row r="6096" spans="9:13" x14ac:dyDescent="0.3">
      <c r="I6096" s="82"/>
      <c r="M6096" s="85"/>
    </row>
    <row r="6097" spans="9:13" x14ac:dyDescent="0.3">
      <c r="I6097" s="82"/>
      <c r="M6097" s="85"/>
    </row>
    <row r="6098" spans="9:13" x14ac:dyDescent="0.3">
      <c r="I6098" s="82"/>
      <c r="M6098" s="85"/>
    </row>
    <row r="6099" spans="9:13" x14ac:dyDescent="0.3">
      <c r="I6099" s="82"/>
      <c r="M6099" s="85"/>
    </row>
    <row r="6100" spans="9:13" x14ac:dyDescent="0.3">
      <c r="I6100" s="82"/>
      <c r="M6100" s="85"/>
    </row>
    <row r="6101" spans="9:13" x14ac:dyDescent="0.3">
      <c r="I6101" s="82"/>
      <c r="M6101" s="85"/>
    </row>
    <row r="6102" spans="9:13" x14ac:dyDescent="0.3">
      <c r="I6102" s="82"/>
      <c r="M6102" s="85"/>
    </row>
    <row r="6103" spans="9:13" x14ac:dyDescent="0.3">
      <c r="I6103" s="82"/>
      <c r="M6103" s="85"/>
    </row>
    <row r="6104" spans="9:13" x14ac:dyDescent="0.3">
      <c r="I6104" s="82"/>
      <c r="M6104" s="85"/>
    </row>
    <row r="6105" spans="9:13" x14ac:dyDescent="0.3">
      <c r="I6105" s="82"/>
      <c r="M6105" s="85"/>
    </row>
    <row r="6106" spans="9:13" x14ac:dyDescent="0.3">
      <c r="I6106" s="82"/>
      <c r="M6106" s="85"/>
    </row>
    <row r="6107" spans="9:13" x14ac:dyDescent="0.3">
      <c r="I6107" s="82"/>
      <c r="M6107" s="85"/>
    </row>
    <row r="6108" spans="9:13" x14ac:dyDescent="0.3">
      <c r="I6108" s="82"/>
      <c r="M6108" s="85"/>
    </row>
    <row r="6109" spans="9:13" x14ac:dyDescent="0.3">
      <c r="I6109" s="82"/>
      <c r="M6109" s="85"/>
    </row>
    <row r="6110" spans="9:13" x14ac:dyDescent="0.3">
      <c r="I6110" s="82"/>
      <c r="M6110" s="85"/>
    </row>
    <row r="6111" spans="9:13" x14ac:dyDescent="0.3">
      <c r="I6111" s="82"/>
      <c r="M6111" s="85"/>
    </row>
    <row r="6112" spans="9:13" x14ac:dyDescent="0.3">
      <c r="I6112" s="82"/>
      <c r="M6112" s="85"/>
    </row>
    <row r="6113" spans="9:13" x14ac:dyDescent="0.3">
      <c r="I6113" s="82"/>
      <c r="M6113" s="85"/>
    </row>
    <row r="6114" spans="9:13" x14ac:dyDescent="0.3">
      <c r="I6114" s="82"/>
      <c r="M6114" s="85"/>
    </row>
    <row r="6115" spans="9:13" x14ac:dyDescent="0.3">
      <c r="I6115" s="82"/>
      <c r="M6115" s="85"/>
    </row>
    <row r="6116" spans="9:13" x14ac:dyDescent="0.3">
      <c r="I6116" s="82"/>
      <c r="M6116" s="85"/>
    </row>
    <row r="6117" spans="9:13" x14ac:dyDescent="0.3">
      <c r="I6117" s="82"/>
      <c r="M6117" s="85"/>
    </row>
    <row r="6118" spans="9:13" x14ac:dyDescent="0.3">
      <c r="I6118" s="82"/>
      <c r="M6118" s="85"/>
    </row>
    <row r="6119" spans="9:13" x14ac:dyDescent="0.3">
      <c r="I6119" s="82"/>
      <c r="M6119" s="85"/>
    </row>
    <row r="6120" spans="9:13" x14ac:dyDescent="0.3">
      <c r="I6120" s="82"/>
      <c r="M6120" s="85"/>
    </row>
    <row r="6121" spans="9:13" x14ac:dyDescent="0.3">
      <c r="I6121" s="82"/>
      <c r="M6121" s="85"/>
    </row>
    <row r="6122" spans="9:13" x14ac:dyDescent="0.3">
      <c r="I6122" s="82"/>
      <c r="M6122" s="85"/>
    </row>
    <row r="6123" spans="9:13" x14ac:dyDescent="0.3">
      <c r="I6123" s="82"/>
      <c r="M6123" s="85"/>
    </row>
    <row r="6124" spans="9:13" x14ac:dyDescent="0.3">
      <c r="I6124" s="82"/>
      <c r="M6124" s="85"/>
    </row>
    <row r="6125" spans="9:13" x14ac:dyDescent="0.3">
      <c r="I6125" s="82"/>
      <c r="M6125" s="85"/>
    </row>
    <row r="6126" spans="9:13" x14ac:dyDescent="0.3">
      <c r="I6126" s="82"/>
      <c r="M6126" s="85"/>
    </row>
    <row r="6127" spans="9:13" x14ac:dyDescent="0.3">
      <c r="I6127" s="82"/>
      <c r="M6127" s="85"/>
    </row>
    <row r="6128" spans="9:13" x14ac:dyDescent="0.3">
      <c r="I6128" s="82"/>
      <c r="M6128" s="85"/>
    </row>
    <row r="6129" spans="9:13" x14ac:dyDescent="0.3">
      <c r="I6129" s="82"/>
      <c r="M6129" s="85"/>
    </row>
    <row r="6130" spans="9:13" x14ac:dyDescent="0.3">
      <c r="I6130" s="82"/>
      <c r="M6130" s="85"/>
    </row>
    <row r="6131" spans="9:13" x14ac:dyDescent="0.3">
      <c r="I6131" s="82"/>
      <c r="M6131" s="85"/>
    </row>
    <row r="6132" spans="9:13" x14ac:dyDescent="0.3">
      <c r="I6132" s="82"/>
      <c r="M6132" s="85"/>
    </row>
    <row r="6133" spans="9:13" x14ac:dyDescent="0.3">
      <c r="I6133" s="82"/>
      <c r="M6133" s="85"/>
    </row>
    <row r="6134" spans="9:13" x14ac:dyDescent="0.3">
      <c r="I6134" s="82"/>
      <c r="M6134" s="85"/>
    </row>
    <row r="6135" spans="9:13" x14ac:dyDescent="0.3">
      <c r="I6135" s="82"/>
      <c r="M6135" s="85"/>
    </row>
    <row r="6136" spans="9:13" x14ac:dyDescent="0.3">
      <c r="I6136" s="82"/>
      <c r="M6136" s="85"/>
    </row>
    <row r="6137" spans="9:13" x14ac:dyDescent="0.3">
      <c r="I6137" s="82"/>
      <c r="M6137" s="85"/>
    </row>
    <row r="6138" spans="9:13" x14ac:dyDescent="0.3">
      <c r="I6138" s="82"/>
      <c r="M6138" s="85"/>
    </row>
    <row r="6139" spans="9:13" x14ac:dyDescent="0.3">
      <c r="I6139" s="82"/>
      <c r="M6139" s="85"/>
    </row>
    <row r="6140" spans="9:13" x14ac:dyDescent="0.3">
      <c r="I6140" s="82"/>
      <c r="M6140" s="85"/>
    </row>
    <row r="6141" spans="9:13" x14ac:dyDescent="0.3">
      <c r="I6141" s="82"/>
      <c r="M6141" s="85"/>
    </row>
    <row r="6142" spans="9:13" x14ac:dyDescent="0.3">
      <c r="I6142" s="82"/>
      <c r="M6142" s="85"/>
    </row>
    <row r="6143" spans="9:13" x14ac:dyDescent="0.3">
      <c r="I6143" s="82"/>
      <c r="M6143" s="85"/>
    </row>
    <row r="6144" spans="9:13" x14ac:dyDescent="0.3">
      <c r="I6144" s="82"/>
      <c r="M6144" s="85"/>
    </row>
    <row r="6145" spans="9:13" x14ac:dyDescent="0.3">
      <c r="I6145" s="82"/>
      <c r="M6145" s="85"/>
    </row>
    <row r="6146" spans="9:13" x14ac:dyDescent="0.3">
      <c r="I6146" s="82"/>
      <c r="M6146" s="85"/>
    </row>
    <row r="6147" spans="9:13" x14ac:dyDescent="0.3">
      <c r="I6147" s="82"/>
      <c r="M6147" s="85"/>
    </row>
    <row r="6148" spans="9:13" x14ac:dyDescent="0.3">
      <c r="I6148" s="82"/>
      <c r="M6148" s="85"/>
    </row>
    <row r="6149" spans="9:13" x14ac:dyDescent="0.3">
      <c r="I6149" s="82"/>
      <c r="M6149" s="85"/>
    </row>
    <row r="6150" spans="9:13" x14ac:dyDescent="0.3">
      <c r="I6150" s="82"/>
      <c r="M6150" s="85"/>
    </row>
    <row r="6151" spans="9:13" x14ac:dyDescent="0.3">
      <c r="I6151" s="82"/>
      <c r="M6151" s="85"/>
    </row>
    <row r="6152" spans="9:13" x14ac:dyDescent="0.3">
      <c r="I6152" s="82"/>
      <c r="M6152" s="85"/>
    </row>
    <row r="6153" spans="9:13" x14ac:dyDescent="0.3">
      <c r="I6153" s="82"/>
      <c r="M6153" s="85"/>
    </row>
    <row r="6154" spans="9:13" x14ac:dyDescent="0.3">
      <c r="I6154" s="82"/>
      <c r="M6154" s="85"/>
    </row>
    <row r="6155" spans="9:13" x14ac:dyDescent="0.3">
      <c r="I6155" s="82"/>
      <c r="M6155" s="85"/>
    </row>
    <row r="6156" spans="9:13" x14ac:dyDescent="0.3">
      <c r="I6156" s="82"/>
      <c r="M6156" s="85"/>
    </row>
    <row r="6157" spans="9:13" x14ac:dyDescent="0.3">
      <c r="I6157" s="82"/>
      <c r="M6157" s="85"/>
    </row>
    <row r="6158" spans="9:13" x14ac:dyDescent="0.3">
      <c r="I6158" s="82"/>
      <c r="M6158" s="85"/>
    </row>
    <row r="6159" spans="9:13" x14ac:dyDescent="0.3">
      <c r="I6159" s="82"/>
      <c r="M6159" s="85"/>
    </row>
    <row r="6160" spans="9:13" x14ac:dyDescent="0.3">
      <c r="I6160" s="82"/>
      <c r="M6160" s="85"/>
    </row>
    <row r="6161" spans="9:13" x14ac:dyDescent="0.3">
      <c r="I6161" s="82"/>
      <c r="M6161" s="85"/>
    </row>
    <row r="6162" spans="9:13" x14ac:dyDescent="0.3">
      <c r="I6162" s="82"/>
      <c r="M6162" s="85"/>
    </row>
    <row r="6163" spans="9:13" x14ac:dyDescent="0.3">
      <c r="I6163" s="82"/>
      <c r="M6163" s="85"/>
    </row>
    <row r="6164" spans="9:13" x14ac:dyDescent="0.3">
      <c r="I6164" s="82"/>
      <c r="M6164" s="85"/>
    </row>
    <row r="6165" spans="9:13" x14ac:dyDescent="0.3">
      <c r="I6165" s="82"/>
      <c r="M6165" s="85"/>
    </row>
    <row r="6166" spans="9:13" x14ac:dyDescent="0.3">
      <c r="I6166" s="82"/>
      <c r="M6166" s="85"/>
    </row>
    <row r="6167" spans="9:13" x14ac:dyDescent="0.3">
      <c r="I6167" s="82"/>
      <c r="M6167" s="85"/>
    </row>
    <row r="6168" spans="9:13" x14ac:dyDescent="0.3">
      <c r="I6168" s="82"/>
      <c r="M6168" s="85"/>
    </row>
    <row r="6169" spans="9:13" x14ac:dyDescent="0.3">
      <c r="I6169" s="82"/>
      <c r="M6169" s="85"/>
    </row>
    <row r="6170" spans="9:13" x14ac:dyDescent="0.3">
      <c r="I6170" s="82"/>
      <c r="M6170" s="85"/>
    </row>
    <row r="6171" spans="9:13" x14ac:dyDescent="0.3">
      <c r="I6171" s="82"/>
      <c r="M6171" s="85"/>
    </row>
    <row r="6172" spans="9:13" x14ac:dyDescent="0.3">
      <c r="I6172" s="82"/>
      <c r="M6172" s="85"/>
    </row>
    <row r="6173" spans="9:13" x14ac:dyDescent="0.3">
      <c r="I6173" s="82"/>
      <c r="M6173" s="85"/>
    </row>
    <row r="6174" spans="9:13" x14ac:dyDescent="0.3">
      <c r="I6174" s="82"/>
      <c r="M6174" s="85"/>
    </row>
    <row r="6175" spans="9:13" x14ac:dyDescent="0.3">
      <c r="I6175" s="82"/>
      <c r="M6175" s="85"/>
    </row>
    <row r="6176" spans="9:13" x14ac:dyDescent="0.3">
      <c r="I6176" s="82"/>
      <c r="M6176" s="85"/>
    </row>
    <row r="6177" spans="9:13" x14ac:dyDescent="0.3">
      <c r="I6177" s="82"/>
      <c r="M6177" s="85"/>
    </row>
    <row r="6178" spans="9:13" x14ac:dyDescent="0.3">
      <c r="I6178" s="82"/>
      <c r="M6178" s="85"/>
    </row>
    <row r="6179" spans="9:13" x14ac:dyDescent="0.3">
      <c r="I6179" s="82"/>
      <c r="M6179" s="85"/>
    </row>
    <row r="6180" spans="9:13" x14ac:dyDescent="0.3">
      <c r="I6180" s="82"/>
      <c r="M6180" s="85"/>
    </row>
    <row r="6181" spans="9:13" x14ac:dyDescent="0.3">
      <c r="I6181" s="82"/>
      <c r="M6181" s="85"/>
    </row>
    <row r="6182" spans="9:13" x14ac:dyDescent="0.3">
      <c r="I6182" s="82"/>
      <c r="M6182" s="85"/>
    </row>
    <row r="6183" spans="9:13" x14ac:dyDescent="0.3">
      <c r="I6183" s="82"/>
      <c r="M6183" s="85"/>
    </row>
    <row r="6184" spans="9:13" x14ac:dyDescent="0.3">
      <c r="I6184" s="82"/>
      <c r="M6184" s="85"/>
    </row>
    <row r="6185" spans="9:13" x14ac:dyDescent="0.3">
      <c r="I6185" s="82"/>
      <c r="M6185" s="85"/>
    </row>
    <row r="6186" spans="9:13" x14ac:dyDescent="0.3">
      <c r="I6186" s="82"/>
      <c r="M6186" s="85"/>
    </row>
    <row r="6187" spans="9:13" x14ac:dyDescent="0.3">
      <c r="I6187" s="82"/>
      <c r="M6187" s="85"/>
    </row>
    <row r="6188" spans="9:13" x14ac:dyDescent="0.3">
      <c r="I6188" s="82"/>
      <c r="M6188" s="85"/>
    </row>
    <row r="6189" spans="9:13" x14ac:dyDescent="0.3">
      <c r="I6189" s="82"/>
      <c r="M6189" s="85"/>
    </row>
    <row r="6190" spans="9:13" x14ac:dyDescent="0.3">
      <c r="I6190" s="82"/>
      <c r="M6190" s="85"/>
    </row>
    <row r="6191" spans="9:13" x14ac:dyDescent="0.3">
      <c r="I6191" s="82"/>
      <c r="M6191" s="85"/>
    </row>
    <row r="6192" spans="9:13" x14ac:dyDescent="0.3">
      <c r="I6192" s="82"/>
      <c r="M6192" s="85"/>
    </row>
    <row r="6193" spans="9:13" x14ac:dyDescent="0.3">
      <c r="I6193" s="82"/>
      <c r="M6193" s="85"/>
    </row>
    <row r="6194" spans="9:13" x14ac:dyDescent="0.3">
      <c r="I6194" s="82"/>
      <c r="M6194" s="85"/>
    </row>
    <row r="6195" spans="9:13" x14ac:dyDescent="0.3">
      <c r="I6195" s="82"/>
      <c r="M6195" s="85"/>
    </row>
    <row r="6196" spans="9:13" x14ac:dyDescent="0.3">
      <c r="I6196" s="82"/>
      <c r="M6196" s="85"/>
    </row>
    <row r="6197" spans="9:13" x14ac:dyDescent="0.3">
      <c r="I6197" s="82"/>
      <c r="M6197" s="85"/>
    </row>
    <row r="6198" spans="9:13" x14ac:dyDescent="0.3">
      <c r="I6198" s="82"/>
      <c r="M6198" s="85"/>
    </row>
    <row r="6199" spans="9:13" x14ac:dyDescent="0.3">
      <c r="I6199" s="82"/>
      <c r="M6199" s="85"/>
    </row>
    <row r="6200" spans="9:13" x14ac:dyDescent="0.3">
      <c r="I6200" s="82"/>
      <c r="M6200" s="85"/>
    </row>
    <row r="6201" spans="9:13" x14ac:dyDescent="0.3">
      <c r="I6201" s="82"/>
      <c r="M6201" s="85"/>
    </row>
    <row r="6202" spans="9:13" x14ac:dyDescent="0.3">
      <c r="I6202" s="82"/>
      <c r="M6202" s="85"/>
    </row>
    <row r="6203" spans="9:13" x14ac:dyDescent="0.3">
      <c r="I6203" s="82"/>
      <c r="M6203" s="85"/>
    </row>
    <row r="6204" spans="9:13" x14ac:dyDescent="0.3">
      <c r="I6204" s="82"/>
      <c r="M6204" s="85"/>
    </row>
    <row r="6205" spans="9:13" x14ac:dyDescent="0.3">
      <c r="I6205" s="82"/>
      <c r="M6205" s="85"/>
    </row>
    <row r="6206" spans="9:13" x14ac:dyDescent="0.3">
      <c r="I6206" s="82"/>
      <c r="M6206" s="85"/>
    </row>
    <row r="6207" spans="9:13" x14ac:dyDescent="0.3">
      <c r="I6207" s="82"/>
      <c r="M6207" s="85"/>
    </row>
    <row r="6208" spans="9:13" x14ac:dyDescent="0.3">
      <c r="I6208" s="82"/>
      <c r="M6208" s="85"/>
    </row>
    <row r="6209" spans="9:13" x14ac:dyDescent="0.3">
      <c r="I6209" s="82"/>
      <c r="M6209" s="85"/>
    </row>
    <row r="6210" spans="9:13" x14ac:dyDescent="0.3">
      <c r="I6210" s="82"/>
      <c r="M6210" s="85"/>
    </row>
    <row r="6211" spans="9:13" x14ac:dyDescent="0.3">
      <c r="I6211" s="82"/>
      <c r="M6211" s="85"/>
    </row>
    <row r="6212" spans="9:13" x14ac:dyDescent="0.3">
      <c r="I6212" s="82"/>
      <c r="M6212" s="85"/>
    </row>
    <row r="6213" spans="9:13" x14ac:dyDescent="0.3">
      <c r="I6213" s="82"/>
      <c r="M6213" s="85"/>
    </row>
    <row r="6214" spans="9:13" x14ac:dyDescent="0.3">
      <c r="I6214" s="82"/>
      <c r="M6214" s="85"/>
    </row>
    <row r="6215" spans="9:13" x14ac:dyDescent="0.3">
      <c r="I6215" s="82"/>
      <c r="M6215" s="85"/>
    </row>
    <row r="6216" spans="9:13" x14ac:dyDescent="0.3">
      <c r="I6216" s="82"/>
      <c r="M6216" s="85"/>
    </row>
    <row r="6217" spans="9:13" x14ac:dyDescent="0.3">
      <c r="I6217" s="82"/>
      <c r="M6217" s="85"/>
    </row>
    <row r="6218" spans="9:13" x14ac:dyDescent="0.3">
      <c r="I6218" s="82"/>
      <c r="M6218" s="85"/>
    </row>
    <row r="6219" spans="9:13" x14ac:dyDescent="0.3">
      <c r="I6219" s="82"/>
      <c r="M6219" s="85"/>
    </row>
    <row r="6220" spans="9:13" x14ac:dyDescent="0.3">
      <c r="I6220" s="82"/>
      <c r="M6220" s="85"/>
    </row>
    <row r="6221" spans="9:13" x14ac:dyDescent="0.3">
      <c r="I6221" s="82"/>
      <c r="M6221" s="85"/>
    </row>
    <row r="6222" spans="9:13" x14ac:dyDescent="0.3">
      <c r="I6222" s="82"/>
      <c r="M6222" s="85"/>
    </row>
    <row r="6223" spans="9:13" x14ac:dyDescent="0.3">
      <c r="I6223" s="82"/>
      <c r="M6223" s="85"/>
    </row>
    <row r="6224" spans="9:13" x14ac:dyDescent="0.3">
      <c r="I6224" s="82"/>
      <c r="M6224" s="85"/>
    </row>
    <row r="6225" spans="9:13" x14ac:dyDescent="0.3">
      <c r="I6225" s="82"/>
      <c r="M6225" s="85"/>
    </row>
    <row r="6226" spans="9:13" x14ac:dyDescent="0.3">
      <c r="I6226" s="82"/>
      <c r="M6226" s="85"/>
    </row>
    <row r="6227" spans="9:13" x14ac:dyDescent="0.3">
      <c r="I6227" s="82"/>
      <c r="M6227" s="85"/>
    </row>
    <row r="6228" spans="9:13" x14ac:dyDescent="0.3">
      <c r="I6228" s="82"/>
      <c r="M6228" s="85"/>
    </row>
    <row r="6229" spans="9:13" x14ac:dyDescent="0.3">
      <c r="I6229" s="82"/>
      <c r="M6229" s="85"/>
    </row>
    <row r="6230" spans="9:13" x14ac:dyDescent="0.3">
      <c r="I6230" s="82"/>
      <c r="M6230" s="85"/>
    </row>
    <row r="6231" spans="9:13" x14ac:dyDescent="0.3">
      <c r="I6231" s="82"/>
      <c r="M6231" s="85"/>
    </row>
    <row r="6232" spans="9:13" x14ac:dyDescent="0.3">
      <c r="I6232" s="82"/>
      <c r="M6232" s="85"/>
    </row>
    <row r="6233" spans="9:13" x14ac:dyDescent="0.3">
      <c r="I6233" s="82"/>
      <c r="M6233" s="85"/>
    </row>
    <row r="6234" spans="9:13" x14ac:dyDescent="0.3">
      <c r="I6234" s="82"/>
      <c r="M6234" s="85"/>
    </row>
    <row r="6235" spans="9:13" x14ac:dyDescent="0.3">
      <c r="I6235" s="82"/>
      <c r="M6235" s="85"/>
    </row>
    <row r="6236" spans="9:13" x14ac:dyDescent="0.3">
      <c r="I6236" s="82"/>
      <c r="M6236" s="85"/>
    </row>
    <row r="6237" spans="9:13" x14ac:dyDescent="0.3">
      <c r="I6237" s="82"/>
      <c r="M6237" s="85"/>
    </row>
    <row r="6238" spans="9:13" x14ac:dyDescent="0.3">
      <c r="I6238" s="82"/>
      <c r="M6238" s="85"/>
    </row>
    <row r="6239" spans="9:13" x14ac:dyDescent="0.3">
      <c r="I6239" s="82"/>
      <c r="M6239" s="85"/>
    </row>
    <row r="6240" spans="9:13" x14ac:dyDescent="0.3">
      <c r="I6240" s="82"/>
      <c r="M6240" s="85"/>
    </row>
    <row r="6241" spans="9:13" x14ac:dyDescent="0.3">
      <c r="I6241" s="82"/>
      <c r="M6241" s="85"/>
    </row>
    <row r="6242" spans="9:13" x14ac:dyDescent="0.3">
      <c r="I6242" s="82"/>
      <c r="M6242" s="85"/>
    </row>
    <row r="6243" spans="9:13" x14ac:dyDescent="0.3">
      <c r="I6243" s="82"/>
      <c r="M6243" s="85"/>
    </row>
    <row r="6244" spans="9:13" x14ac:dyDescent="0.3">
      <c r="I6244" s="82"/>
      <c r="M6244" s="85"/>
    </row>
    <row r="6245" spans="9:13" x14ac:dyDescent="0.3">
      <c r="I6245" s="82"/>
      <c r="M6245" s="85"/>
    </row>
    <row r="6246" spans="9:13" x14ac:dyDescent="0.3">
      <c r="I6246" s="82"/>
      <c r="M6246" s="85"/>
    </row>
    <row r="6247" spans="9:13" x14ac:dyDescent="0.3">
      <c r="I6247" s="82"/>
      <c r="M6247" s="85"/>
    </row>
    <row r="6248" spans="9:13" x14ac:dyDescent="0.3">
      <c r="I6248" s="82"/>
      <c r="M6248" s="85"/>
    </row>
    <row r="6249" spans="9:13" x14ac:dyDescent="0.3">
      <c r="I6249" s="82"/>
      <c r="M6249" s="85"/>
    </row>
    <row r="6250" spans="9:13" x14ac:dyDescent="0.3">
      <c r="I6250" s="82"/>
      <c r="M6250" s="85"/>
    </row>
    <row r="6251" spans="9:13" x14ac:dyDescent="0.3">
      <c r="I6251" s="82"/>
      <c r="M6251" s="85"/>
    </row>
    <row r="6252" spans="9:13" x14ac:dyDescent="0.3">
      <c r="I6252" s="82"/>
      <c r="M6252" s="85"/>
    </row>
    <row r="6253" spans="9:13" x14ac:dyDescent="0.3">
      <c r="I6253" s="82"/>
      <c r="M6253" s="85"/>
    </row>
    <row r="6254" spans="9:13" x14ac:dyDescent="0.3">
      <c r="I6254" s="82"/>
      <c r="M6254" s="85"/>
    </row>
    <row r="6255" spans="9:13" x14ac:dyDescent="0.3">
      <c r="I6255" s="82"/>
      <c r="M6255" s="85"/>
    </row>
    <row r="6256" spans="9:13" x14ac:dyDescent="0.3">
      <c r="I6256" s="82"/>
      <c r="M6256" s="85"/>
    </row>
    <row r="6257" spans="9:13" x14ac:dyDescent="0.3">
      <c r="I6257" s="82"/>
      <c r="M6257" s="85"/>
    </row>
    <row r="6258" spans="9:13" x14ac:dyDescent="0.3">
      <c r="I6258" s="82"/>
      <c r="M6258" s="85"/>
    </row>
    <row r="6259" spans="9:13" x14ac:dyDescent="0.3">
      <c r="I6259" s="82"/>
      <c r="M6259" s="85"/>
    </row>
    <row r="6260" spans="9:13" x14ac:dyDescent="0.3">
      <c r="I6260" s="82"/>
      <c r="M6260" s="85"/>
    </row>
    <row r="6261" spans="9:13" x14ac:dyDescent="0.3">
      <c r="I6261" s="82"/>
      <c r="M6261" s="85"/>
    </row>
    <row r="6262" spans="9:13" x14ac:dyDescent="0.3">
      <c r="I6262" s="82"/>
      <c r="M6262" s="85"/>
    </row>
    <row r="6263" spans="9:13" x14ac:dyDescent="0.3">
      <c r="I6263" s="82"/>
      <c r="M6263" s="85"/>
    </row>
    <row r="6264" spans="9:13" x14ac:dyDescent="0.3">
      <c r="I6264" s="82"/>
      <c r="M6264" s="85"/>
    </row>
    <row r="6265" spans="9:13" x14ac:dyDescent="0.3">
      <c r="I6265" s="82"/>
      <c r="M6265" s="85"/>
    </row>
    <row r="6266" spans="9:13" x14ac:dyDescent="0.3">
      <c r="I6266" s="82"/>
      <c r="M6266" s="85"/>
    </row>
    <row r="6267" spans="9:13" x14ac:dyDescent="0.3">
      <c r="I6267" s="82"/>
      <c r="M6267" s="85"/>
    </row>
    <row r="6268" spans="9:13" x14ac:dyDescent="0.3">
      <c r="I6268" s="82"/>
      <c r="M6268" s="85"/>
    </row>
    <row r="6269" spans="9:13" x14ac:dyDescent="0.3">
      <c r="I6269" s="82"/>
      <c r="M6269" s="85"/>
    </row>
    <row r="6270" spans="9:13" x14ac:dyDescent="0.3">
      <c r="I6270" s="82"/>
      <c r="M6270" s="85"/>
    </row>
    <row r="6271" spans="9:13" x14ac:dyDescent="0.3">
      <c r="I6271" s="82"/>
      <c r="M6271" s="85"/>
    </row>
    <row r="6272" spans="9:13" x14ac:dyDescent="0.3">
      <c r="I6272" s="82"/>
      <c r="M6272" s="85"/>
    </row>
    <row r="6273" spans="9:13" x14ac:dyDescent="0.3">
      <c r="I6273" s="82"/>
      <c r="M6273" s="85"/>
    </row>
    <row r="6274" spans="9:13" x14ac:dyDescent="0.3">
      <c r="I6274" s="82"/>
      <c r="M6274" s="85"/>
    </row>
    <row r="6275" spans="9:13" x14ac:dyDescent="0.3">
      <c r="I6275" s="82"/>
      <c r="M6275" s="85"/>
    </row>
    <row r="6276" spans="9:13" x14ac:dyDescent="0.3">
      <c r="I6276" s="82"/>
      <c r="M6276" s="85"/>
    </row>
    <row r="6277" spans="9:13" x14ac:dyDescent="0.3">
      <c r="I6277" s="82"/>
      <c r="M6277" s="85"/>
    </row>
    <row r="6278" spans="9:13" x14ac:dyDescent="0.3">
      <c r="I6278" s="82"/>
      <c r="M6278" s="85"/>
    </row>
    <row r="6279" spans="9:13" x14ac:dyDescent="0.3">
      <c r="I6279" s="82"/>
      <c r="M6279" s="85"/>
    </row>
    <row r="6280" spans="9:13" x14ac:dyDescent="0.3">
      <c r="I6280" s="82"/>
      <c r="M6280" s="85"/>
    </row>
    <row r="6281" spans="9:13" x14ac:dyDescent="0.3">
      <c r="I6281" s="82"/>
      <c r="M6281" s="85"/>
    </row>
    <row r="6282" spans="9:13" x14ac:dyDescent="0.3">
      <c r="I6282" s="82"/>
      <c r="M6282" s="85"/>
    </row>
    <row r="6283" spans="9:13" x14ac:dyDescent="0.3">
      <c r="I6283" s="82"/>
      <c r="M6283" s="85"/>
    </row>
    <row r="6284" spans="9:13" x14ac:dyDescent="0.3">
      <c r="I6284" s="82"/>
      <c r="M6284" s="85"/>
    </row>
    <row r="6285" spans="9:13" x14ac:dyDescent="0.3">
      <c r="I6285" s="82"/>
      <c r="M6285" s="85"/>
    </row>
    <row r="6286" spans="9:13" x14ac:dyDescent="0.3">
      <c r="I6286" s="82"/>
      <c r="M6286" s="85"/>
    </row>
    <row r="6287" spans="9:13" x14ac:dyDescent="0.3">
      <c r="I6287" s="82"/>
      <c r="M6287" s="85"/>
    </row>
    <row r="6288" spans="9:13" x14ac:dyDescent="0.3">
      <c r="I6288" s="82"/>
      <c r="M6288" s="85"/>
    </row>
    <row r="6289" spans="9:13" x14ac:dyDescent="0.3">
      <c r="I6289" s="82"/>
      <c r="M6289" s="85"/>
    </row>
    <row r="6290" spans="9:13" x14ac:dyDescent="0.3">
      <c r="I6290" s="82"/>
      <c r="M6290" s="85"/>
    </row>
    <row r="6291" spans="9:13" x14ac:dyDescent="0.3">
      <c r="I6291" s="82"/>
      <c r="M6291" s="85"/>
    </row>
    <row r="6292" spans="9:13" x14ac:dyDescent="0.3">
      <c r="I6292" s="82"/>
      <c r="M6292" s="85"/>
    </row>
    <row r="6293" spans="9:13" x14ac:dyDescent="0.3">
      <c r="I6293" s="82"/>
      <c r="M6293" s="85"/>
    </row>
    <row r="6294" spans="9:13" x14ac:dyDescent="0.3">
      <c r="I6294" s="82"/>
      <c r="M6294" s="85"/>
    </row>
    <row r="6295" spans="9:13" x14ac:dyDescent="0.3">
      <c r="I6295" s="82"/>
      <c r="M6295" s="85"/>
    </row>
    <row r="6296" spans="9:13" x14ac:dyDescent="0.3">
      <c r="I6296" s="82"/>
      <c r="M6296" s="85"/>
    </row>
    <row r="6297" spans="9:13" x14ac:dyDescent="0.3">
      <c r="I6297" s="82"/>
      <c r="M6297" s="85"/>
    </row>
    <row r="6298" spans="9:13" x14ac:dyDescent="0.3">
      <c r="I6298" s="82"/>
      <c r="M6298" s="85"/>
    </row>
    <row r="6299" spans="9:13" x14ac:dyDescent="0.3">
      <c r="I6299" s="82"/>
      <c r="M6299" s="85"/>
    </row>
    <row r="6300" spans="9:13" x14ac:dyDescent="0.3">
      <c r="I6300" s="82"/>
      <c r="M6300" s="85"/>
    </row>
    <row r="6301" spans="9:13" x14ac:dyDescent="0.3">
      <c r="I6301" s="82"/>
      <c r="M6301" s="85"/>
    </row>
    <row r="6302" spans="9:13" x14ac:dyDescent="0.3">
      <c r="I6302" s="82"/>
      <c r="M6302" s="85"/>
    </row>
    <row r="6303" spans="9:13" x14ac:dyDescent="0.3">
      <c r="I6303" s="82"/>
      <c r="M6303" s="85"/>
    </row>
    <row r="6304" spans="9:13" x14ac:dyDescent="0.3">
      <c r="I6304" s="82"/>
      <c r="M6304" s="85"/>
    </row>
    <row r="6305" spans="9:13" x14ac:dyDescent="0.3">
      <c r="I6305" s="82"/>
      <c r="M6305" s="85"/>
    </row>
    <row r="6306" spans="9:13" x14ac:dyDescent="0.3">
      <c r="I6306" s="82"/>
      <c r="M6306" s="85"/>
    </row>
    <row r="6307" spans="9:13" x14ac:dyDescent="0.3">
      <c r="I6307" s="82"/>
      <c r="M6307" s="85"/>
    </row>
    <row r="6308" spans="9:13" x14ac:dyDescent="0.3">
      <c r="I6308" s="82"/>
      <c r="M6308" s="85"/>
    </row>
    <row r="6309" spans="9:13" x14ac:dyDescent="0.3">
      <c r="I6309" s="82"/>
      <c r="M6309" s="85"/>
    </row>
    <row r="6310" spans="9:13" x14ac:dyDescent="0.3">
      <c r="I6310" s="82"/>
      <c r="M6310" s="85"/>
    </row>
    <row r="6311" spans="9:13" x14ac:dyDescent="0.3">
      <c r="I6311" s="82"/>
      <c r="M6311" s="85"/>
    </row>
    <row r="6312" spans="9:13" x14ac:dyDescent="0.3">
      <c r="I6312" s="82"/>
      <c r="M6312" s="85"/>
    </row>
    <row r="6313" spans="9:13" x14ac:dyDescent="0.3">
      <c r="I6313" s="82"/>
      <c r="M6313" s="85"/>
    </row>
    <row r="6314" spans="9:13" x14ac:dyDescent="0.3">
      <c r="I6314" s="82"/>
      <c r="M6314" s="85"/>
    </row>
    <row r="6315" spans="9:13" x14ac:dyDescent="0.3">
      <c r="I6315" s="82"/>
      <c r="M6315" s="85"/>
    </row>
    <row r="6316" spans="9:13" x14ac:dyDescent="0.3">
      <c r="I6316" s="82"/>
      <c r="M6316" s="85"/>
    </row>
    <row r="6317" spans="9:13" x14ac:dyDescent="0.3">
      <c r="I6317" s="82"/>
      <c r="M6317" s="85"/>
    </row>
    <row r="6318" spans="9:13" x14ac:dyDescent="0.3">
      <c r="I6318" s="82"/>
      <c r="M6318" s="85"/>
    </row>
    <row r="6319" spans="9:13" x14ac:dyDescent="0.3">
      <c r="I6319" s="82"/>
      <c r="M6319" s="85"/>
    </row>
    <row r="6320" spans="9:13" x14ac:dyDescent="0.3">
      <c r="I6320" s="82"/>
      <c r="M6320" s="85"/>
    </row>
    <row r="6321" spans="9:13" x14ac:dyDescent="0.3">
      <c r="I6321" s="82"/>
      <c r="M6321" s="85"/>
    </row>
    <row r="6322" spans="9:13" x14ac:dyDescent="0.3">
      <c r="I6322" s="82"/>
      <c r="M6322" s="85"/>
    </row>
    <row r="6323" spans="9:13" x14ac:dyDescent="0.3">
      <c r="I6323" s="82"/>
      <c r="M6323" s="85"/>
    </row>
    <row r="6324" spans="9:13" x14ac:dyDescent="0.3">
      <c r="I6324" s="82"/>
      <c r="M6324" s="85"/>
    </row>
    <row r="6325" spans="9:13" x14ac:dyDescent="0.3">
      <c r="I6325" s="82"/>
      <c r="M6325" s="85"/>
    </row>
    <row r="6326" spans="9:13" x14ac:dyDescent="0.3">
      <c r="I6326" s="82"/>
      <c r="M6326" s="85"/>
    </row>
    <row r="6327" spans="9:13" x14ac:dyDescent="0.3">
      <c r="I6327" s="82"/>
      <c r="M6327" s="85"/>
    </row>
    <row r="6328" spans="9:13" x14ac:dyDescent="0.3">
      <c r="I6328" s="82"/>
      <c r="M6328" s="85"/>
    </row>
    <row r="6329" spans="9:13" x14ac:dyDescent="0.3">
      <c r="I6329" s="82"/>
      <c r="M6329" s="85"/>
    </row>
    <row r="6330" spans="9:13" x14ac:dyDescent="0.3">
      <c r="I6330" s="82"/>
      <c r="M6330" s="85"/>
    </row>
    <row r="6331" spans="9:13" x14ac:dyDescent="0.3">
      <c r="I6331" s="82"/>
      <c r="M6331" s="85"/>
    </row>
    <row r="6332" spans="9:13" x14ac:dyDescent="0.3">
      <c r="I6332" s="82"/>
      <c r="M6332" s="85"/>
    </row>
    <row r="6333" spans="9:13" x14ac:dyDescent="0.3">
      <c r="I6333" s="82"/>
      <c r="M6333" s="85"/>
    </row>
    <row r="6334" spans="9:13" x14ac:dyDescent="0.3">
      <c r="I6334" s="82"/>
      <c r="M6334" s="85"/>
    </row>
    <row r="6335" spans="9:13" x14ac:dyDescent="0.3">
      <c r="I6335" s="82"/>
      <c r="M6335" s="85"/>
    </row>
    <row r="6336" spans="9:13" x14ac:dyDescent="0.3">
      <c r="I6336" s="82"/>
      <c r="M6336" s="85"/>
    </row>
    <row r="6337" spans="9:13" x14ac:dyDescent="0.3">
      <c r="I6337" s="82"/>
      <c r="M6337" s="85"/>
    </row>
    <row r="6338" spans="9:13" x14ac:dyDescent="0.3">
      <c r="I6338" s="82"/>
      <c r="M6338" s="85"/>
    </row>
    <row r="6339" spans="9:13" x14ac:dyDescent="0.3">
      <c r="I6339" s="82"/>
      <c r="M6339" s="85"/>
    </row>
    <row r="6340" spans="9:13" x14ac:dyDescent="0.3">
      <c r="I6340" s="82"/>
      <c r="M6340" s="85"/>
    </row>
    <row r="6341" spans="9:13" x14ac:dyDescent="0.3">
      <c r="I6341" s="82"/>
      <c r="M6341" s="85"/>
    </row>
    <row r="6342" spans="9:13" x14ac:dyDescent="0.3">
      <c r="I6342" s="82"/>
      <c r="M6342" s="85"/>
    </row>
    <row r="6343" spans="9:13" x14ac:dyDescent="0.3">
      <c r="I6343" s="82"/>
      <c r="M6343" s="85"/>
    </row>
    <row r="6344" spans="9:13" x14ac:dyDescent="0.3">
      <c r="I6344" s="82"/>
      <c r="M6344" s="85"/>
    </row>
    <row r="6345" spans="9:13" x14ac:dyDescent="0.3">
      <c r="I6345" s="82"/>
      <c r="M6345" s="85"/>
    </row>
    <row r="6346" spans="9:13" x14ac:dyDescent="0.3">
      <c r="I6346" s="82"/>
      <c r="M6346" s="85"/>
    </row>
    <row r="6347" spans="9:13" x14ac:dyDescent="0.3">
      <c r="I6347" s="82"/>
      <c r="M6347" s="85"/>
    </row>
    <row r="6348" spans="9:13" x14ac:dyDescent="0.3">
      <c r="I6348" s="82"/>
      <c r="M6348" s="85"/>
    </row>
    <row r="6349" spans="9:13" x14ac:dyDescent="0.3">
      <c r="I6349" s="82"/>
      <c r="M6349" s="85"/>
    </row>
    <row r="6350" spans="9:13" x14ac:dyDescent="0.3">
      <c r="I6350" s="82"/>
      <c r="M6350" s="85"/>
    </row>
    <row r="6351" spans="9:13" x14ac:dyDescent="0.3">
      <c r="I6351" s="82"/>
      <c r="M6351" s="85"/>
    </row>
    <row r="6352" spans="9:13" x14ac:dyDescent="0.3">
      <c r="I6352" s="82"/>
      <c r="M6352" s="85"/>
    </row>
    <row r="6353" spans="9:13" x14ac:dyDescent="0.3">
      <c r="I6353" s="82"/>
      <c r="M6353" s="85"/>
    </row>
    <row r="6354" spans="9:13" x14ac:dyDescent="0.3">
      <c r="I6354" s="82"/>
      <c r="M6354" s="85"/>
    </row>
    <row r="6355" spans="9:13" x14ac:dyDescent="0.3">
      <c r="I6355" s="82"/>
      <c r="M6355" s="85"/>
    </row>
    <row r="6356" spans="9:13" x14ac:dyDescent="0.3">
      <c r="I6356" s="82"/>
      <c r="M6356" s="85"/>
    </row>
    <row r="6357" spans="9:13" x14ac:dyDescent="0.3">
      <c r="I6357" s="82"/>
      <c r="M6357" s="85"/>
    </row>
    <row r="6358" spans="9:13" x14ac:dyDescent="0.3">
      <c r="I6358" s="82"/>
      <c r="M6358" s="85"/>
    </row>
    <row r="6359" spans="9:13" x14ac:dyDescent="0.3">
      <c r="I6359" s="82"/>
      <c r="M6359" s="85"/>
    </row>
    <row r="6360" spans="9:13" x14ac:dyDescent="0.3">
      <c r="I6360" s="82"/>
      <c r="M6360" s="85"/>
    </row>
    <row r="6361" spans="9:13" x14ac:dyDescent="0.3">
      <c r="I6361" s="82"/>
      <c r="M6361" s="85"/>
    </row>
    <row r="6362" spans="9:13" x14ac:dyDescent="0.3">
      <c r="I6362" s="82"/>
      <c r="M6362" s="85"/>
    </row>
    <row r="6363" spans="9:13" x14ac:dyDescent="0.3">
      <c r="I6363" s="82"/>
      <c r="M6363" s="85"/>
    </row>
    <row r="6364" spans="9:13" x14ac:dyDescent="0.3">
      <c r="I6364" s="82"/>
      <c r="M6364" s="85"/>
    </row>
    <row r="6365" spans="9:13" x14ac:dyDescent="0.3">
      <c r="I6365" s="82"/>
      <c r="M6365" s="85"/>
    </row>
    <row r="6366" spans="9:13" x14ac:dyDescent="0.3">
      <c r="I6366" s="82"/>
      <c r="M6366" s="85"/>
    </row>
    <row r="6367" spans="9:13" x14ac:dyDescent="0.3">
      <c r="I6367" s="82"/>
      <c r="M6367" s="85"/>
    </row>
    <row r="6368" spans="9:13" x14ac:dyDescent="0.3">
      <c r="I6368" s="82"/>
      <c r="M6368" s="85"/>
    </row>
    <row r="6369" spans="9:13" x14ac:dyDescent="0.3">
      <c r="I6369" s="82"/>
      <c r="M6369" s="85"/>
    </row>
    <row r="6370" spans="9:13" x14ac:dyDescent="0.3">
      <c r="I6370" s="82"/>
      <c r="M6370" s="85"/>
    </row>
    <row r="6371" spans="9:13" x14ac:dyDescent="0.3">
      <c r="I6371" s="82"/>
      <c r="M6371" s="85"/>
    </row>
    <row r="6372" spans="9:13" x14ac:dyDescent="0.3">
      <c r="I6372" s="82"/>
      <c r="M6372" s="85"/>
    </row>
    <row r="6373" spans="9:13" x14ac:dyDescent="0.3">
      <c r="I6373" s="82"/>
      <c r="M6373" s="85"/>
    </row>
    <row r="6374" spans="9:13" x14ac:dyDescent="0.3">
      <c r="I6374" s="82"/>
      <c r="M6374" s="85"/>
    </row>
    <row r="6375" spans="9:13" x14ac:dyDescent="0.3">
      <c r="I6375" s="82"/>
      <c r="M6375" s="85"/>
    </row>
    <row r="6376" spans="9:13" x14ac:dyDescent="0.3">
      <c r="I6376" s="82"/>
      <c r="M6376" s="85"/>
    </row>
    <row r="6377" spans="9:13" x14ac:dyDescent="0.3">
      <c r="I6377" s="82"/>
      <c r="M6377" s="85"/>
    </row>
    <row r="6378" spans="9:13" x14ac:dyDescent="0.3">
      <c r="I6378" s="82"/>
      <c r="M6378" s="85"/>
    </row>
    <row r="6379" spans="9:13" x14ac:dyDescent="0.3">
      <c r="I6379" s="82"/>
      <c r="M6379" s="85"/>
    </row>
    <row r="6380" spans="9:13" x14ac:dyDescent="0.3">
      <c r="I6380" s="82"/>
      <c r="M6380" s="85"/>
    </row>
    <row r="6381" spans="9:13" x14ac:dyDescent="0.3">
      <c r="I6381" s="82"/>
      <c r="M6381" s="85"/>
    </row>
    <row r="6382" spans="9:13" x14ac:dyDescent="0.3">
      <c r="I6382" s="82"/>
      <c r="M6382" s="85"/>
    </row>
    <row r="6383" spans="9:13" x14ac:dyDescent="0.3">
      <c r="I6383" s="82"/>
      <c r="M6383" s="85"/>
    </row>
    <row r="6384" spans="9:13" x14ac:dyDescent="0.3">
      <c r="I6384" s="82"/>
      <c r="M6384" s="85"/>
    </row>
    <row r="6385" spans="9:13" x14ac:dyDescent="0.3">
      <c r="I6385" s="82"/>
      <c r="M6385" s="85"/>
    </row>
    <row r="6386" spans="9:13" x14ac:dyDescent="0.3">
      <c r="I6386" s="82"/>
      <c r="M6386" s="85"/>
    </row>
    <row r="6387" spans="9:13" x14ac:dyDescent="0.3">
      <c r="I6387" s="82"/>
      <c r="M6387" s="85"/>
    </row>
    <row r="6388" spans="9:13" x14ac:dyDescent="0.3">
      <c r="I6388" s="82"/>
      <c r="M6388" s="85"/>
    </row>
    <row r="6389" spans="9:13" x14ac:dyDescent="0.3">
      <c r="I6389" s="82"/>
      <c r="M6389" s="85"/>
    </row>
    <row r="6390" spans="9:13" x14ac:dyDescent="0.3">
      <c r="I6390" s="82"/>
      <c r="M6390" s="85"/>
    </row>
    <row r="6391" spans="9:13" x14ac:dyDescent="0.3">
      <c r="I6391" s="82"/>
      <c r="M6391" s="85"/>
    </row>
    <row r="6392" spans="9:13" x14ac:dyDescent="0.3">
      <c r="I6392" s="82"/>
      <c r="M6392" s="85"/>
    </row>
    <row r="6393" spans="9:13" x14ac:dyDescent="0.3">
      <c r="I6393" s="82"/>
      <c r="M6393" s="85"/>
    </row>
    <row r="6394" spans="9:13" x14ac:dyDescent="0.3">
      <c r="I6394" s="82"/>
      <c r="M6394" s="85"/>
    </row>
    <row r="6395" spans="9:13" x14ac:dyDescent="0.3">
      <c r="I6395" s="82"/>
      <c r="M6395" s="85"/>
    </row>
    <row r="6396" spans="9:13" x14ac:dyDescent="0.3">
      <c r="I6396" s="82"/>
      <c r="M6396" s="85"/>
    </row>
    <row r="6397" spans="9:13" x14ac:dyDescent="0.3">
      <c r="I6397" s="82"/>
      <c r="M6397" s="85"/>
    </row>
    <row r="6398" spans="9:13" x14ac:dyDescent="0.3">
      <c r="I6398" s="82"/>
      <c r="M6398" s="85"/>
    </row>
    <row r="6399" spans="9:13" x14ac:dyDescent="0.3">
      <c r="I6399" s="82"/>
      <c r="M6399" s="85"/>
    </row>
    <row r="6400" spans="9:13" x14ac:dyDescent="0.3">
      <c r="I6400" s="82"/>
      <c r="M6400" s="85"/>
    </row>
    <row r="6401" spans="9:13" x14ac:dyDescent="0.3">
      <c r="I6401" s="82"/>
      <c r="M6401" s="85"/>
    </row>
    <row r="6402" spans="9:13" x14ac:dyDescent="0.3">
      <c r="I6402" s="82"/>
      <c r="M6402" s="85"/>
    </row>
    <row r="6403" spans="9:13" x14ac:dyDescent="0.3">
      <c r="I6403" s="82"/>
      <c r="M6403" s="85"/>
    </row>
    <row r="6404" spans="9:13" x14ac:dyDescent="0.3">
      <c r="I6404" s="82"/>
      <c r="M6404" s="85"/>
    </row>
    <row r="6405" spans="9:13" x14ac:dyDescent="0.3">
      <c r="I6405" s="82"/>
      <c r="M6405" s="85"/>
    </row>
    <row r="6406" spans="9:13" x14ac:dyDescent="0.3">
      <c r="I6406" s="82"/>
      <c r="M6406" s="85"/>
    </row>
    <row r="6407" spans="9:13" x14ac:dyDescent="0.3">
      <c r="I6407" s="82"/>
      <c r="M6407" s="85"/>
    </row>
    <row r="6408" spans="9:13" x14ac:dyDescent="0.3">
      <c r="I6408" s="82"/>
      <c r="M6408" s="85"/>
    </row>
    <row r="6409" spans="9:13" x14ac:dyDescent="0.3">
      <c r="I6409" s="82"/>
      <c r="M6409" s="85"/>
    </row>
    <row r="6410" spans="9:13" x14ac:dyDescent="0.3">
      <c r="I6410" s="82"/>
      <c r="M6410" s="85"/>
    </row>
    <row r="6411" spans="9:13" x14ac:dyDescent="0.3">
      <c r="I6411" s="82"/>
      <c r="M6411" s="85"/>
    </row>
    <row r="6412" spans="9:13" x14ac:dyDescent="0.3">
      <c r="I6412" s="82"/>
      <c r="M6412" s="85"/>
    </row>
    <row r="6413" spans="9:13" x14ac:dyDescent="0.3">
      <c r="I6413" s="82"/>
      <c r="M6413" s="85"/>
    </row>
    <row r="6414" spans="9:13" x14ac:dyDescent="0.3">
      <c r="I6414" s="82"/>
      <c r="M6414" s="85"/>
    </row>
    <row r="6415" spans="9:13" x14ac:dyDescent="0.3">
      <c r="I6415" s="82"/>
      <c r="M6415" s="85"/>
    </row>
    <row r="6416" spans="9:13" x14ac:dyDescent="0.3">
      <c r="I6416" s="82"/>
      <c r="M6416" s="85"/>
    </row>
    <row r="6417" spans="9:13" x14ac:dyDescent="0.3">
      <c r="I6417" s="82"/>
      <c r="M6417" s="85"/>
    </row>
    <row r="6418" spans="9:13" x14ac:dyDescent="0.3">
      <c r="I6418" s="82"/>
      <c r="M6418" s="85"/>
    </row>
    <row r="6419" spans="9:13" x14ac:dyDescent="0.3">
      <c r="I6419" s="82"/>
      <c r="M6419" s="85"/>
    </row>
    <row r="6420" spans="9:13" x14ac:dyDescent="0.3">
      <c r="I6420" s="82"/>
      <c r="M6420" s="85"/>
    </row>
    <row r="6421" spans="9:13" x14ac:dyDescent="0.3">
      <c r="I6421" s="82"/>
      <c r="M6421" s="85"/>
    </row>
    <row r="6422" spans="9:13" x14ac:dyDescent="0.3">
      <c r="I6422" s="82"/>
      <c r="M6422" s="85"/>
    </row>
    <row r="6423" spans="9:13" x14ac:dyDescent="0.3">
      <c r="I6423" s="82"/>
      <c r="M6423" s="85"/>
    </row>
    <row r="6424" spans="9:13" x14ac:dyDescent="0.3">
      <c r="I6424" s="82"/>
      <c r="M6424" s="85"/>
    </row>
    <row r="6425" spans="9:13" x14ac:dyDescent="0.3">
      <c r="I6425" s="82"/>
      <c r="M6425" s="85"/>
    </row>
    <row r="6426" spans="9:13" x14ac:dyDescent="0.3">
      <c r="I6426" s="82"/>
      <c r="M6426" s="85"/>
    </row>
    <row r="6427" spans="9:13" x14ac:dyDescent="0.3">
      <c r="I6427" s="82"/>
      <c r="M6427" s="85"/>
    </row>
    <row r="6428" spans="9:13" x14ac:dyDescent="0.3">
      <c r="I6428" s="82"/>
      <c r="M6428" s="85"/>
    </row>
    <row r="6429" spans="9:13" x14ac:dyDescent="0.3">
      <c r="I6429" s="82"/>
      <c r="M6429" s="85"/>
    </row>
    <row r="6430" spans="9:13" x14ac:dyDescent="0.3">
      <c r="I6430" s="82"/>
      <c r="M6430" s="85"/>
    </row>
    <row r="6431" spans="9:13" x14ac:dyDescent="0.3">
      <c r="I6431" s="82"/>
      <c r="M6431" s="85"/>
    </row>
    <row r="6432" spans="9:13" x14ac:dyDescent="0.3">
      <c r="I6432" s="82"/>
      <c r="M6432" s="85"/>
    </row>
    <row r="6433" spans="9:13" x14ac:dyDescent="0.3">
      <c r="I6433" s="82"/>
      <c r="M6433" s="85"/>
    </row>
    <row r="6434" spans="9:13" x14ac:dyDescent="0.3">
      <c r="I6434" s="82"/>
      <c r="M6434" s="85"/>
    </row>
    <row r="6435" spans="9:13" x14ac:dyDescent="0.3">
      <c r="I6435" s="82"/>
      <c r="M6435" s="85"/>
    </row>
    <row r="6436" spans="9:13" x14ac:dyDescent="0.3">
      <c r="I6436" s="82"/>
      <c r="M6436" s="85"/>
    </row>
    <row r="6437" spans="9:13" x14ac:dyDescent="0.3">
      <c r="I6437" s="82"/>
      <c r="M6437" s="85"/>
    </row>
    <row r="6438" spans="9:13" x14ac:dyDescent="0.3">
      <c r="I6438" s="82"/>
      <c r="M6438" s="85"/>
    </row>
    <row r="6439" spans="9:13" x14ac:dyDescent="0.3">
      <c r="I6439" s="82"/>
      <c r="M6439" s="85"/>
    </row>
    <row r="6440" spans="9:13" x14ac:dyDescent="0.3">
      <c r="I6440" s="82"/>
      <c r="M6440" s="85"/>
    </row>
    <row r="6441" spans="9:13" x14ac:dyDescent="0.3">
      <c r="I6441" s="82"/>
      <c r="M6441" s="85"/>
    </row>
    <row r="6442" spans="9:13" x14ac:dyDescent="0.3">
      <c r="I6442" s="82"/>
      <c r="M6442" s="85"/>
    </row>
    <row r="6443" spans="9:13" x14ac:dyDescent="0.3">
      <c r="I6443" s="82"/>
      <c r="M6443" s="85"/>
    </row>
    <row r="6444" spans="9:13" x14ac:dyDescent="0.3">
      <c r="I6444" s="82"/>
      <c r="M6444" s="85"/>
    </row>
    <row r="6445" spans="9:13" x14ac:dyDescent="0.3">
      <c r="I6445" s="82"/>
      <c r="M6445" s="85"/>
    </row>
    <row r="6446" spans="9:13" x14ac:dyDescent="0.3">
      <c r="I6446" s="82"/>
      <c r="M6446" s="85"/>
    </row>
    <row r="6447" spans="9:13" x14ac:dyDescent="0.3">
      <c r="I6447" s="82"/>
      <c r="M6447" s="85"/>
    </row>
    <row r="6448" spans="9:13" x14ac:dyDescent="0.3">
      <c r="I6448" s="82"/>
      <c r="M6448" s="85"/>
    </row>
    <row r="6449" spans="9:13" x14ac:dyDescent="0.3">
      <c r="I6449" s="82"/>
      <c r="M6449" s="85"/>
    </row>
    <row r="6450" spans="9:13" x14ac:dyDescent="0.3">
      <c r="I6450" s="82"/>
      <c r="M6450" s="85"/>
    </row>
    <row r="6451" spans="9:13" x14ac:dyDescent="0.3">
      <c r="I6451" s="82"/>
      <c r="M6451" s="85"/>
    </row>
    <row r="6452" spans="9:13" x14ac:dyDescent="0.3">
      <c r="I6452" s="82"/>
      <c r="M6452" s="85"/>
    </row>
    <row r="6453" spans="9:13" x14ac:dyDescent="0.3">
      <c r="I6453" s="82"/>
      <c r="M6453" s="85"/>
    </row>
    <row r="6454" spans="9:13" x14ac:dyDescent="0.3">
      <c r="I6454" s="82"/>
      <c r="M6454" s="85"/>
    </row>
    <row r="6455" spans="9:13" x14ac:dyDescent="0.3">
      <c r="I6455" s="82"/>
      <c r="M6455" s="85"/>
    </row>
    <row r="6456" spans="9:13" x14ac:dyDescent="0.3">
      <c r="I6456" s="82"/>
      <c r="M6456" s="85"/>
    </row>
    <row r="6457" spans="9:13" x14ac:dyDescent="0.3">
      <c r="I6457" s="82"/>
      <c r="M6457" s="85"/>
    </row>
    <row r="6458" spans="9:13" x14ac:dyDescent="0.3">
      <c r="I6458" s="82"/>
      <c r="M6458" s="85"/>
    </row>
    <row r="6459" spans="9:13" x14ac:dyDescent="0.3">
      <c r="I6459" s="82"/>
      <c r="M6459" s="85"/>
    </row>
    <row r="6460" spans="9:13" x14ac:dyDescent="0.3">
      <c r="I6460" s="82"/>
      <c r="M6460" s="85"/>
    </row>
    <row r="6461" spans="9:13" x14ac:dyDescent="0.3">
      <c r="I6461" s="82"/>
      <c r="M6461" s="85"/>
    </row>
    <row r="6462" spans="9:13" x14ac:dyDescent="0.3">
      <c r="I6462" s="82"/>
      <c r="M6462" s="85"/>
    </row>
    <row r="6463" spans="9:13" x14ac:dyDescent="0.3">
      <c r="I6463" s="82"/>
      <c r="M6463" s="85"/>
    </row>
    <row r="6464" spans="9:13" x14ac:dyDescent="0.3">
      <c r="I6464" s="82"/>
      <c r="M6464" s="85"/>
    </row>
    <row r="6465" spans="9:13" x14ac:dyDescent="0.3">
      <c r="I6465" s="82"/>
      <c r="M6465" s="85"/>
    </row>
    <row r="6466" spans="9:13" x14ac:dyDescent="0.3">
      <c r="I6466" s="82"/>
      <c r="M6466" s="85"/>
    </row>
    <row r="6467" spans="9:13" x14ac:dyDescent="0.3">
      <c r="I6467" s="82"/>
      <c r="M6467" s="85"/>
    </row>
    <row r="6468" spans="9:13" x14ac:dyDescent="0.3">
      <c r="I6468" s="82"/>
      <c r="M6468" s="85"/>
    </row>
    <row r="6469" spans="9:13" x14ac:dyDescent="0.3">
      <c r="I6469" s="82"/>
      <c r="M6469" s="85"/>
    </row>
    <row r="6470" spans="9:13" x14ac:dyDescent="0.3">
      <c r="I6470" s="82"/>
      <c r="M6470" s="85"/>
    </row>
    <row r="6471" spans="9:13" x14ac:dyDescent="0.3">
      <c r="I6471" s="82"/>
      <c r="M6471" s="85"/>
    </row>
    <row r="6472" spans="9:13" x14ac:dyDescent="0.3">
      <c r="I6472" s="82"/>
      <c r="M6472" s="85"/>
    </row>
    <row r="6473" spans="9:13" x14ac:dyDescent="0.3">
      <c r="I6473" s="82"/>
      <c r="M6473" s="85"/>
    </row>
    <row r="6474" spans="9:13" x14ac:dyDescent="0.3">
      <c r="I6474" s="82"/>
      <c r="M6474" s="85"/>
    </row>
    <row r="6475" spans="9:13" x14ac:dyDescent="0.3">
      <c r="I6475" s="82"/>
      <c r="M6475" s="85"/>
    </row>
    <row r="6476" spans="9:13" x14ac:dyDescent="0.3">
      <c r="I6476" s="82"/>
      <c r="M6476" s="85"/>
    </row>
    <row r="6477" spans="9:13" x14ac:dyDescent="0.3">
      <c r="I6477" s="82"/>
      <c r="M6477" s="85"/>
    </row>
    <row r="6478" spans="9:13" x14ac:dyDescent="0.3">
      <c r="I6478" s="82"/>
      <c r="M6478" s="85"/>
    </row>
    <row r="6479" spans="9:13" x14ac:dyDescent="0.3">
      <c r="I6479" s="82"/>
      <c r="M6479" s="85"/>
    </row>
    <row r="6480" spans="9:13" x14ac:dyDescent="0.3">
      <c r="I6480" s="82"/>
      <c r="M6480" s="85"/>
    </row>
    <row r="6481" spans="9:13" x14ac:dyDescent="0.3">
      <c r="I6481" s="82"/>
      <c r="M6481" s="85"/>
    </row>
    <row r="6482" spans="9:13" x14ac:dyDescent="0.3">
      <c r="I6482" s="82"/>
      <c r="M6482" s="85"/>
    </row>
    <row r="6483" spans="9:13" x14ac:dyDescent="0.3">
      <c r="I6483" s="82"/>
      <c r="M6483" s="85"/>
    </row>
    <row r="6484" spans="9:13" x14ac:dyDescent="0.3">
      <c r="I6484" s="82"/>
      <c r="M6484" s="85"/>
    </row>
    <row r="6485" spans="9:13" x14ac:dyDescent="0.3">
      <c r="I6485" s="82"/>
      <c r="M6485" s="85"/>
    </row>
    <row r="6486" spans="9:13" x14ac:dyDescent="0.3">
      <c r="I6486" s="82"/>
      <c r="M6486" s="85"/>
    </row>
    <row r="6487" spans="9:13" x14ac:dyDescent="0.3">
      <c r="I6487" s="82"/>
      <c r="M6487" s="85"/>
    </row>
    <row r="6488" spans="9:13" x14ac:dyDescent="0.3">
      <c r="I6488" s="82"/>
      <c r="M6488" s="85"/>
    </row>
    <row r="6489" spans="9:13" x14ac:dyDescent="0.3">
      <c r="I6489" s="82"/>
      <c r="M6489" s="85"/>
    </row>
    <row r="6490" spans="9:13" x14ac:dyDescent="0.3">
      <c r="I6490" s="82"/>
      <c r="M6490" s="85"/>
    </row>
    <row r="6491" spans="9:13" x14ac:dyDescent="0.3">
      <c r="I6491" s="82"/>
      <c r="M6491" s="85"/>
    </row>
    <row r="6492" spans="9:13" x14ac:dyDescent="0.3">
      <c r="I6492" s="82"/>
      <c r="M6492" s="85"/>
    </row>
    <row r="6493" spans="9:13" x14ac:dyDescent="0.3">
      <c r="I6493" s="82"/>
      <c r="M6493" s="85"/>
    </row>
    <row r="6494" spans="9:13" x14ac:dyDescent="0.3">
      <c r="I6494" s="82"/>
      <c r="M6494" s="85"/>
    </row>
    <row r="6495" spans="9:13" x14ac:dyDescent="0.3">
      <c r="I6495" s="82"/>
      <c r="M6495" s="85"/>
    </row>
    <row r="6496" spans="9:13" x14ac:dyDescent="0.3">
      <c r="I6496" s="82"/>
      <c r="M6496" s="85"/>
    </row>
    <row r="6497" spans="9:13" x14ac:dyDescent="0.3">
      <c r="I6497" s="82"/>
      <c r="M6497" s="85"/>
    </row>
    <row r="6498" spans="9:13" x14ac:dyDescent="0.3">
      <c r="I6498" s="82"/>
      <c r="M6498" s="85"/>
    </row>
    <row r="6499" spans="9:13" x14ac:dyDescent="0.3">
      <c r="I6499" s="82"/>
      <c r="M6499" s="85"/>
    </row>
    <row r="6500" spans="9:13" x14ac:dyDescent="0.3">
      <c r="I6500" s="82"/>
      <c r="M6500" s="85"/>
    </row>
    <row r="6501" spans="9:13" x14ac:dyDescent="0.3">
      <c r="I6501" s="82"/>
      <c r="M6501" s="85"/>
    </row>
    <row r="6502" spans="9:13" x14ac:dyDescent="0.3">
      <c r="I6502" s="82"/>
      <c r="M6502" s="85"/>
    </row>
    <row r="6503" spans="9:13" x14ac:dyDescent="0.3">
      <c r="I6503" s="82"/>
      <c r="M6503" s="85"/>
    </row>
    <row r="6504" spans="9:13" x14ac:dyDescent="0.3">
      <c r="I6504" s="82"/>
      <c r="M6504" s="85"/>
    </row>
    <row r="6505" spans="9:13" x14ac:dyDescent="0.3">
      <c r="I6505" s="82"/>
      <c r="M6505" s="85"/>
    </row>
    <row r="6506" spans="9:13" x14ac:dyDescent="0.3">
      <c r="I6506" s="82"/>
      <c r="M6506" s="85"/>
    </row>
    <row r="6507" spans="9:13" x14ac:dyDescent="0.3">
      <c r="I6507" s="82"/>
      <c r="M6507" s="85"/>
    </row>
    <row r="6508" spans="9:13" x14ac:dyDescent="0.3">
      <c r="I6508" s="82"/>
      <c r="M6508" s="85"/>
    </row>
    <row r="6509" spans="9:13" x14ac:dyDescent="0.3">
      <c r="I6509" s="82"/>
      <c r="M6509" s="85"/>
    </row>
    <row r="6510" spans="9:13" x14ac:dyDescent="0.3">
      <c r="I6510" s="82"/>
      <c r="M6510" s="85"/>
    </row>
    <row r="6511" spans="9:13" x14ac:dyDescent="0.3">
      <c r="I6511" s="82"/>
      <c r="M6511" s="85"/>
    </row>
    <row r="6512" spans="9:13" x14ac:dyDescent="0.3">
      <c r="I6512" s="82"/>
      <c r="M6512" s="85"/>
    </row>
    <row r="6513" spans="9:13" x14ac:dyDescent="0.3">
      <c r="I6513" s="82"/>
      <c r="M6513" s="85"/>
    </row>
    <row r="6514" spans="9:13" x14ac:dyDescent="0.3">
      <c r="I6514" s="82"/>
      <c r="M6514" s="85"/>
    </row>
    <row r="6515" spans="9:13" x14ac:dyDescent="0.3">
      <c r="I6515" s="82"/>
      <c r="M6515" s="85"/>
    </row>
    <row r="6516" spans="9:13" x14ac:dyDescent="0.3">
      <c r="I6516" s="82"/>
      <c r="M6516" s="85"/>
    </row>
    <row r="6517" spans="9:13" x14ac:dyDescent="0.3">
      <c r="I6517" s="82"/>
      <c r="M6517" s="85"/>
    </row>
    <row r="6518" spans="9:13" x14ac:dyDescent="0.3">
      <c r="I6518" s="82"/>
      <c r="M6518" s="85"/>
    </row>
    <row r="6519" spans="9:13" x14ac:dyDescent="0.3">
      <c r="I6519" s="82"/>
      <c r="M6519" s="85"/>
    </row>
    <row r="6520" spans="9:13" x14ac:dyDescent="0.3">
      <c r="I6520" s="82"/>
      <c r="M6520" s="85"/>
    </row>
    <row r="6521" spans="9:13" x14ac:dyDescent="0.3">
      <c r="I6521" s="82"/>
      <c r="M6521" s="85"/>
    </row>
    <row r="6522" spans="9:13" x14ac:dyDescent="0.3">
      <c r="I6522" s="82"/>
      <c r="M6522" s="85"/>
    </row>
    <row r="6523" spans="9:13" x14ac:dyDescent="0.3">
      <c r="I6523" s="82"/>
      <c r="M6523" s="85"/>
    </row>
    <row r="6524" spans="9:13" x14ac:dyDescent="0.3">
      <c r="I6524" s="82"/>
      <c r="M6524" s="85"/>
    </row>
    <row r="6525" spans="9:13" x14ac:dyDescent="0.3">
      <c r="I6525" s="82"/>
      <c r="M6525" s="85"/>
    </row>
    <row r="6526" spans="9:13" x14ac:dyDescent="0.3">
      <c r="I6526" s="82"/>
      <c r="M6526" s="85"/>
    </row>
    <row r="6527" spans="9:13" x14ac:dyDescent="0.3">
      <c r="I6527" s="82"/>
      <c r="M6527" s="85"/>
    </row>
    <row r="6528" spans="9:13" x14ac:dyDescent="0.3">
      <c r="I6528" s="82"/>
      <c r="M6528" s="85"/>
    </row>
    <row r="6529" spans="9:13" x14ac:dyDescent="0.3">
      <c r="I6529" s="82"/>
      <c r="M6529" s="85"/>
    </row>
    <row r="6530" spans="9:13" x14ac:dyDescent="0.3">
      <c r="I6530" s="82"/>
      <c r="M6530" s="85"/>
    </row>
    <row r="6531" spans="9:13" x14ac:dyDescent="0.3">
      <c r="I6531" s="82"/>
      <c r="M6531" s="85"/>
    </row>
    <row r="6532" spans="9:13" x14ac:dyDescent="0.3">
      <c r="I6532" s="82"/>
      <c r="M6532" s="85"/>
    </row>
    <row r="6533" spans="9:13" x14ac:dyDescent="0.3">
      <c r="I6533" s="82"/>
      <c r="M6533" s="85"/>
    </row>
    <row r="6534" spans="9:13" x14ac:dyDescent="0.3">
      <c r="I6534" s="82"/>
      <c r="M6534" s="85"/>
    </row>
    <row r="6535" spans="9:13" x14ac:dyDescent="0.3">
      <c r="I6535" s="82"/>
      <c r="M6535" s="85"/>
    </row>
    <row r="6536" spans="9:13" x14ac:dyDescent="0.3">
      <c r="I6536" s="82"/>
      <c r="M6536" s="85"/>
    </row>
    <row r="6537" spans="9:13" x14ac:dyDescent="0.3">
      <c r="I6537" s="82"/>
      <c r="M6537" s="85"/>
    </row>
    <row r="6538" spans="9:13" x14ac:dyDescent="0.3">
      <c r="I6538" s="82"/>
      <c r="M6538" s="85"/>
    </row>
    <row r="6539" spans="9:13" x14ac:dyDescent="0.3">
      <c r="I6539" s="82"/>
      <c r="M6539" s="85"/>
    </row>
    <row r="6540" spans="9:13" x14ac:dyDescent="0.3">
      <c r="I6540" s="82"/>
      <c r="M6540" s="85"/>
    </row>
    <row r="6541" spans="9:13" x14ac:dyDescent="0.3">
      <c r="I6541" s="82"/>
      <c r="M6541" s="85"/>
    </row>
    <row r="6542" spans="9:13" x14ac:dyDescent="0.3">
      <c r="I6542" s="82"/>
      <c r="M6542" s="85"/>
    </row>
    <row r="6543" spans="9:13" x14ac:dyDescent="0.3">
      <c r="I6543" s="82"/>
      <c r="M6543" s="85"/>
    </row>
    <row r="6544" spans="9:13" x14ac:dyDescent="0.3">
      <c r="I6544" s="82"/>
      <c r="M6544" s="85"/>
    </row>
    <row r="6545" spans="9:13" x14ac:dyDescent="0.3">
      <c r="I6545" s="82"/>
      <c r="M6545" s="85"/>
    </row>
    <row r="6546" spans="9:13" x14ac:dyDescent="0.3">
      <c r="I6546" s="82"/>
      <c r="M6546" s="85"/>
    </row>
    <row r="6547" spans="9:13" x14ac:dyDescent="0.3">
      <c r="I6547" s="82"/>
      <c r="M6547" s="85"/>
    </row>
    <row r="6548" spans="9:13" x14ac:dyDescent="0.3">
      <c r="I6548" s="82"/>
      <c r="M6548" s="85"/>
    </row>
    <row r="6549" spans="9:13" x14ac:dyDescent="0.3">
      <c r="I6549" s="82"/>
      <c r="M6549" s="85"/>
    </row>
    <row r="6550" spans="9:13" x14ac:dyDescent="0.3">
      <c r="I6550" s="82"/>
      <c r="M6550" s="85"/>
    </row>
    <row r="6551" spans="9:13" x14ac:dyDescent="0.3">
      <c r="I6551" s="82"/>
      <c r="M6551" s="85"/>
    </row>
    <row r="6552" spans="9:13" x14ac:dyDescent="0.3">
      <c r="I6552" s="82"/>
      <c r="M6552" s="85"/>
    </row>
    <row r="6553" spans="9:13" x14ac:dyDescent="0.3">
      <c r="I6553" s="82"/>
      <c r="M6553" s="85"/>
    </row>
    <row r="6554" spans="9:13" x14ac:dyDescent="0.3">
      <c r="I6554" s="82"/>
      <c r="M6554" s="85"/>
    </row>
    <row r="6555" spans="9:13" x14ac:dyDescent="0.3">
      <c r="I6555" s="82"/>
      <c r="M6555" s="85"/>
    </row>
    <row r="6556" spans="9:13" x14ac:dyDescent="0.3">
      <c r="I6556" s="82"/>
      <c r="M6556" s="85"/>
    </row>
    <row r="6557" spans="9:13" x14ac:dyDescent="0.3">
      <c r="I6557" s="82"/>
      <c r="M6557" s="85"/>
    </row>
    <row r="6558" spans="9:13" x14ac:dyDescent="0.3">
      <c r="I6558" s="82"/>
      <c r="M6558" s="85"/>
    </row>
    <row r="6559" spans="9:13" x14ac:dyDescent="0.3">
      <c r="I6559" s="82"/>
      <c r="M6559" s="85"/>
    </row>
    <row r="6560" spans="9:13" x14ac:dyDescent="0.3">
      <c r="I6560" s="82"/>
      <c r="M6560" s="85"/>
    </row>
    <row r="6561" spans="9:13" x14ac:dyDescent="0.3">
      <c r="I6561" s="82"/>
      <c r="M6561" s="85"/>
    </row>
    <row r="6562" spans="9:13" x14ac:dyDescent="0.3">
      <c r="I6562" s="82"/>
      <c r="M6562" s="85"/>
    </row>
    <row r="6563" spans="9:13" x14ac:dyDescent="0.3">
      <c r="I6563" s="82"/>
      <c r="M6563" s="85"/>
    </row>
    <row r="6564" spans="9:13" x14ac:dyDescent="0.3">
      <c r="I6564" s="82"/>
      <c r="M6564" s="85"/>
    </row>
    <row r="6565" spans="9:13" x14ac:dyDescent="0.3">
      <c r="I6565" s="82"/>
      <c r="M6565" s="85"/>
    </row>
    <row r="6566" spans="9:13" x14ac:dyDescent="0.3">
      <c r="I6566" s="82"/>
      <c r="M6566" s="85"/>
    </row>
    <row r="6567" spans="9:13" x14ac:dyDescent="0.3">
      <c r="I6567" s="82"/>
      <c r="M6567" s="85"/>
    </row>
    <row r="6568" spans="9:13" x14ac:dyDescent="0.3">
      <c r="I6568" s="82"/>
      <c r="M6568" s="85"/>
    </row>
    <row r="6569" spans="9:13" x14ac:dyDescent="0.3">
      <c r="I6569" s="82"/>
      <c r="M6569" s="85"/>
    </row>
    <row r="6570" spans="9:13" x14ac:dyDescent="0.3">
      <c r="I6570" s="82"/>
      <c r="M6570" s="85"/>
    </row>
    <row r="6571" spans="9:13" x14ac:dyDescent="0.3">
      <c r="I6571" s="82"/>
      <c r="M6571" s="85"/>
    </row>
    <row r="6572" spans="9:13" x14ac:dyDescent="0.3">
      <c r="I6572" s="82"/>
      <c r="M6572" s="85"/>
    </row>
    <row r="6573" spans="9:13" x14ac:dyDescent="0.3">
      <c r="I6573" s="82"/>
      <c r="M6573" s="85"/>
    </row>
    <row r="6574" spans="9:13" x14ac:dyDescent="0.3">
      <c r="I6574" s="82"/>
      <c r="M6574" s="85"/>
    </row>
    <row r="6575" spans="9:13" x14ac:dyDescent="0.3">
      <c r="I6575" s="82"/>
      <c r="M6575" s="85"/>
    </row>
    <row r="6576" spans="9:13" x14ac:dyDescent="0.3">
      <c r="I6576" s="82"/>
      <c r="M6576" s="85"/>
    </row>
    <row r="6577" spans="9:13" x14ac:dyDescent="0.3">
      <c r="I6577" s="82"/>
      <c r="M6577" s="85"/>
    </row>
    <row r="6578" spans="9:13" x14ac:dyDescent="0.3">
      <c r="I6578" s="82"/>
      <c r="M6578" s="85"/>
    </row>
    <row r="6579" spans="9:13" x14ac:dyDescent="0.3">
      <c r="I6579" s="82"/>
      <c r="M6579" s="85"/>
    </row>
    <row r="6580" spans="9:13" x14ac:dyDescent="0.3">
      <c r="I6580" s="82"/>
      <c r="M6580" s="85"/>
    </row>
    <row r="6581" spans="9:13" x14ac:dyDescent="0.3">
      <c r="I6581" s="82"/>
      <c r="M6581" s="85"/>
    </row>
    <row r="6582" spans="9:13" x14ac:dyDescent="0.3">
      <c r="I6582" s="82"/>
      <c r="M6582" s="85"/>
    </row>
    <row r="6583" spans="9:13" x14ac:dyDescent="0.3">
      <c r="I6583" s="82"/>
      <c r="M6583" s="85"/>
    </row>
    <row r="6584" spans="9:13" x14ac:dyDescent="0.3">
      <c r="I6584" s="82"/>
      <c r="M6584" s="85"/>
    </row>
    <row r="6585" spans="9:13" x14ac:dyDescent="0.3">
      <c r="I6585" s="82"/>
      <c r="M6585" s="85"/>
    </row>
    <row r="6586" spans="9:13" x14ac:dyDescent="0.3">
      <c r="I6586" s="82"/>
      <c r="M6586" s="85"/>
    </row>
    <row r="6587" spans="9:13" x14ac:dyDescent="0.3">
      <c r="I6587" s="82"/>
      <c r="M6587" s="85"/>
    </row>
    <row r="6588" spans="9:13" x14ac:dyDescent="0.3">
      <c r="I6588" s="82"/>
      <c r="M6588" s="85"/>
    </row>
    <row r="6589" spans="9:13" x14ac:dyDescent="0.3">
      <c r="I6589" s="82"/>
      <c r="M6589" s="85"/>
    </row>
    <row r="6590" spans="9:13" x14ac:dyDescent="0.3">
      <c r="I6590" s="82"/>
      <c r="M6590" s="85"/>
    </row>
    <row r="6591" spans="9:13" x14ac:dyDescent="0.3">
      <c r="I6591" s="82"/>
      <c r="M6591" s="85"/>
    </row>
    <row r="6592" spans="9:13" x14ac:dyDescent="0.3">
      <c r="I6592" s="82"/>
      <c r="M6592" s="85"/>
    </row>
    <row r="6593" spans="9:13" x14ac:dyDescent="0.3">
      <c r="I6593" s="82"/>
      <c r="M6593" s="85"/>
    </row>
    <row r="6594" spans="9:13" x14ac:dyDescent="0.3">
      <c r="I6594" s="82"/>
      <c r="M6594" s="85"/>
    </row>
    <row r="6595" spans="9:13" x14ac:dyDescent="0.3">
      <c r="I6595" s="82"/>
      <c r="M6595" s="85"/>
    </row>
    <row r="6596" spans="9:13" x14ac:dyDescent="0.3">
      <c r="I6596" s="82"/>
      <c r="M6596" s="85"/>
    </row>
    <row r="6597" spans="9:13" x14ac:dyDescent="0.3">
      <c r="I6597" s="82"/>
      <c r="M6597" s="85"/>
    </row>
    <row r="6598" spans="9:13" x14ac:dyDescent="0.3">
      <c r="I6598" s="82"/>
      <c r="M6598" s="85"/>
    </row>
    <row r="6599" spans="9:13" x14ac:dyDescent="0.3">
      <c r="I6599" s="82"/>
      <c r="M6599" s="85"/>
    </row>
    <row r="6600" spans="9:13" x14ac:dyDescent="0.3">
      <c r="I6600" s="82"/>
      <c r="M6600" s="85"/>
    </row>
    <row r="6601" spans="9:13" x14ac:dyDescent="0.3">
      <c r="I6601" s="82"/>
      <c r="M6601" s="85"/>
    </row>
    <row r="6602" spans="9:13" x14ac:dyDescent="0.3">
      <c r="I6602" s="82"/>
      <c r="M6602" s="85"/>
    </row>
    <row r="6603" spans="9:13" x14ac:dyDescent="0.3">
      <c r="I6603" s="82"/>
      <c r="M6603" s="85"/>
    </row>
    <row r="6604" spans="9:13" x14ac:dyDescent="0.3">
      <c r="I6604" s="82"/>
      <c r="M6604" s="85"/>
    </row>
    <row r="6605" spans="9:13" x14ac:dyDescent="0.3">
      <c r="I6605" s="82"/>
      <c r="M6605" s="85"/>
    </row>
    <row r="6606" spans="9:13" x14ac:dyDescent="0.3">
      <c r="I6606" s="82"/>
      <c r="M6606" s="85"/>
    </row>
    <row r="6607" spans="9:13" x14ac:dyDescent="0.3">
      <c r="I6607" s="82"/>
      <c r="M6607" s="85"/>
    </row>
    <row r="6608" spans="9:13" x14ac:dyDescent="0.3">
      <c r="I6608" s="82"/>
      <c r="M6608" s="85"/>
    </row>
    <row r="6609" spans="9:13" x14ac:dyDescent="0.3">
      <c r="I6609" s="82"/>
      <c r="M6609" s="85"/>
    </row>
    <row r="6610" spans="9:13" x14ac:dyDescent="0.3">
      <c r="I6610" s="82"/>
      <c r="M6610" s="85"/>
    </row>
    <row r="6611" spans="9:13" x14ac:dyDescent="0.3">
      <c r="I6611" s="82"/>
      <c r="M6611" s="85"/>
    </row>
    <row r="6612" spans="9:13" x14ac:dyDescent="0.3">
      <c r="I6612" s="82"/>
      <c r="M6612" s="85"/>
    </row>
    <row r="6613" spans="9:13" x14ac:dyDescent="0.3">
      <c r="I6613" s="82"/>
      <c r="M6613" s="85"/>
    </row>
    <row r="6614" spans="9:13" x14ac:dyDescent="0.3">
      <c r="I6614" s="82"/>
      <c r="M6614" s="85"/>
    </row>
    <row r="6615" spans="9:13" x14ac:dyDescent="0.3">
      <c r="I6615" s="82"/>
      <c r="M6615" s="85"/>
    </row>
    <row r="6616" spans="9:13" x14ac:dyDescent="0.3">
      <c r="I6616" s="82"/>
      <c r="M6616" s="85"/>
    </row>
    <row r="6617" spans="9:13" x14ac:dyDescent="0.3">
      <c r="I6617" s="82"/>
      <c r="M6617" s="85"/>
    </row>
    <row r="6618" spans="9:13" x14ac:dyDescent="0.3">
      <c r="I6618" s="82"/>
      <c r="M6618" s="85"/>
    </row>
    <row r="6619" spans="9:13" x14ac:dyDescent="0.3">
      <c r="I6619" s="82"/>
      <c r="M6619" s="85"/>
    </row>
    <row r="6620" spans="9:13" x14ac:dyDescent="0.3">
      <c r="I6620" s="82"/>
      <c r="M6620" s="85"/>
    </row>
    <row r="6621" spans="9:13" x14ac:dyDescent="0.3">
      <c r="I6621" s="82"/>
      <c r="M6621" s="85"/>
    </row>
    <row r="6622" spans="9:13" x14ac:dyDescent="0.3">
      <c r="I6622" s="82"/>
      <c r="M6622" s="85"/>
    </row>
    <row r="6623" spans="9:13" x14ac:dyDescent="0.3">
      <c r="I6623" s="82"/>
      <c r="M6623" s="85"/>
    </row>
    <row r="6624" spans="9:13" x14ac:dyDescent="0.3">
      <c r="I6624" s="82"/>
      <c r="M6624" s="85"/>
    </row>
    <row r="6625" spans="9:13" x14ac:dyDescent="0.3">
      <c r="I6625" s="82"/>
      <c r="M6625" s="85"/>
    </row>
    <row r="6626" spans="9:13" x14ac:dyDescent="0.3">
      <c r="I6626" s="82"/>
      <c r="M6626" s="85"/>
    </row>
    <row r="6627" spans="9:13" x14ac:dyDescent="0.3">
      <c r="I6627" s="82"/>
      <c r="M6627" s="85"/>
    </row>
    <row r="6628" spans="9:13" x14ac:dyDescent="0.3">
      <c r="I6628" s="82"/>
      <c r="M6628" s="85"/>
    </row>
    <row r="6629" spans="9:13" x14ac:dyDescent="0.3">
      <c r="I6629" s="82"/>
      <c r="M6629" s="85"/>
    </row>
    <row r="6630" spans="9:13" x14ac:dyDescent="0.3">
      <c r="I6630" s="82"/>
      <c r="M6630" s="85"/>
    </row>
    <row r="6631" spans="9:13" x14ac:dyDescent="0.3">
      <c r="I6631" s="82"/>
      <c r="M6631" s="85"/>
    </row>
    <row r="6632" spans="9:13" x14ac:dyDescent="0.3">
      <c r="I6632" s="82"/>
      <c r="M6632" s="85"/>
    </row>
    <row r="6633" spans="9:13" x14ac:dyDescent="0.3">
      <c r="I6633" s="82"/>
      <c r="M6633" s="85"/>
    </row>
    <row r="6634" spans="9:13" x14ac:dyDescent="0.3">
      <c r="I6634" s="82"/>
      <c r="M6634" s="85"/>
    </row>
    <row r="6635" spans="9:13" x14ac:dyDescent="0.3">
      <c r="I6635" s="82"/>
      <c r="M6635" s="85"/>
    </row>
    <row r="6636" spans="9:13" x14ac:dyDescent="0.3">
      <c r="I6636" s="82"/>
      <c r="M6636" s="85"/>
    </row>
    <row r="6637" spans="9:13" x14ac:dyDescent="0.3">
      <c r="I6637" s="82"/>
      <c r="M6637" s="85"/>
    </row>
    <row r="6638" spans="9:13" x14ac:dyDescent="0.3">
      <c r="I6638" s="82"/>
      <c r="M6638" s="85"/>
    </row>
    <row r="6639" spans="9:13" x14ac:dyDescent="0.3">
      <c r="I6639" s="82"/>
      <c r="M6639" s="85"/>
    </row>
    <row r="6640" spans="9:13" x14ac:dyDescent="0.3">
      <c r="I6640" s="82"/>
      <c r="M6640" s="85"/>
    </row>
    <row r="6641" spans="9:13" x14ac:dyDescent="0.3">
      <c r="I6641" s="82"/>
      <c r="M6641" s="85"/>
    </row>
    <row r="6642" spans="9:13" x14ac:dyDescent="0.3">
      <c r="I6642" s="82"/>
      <c r="M6642" s="85"/>
    </row>
    <row r="6643" spans="9:13" x14ac:dyDescent="0.3">
      <c r="I6643" s="82"/>
      <c r="M6643" s="85"/>
    </row>
    <row r="6644" spans="9:13" x14ac:dyDescent="0.3">
      <c r="I6644" s="82"/>
      <c r="M6644" s="85"/>
    </row>
    <row r="6645" spans="9:13" x14ac:dyDescent="0.3">
      <c r="I6645" s="82"/>
      <c r="M6645" s="85"/>
    </row>
    <row r="6646" spans="9:13" x14ac:dyDescent="0.3">
      <c r="I6646" s="82"/>
      <c r="M6646" s="85"/>
    </row>
    <row r="6647" spans="9:13" x14ac:dyDescent="0.3">
      <c r="I6647" s="82"/>
      <c r="M6647" s="85"/>
    </row>
    <row r="6648" spans="9:13" x14ac:dyDescent="0.3">
      <c r="I6648" s="82"/>
      <c r="M6648" s="85"/>
    </row>
    <row r="6649" spans="9:13" x14ac:dyDescent="0.3">
      <c r="I6649" s="82"/>
      <c r="M6649" s="85"/>
    </row>
    <row r="6650" spans="9:13" x14ac:dyDescent="0.3">
      <c r="I6650" s="82"/>
      <c r="M6650" s="85"/>
    </row>
    <row r="6651" spans="9:13" x14ac:dyDescent="0.3">
      <c r="I6651" s="82"/>
      <c r="M6651" s="85"/>
    </row>
    <row r="6652" spans="9:13" x14ac:dyDescent="0.3">
      <c r="I6652" s="82"/>
      <c r="M6652" s="85"/>
    </row>
    <row r="6653" spans="9:13" x14ac:dyDescent="0.3">
      <c r="I6653" s="82"/>
      <c r="M6653" s="85"/>
    </row>
    <row r="6654" spans="9:13" x14ac:dyDescent="0.3">
      <c r="I6654" s="82"/>
      <c r="M6654" s="85"/>
    </row>
    <row r="6655" spans="9:13" x14ac:dyDescent="0.3">
      <c r="I6655" s="82"/>
      <c r="M6655" s="85"/>
    </row>
    <row r="6656" spans="9:13" x14ac:dyDescent="0.3">
      <c r="I6656" s="82"/>
      <c r="M6656" s="85"/>
    </row>
    <row r="6657" spans="9:13" x14ac:dyDescent="0.3">
      <c r="I6657" s="82"/>
      <c r="M6657" s="85"/>
    </row>
    <row r="6658" spans="9:13" x14ac:dyDescent="0.3">
      <c r="I6658" s="82"/>
      <c r="M6658" s="85"/>
    </row>
    <row r="6659" spans="9:13" x14ac:dyDescent="0.3">
      <c r="I6659" s="82"/>
      <c r="M6659" s="85"/>
    </row>
    <row r="6660" spans="9:13" x14ac:dyDescent="0.3">
      <c r="I6660" s="82"/>
      <c r="M6660" s="85"/>
    </row>
    <row r="6661" spans="9:13" x14ac:dyDescent="0.3">
      <c r="I6661" s="82"/>
      <c r="M6661" s="85"/>
    </row>
    <row r="6662" spans="9:13" x14ac:dyDescent="0.3">
      <c r="I6662" s="82"/>
      <c r="M6662" s="85"/>
    </row>
    <row r="6663" spans="9:13" x14ac:dyDescent="0.3">
      <c r="I6663" s="82"/>
      <c r="M6663" s="85"/>
    </row>
    <row r="6664" spans="9:13" x14ac:dyDescent="0.3">
      <c r="I6664" s="82"/>
      <c r="M6664" s="85"/>
    </row>
    <row r="6665" spans="9:13" x14ac:dyDescent="0.3">
      <c r="I6665" s="82"/>
      <c r="M6665" s="85"/>
    </row>
    <row r="6666" spans="9:13" x14ac:dyDescent="0.3">
      <c r="I6666" s="82"/>
      <c r="M6666" s="85"/>
    </row>
    <row r="6667" spans="9:13" x14ac:dyDescent="0.3">
      <c r="I6667" s="82"/>
      <c r="M6667" s="85"/>
    </row>
    <row r="6668" spans="9:13" x14ac:dyDescent="0.3">
      <c r="I6668" s="82"/>
      <c r="M6668" s="85"/>
    </row>
    <row r="6669" spans="9:13" x14ac:dyDescent="0.3">
      <c r="I6669" s="82"/>
      <c r="M6669" s="85"/>
    </row>
    <row r="6670" spans="9:13" x14ac:dyDescent="0.3">
      <c r="I6670" s="82"/>
      <c r="M6670" s="85"/>
    </row>
    <row r="6671" spans="9:13" x14ac:dyDescent="0.3">
      <c r="I6671" s="82"/>
      <c r="M6671" s="85"/>
    </row>
    <row r="6672" spans="9:13" x14ac:dyDescent="0.3">
      <c r="I6672" s="82"/>
      <c r="M6672" s="85"/>
    </row>
    <row r="6673" spans="9:13" x14ac:dyDescent="0.3">
      <c r="I6673" s="82"/>
      <c r="M6673" s="85"/>
    </row>
    <row r="6674" spans="9:13" x14ac:dyDescent="0.3">
      <c r="I6674" s="82"/>
      <c r="M6674" s="85"/>
    </row>
    <row r="6675" spans="9:13" x14ac:dyDescent="0.3">
      <c r="I6675" s="82"/>
      <c r="M6675" s="85"/>
    </row>
    <row r="6676" spans="9:13" x14ac:dyDescent="0.3">
      <c r="I6676" s="82"/>
      <c r="M6676" s="85"/>
    </row>
    <row r="6677" spans="9:13" x14ac:dyDescent="0.3">
      <c r="I6677" s="82"/>
      <c r="M6677" s="85"/>
    </row>
    <row r="6678" spans="9:13" x14ac:dyDescent="0.3">
      <c r="I6678" s="82"/>
      <c r="M6678" s="85"/>
    </row>
    <row r="6679" spans="9:13" x14ac:dyDescent="0.3">
      <c r="I6679" s="82"/>
      <c r="M6679" s="85"/>
    </row>
    <row r="6680" spans="9:13" x14ac:dyDescent="0.3">
      <c r="I6680" s="82"/>
      <c r="M6680" s="85"/>
    </row>
    <row r="6681" spans="9:13" x14ac:dyDescent="0.3">
      <c r="I6681" s="82"/>
      <c r="M6681" s="85"/>
    </row>
    <row r="6682" spans="9:13" x14ac:dyDescent="0.3">
      <c r="I6682" s="82"/>
      <c r="M6682" s="85"/>
    </row>
    <row r="6683" spans="9:13" x14ac:dyDescent="0.3">
      <c r="I6683" s="82"/>
      <c r="M6683" s="85"/>
    </row>
    <row r="6684" spans="9:13" x14ac:dyDescent="0.3">
      <c r="I6684" s="82"/>
      <c r="M6684" s="85"/>
    </row>
    <row r="6685" spans="9:13" x14ac:dyDescent="0.3">
      <c r="I6685" s="82"/>
      <c r="M6685" s="85"/>
    </row>
    <row r="6686" spans="9:13" x14ac:dyDescent="0.3">
      <c r="I6686" s="82"/>
      <c r="M6686" s="85"/>
    </row>
    <row r="6687" spans="9:13" x14ac:dyDescent="0.3">
      <c r="I6687" s="82"/>
      <c r="M6687" s="85"/>
    </row>
    <row r="6688" spans="9:13" x14ac:dyDescent="0.3">
      <c r="I6688" s="82"/>
      <c r="M6688" s="85"/>
    </row>
    <row r="6689" spans="9:13" x14ac:dyDescent="0.3">
      <c r="I6689" s="82"/>
      <c r="M6689" s="85"/>
    </row>
    <row r="6690" spans="9:13" x14ac:dyDescent="0.3">
      <c r="I6690" s="82"/>
      <c r="M6690" s="85"/>
    </row>
    <row r="6691" spans="9:13" x14ac:dyDescent="0.3">
      <c r="I6691" s="82"/>
      <c r="M6691" s="85"/>
    </row>
    <row r="6692" spans="9:13" x14ac:dyDescent="0.3">
      <c r="I6692" s="82"/>
      <c r="M6692" s="85"/>
    </row>
    <row r="6693" spans="9:13" x14ac:dyDescent="0.3">
      <c r="I6693" s="82"/>
      <c r="M6693" s="85"/>
    </row>
    <row r="6694" spans="9:13" x14ac:dyDescent="0.3">
      <c r="I6694" s="82"/>
      <c r="M6694" s="85"/>
    </row>
    <row r="6695" spans="9:13" x14ac:dyDescent="0.3">
      <c r="I6695" s="82"/>
      <c r="M6695" s="85"/>
    </row>
    <row r="6696" spans="9:13" x14ac:dyDescent="0.3">
      <c r="I6696" s="82"/>
      <c r="M6696" s="85"/>
    </row>
    <row r="6697" spans="9:13" x14ac:dyDescent="0.3">
      <c r="I6697" s="82"/>
      <c r="M6697" s="85"/>
    </row>
    <row r="6698" spans="9:13" x14ac:dyDescent="0.3">
      <c r="I6698" s="82"/>
      <c r="M6698" s="85"/>
    </row>
    <row r="6699" spans="9:13" x14ac:dyDescent="0.3">
      <c r="I6699" s="82"/>
      <c r="M6699" s="85"/>
    </row>
    <row r="6700" spans="9:13" x14ac:dyDescent="0.3">
      <c r="I6700" s="82"/>
      <c r="M6700" s="85"/>
    </row>
    <row r="6701" spans="9:13" x14ac:dyDescent="0.3">
      <c r="I6701" s="82"/>
      <c r="M6701" s="85"/>
    </row>
    <row r="6702" spans="9:13" x14ac:dyDescent="0.3">
      <c r="I6702" s="82"/>
      <c r="M6702" s="85"/>
    </row>
    <row r="6703" spans="9:13" x14ac:dyDescent="0.3">
      <c r="I6703" s="82"/>
      <c r="M6703" s="85"/>
    </row>
    <row r="6704" spans="9:13" x14ac:dyDescent="0.3">
      <c r="I6704" s="82"/>
      <c r="M6704" s="85"/>
    </row>
    <row r="6705" spans="9:13" x14ac:dyDescent="0.3">
      <c r="I6705" s="82"/>
      <c r="M6705" s="85"/>
    </row>
    <row r="6706" spans="9:13" x14ac:dyDescent="0.3">
      <c r="I6706" s="82"/>
      <c r="M6706" s="85"/>
    </row>
    <row r="6707" spans="9:13" x14ac:dyDescent="0.3">
      <c r="I6707" s="82"/>
      <c r="M6707" s="85"/>
    </row>
    <row r="6708" spans="9:13" x14ac:dyDescent="0.3">
      <c r="I6708" s="82"/>
      <c r="M6708" s="85"/>
    </row>
    <row r="6709" spans="9:13" x14ac:dyDescent="0.3">
      <c r="I6709" s="82"/>
      <c r="M6709" s="85"/>
    </row>
    <row r="6710" spans="9:13" x14ac:dyDescent="0.3">
      <c r="I6710" s="82"/>
      <c r="M6710" s="85"/>
    </row>
    <row r="6711" spans="9:13" x14ac:dyDescent="0.3">
      <c r="I6711" s="82"/>
      <c r="M6711" s="85"/>
    </row>
    <row r="6712" spans="9:13" x14ac:dyDescent="0.3">
      <c r="I6712" s="82"/>
      <c r="M6712" s="85"/>
    </row>
    <row r="6713" spans="9:13" x14ac:dyDescent="0.3">
      <c r="I6713" s="82"/>
      <c r="M6713" s="85"/>
    </row>
    <row r="6714" spans="9:13" x14ac:dyDescent="0.3">
      <c r="I6714" s="82"/>
      <c r="M6714" s="85"/>
    </row>
    <row r="6715" spans="9:13" x14ac:dyDescent="0.3">
      <c r="I6715" s="82"/>
      <c r="M6715" s="85"/>
    </row>
    <row r="6716" spans="9:13" x14ac:dyDescent="0.3">
      <c r="I6716" s="82"/>
      <c r="M6716" s="85"/>
    </row>
    <row r="6717" spans="9:13" x14ac:dyDescent="0.3">
      <c r="I6717" s="82"/>
      <c r="M6717" s="85"/>
    </row>
    <row r="6718" spans="9:13" x14ac:dyDescent="0.3">
      <c r="I6718" s="82"/>
      <c r="M6718" s="85"/>
    </row>
    <row r="6719" spans="9:13" x14ac:dyDescent="0.3">
      <c r="I6719" s="82"/>
      <c r="M6719" s="85"/>
    </row>
    <row r="6720" spans="9:13" x14ac:dyDescent="0.3">
      <c r="I6720" s="82"/>
      <c r="M6720" s="85"/>
    </row>
    <row r="6721" spans="9:13" x14ac:dyDescent="0.3">
      <c r="I6721" s="82"/>
      <c r="M6721" s="85"/>
    </row>
    <row r="6722" spans="9:13" x14ac:dyDescent="0.3">
      <c r="I6722" s="82"/>
      <c r="M6722" s="85"/>
    </row>
    <row r="6723" spans="9:13" x14ac:dyDescent="0.3">
      <c r="I6723" s="82"/>
      <c r="M6723" s="85"/>
    </row>
    <row r="6724" spans="9:13" x14ac:dyDescent="0.3">
      <c r="I6724" s="82"/>
      <c r="M6724" s="85"/>
    </row>
    <row r="6725" spans="9:13" x14ac:dyDescent="0.3">
      <c r="I6725" s="82"/>
      <c r="M6725" s="85"/>
    </row>
    <row r="6726" spans="9:13" x14ac:dyDescent="0.3">
      <c r="I6726" s="82"/>
      <c r="M6726" s="85"/>
    </row>
    <row r="6727" spans="9:13" x14ac:dyDescent="0.3">
      <c r="I6727" s="82"/>
      <c r="M6727" s="85"/>
    </row>
    <row r="6728" spans="9:13" x14ac:dyDescent="0.3">
      <c r="I6728" s="82"/>
      <c r="M6728" s="85"/>
    </row>
    <row r="6729" spans="9:13" x14ac:dyDescent="0.3">
      <c r="I6729" s="82"/>
      <c r="M6729" s="85"/>
    </row>
    <row r="6730" spans="9:13" x14ac:dyDescent="0.3">
      <c r="I6730" s="82"/>
      <c r="M6730" s="85"/>
    </row>
    <row r="6731" spans="9:13" x14ac:dyDescent="0.3">
      <c r="I6731" s="82"/>
      <c r="M6731" s="85"/>
    </row>
    <row r="6732" spans="9:13" x14ac:dyDescent="0.3">
      <c r="I6732" s="82"/>
      <c r="M6732" s="85"/>
    </row>
    <row r="6733" spans="9:13" x14ac:dyDescent="0.3">
      <c r="I6733" s="82"/>
      <c r="M6733" s="85"/>
    </row>
    <row r="6734" spans="9:13" x14ac:dyDescent="0.3">
      <c r="I6734" s="82"/>
      <c r="M6734" s="85"/>
    </row>
    <row r="6735" spans="9:13" x14ac:dyDescent="0.3">
      <c r="I6735" s="82"/>
      <c r="M6735" s="85"/>
    </row>
    <row r="6736" spans="9:13" x14ac:dyDescent="0.3">
      <c r="I6736" s="82"/>
      <c r="M6736" s="85"/>
    </row>
    <row r="6737" spans="9:13" x14ac:dyDescent="0.3">
      <c r="I6737" s="82"/>
      <c r="M6737" s="85"/>
    </row>
    <row r="6738" spans="9:13" x14ac:dyDescent="0.3">
      <c r="I6738" s="82"/>
      <c r="M6738" s="85"/>
    </row>
    <row r="6739" spans="9:13" x14ac:dyDescent="0.3">
      <c r="I6739" s="82"/>
      <c r="M6739" s="85"/>
    </row>
    <row r="6740" spans="9:13" x14ac:dyDescent="0.3">
      <c r="I6740" s="82"/>
      <c r="M6740" s="85"/>
    </row>
    <row r="6741" spans="9:13" x14ac:dyDescent="0.3">
      <c r="I6741" s="82"/>
      <c r="M6741" s="85"/>
    </row>
    <row r="6742" spans="9:13" x14ac:dyDescent="0.3">
      <c r="I6742" s="82"/>
      <c r="M6742" s="85"/>
    </row>
    <row r="6743" spans="9:13" x14ac:dyDescent="0.3">
      <c r="I6743" s="82"/>
      <c r="M6743" s="85"/>
    </row>
    <row r="6744" spans="9:13" x14ac:dyDescent="0.3">
      <c r="I6744" s="82"/>
      <c r="M6744" s="85"/>
    </row>
    <row r="6745" spans="9:13" x14ac:dyDescent="0.3">
      <c r="I6745" s="82"/>
      <c r="M6745" s="85"/>
    </row>
    <row r="6746" spans="9:13" x14ac:dyDescent="0.3">
      <c r="I6746" s="82"/>
      <c r="M6746" s="85"/>
    </row>
    <row r="6747" spans="9:13" x14ac:dyDescent="0.3">
      <c r="I6747" s="82"/>
      <c r="M6747" s="85"/>
    </row>
    <row r="6748" spans="9:13" x14ac:dyDescent="0.3">
      <c r="I6748" s="82"/>
      <c r="M6748" s="85"/>
    </row>
    <row r="6749" spans="9:13" x14ac:dyDescent="0.3">
      <c r="I6749" s="82"/>
      <c r="M6749" s="85"/>
    </row>
    <row r="6750" spans="9:13" x14ac:dyDescent="0.3">
      <c r="I6750" s="82"/>
      <c r="M6750" s="85"/>
    </row>
    <row r="6751" spans="9:13" x14ac:dyDescent="0.3">
      <c r="I6751" s="82"/>
      <c r="M6751" s="85"/>
    </row>
    <row r="6752" spans="9:13" x14ac:dyDescent="0.3">
      <c r="I6752" s="82"/>
      <c r="M6752" s="85"/>
    </row>
    <row r="6753" spans="9:13" x14ac:dyDescent="0.3">
      <c r="I6753" s="82"/>
      <c r="M6753" s="85"/>
    </row>
    <row r="6754" spans="9:13" x14ac:dyDescent="0.3">
      <c r="I6754" s="82"/>
      <c r="M6754" s="85"/>
    </row>
    <row r="6755" spans="9:13" x14ac:dyDescent="0.3">
      <c r="I6755" s="82"/>
      <c r="M6755" s="85"/>
    </row>
    <row r="6756" spans="9:13" x14ac:dyDescent="0.3">
      <c r="I6756" s="82"/>
      <c r="M6756" s="85"/>
    </row>
    <row r="6757" spans="9:13" x14ac:dyDescent="0.3">
      <c r="I6757" s="82"/>
      <c r="M6757" s="85"/>
    </row>
    <row r="6758" spans="9:13" x14ac:dyDescent="0.3">
      <c r="I6758" s="82"/>
      <c r="M6758" s="85"/>
    </row>
    <row r="6759" spans="9:13" x14ac:dyDescent="0.3">
      <c r="I6759" s="82"/>
      <c r="M6759" s="85"/>
    </row>
    <row r="6760" spans="9:13" x14ac:dyDescent="0.3">
      <c r="I6760" s="82"/>
      <c r="M6760" s="85"/>
    </row>
    <row r="6761" spans="9:13" x14ac:dyDescent="0.3">
      <c r="I6761" s="82"/>
      <c r="M6761" s="85"/>
    </row>
    <row r="6762" spans="9:13" x14ac:dyDescent="0.3">
      <c r="I6762" s="82"/>
      <c r="M6762" s="85"/>
    </row>
    <row r="6763" spans="9:13" x14ac:dyDescent="0.3">
      <c r="I6763" s="82"/>
      <c r="M6763" s="85"/>
    </row>
    <row r="6764" spans="9:13" x14ac:dyDescent="0.3">
      <c r="I6764" s="82"/>
      <c r="M6764" s="85"/>
    </row>
    <row r="6765" spans="9:13" x14ac:dyDescent="0.3">
      <c r="I6765" s="82"/>
      <c r="M6765" s="85"/>
    </row>
    <row r="6766" spans="9:13" x14ac:dyDescent="0.3">
      <c r="I6766" s="82"/>
      <c r="M6766" s="85"/>
    </row>
    <row r="6767" spans="9:13" x14ac:dyDescent="0.3">
      <c r="I6767" s="82"/>
      <c r="M6767" s="85"/>
    </row>
    <row r="6768" spans="9:13" x14ac:dyDescent="0.3">
      <c r="I6768" s="82"/>
      <c r="M6768" s="85"/>
    </row>
    <row r="6769" spans="9:13" x14ac:dyDescent="0.3">
      <c r="I6769" s="82"/>
      <c r="M6769" s="85"/>
    </row>
    <row r="6770" spans="9:13" x14ac:dyDescent="0.3">
      <c r="I6770" s="82"/>
      <c r="M6770" s="85"/>
    </row>
    <row r="6771" spans="9:13" x14ac:dyDescent="0.3">
      <c r="I6771" s="82"/>
      <c r="M6771" s="85"/>
    </row>
    <row r="6772" spans="9:13" x14ac:dyDescent="0.3">
      <c r="I6772" s="82"/>
      <c r="M6772" s="85"/>
    </row>
    <row r="6773" spans="9:13" x14ac:dyDescent="0.3">
      <c r="I6773" s="82"/>
      <c r="M6773" s="85"/>
    </row>
    <row r="6774" spans="9:13" x14ac:dyDescent="0.3">
      <c r="I6774" s="82"/>
      <c r="M6774" s="85"/>
    </row>
    <row r="6775" spans="9:13" x14ac:dyDescent="0.3">
      <c r="I6775" s="82"/>
      <c r="M6775" s="85"/>
    </row>
    <row r="6776" spans="9:13" x14ac:dyDescent="0.3">
      <c r="I6776" s="82"/>
      <c r="M6776" s="85"/>
    </row>
    <row r="6777" spans="9:13" x14ac:dyDescent="0.3">
      <c r="I6777" s="82"/>
      <c r="M6777" s="85"/>
    </row>
    <row r="6778" spans="9:13" x14ac:dyDescent="0.3">
      <c r="I6778" s="82"/>
      <c r="M6778" s="85"/>
    </row>
    <row r="6779" spans="9:13" x14ac:dyDescent="0.3">
      <c r="I6779" s="82"/>
      <c r="M6779" s="85"/>
    </row>
    <row r="6780" spans="9:13" x14ac:dyDescent="0.3">
      <c r="I6780" s="82"/>
      <c r="M6780" s="85"/>
    </row>
    <row r="6781" spans="9:13" x14ac:dyDescent="0.3">
      <c r="I6781" s="82"/>
      <c r="M6781" s="85"/>
    </row>
    <row r="6782" spans="9:13" x14ac:dyDescent="0.3">
      <c r="I6782" s="82"/>
      <c r="M6782" s="85"/>
    </row>
    <row r="6783" spans="9:13" x14ac:dyDescent="0.3">
      <c r="I6783" s="82"/>
      <c r="M6783" s="85"/>
    </row>
    <row r="6784" spans="9:13" x14ac:dyDescent="0.3">
      <c r="I6784" s="82"/>
      <c r="M6784" s="85"/>
    </row>
    <row r="6785" spans="9:13" x14ac:dyDescent="0.3">
      <c r="I6785" s="82"/>
      <c r="M6785" s="85"/>
    </row>
    <row r="6786" spans="9:13" x14ac:dyDescent="0.3">
      <c r="I6786" s="82"/>
      <c r="M6786" s="85"/>
    </row>
    <row r="6787" spans="9:13" x14ac:dyDescent="0.3">
      <c r="I6787" s="82"/>
      <c r="M6787" s="85"/>
    </row>
    <row r="6788" spans="9:13" x14ac:dyDescent="0.3">
      <c r="I6788" s="82"/>
      <c r="M6788" s="85"/>
    </row>
    <row r="6789" spans="9:13" x14ac:dyDescent="0.3">
      <c r="I6789" s="82"/>
      <c r="M6789" s="85"/>
    </row>
    <row r="6790" spans="9:13" x14ac:dyDescent="0.3">
      <c r="I6790" s="82"/>
      <c r="M6790" s="85"/>
    </row>
    <row r="6791" spans="9:13" x14ac:dyDescent="0.3">
      <c r="I6791" s="82"/>
      <c r="M6791" s="85"/>
    </row>
    <row r="6792" spans="9:13" x14ac:dyDescent="0.3">
      <c r="I6792" s="82"/>
      <c r="M6792" s="85"/>
    </row>
    <row r="6793" spans="9:13" x14ac:dyDescent="0.3">
      <c r="I6793" s="82"/>
      <c r="M6793" s="85"/>
    </row>
    <row r="6794" spans="9:13" x14ac:dyDescent="0.3">
      <c r="I6794" s="82"/>
      <c r="M6794" s="85"/>
    </row>
    <row r="6795" spans="9:13" x14ac:dyDescent="0.3">
      <c r="I6795" s="82"/>
      <c r="M6795" s="85"/>
    </row>
    <row r="6796" spans="9:13" x14ac:dyDescent="0.3">
      <c r="I6796" s="82"/>
      <c r="M6796" s="85"/>
    </row>
    <row r="6797" spans="9:13" x14ac:dyDescent="0.3">
      <c r="I6797" s="82"/>
      <c r="M6797" s="85"/>
    </row>
    <row r="6798" spans="9:13" x14ac:dyDescent="0.3">
      <c r="I6798" s="82"/>
      <c r="M6798" s="85"/>
    </row>
    <row r="6799" spans="9:13" x14ac:dyDescent="0.3">
      <c r="I6799" s="82"/>
      <c r="M6799" s="85"/>
    </row>
    <row r="6800" spans="9:13" x14ac:dyDescent="0.3">
      <c r="I6800" s="82"/>
      <c r="M6800" s="85"/>
    </row>
    <row r="6801" spans="9:13" x14ac:dyDescent="0.3">
      <c r="I6801" s="82"/>
      <c r="M6801" s="85"/>
    </row>
    <row r="6802" spans="9:13" x14ac:dyDescent="0.3">
      <c r="I6802" s="82"/>
      <c r="M6802" s="85"/>
    </row>
    <row r="6803" spans="9:13" x14ac:dyDescent="0.3">
      <c r="I6803" s="82"/>
      <c r="M6803" s="85"/>
    </row>
    <row r="6804" spans="9:13" x14ac:dyDescent="0.3">
      <c r="I6804" s="82"/>
      <c r="M6804" s="85"/>
    </row>
    <row r="6805" spans="9:13" x14ac:dyDescent="0.3">
      <c r="I6805" s="82"/>
      <c r="M6805" s="85"/>
    </row>
    <row r="6806" spans="9:13" x14ac:dyDescent="0.3">
      <c r="I6806" s="82"/>
      <c r="M6806" s="85"/>
    </row>
    <row r="6807" spans="9:13" x14ac:dyDescent="0.3">
      <c r="I6807" s="82"/>
      <c r="M6807" s="85"/>
    </row>
    <row r="6808" spans="9:13" x14ac:dyDescent="0.3">
      <c r="I6808" s="82"/>
      <c r="M6808" s="85"/>
    </row>
    <row r="6809" spans="9:13" x14ac:dyDescent="0.3">
      <c r="I6809" s="82"/>
      <c r="M6809" s="85"/>
    </row>
    <row r="6810" spans="9:13" x14ac:dyDescent="0.3">
      <c r="I6810" s="82"/>
      <c r="M6810" s="85"/>
    </row>
    <row r="6811" spans="9:13" x14ac:dyDescent="0.3">
      <c r="I6811" s="82"/>
      <c r="M6811" s="85"/>
    </row>
    <row r="6812" spans="9:13" x14ac:dyDescent="0.3">
      <c r="I6812" s="82"/>
      <c r="M6812" s="85"/>
    </row>
    <row r="6813" spans="9:13" x14ac:dyDescent="0.3">
      <c r="I6813" s="82"/>
      <c r="M6813" s="85"/>
    </row>
    <row r="6814" spans="9:13" x14ac:dyDescent="0.3">
      <c r="I6814" s="82"/>
      <c r="M6814" s="85"/>
    </row>
    <row r="6815" spans="9:13" x14ac:dyDescent="0.3">
      <c r="I6815" s="82"/>
      <c r="M6815" s="85"/>
    </row>
    <row r="6816" spans="9:13" x14ac:dyDescent="0.3">
      <c r="I6816" s="82"/>
      <c r="M6816" s="85"/>
    </row>
    <row r="6817" spans="9:13" x14ac:dyDescent="0.3">
      <c r="I6817" s="82"/>
      <c r="M6817" s="85"/>
    </row>
    <row r="6818" spans="9:13" x14ac:dyDescent="0.3">
      <c r="I6818" s="82"/>
      <c r="M6818" s="85"/>
    </row>
    <row r="6819" spans="9:13" x14ac:dyDescent="0.3">
      <c r="I6819" s="82"/>
      <c r="M6819" s="85"/>
    </row>
    <row r="6820" spans="9:13" x14ac:dyDescent="0.3">
      <c r="I6820" s="82"/>
      <c r="M6820" s="85"/>
    </row>
    <row r="6821" spans="9:13" x14ac:dyDescent="0.3">
      <c r="I6821" s="82"/>
      <c r="M6821" s="85"/>
    </row>
    <row r="6822" spans="9:13" x14ac:dyDescent="0.3">
      <c r="I6822" s="82"/>
      <c r="M6822" s="85"/>
    </row>
    <row r="6823" spans="9:13" x14ac:dyDescent="0.3">
      <c r="I6823" s="82"/>
      <c r="M6823" s="85"/>
    </row>
    <row r="6824" spans="9:13" x14ac:dyDescent="0.3">
      <c r="I6824" s="82"/>
      <c r="M6824" s="85"/>
    </row>
    <row r="6825" spans="9:13" x14ac:dyDescent="0.3">
      <c r="I6825" s="82"/>
      <c r="M6825" s="85"/>
    </row>
    <row r="6826" spans="9:13" x14ac:dyDescent="0.3">
      <c r="I6826" s="82"/>
      <c r="M6826" s="85"/>
    </row>
    <row r="6827" spans="9:13" x14ac:dyDescent="0.3">
      <c r="I6827" s="82"/>
      <c r="M6827" s="85"/>
    </row>
    <row r="6828" spans="9:13" x14ac:dyDescent="0.3">
      <c r="I6828" s="82"/>
      <c r="M6828" s="85"/>
    </row>
    <row r="6829" spans="9:13" x14ac:dyDescent="0.3">
      <c r="I6829" s="82"/>
      <c r="M6829" s="85"/>
    </row>
    <row r="6830" spans="9:13" x14ac:dyDescent="0.3">
      <c r="I6830" s="82"/>
      <c r="M6830" s="85"/>
    </row>
    <row r="6831" spans="9:13" x14ac:dyDescent="0.3">
      <c r="I6831" s="82"/>
      <c r="M6831" s="85"/>
    </row>
    <row r="6832" spans="9:13" x14ac:dyDescent="0.3">
      <c r="I6832" s="82"/>
      <c r="M6832" s="85"/>
    </row>
    <row r="6833" spans="9:13" x14ac:dyDescent="0.3">
      <c r="I6833" s="82"/>
      <c r="M6833" s="85"/>
    </row>
    <row r="6834" spans="9:13" x14ac:dyDescent="0.3">
      <c r="I6834" s="82"/>
      <c r="M6834" s="85"/>
    </row>
    <row r="6835" spans="9:13" x14ac:dyDescent="0.3">
      <c r="I6835" s="82"/>
      <c r="M6835" s="85"/>
    </row>
    <row r="6836" spans="9:13" x14ac:dyDescent="0.3">
      <c r="I6836" s="82"/>
      <c r="M6836" s="85"/>
    </row>
    <row r="6837" spans="9:13" x14ac:dyDescent="0.3">
      <c r="I6837" s="82"/>
      <c r="M6837" s="85"/>
    </row>
    <row r="6838" spans="9:13" x14ac:dyDescent="0.3">
      <c r="I6838" s="82"/>
      <c r="M6838" s="85"/>
    </row>
    <row r="6839" spans="9:13" x14ac:dyDescent="0.3">
      <c r="I6839" s="82"/>
      <c r="M6839" s="85"/>
    </row>
    <row r="6840" spans="9:13" x14ac:dyDescent="0.3">
      <c r="I6840" s="82"/>
      <c r="M6840" s="85"/>
    </row>
    <row r="6841" spans="9:13" x14ac:dyDescent="0.3">
      <c r="I6841" s="82"/>
      <c r="M6841" s="85"/>
    </row>
    <row r="6842" spans="9:13" x14ac:dyDescent="0.3">
      <c r="I6842" s="82"/>
      <c r="M6842" s="85"/>
    </row>
    <row r="6843" spans="9:13" x14ac:dyDescent="0.3">
      <c r="I6843" s="82"/>
      <c r="M6843" s="85"/>
    </row>
    <row r="6844" spans="9:13" x14ac:dyDescent="0.3">
      <c r="I6844" s="82"/>
      <c r="M6844" s="85"/>
    </row>
    <row r="6845" spans="9:13" x14ac:dyDescent="0.3">
      <c r="I6845" s="82"/>
      <c r="M6845" s="85"/>
    </row>
    <row r="6846" spans="9:13" x14ac:dyDescent="0.3">
      <c r="I6846" s="82"/>
      <c r="M6846" s="85"/>
    </row>
    <row r="6847" spans="9:13" x14ac:dyDescent="0.3">
      <c r="I6847" s="82"/>
      <c r="M6847" s="85"/>
    </row>
    <row r="6848" spans="9:13" x14ac:dyDescent="0.3">
      <c r="I6848" s="82"/>
      <c r="M6848" s="85"/>
    </row>
    <row r="6849" spans="9:13" x14ac:dyDescent="0.3">
      <c r="I6849" s="82"/>
      <c r="M6849" s="85"/>
    </row>
    <row r="6850" spans="9:13" x14ac:dyDescent="0.3">
      <c r="I6850" s="82"/>
      <c r="M6850" s="85"/>
    </row>
    <row r="6851" spans="9:13" x14ac:dyDescent="0.3">
      <c r="I6851" s="82"/>
      <c r="M6851" s="85"/>
    </row>
    <row r="6852" spans="9:13" x14ac:dyDescent="0.3">
      <c r="I6852" s="82"/>
      <c r="M6852" s="85"/>
    </row>
    <row r="6853" spans="9:13" x14ac:dyDescent="0.3">
      <c r="I6853" s="82"/>
      <c r="M6853" s="85"/>
    </row>
    <row r="6854" spans="9:13" x14ac:dyDescent="0.3">
      <c r="I6854" s="82"/>
      <c r="M6854" s="85"/>
    </row>
    <row r="6855" spans="9:13" x14ac:dyDescent="0.3">
      <c r="I6855" s="82"/>
      <c r="M6855" s="85"/>
    </row>
    <row r="6856" spans="9:13" x14ac:dyDescent="0.3">
      <c r="I6856" s="82"/>
      <c r="M6856" s="85"/>
    </row>
    <row r="6857" spans="9:13" x14ac:dyDescent="0.3">
      <c r="I6857" s="82"/>
      <c r="M6857" s="85"/>
    </row>
    <row r="6858" spans="9:13" x14ac:dyDescent="0.3">
      <c r="I6858" s="82"/>
      <c r="M6858" s="85"/>
    </row>
    <row r="6859" spans="9:13" x14ac:dyDescent="0.3">
      <c r="I6859" s="82"/>
      <c r="M6859" s="85"/>
    </row>
    <row r="6860" spans="9:13" x14ac:dyDescent="0.3">
      <c r="I6860" s="82"/>
      <c r="M6860" s="85"/>
    </row>
    <row r="6861" spans="9:13" x14ac:dyDescent="0.3">
      <c r="I6861" s="82"/>
      <c r="M6861" s="85"/>
    </row>
    <row r="6862" spans="9:13" x14ac:dyDescent="0.3">
      <c r="I6862" s="82"/>
      <c r="M6862" s="85"/>
    </row>
    <row r="6863" spans="9:13" x14ac:dyDescent="0.3">
      <c r="I6863" s="82"/>
      <c r="M6863" s="85"/>
    </row>
    <row r="6864" spans="9:13" x14ac:dyDescent="0.3">
      <c r="I6864" s="82"/>
      <c r="M6864" s="85"/>
    </row>
    <row r="6865" spans="9:13" x14ac:dyDescent="0.3">
      <c r="I6865" s="82"/>
      <c r="M6865" s="85"/>
    </row>
    <row r="6866" spans="9:13" x14ac:dyDescent="0.3">
      <c r="I6866" s="82"/>
      <c r="M6866" s="85"/>
    </row>
    <row r="6867" spans="9:13" x14ac:dyDescent="0.3">
      <c r="I6867" s="82"/>
      <c r="M6867" s="85"/>
    </row>
    <row r="6868" spans="9:13" x14ac:dyDescent="0.3">
      <c r="I6868" s="82"/>
      <c r="M6868" s="85"/>
    </row>
    <row r="6869" spans="9:13" x14ac:dyDescent="0.3">
      <c r="I6869" s="82"/>
      <c r="M6869" s="85"/>
    </row>
    <row r="6870" spans="9:13" x14ac:dyDescent="0.3">
      <c r="I6870" s="82"/>
      <c r="M6870" s="85"/>
    </row>
    <row r="6871" spans="9:13" x14ac:dyDescent="0.3">
      <c r="I6871" s="82"/>
      <c r="M6871" s="85"/>
    </row>
    <row r="6872" spans="9:13" x14ac:dyDescent="0.3">
      <c r="I6872" s="82"/>
      <c r="M6872" s="85"/>
    </row>
    <row r="6873" spans="9:13" x14ac:dyDescent="0.3">
      <c r="I6873" s="82"/>
      <c r="M6873" s="85"/>
    </row>
    <row r="6874" spans="9:13" x14ac:dyDescent="0.3">
      <c r="I6874" s="82"/>
      <c r="M6874" s="85"/>
    </row>
    <row r="6875" spans="9:13" x14ac:dyDescent="0.3">
      <c r="I6875" s="82"/>
      <c r="M6875" s="85"/>
    </row>
    <row r="6876" spans="9:13" x14ac:dyDescent="0.3">
      <c r="I6876" s="82"/>
      <c r="M6876" s="85"/>
    </row>
    <row r="6877" spans="9:13" x14ac:dyDescent="0.3">
      <c r="I6877" s="82"/>
      <c r="M6877" s="85"/>
    </row>
    <row r="6878" spans="9:13" x14ac:dyDescent="0.3">
      <c r="I6878" s="82"/>
      <c r="M6878" s="85"/>
    </row>
    <row r="6879" spans="9:13" x14ac:dyDescent="0.3">
      <c r="I6879" s="82"/>
      <c r="M6879" s="85"/>
    </row>
    <row r="6880" spans="9:13" x14ac:dyDescent="0.3">
      <c r="I6880" s="82"/>
      <c r="M6880" s="85"/>
    </row>
    <row r="6881" spans="9:13" x14ac:dyDescent="0.3">
      <c r="I6881" s="82"/>
      <c r="M6881" s="85"/>
    </row>
    <row r="6882" spans="9:13" x14ac:dyDescent="0.3">
      <c r="I6882" s="82"/>
      <c r="M6882" s="85"/>
    </row>
    <row r="6883" spans="9:13" x14ac:dyDescent="0.3">
      <c r="I6883" s="82"/>
      <c r="M6883" s="85"/>
    </row>
    <row r="6884" spans="9:13" x14ac:dyDescent="0.3">
      <c r="I6884" s="82"/>
      <c r="M6884" s="85"/>
    </row>
    <row r="6885" spans="9:13" x14ac:dyDescent="0.3">
      <c r="I6885" s="82"/>
      <c r="M6885" s="85"/>
    </row>
    <row r="6886" spans="9:13" x14ac:dyDescent="0.3">
      <c r="I6886" s="82"/>
      <c r="M6886" s="85"/>
    </row>
    <row r="6887" spans="9:13" x14ac:dyDescent="0.3">
      <c r="I6887" s="82"/>
      <c r="M6887" s="85"/>
    </row>
    <row r="6888" spans="9:13" x14ac:dyDescent="0.3">
      <c r="I6888" s="82"/>
      <c r="M6888" s="85"/>
    </row>
    <row r="6889" spans="9:13" x14ac:dyDescent="0.3">
      <c r="I6889" s="82"/>
      <c r="M6889" s="85"/>
    </row>
    <row r="6890" spans="9:13" x14ac:dyDescent="0.3">
      <c r="I6890" s="82"/>
      <c r="M6890" s="85"/>
    </row>
    <row r="6891" spans="9:13" x14ac:dyDescent="0.3">
      <c r="I6891" s="82"/>
      <c r="M6891" s="85"/>
    </row>
    <row r="6892" spans="9:13" x14ac:dyDescent="0.3">
      <c r="I6892" s="82"/>
      <c r="M6892" s="85"/>
    </row>
    <row r="6893" spans="9:13" x14ac:dyDescent="0.3">
      <c r="I6893" s="82"/>
      <c r="M6893" s="85"/>
    </row>
    <row r="6894" spans="9:13" x14ac:dyDescent="0.3">
      <c r="I6894" s="82"/>
      <c r="M6894" s="85"/>
    </row>
    <row r="6895" spans="9:13" x14ac:dyDescent="0.3">
      <c r="I6895" s="82"/>
      <c r="M6895" s="85"/>
    </row>
    <row r="6896" spans="9:13" x14ac:dyDescent="0.3">
      <c r="I6896" s="82"/>
      <c r="M6896" s="85"/>
    </row>
    <row r="6897" spans="9:13" x14ac:dyDescent="0.3">
      <c r="I6897" s="82"/>
      <c r="M6897" s="85"/>
    </row>
    <row r="6898" spans="9:13" x14ac:dyDescent="0.3">
      <c r="I6898" s="82"/>
      <c r="M6898" s="85"/>
    </row>
    <row r="6899" spans="9:13" x14ac:dyDescent="0.3">
      <c r="I6899" s="82"/>
      <c r="M6899" s="85"/>
    </row>
    <row r="6900" spans="9:13" x14ac:dyDescent="0.3">
      <c r="I6900" s="82"/>
      <c r="M6900" s="85"/>
    </row>
    <row r="6901" spans="9:13" x14ac:dyDescent="0.3">
      <c r="I6901" s="82"/>
      <c r="M6901" s="85"/>
    </row>
    <row r="6902" spans="9:13" x14ac:dyDescent="0.3">
      <c r="I6902" s="82"/>
      <c r="M6902" s="85"/>
    </row>
    <row r="6903" spans="9:13" x14ac:dyDescent="0.3">
      <c r="I6903" s="82"/>
      <c r="M6903" s="85"/>
    </row>
    <row r="6904" spans="9:13" x14ac:dyDescent="0.3">
      <c r="I6904" s="82"/>
      <c r="M6904" s="85"/>
    </row>
    <row r="6905" spans="9:13" x14ac:dyDescent="0.3">
      <c r="I6905" s="82"/>
      <c r="M6905" s="85"/>
    </row>
    <row r="6906" spans="9:13" x14ac:dyDescent="0.3">
      <c r="I6906" s="82"/>
      <c r="M6906" s="85"/>
    </row>
    <row r="6907" spans="9:13" x14ac:dyDescent="0.3">
      <c r="I6907" s="82"/>
      <c r="M6907" s="85"/>
    </row>
    <row r="6908" spans="9:13" x14ac:dyDescent="0.3">
      <c r="I6908" s="82"/>
      <c r="M6908" s="85"/>
    </row>
    <row r="6909" spans="9:13" x14ac:dyDescent="0.3">
      <c r="I6909" s="82"/>
      <c r="M6909" s="85"/>
    </row>
    <row r="6910" spans="9:13" x14ac:dyDescent="0.3">
      <c r="I6910" s="82"/>
      <c r="M6910" s="85"/>
    </row>
    <row r="6911" spans="9:13" x14ac:dyDescent="0.3">
      <c r="I6911" s="82"/>
      <c r="M6911" s="85"/>
    </row>
    <row r="6912" spans="9:13" x14ac:dyDescent="0.3">
      <c r="I6912" s="82"/>
      <c r="M6912" s="85"/>
    </row>
    <row r="6913" spans="9:13" x14ac:dyDescent="0.3">
      <c r="I6913" s="82"/>
      <c r="M6913" s="85"/>
    </row>
    <row r="6914" spans="9:13" x14ac:dyDescent="0.3">
      <c r="I6914" s="82"/>
      <c r="M6914" s="85"/>
    </row>
    <row r="6915" spans="9:13" x14ac:dyDescent="0.3">
      <c r="I6915" s="82"/>
      <c r="M6915" s="85"/>
    </row>
    <row r="6916" spans="9:13" x14ac:dyDescent="0.3">
      <c r="I6916" s="82"/>
      <c r="M6916" s="85"/>
    </row>
    <row r="6917" spans="9:13" x14ac:dyDescent="0.3">
      <c r="I6917" s="82"/>
      <c r="M6917" s="85"/>
    </row>
    <row r="6918" spans="9:13" x14ac:dyDescent="0.3">
      <c r="I6918" s="82"/>
      <c r="M6918" s="85"/>
    </row>
    <row r="6919" spans="9:13" x14ac:dyDescent="0.3">
      <c r="I6919" s="82"/>
      <c r="M6919" s="85"/>
    </row>
    <row r="6920" spans="9:13" x14ac:dyDescent="0.3">
      <c r="I6920" s="82"/>
      <c r="M6920" s="85"/>
    </row>
    <row r="6921" spans="9:13" x14ac:dyDescent="0.3">
      <c r="I6921" s="82"/>
      <c r="M6921" s="85"/>
    </row>
    <row r="6922" spans="9:13" x14ac:dyDescent="0.3">
      <c r="I6922" s="82"/>
      <c r="M6922" s="85"/>
    </row>
    <row r="6923" spans="9:13" x14ac:dyDescent="0.3">
      <c r="I6923" s="82"/>
      <c r="M6923" s="85"/>
    </row>
    <row r="6924" spans="9:13" x14ac:dyDescent="0.3">
      <c r="I6924" s="82"/>
      <c r="M6924" s="85"/>
    </row>
    <row r="6925" spans="9:13" x14ac:dyDescent="0.3">
      <c r="I6925" s="82"/>
      <c r="M6925" s="85"/>
    </row>
    <row r="6926" spans="9:13" x14ac:dyDescent="0.3">
      <c r="I6926" s="82"/>
      <c r="M6926" s="85"/>
    </row>
    <row r="6927" spans="9:13" x14ac:dyDescent="0.3">
      <c r="I6927" s="82"/>
      <c r="M6927" s="85"/>
    </row>
    <row r="6928" spans="9:13" x14ac:dyDescent="0.3">
      <c r="I6928" s="82"/>
      <c r="M6928" s="85"/>
    </row>
    <row r="6929" spans="9:13" x14ac:dyDescent="0.3">
      <c r="I6929" s="82"/>
      <c r="M6929" s="85"/>
    </row>
    <row r="6930" spans="9:13" x14ac:dyDescent="0.3">
      <c r="I6930" s="82"/>
      <c r="M6930" s="85"/>
    </row>
    <row r="6931" spans="9:13" x14ac:dyDescent="0.3">
      <c r="I6931" s="82"/>
      <c r="M6931" s="85"/>
    </row>
    <row r="6932" spans="9:13" x14ac:dyDescent="0.3">
      <c r="I6932" s="82"/>
      <c r="M6932" s="85"/>
    </row>
    <row r="6933" spans="9:13" x14ac:dyDescent="0.3">
      <c r="I6933" s="82"/>
      <c r="M6933" s="85"/>
    </row>
    <row r="6934" spans="9:13" x14ac:dyDescent="0.3">
      <c r="I6934" s="82"/>
      <c r="M6934" s="85"/>
    </row>
    <row r="6935" spans="9:13" x14ac:dyDescent="0.3">
      <c r="I6935" s="82"/>
      <c r="M6935" s="85"/>
    </row>
    <row r="6936" spans="9:13" x14ac:dyDescent="0.3">
      <c r="I6936" s="82"/>
      <c r="M6936" s="85"/>
    </row>
    <row r="6937" spans="9:13" x14ac:dyDescent="0.3">
      <c r="I6937" s="82"/>
      <c r="M6937" s="85"/>
    </row>
    <row r="6938" spans="9:13" x14ac:dyDescent="0.3">
      <c r="I6938" s="82"/>
      <c r="M6938" s="85"/>
    </row>
    <row r="6939" spans="9:13" x14ac:dyDescent="0.3">
      <c r="I6939" s="82"/>
      <c r="M6939" s="85"/>
    </row>
    <row r="6940" spans="9:13" x14ac:dyDescent="0.3">
      <c r="I6940" s="82"/>
      <c r="M6940" s="85"/>
    </row>
    <row r="6941" spans="9:13" x14ac:dyDescent="0.3">
      <c r="I6941" s="82"/>
      <c r="M6941" s="85"/>
    </row>
    <row r="6942" spans="9:13" x14ac:dyDescent="0.3">
      <c r="I6942" s="82"/>
      <c r="M6942" s="85"/>
    </row>
    <row r="6943" spans="9:13" x14ac:dyDescent="0.3">
      <c r="I6943" s="82"/>
      <c r="M6943" s="85"/>
    </row>
    <row r="6944" spans="9:13" x14ac:dyDescent="0.3">
      <c r="I6944" s="82"/>
      <c r="M6944" s="85"/>
    </row>
    <row r="6945" spans="9:13" x14ac:dyDescent="0.3">
      <c r="I6945" s="82"/>
      <c r="M6945" s="85"/>
    </row>
    <row r="6946" spans="9:13" x14ac:dyDescent="0.3">
      <c r="I6946" s="82"/>
      <c r="M6946" s="85"/>
    </row>
    <row r="6947" spans="9:13" x14ac:dyDescent="0.3">
      <c r="I6947" s="82"/>
      <c r="M6947" s="85"/>
    </row>
    <row r="6948" spans="9:13" x14ac:dyDescent="0.3">
      <c r="I6948" s="82"/>
      <c r="M6948" s="85"/>
    </row>
    <row r="6949" spans="9:13" x14ac:dyDescent="0.3">
      <c r="I6949" s="82"/>
      <c r="M6949" s="85"/>
    </row>
    <row r="6950" spans="9:13" x14ac:dyDescent="0.3">
      <c r="I6950" s="82"/>
      <c r="M6950" s="85"/>
    </row>
    <row r="6951" spans="9:13" x14ac:dyDescent="0.3">
      <c r="I6951" s="82"/>
      <c r="M6951" s="85"/>
    </row>
    <row r="6952" spans="9:13" x14ac:dyDescent="0.3">
      <c r="I6952" s="82"/>
      <c r="M6952" s="85"/>
    </row>
    <row r="6953" spans="9:13" x14ac:dyDescent="0.3">
      <c r="I6953" s="82"/>
      <c r="M6953" s="85"/>
    </row>
    <row r="6954" spans="9:13" x14ac:dyDescent="0.3">
      <c r="I6954" s="82"/>
      <c r="M6954" s="85"/>
    </row>
    <row r="6955" spans="9:13" x14ac:dyDescent="0.3">
      <c r="I6955" s="82"/>
      <c r="M6955" s="85"/>
    </row>
    <row r="6956" spans="9:13" x14ac:dyDescent="0.3">
      <c r="I6956" s="82"/>
      <c r="M6956" s="85"/>
    </row>
    <row r="6957" spans="9:13" x14ac:dyDescent="0.3">
      <c r="I6957" s="82"/>
      <c r="M6957" s="85"/>
    </row>
    <row r="6958" spans="9:13" x14ac:dyDescent="0.3">
      <c r="I6958" s="82"/>
      <c r="M6958" s="85"/>
    </row>
    <row r="6959" spans="9:13" x14ac:dyDescent="0.3">
      <c r="I6959" s="82"/>
      <c r="M6959" s="85"/>
    </row>
    <row r="6960" spans="9:13" x14ac:dyDescent="0.3">
      <c r="I6960" s="82"/>
      <c r="M6960" s="85"/>
    </row>
    <row r="6961" spans="9:13" x14ac:dyDescent="0.3">
      <c r="I6961" s="82"/>
      <c r="M6961" s="85"/>
    </row>
    <row r="6962" spans="9:13" x14ac:dyDescent="0.3">
      <c r="I6962" s="82"/>
      <c r="M6962" s="85"/>
    </row>
    <row r="6963" spans="9:13" x14ac:dyDescent="0.3">
      <c r="I6963" s="82"/>
      <c r="M6963" s="85"/>
    </row>
    <row r="6964" spans="9:13" x14ac:dyDescent="0.3">
      <c r="I6964" s="82"/>
      <c r="M6964" s="85"/>
    </row>
    <row r="6965" spans="9:13" x14ac:dyDescent="0.3">
      <c r="I6965" s="82"/>
      <c r="M6965" s="85"/>
    </row>
    <row r="6966" spans="9:13" x14ac:dyDescent="0.3">
      <c r="I6966" s="82"/>
      <c r="M6966" s="85"/>
    </row>
    <row r="6967" spans="9:13" x14ac:dyDescent="0.3">
      <c r="I6967" s="82"/>
      <c r="M6967" s="85"/>
    </row>
    <row r="6968" spans="9:13" x14ac:dyDescent="0.3">
      <c r="I6968" s="82"/>
      <c r="M6968" s="85"/>
    </row>
    <row r="6969" spans="9:13" x14ac:dyDescent="0.3">
      <c r="I6969" s="82"/>
      <c r="M6969" s="85"/>
    </row>
    <row r="6970" spans="9:13" x14ac:dyDescent="0.3">
      <c r="I6970" s="82"/>
      <c r="M6970" s="85"/>
    </row>
    <row r="6971" spans="9:13" x14ac:dyDescent="0.3">
      <c r="I6971" s="82"/>
      <c r="M6971" s="85"/>
    </row>
    <row r="6972" spans="9:13" x14ac:dyDescent="0.3">
      <c r="I6972" s="82"/>
      <c r="M6972" s="85"/>
    </row>
    <row r="6973" spans="9:13" x14ac:dyDescent="0.3">
      <c r="I6973" s="82"/>
      <c r="M6973" s="85"/>
    </row>
    <row r="6974" spans="9:13" x14ac:dyDescent="0.3">
      <c r="I6974" s="82"/>
      <c r="M6974" s="85"/>
    </row>
    <row r="6975" spans="9:13" x14ac:dyDescent="0.3">
      <c r="I6975" s="82"/>
      <c r="M6975" s="85"/>
    </row>
    <row r="6976" spans="9:13" x14ac:dyDescent="0.3">
      <c r="I6976" s="82"/>
      <c r="M6976" s="85"/>
    </row>
    <row r="6977" spans="9:13" x14ac:dyDescent="0.3">
      <c r="I6977" s="82"/>
      <c r="M6977" s="85"/>
    </row>
    <row r="6978" spans="9:13" x14ac:dyDescent="0.3">
      <c r="I6978" s="82"/>
      <c r="M6978" s="85"/>
    </row>
    <row r="6979" spans="9:13" x14ac:dyDescent="0.3">
      <c r="I6979" s="82"/>
      <c r="M6979" s="85"/>
    </row>
    <row r="6980" spans="9:13" x14ac:dyDescent="0.3">
      <c r="I6980" s="82"/>
      <c r="M6980" s="85"/>
    </row>
    <row r="6981" spans="9:13" x14ac:dyDescent="0.3">
      <c r="I6981" s="82"/>
      <c r="M6981" s="85"/>
    </row>
    <row r="6982" spans="9:13" x14ac:dyDescent="0.3">
      <c r="I6982" s="82"/>
      <c r="M6982" s="85"/>
    </row>
    <row r="6983" spans="9:13" x14ac:dyDescent="0.3">
      <c r="I6983" s="82"/>
      <c r="M6983" s="85"/>
    </row>
    <row r="6984" spans="9:13" x14ac:dyDescent="0.3">
      <c r="I6984" s="82"/>
      <c r="M6984" s="85"/>
    </row>
    <row r="6985" spans="9:13" x14ac:dyDescent="0.3">
      <c r="I6985" s="82"/>
      <c r="M6985" s="85"/>
    </row>
    <row r="6986" spans="9:13" x14ac:dyDescent="0.3">
      <c r="I6986" s="82"/>
      <c r="M6986" s="85"/>
    </row>
    <row r="6987" spans="9:13" x14ac:dyDescent="0.3">
      <c r="I6987" s="82"/>
      <c r="M6987" s="85"/>
    </row>
    <row r="6988" spans="9:13" x14ac:dyDescent="0.3">
      <c r="I6988" s="82"/>
      <c r="M6988" s="85"/>
    </row>
    <row r="6989" spans="9:13" x14ac:dyDescent="0.3">
      <c r="I6989" s="82"/>
      <c r="M6989" s="85"/>
    </row>
    <row r="6990" spans="9:13" x14ac:dyDescent="0.3">
      <c r="I6990" s="82"/>
      <c r="M6990" s="85"/>
    </row>
    <row r="6991" spans="9:13" x14ac:dyDescent="0.3">
      <c r="I6991" s="82"/>
      <c r="M6991" s="85"/>
    </row>
    <row r="6992" spans="9:13" x14ac:dyDescent="0.3">
      <c r="I6992" s="82"/>
      <c r="M6992" s="85"/>
    </row>
    <row r="6993" spans="9:13" x14ac:dyDescent="0.3">
      <c r="I6993" s="82"/>
      <c r="M6993" s="85"/>
    </row>
    <row r="6994" spans="9:13" x14ac:dyDescent="0.3">
      <c r="I6994" s="82"/>
      <c r="M6994" s="85"/>
    </row>
    <row r="6995" spans="9:13" x14ac:dyDescent="0.3">
      <c r="I6995" s="82"/>
      <c r="M6995" s="85"/>
    </row>
    <row r="6996" spans="9:13" x14ac:dyDescent="0.3">
      <c r="I6996" s="82"/>
      <c r="M6996" s="85"/>
    </row>
    <row r="6997" spans="9:13" x14ac:dyDescent="0.3">
      <c r="I6997" s="82"/>
      <c r="M6997" s="85"/>
    </row>
    <row r="6998" spans="9:13" x14ac:dyDescent="0.3">
      <c r="I6998" s="82"/>
      <c r="M6998" s="85"/>
    </row>
    <row r="6999" spans="9:13" x14ac:dyDescent="0.3">
      <c r="I6999" s="82"/>
      <c r="M6999" s="85"/>
    </row>
    <row r="7000" spans="9:13" x14ac:dyDescent="0.3">
      <c r="I7000" s="82"/>
      <c r="M7000" s="85"/>
    </row>
    <row r="7001" spans="9:13" x14ac:dyDescent="0.3">
      <c r="I7001" s="82"/>
      <c r="M7001" s="85"/>
    </row>
    <row r="7002" spans="9:13" x14ac:dyDescent="0.3">
      <c r="I7002" s="82"/>
      <c r="M7002" s="85"/>
    </row>
    <row r="7003" spans="9:13" x14ac:dyDescent="0.3">
      <c r="I7003" s="82"/>
      <c r="M7003" s="85"/>
    </row>
    <row r="7004" spans="9:13" x14ac:dyDescent="0.3">
      <c r="I7004" s="82"/>
      <c r="M7004" s="85"/>
    </row>
    <row r="7005" spans="9:13" x14ac:dyDescent="0.3">
      <c r="I7005" s="82"/>
      <c r="M7005" s="85"/>
    </row>
    <row r="7006" spans="9:13" x14ac:dyDescent="0.3">
      <c r="I7006" s="82"/>
      <c r="M7006" s="85"/>
    </row>
    <row r="7007" spans="9:13" x14ac:dyDescent="0.3">
      <c r="I7007" s="82"/>
      <c r="M7007" s="85"/>
    </row>
    <row r="7008" spans="9:13" x14ac:dyDescent="0.3">
      <c r="I7008" s="82"/>
      <c r="M7008" s="85"/>
    </row>
    <row r="7009" spans="9:13" x14ac:dyDescent="0.3">
      <c r="I7009" s="82"/>
      <c r="M7009" s="85"/>
    </row>
    <row r="7010" spans="9:13" x14ac:dyDescent="0.3">
      <c r="I7010" s="82"/>
      <c r="M7010" s="85"/>
    </row>
    <row r="7011" spans="9:13" x14ac:dyDescent="0.3">
      <c r="I7011" s="82"/>
      <c r="M7011" s="85"/>
    </row>
    <row r="7012" spans="9:13" x14ac:dyDescent="0.3">
      <c r="I7012" s="82"/>
      <c r="M7012" s="85"/>
    </row>
    <row r="7013" spans="9:13" x14ac:dyDescent="0.3">
      <c r="I7013" s="82"/>
      <c r="M7013" s="85"/>
    </row>
    <row r="7014" spans="9:13" x14ac:dyDescent="0.3">
      <c r="I7014" s="82"/>
      <c r="M7014" s="85"/>
    </row>
    <row r="7015" spans="9:13" x14ac:dyDescent="0.3">
      <c r="I7015" s="82"/>
      <c r="M7015" s="85"/>
    </row>
    <row r="7016" spans="9:13" x14ac:dyDescent="0.3">
      <c r="I7016" s="82"/>
      <c r="M7016" s="85"/>
    </row>
    <row r="7017" spans="9:13" x14ac:dyDescent="0.3">
      <c r="I7017" s="82"/>
      <c r="M7017" s="85"/>
    </row>
    <row r="7018" spans="9:13" x14ac:dyDescent="0.3">
      <c r="I7018" s="82"/>
      <c r="M7018" s="85"/>
    </row>
    <row r="7019" spans="9:13" x14ac:dyDescent="0.3">
      <c r="I7019" s="82"/>
      <c r="M7019" s="85"/>
    </row>
    <row r="7020" spans="9:13" x14ac:dyDescent="0.3">
      <c r="I7020" s="82"/>
      <c r="M7020" s="85"/>
    </row>
    <row r="7021" spans="9:13" x14ac:dyDescent="0.3">
      <c r="I7021" s="82"/>
      <c r="M7021" s="85"/>
    </row>
    <row r="7022" spans="9:13" x14ac:dyDescent="0.3">
      <c r="I7022" s="82"/>
      <c r="M7022" s="85"/>
    </row>
    <row r="7023" spans="9:13" x14ac:dyDescent="0.3">
      <c r="I7023" s="82"/>
      <c r="M7023" s="85"/>
    </row>
    <row r="7024" spans="9:13" x14ac:dyDescent="0.3">
      <c r="I7024" s="82"/>
      <c r="M7024" s="85"/>
    </row>
    <row r="7025" spans="9:13" x14ac:dyDescent="0.3">
      <c r="I7025" s="82"/>
      <c r="M7025" s="85"/>
    </row>
    <row r="7026" spans="9:13" x14ac:dyDescent="0.3">
      <c r="I7026" s="82"/>
      <c r="M7026" s="85"/>
    </row>
    <row r="7027" spans="9:13" x14ac:dyDescent="0.3">
      <c r="I7027" s="82"/>
      <c r="M7027" s="85"/>
    </row>
    <row r="7028" spans="9:13" x14ac:dyDescent="0.3">
      <c r="I7028" s="82"/>
      <c r="M7028" s="85"/>
    </row>
    <row r="7029" spans="9:13" x14ac:dyDescent="0.3">
      <c r="I7029" s="82"/>
      <c r="M7029" s="85"/>
    </row>
    <row r="7030" spans="9:13" x14ac:dyDescent="0.3">
      <c r="I7030" s="82"/>
      <c r="M7030" s="85"/>
    </row>
    <row r="7031" spans="9:13" x14ac:dyDescent="0.3">
      <c r="I7031" s="82"/>
      <c r="M7031" s="85"/>
    </row>
    <row r="7032" spans="9:13" x14ac:dyDescent="0.3">
      <c r="I7032" s="82"/>
      <c r="M7032" s="85"/>
    </row>
    <row r="7033" spans="9:13" x14ac:dyDescent="0.3">
      <c r="I7033" s="82"/>
      <c r="M7033" s="85"/>
    </row>
    <row r="7034" spans="9:13" x14ac:dyDescent="0.3">
      <c r="I7034" s="82"/>
      <c r="M7034" s="85"/>
    </row>
    <row r="7035" spans="9:13" x14ac:dyDescent="0.3">
      <c r="I7035" s="82"/>
      <c r="M7035" s="85"/>
    </row>
    <row r="7036" spans="9:13" x14ac:dyDescent="0.3">
      <c r="I7036" s="82"/>
      <c r="M7036" s="85"/>
    </row>
    <row r="7037" spans="9:13" x14ac:dyDescent="0.3">
      <c r="I7037" s="82"/>
      <c r="M7037" s="85"/>
    </row>
    <row r="7038" spans="9:13" x14ac:dyDescent="0.3">
      <c r="I7038" s="82"/>
      <c r="M7038" s="85"/>
    </row>
    <row r="7039" spans="9:13" x14ac:dyDescent="0.3">
      <c r="I7039" s="82"/>
      <c r="M7039" s="85"/>
    </row>
    <row r="7040" spans="9:13" x14ac:dyDescent="0.3">
      <c r="I7040" s="82"/>
      <c r="M7040" s="85"/>
    </row>
    <row r="7041" spans="9:13" x14ac:dyDescent="0.3">
      <c r="I7041" s="82"/>
      <c r="M7041" s="85"/>
    </row>
    <row r="7042" spans="9:13" x14ac:dyDescent="0.3">
      <c r="I7042" s="82"/>
      <c r="M7042" s="85"/>
    </row>
    <row r="7043" spans="9:13" x14ac:dyDescent="0.3">
      <c r="I7043" s="82"/>
      <c r="M7043" s="85"/>
    </row>
    <row r="7044" spans="9:13" x14ac:dyDescent="0.3">
      <c r="I7044" s="82"/>
      <c r="M7044" s="85"/>
    </row>
    <row r="7045" spans="9:13" x14ac:dyDescent="0.3">
      <c r="I7045" s="82"/>
      <c r="M7045" s="85"/>
    </row>
    <row r="7046" spans="9:13" x14ac:dyDescent="0.3">
      <c r="I7046" s="82"/>
      <c r="M7046" s="85"/>
    </row>
    <row r="7047" spans="9:13" x14ac:dyDescent="0.3">
      <c r="I7047" s="82"/>
      <c r="M7047" s="85"/>
    </row>
    <row r="7048" spans="9:13" x14ac:dyDescent="0.3">
      <c r="I7048" s="82"/>
      <c r="M7048" s="85"/>
    </row>
    <row r="7049" spans="9:13" x14ac:dyDescent="0.3">
      <c r="I7049" s="82"/>
      <c r="M7049" s="85"/>
    </row>
    <row r="7050" spans="9:13" x14ac:dyDescent="0.3">
      <c r="I7050" s="82"/>
      <c r="M7050" s="85"/>
    </row>
    <row r="7051" spans="9:13" x14ac:dyDescent="0.3">
      <c r="I7051" s="82"/>
      <c r="M7051" s="85"/>
    </row>
    <row r="7052" spans="9:13" x14ac:dyDescent="0.3">
      <c r="I7052" s="82"/>
      <c r="M7052" s="85"/>
    </row>
    <row r="7053" spans="9:13" x14ac:dyDescent="0.3">
      <c r="I7053" s="82"/>
      <c r="M7053" s="85"/>
    </row>
    <row r="7054" spans="9:13" x14ac:dyDescent="0.3">
      <c r="I7054" s="82"/>
      <c r="M7054" s="85"/>
    </row>
    <row r="7055" spans="9:13" x14ac:dyDescent="0.3">
      <c r="I7055" s="82"/>
      <c r="M7055" s="85"/>
    </row>
    <row r="7056" spans="9:13" x14ac:dyDescent="0.3">
      <c r="I7056" s="82"/>
      <c r="M7056" s="85"/>
    </row>
    <row r="7057" spans="9:13" x14ac:dyDescent="0.3">
      <c r="I7057" s="82"/>
      <c r="M7057" s="85"/>
    </row>
    <row r="7058" spans="9:13" x14ac:dyDescent="0.3">
      <c r="I7058" s="82"/>
      <c r="M7058" s="85"/>
    </row>
    <row r="7059" spans="9:13" x14ac:dyDescent="0.3">
      <c r="I7059" s="82"/>
      <c r="M7059" s="85"/>
    </row>
    <row r="7060" spans="9:13" x14ac:dyDescent="0.3">
      <c r="I7060" s="82"/>
      <c r="M7060" s="85"/>
    </row>
    <row r="7061" spans="9:13" x14ac:dyDescent="0.3">
      <c r="I7061" s="82"/>
      <c r="M7061" s="85"/>
    </row>
    <row r="7062" spans="9:13" x14ac:dyDescent="0.3">
      <c r="I7062" s="82"/>
      <c r="M7062" s="85"/>
    </row>
    <row r="7063" spans="9:13" x14ac:dyDescent="0.3">
      <c r="I7063" s="82"/>
      <c r="M7063" s="85"/>
    </row>
    <row r="7064" spans="9:13" x14ac:dyDescent="0.3">
      <c r="I7064" s="82"/>
      <c r="M7064" s="85"/>
    </row>
    <row r="7065" spans="9:13" x14ac:dyDescent="0.3">
      <c r="I7065" s="82"/>
      <c r="M7065" s="85"/>
    </row>
    <row r="7066" spans="9:13" x14ac:dyDescent="0.3">
      <c r="I7066" s="82"/>
      <c r="M7066" s="85"/>
    </row>
    <row r="7067" spans="9:13" x14ac:dyDescent="0.3">
      <c r="I7067" s="82"/>
      <c r="M7067" s="85"/>
    </row>
    <row r="7068" spans="9:13" x14ac:dyDescent="0.3">
      <c r="I7068" s="82"/>
      <c r="M7068" s="85"/>
    </row>
    <row r="7069" spans="9:13" x14ac:dyDescent="0.3">
      <c r="I7069" s="82"/>
      <c r="M7069" s="85"/>
    </row>
    <row r="7070" spans="9:13" x14ac:dyDescent="0.3">
      <c r="I7070" s="82"/>
      <c r="M7070" s="85"/>
    </row>
    <row r="7071" spans="9:13" x14ac:dyDescent="0.3">
      <c r="I7071" s="82"/>
      <c r="M7071" s="85"/>
    </row>
    <row r="7072" spans="9:13" x14ac:dyDescent="0.3">
      <c r="I7072" s="82"/>
      <c r="M7072" s="85"/>
    </row>
    <row r="7073" spans="9:13" x14ac:dyDescent="0.3">
      <c r="I7073" s="82"/>
      <c r="M7073" s="85"/>
    </row>
    <row r="7074" spans="9:13" x14ac:dyDescent="0.3">
      <c r="I7074" s="82"/>
      <c r="M7074" s="85"/>
    </row>
    <row r="7075" spans="9:13" x14ac:dyDescent="0.3">
      <c r="I7075" s="82"/>
      <c r="M7075" s="85"/>
    </row>
    <row r="7076" spans="9:13" x14ac:dyDescent="0.3">
      <c r="I7076" s="82"/>
      <c r="M7076" s="85"/>
    </row>
    <row r="7077" spans="9:13" x14ac:dyDescent="0.3">
      <c r="I7077" s="82"/>
      <c r="M7077" s="85"/>
    </row>
    <row r="7078" spans="9:13" x14ac:dyDescent="0.3">
      <c r="I7078" s="82"/>
      <c r="M7078" s="85"/>
    </row>
    <row r="7079" spans="9:13" x14ac:dyDescent="0.3">
      <c r="I7079" s="82"/>
      <c r="M7079" s="85"/>
    </row>
    <row r="7080" spans="9:13" x14ac:dyDescent="0.3">
      <c r="I7080" s="82"/>
      <c r="M7080" s="85"/>
    </row>
    <row r="7081" spans="9:13" x14ac:dyDescent="0.3">
      <c r="I7081" s="82"/>
      <c r="M7081" s="85"/>
    </row>
    <row r="7082" spans="9:13" x14ac:dyDescent="0.3">
      <c r="I7082" s="82"/>
      <c r="M7082" s="85"/>
    </row>
    <row r="7083" spans="9:13" x14ac:dyDescent="0.3">
      <c r="I7083" s="82"/>
      <c r="M7083" s="85"/>
    </row>
    <row r="7084" spans="9:13" x14ac:dyDescent="0.3">
      <c r="I7084" s="82"/>
      <c r="M7084" s="85"/>
    </row>
    <row r="7085" spans="9:13" x14ac:dyDescent="0.3">
      <c r="I7085" s="82"/>
      <c r="M7085" s="85"/>
    </row>
    <row r="7086" spans="9:13" x14ac:dyDescent="0.3">
      <c r="I7086" s="82"/>
      <c r="M7086" s="85"/>
    </row>
    <row r="7087" spans="9:13" x14ac:dyDescent="0.3">
      <c r="I7087" s="82"/>
      <c r="M7087" s="85"/>
    </row>
    <row r="7088" spans="9:13" x14ac:dyDescent="0.3">
      <c r="I7088" s="82"/>
      <c r="M7088" s="85"/>
    </row>
    <row r="7089" spans="9:13" x14ac:dyDescent="0.3">
      <c r="I7089" s="82"/>
      <c r="M7089" s="85"/>
    </row>
    <row r="7090" spans="9:13" x14ac:dyDescent="0.3">
      <c r="I7090" s="82"/>
      <c r="M7090" s="85"/>
    </row>
    <row r="7091" spans="9:13" x14ac:dyDescent="0.3">
      <c r="I7091" s="82"/>
      <c r="M7091" s="85"/>
    </row>
    <row r="7092" spans="9:13" x14ac:dyDescent="0.3">
      <c r="I7092" s="82"/>
      <c r="M7092" s="85"/>
    </row>
    <row r="7093" spans="9:13" x14ac:dyDescent="0.3">
      <c r="I7093" s="82"/>
      <c r="M7093" s="85"/>
    </row>
    <row r="7094" spans="9:13" x14ac:dyDescent="0.3">
      <c r="I7094" s="82"/>
      <c r="M7094" s="85"/>
    </row>
    <row r="7095" spans="9:13" x14ac:dyDescent="0.3">
      <c r="I7095" s="82"/>
      <c r="M7095" s="85"/>
    </row>
    <row r="7096" spans="9:13" x14ac:dyDescent="0.3">
      <c r="I7096" s="82"/>
      <c r="M7096" s="85"/>
    </row>
    <row r="7097" spans="9:13" x14ac:dyDescent="0.3">
      <c r="I7097" s="82"/>
      <c r="M7097" s="85"/>
    </row>
    <row r="7098" spans="9:13" x14ac:dyDescent="0.3">
      <c r="I7098" s="82"/>
      <c r="M7098" s="85"/>
    </row>
    <row r="7099" spans="9:13" x14ac:dyDescent="0.3">
      <c r="I7099" s="82"/>
      <c r="M7099" s="85"/>
    </row>
    <row r="7100" spans="9:13" x14ac:dyDescent="0.3">
      <c r="I7100" s="82"/>
      <c r="M7100" s="85"/>
    </row>
    <row r="7101" spans="9:13" x14ac:dyDescent="0.3">
      <c r="I7101" s="82"/>
      <c r="M7101" s="85"/>
    </row>
    <row r="7102" spans="9:13" x14ac:dyDescent="0.3">
      <c r="I7102" s="82"/>
      <c r="M7102" s="85"/>
    </row>
    <row r="7103" spans="9:13" x14ac:dyDescent="0.3">
      <c r="I7103" s="82"/>
      <c r="M7103" s="85"/>
    </row>
    <row r="7104" spans="9:13" x14ac:dyDescent="0.3">
      <c r="I7104" s="82"/>
      <c r="M7104" s="85"/>
    </row>
    <row r="7105" spans="9:13" x14ac:dyDescent="0.3">
      <c r="I7105" s="82"/>
      <c r="M7105" s="85"/>
    </row>
    <row r="7106" spans="9:13" x14ac:dyDescent="0.3">
      <c r="I7106" s="82"/>
      <c r="M7106" s="85"/>
    </row>
    <row r="7107" spans="9:13" x14ac:dyDescent="0.3">
      <c r="I7107" s="82"/>
      <c r="M7107" s="85"/>
    </row>
    <row r="7108" spans="9:13" x14ac:dyDescent="0.3">
      <c r="I7108" s="82"/>
      <c r="M7108" s="85"/>
    </row>
    <row r="7109" spans="9:13" x14ac:dyDescent="0.3">
      <c r="I7109" s="82"/>
      <c r="M7109" s="85"/>
    </row>
    <row r="7110" spans="9:13" x14ac:dyDescent="0.3">
      <c r="I7110" s="82"/>
      <c r="M7110" s="85"/>
    </row>
    <row r="7111" spans="9:13" x14ac:dyDescent="0.3">
      <c r="I7111" s="82"/>
      <c r="M7111" s="85"/>
    </row>
    <row r="7112" spans="9:13" x14ac:dyDescent="0.3">
      <c r="I7112" s="82"/>
      <c r="M7112" s="85"/>
    </row>
    <row r="7113" spans="9:13" x14ac:dyDescent="0.3">
      <c r="I7113" s="82"/>
      <c r="M7113" s="85"/>
    </row>
    <row r="7114" spans="9:13" x14ac:dyDescent="0.3">
      <c r="I7114" s="82"/>
      <c r="M7114" s="85"/>
    </row>
    <row r="7115" spans="9:13" x14ac:dyDescent="0.3">
      <c r="I7115" s="82"/>
      <c r="M7115" s="85"/>
    </row>
    <row r="7116" spans="9:13" x14ac:dyDescent="0.3">
      <c r="I7116" s="82"/>
      <c r="M7116" s="85"/>
    </row>
    <row r="7117" spans="9:13" x14ac:dyDescent="0.3">
      <c r="I7117" s="82"/>
      <c r="M7117" s="85"/>
    </row>
    <row r="7118" spans="9:13" x14ac:dyDescent="0.3">
      <c r="I7118" s="82"/>
      <c r="M7118" s="85"/>
    </row>
    <row r="7119" spans="9:13" x14ac:dyDescent="0.3">
      <c r="I7119" s="82"/>
      <c r="M7119" s="85"/>
    </row>
    <row r="7120" spans="9:13" x14ac:dyDescent="0.3">
      <c r="I7120" s="82"/>
      <c r="M7120" s="85"/>
    </row>
    <row r="7121" spans="9:13" x14ac:dyDescent="0.3">
      <c r="I7121" s="82"/>
      <c r="M7121" s="85"/>
    </row>
    <row r="7122" spans="9:13" x14ac:dyDescent="0.3">
      <c r="I7122" s="82"/>
      <c r="M7122" s="85"/>
    </row>
    <row r="7123" spans="9:13" x14ac:dyDescent="0.3">
      <c r="I7123" s="82"/>
      <c r="M7123" s="85"/>
    </row>
    <row r="7124" spans="9:13" x14ac:dyDescent="0.3">
      <c r="I7124" s="82"/>
      <c r="M7124" s="85"/>
    </row>
    <row r="7125" spans="9:13" x14ac:dyDescent="0.3">
      <c r="I7125" s="82"/>
      <c r="M7125" s="85"/>
    </row>
    <row r="7126" spans="9:13" x14ac:dyDescent="0.3">
      <c r="I7126" s="82"/>
      <c r="M7126" s="85"/>
    </row>
    <row r="7127" spans="9:13" x14ac:dyDescent="0.3">
      <c r="I7127" s="82"/>
      <c r="M7127" s="85"/>
    </row>
    <row r="7128" spans="9:13" x14ac:dyDescent="0.3">
      <c r="I7128" s="82"/>
      <c r="M7128" s="85"/>
    </row>
    <row r="7129" spans="9:13" x14ac:dyDescent="0.3">
      <c r="I7129" s="82"/>
      <c r="M7129" s="85"/>
    </row>
    <row r="7130" spans="9:13" x14ac:dyDescent="0.3">
      <c r="I7130" s="82"/>
      <c r="M7130" s="85"/>
    </row>
    <row r="7131" spans="9:13" x14ac:dyDescent="0.3">
      <c r="I7131" s="82"/>
      <c r="M7131" s="85"/>
    </row>
    <row r="7132" spans="9:13" x14ac:dyDescent="0.3">
      <c r="I7132" s="82"/>
      <c r="M7132" s="85"/>
    </row>
    <row r="7133" spans="9:13" x14ac:dyDescent="0.3">
      <c r="I7133" s="82"/>
      <c r="M7133" s="85"/>
    </row>
    <row r="7134" spans="9:13" x14ac:dyDescent="0.3">
      <c r="I7134" s="82"/>
      <c r="M7134" s="85"/>
    </row>
    <row r="7135" spans="9:13" x14ac:dyDescent="0.3">
      <c r="I7135" s="82"/>
      <c r="M7135" s="85"/>
    </row>
    <row r="7136" spans="9:13" x14ac:dyDescent="0.3">
      <c r="I7136" s="82"/>
      <c r="M7136" s="85"/>
    </row>
    <row r="7137" spans="9:13" x14ac:dyDescent="0.3">
      <c r="I7137" s="82"/>
      <c r="M7137" s="85"/>
    </row>
    <row r="7138" spans="9:13" x14ac:dyDescent="0.3">
      <c r="I7138" s="82"/>
      <c r="M7138" s="85"/>
    </row>
    <row r="7139" spans="9:13" x14ac:dyDescent="0.3">
      <c r="I7139" s="82"/>
      <c r="M7139" s="85"/>
    </row>
    <row r="7140" spans="9:13" x14ac:dyDescent="0.3">
      <c r="I7140" s="82"/>
      <c r="M7140" s="85"/>
    </row>
    <row r="7141" spans="9:13" x14ac:dyDescent="0.3">
      <c r="I7141" s="82"/>
      <c r="M7141" s="85"/>
    </row>
    <row r="7142" spans="9:13" x14ac:dyDescent="0.3">
      <c r="I7142" s="82"/>
      <c r="M7142" s="85"/>
    </row>
    <row r="7143" spans="9:13" x14ac:dyDescent="0.3">
      <c r="I7143" s="82"/>
      <c r="M7143" s="85"/>
    </row>
    <row r="7144" spans="9:13" x14ac:dyDescent="0.3">
      <c r="I7144" s="82"/>
      <c r="M7144" s="85"/>
    </row>
    <row r="7145" spans="9:13" x14ac:dyDescent="0.3">
      <c r="I7145" s="82"/>
      <c r="M7145" s="85"/>
    </row>
    <row r="7146" spans="9:13" x14ac:dyDescent="0.3">
      <c r="I7146" s="82"/>
      <c r="M7146" s="85"/>
    </row>
    <row r="7147" spans="9:13" x14ac:dyDescent="0.3">
      <c r="I7147" s="82"/>
      <c r="M7147" s="85"/>
    </row>
    <row r="7148" spans="9:13" x14ac:dyDescent="0.3">
      <c r="I7148" s="82"/>
      <c r="M7148" s="85"/>
    </row>
    <row r="7149" spans="9:13" x14ac:dyDescent="0.3">
      <c r="I7149" s="82"/>
      <c r="M7149" s="85"/>
    </row>
    <row r="7150" spans="9:13" x14ac:dyDescent="0.3">
      <c r="I7150" s="82"/>
      <c r="M7150" s="85"/>
    </row>
    <row r="7151" spans="9:13" x14ac:dyDescent="0.3">
      <c r="I7151" s="82"/>
      <c r="M7151" s="85"/>
    </row>
    <row r="7152" spans="9:13" x14ac:dyDescent="0.3">
      <c r="I7152" s="82"/>
      <c r="M7152" s="85"/>
    </row>
    <row r="7153" spans="9:13" x14ac:dyDescent="0.3">
      <c r="I7153" s="82"/>
      <c r="M7153" s="85"/>
    </row>
    <row r="7154" spans="9:13" x14ac:dyDescent="0.3">
      <c r="I7154" s="82"/>
      <c r="M7154" s="85"/>
    </row>
    <row r="7155" spans="9:13" x14ac:dyDescent="0.3">
      <c r="I7155" s="82"/>
      <c r="M7155" s="85"/>
    </row>
    <row r="7156" spans="9:13" x14ac:dyDescent="0.3">
      <c r="I7156" s="82"/>
      <c r="M7156" s="85"/>
    </row>
    <row r="7157" spans="9:13" x14ac:dyDescent="0.3">
      <c r="I7157" s="82"/>
      <c r="M7157" s="85"/>
    </row>
    <row r="7158" spans="9:13" x14ac:dyDescent="0.3">
      <c r="I7158" s="82"/>
      <c r="M7158" s="85"/>
    </row>
    <row r="7159" spans="9:13" x14ac:dyDescent="0.3">
      <c r="I7159" s="82"/>
      <c r="M7159" s="85"/>
    </row>
    <row r="7160" spans="9:13" x14ac:dyDescent="0.3">
      <c r="I7160" s="82"/>
      <c r="M7160" s="85"/>
    </row>
    <row r="7161" spans="9:13" x14ac:dyDescent="0.3">
      <c r="I7161" s="82"/>
      <c r="M7161" s="85"/>
    </row>
    <row r="7162" spans="9:13" x14ac:dyDescent="0.3">
      <c r="I7162" s="82"/>
      <c r="M7162" s="85"/>
    </row>
    <row r="7163" spans="9:13" x14ac:dyDescent="0.3">
      <c r="I7163" s="82"/>
      <c r="M7163" s="85"/>
    </row>
    <row r="7164" spans="9:13" x14ac:dyDescent="0.3">
      <c r="I7164" s="82"/>
      <c r="M7164" s="85"/>
    </row>
    <row r="7165" spans="9:13" x14ac:dyDescent="0.3">
      <c r="I7165" s="82"/>
      <c r="M7165" s="85"/>
    </row>
    <row r="7166" spans="9:13" x14ac:dyDescent="0.3">
      <c r="I7166" s="82"/>
      <c r="M7166" s="85"/>
    </row>
    <row r="7167" spans="9:13" x14ac:dyDescent="0.3">
      <c r="I7167" s="82"/>
      <c r="M7167" s="85"/>
    </row>
    <row r="7168" spans="9:13" x14ac:dyDescent="0.3">
      <c r="I7168" s="82"/>
      <c r="M7168" s="85"/>
    </row>
    <row r="7169" spans="9:13" x14ac:dyDescent="0.3">
      <c r="I7169" s="82"/>
      <c r="M7169" s="85"/>
    </row>
    <row r="7170" spans="9:13" x14ac:dyDescent="0.3">
      <c r="I7170" s="82"/>
      <c r="M7170" s="85"/>
    </row>
    <row r="7171" spans="9:13" x14ac:dyDescent="0.3">
      <c r="I7171" s="82"/>
      <c r="M7171" s="85"/>
    </row>
    <row r="7172" spans="9:13" x14ac:dyDescent="0.3">
      <c r="I7172" s="82"/>
      <c r="M7172" s="85"/>
    </row>
    <row r="7173" spans="9:13" x14ac:dyDescent="0.3">
      <c r="I7173" s="82"/>
      <c r="M7173" s="85"/>
    </row>
    <row r="7174" spans="9:13" x14ac:dyDescent="0.3">
      <c r="I7174" s="82"/>
      <c r="M7174" s="85"/>
    </row>
    <row r="7175" spans="9:13" x14ac:dyDescent="0.3">
      <c r="I7175" s="82"/>
      <c r="M7175" s="85"/>
    </row>
    <row r="7176" spans="9:13" x14ac:dyDescent="0.3">
      <c r="I7176" s="82"/>
      <c r="M7176" s="85"/>
    </row>
    <row r="7177" spans="9:13" x14ac:dyDescent="0.3">
      <c r="I7177" s="82"/>
      <c r="M7177" s="85"/>
    </row>
    <row r="7178" spans="9:13" x14ac:dyDescent="0.3">
      <c r="I7178" s="82"/>
      <c r="M7178" s="85"/>
    </row>
    <row r="7179" spans="9:13" x14ac:dyDescent="0.3">
      <c r="I7179" s="82"/>
      <c r="M7179" s="85"/>
    </row>
    <row r="7180" spans="9:13" x14ac:dyDescent="0.3">
      <c r="I7180" s="82"/>
      <c r="M7180" s="85"/>
    </row>
    <row r="7181" spans="9:13" x14ac:dyDescent="0.3">
      <c r="I7181" s="82"/>
      <c r="M7181" s="85"/>
    </row>
    <row r="7182" spans="9:13" x14ac:dyDescent="0.3">
      <c r="I7182" s="82"/>
      <c r="M7182" s="85"/>
    </row>
    <row r="7183" spans="9:13" x14ac:dyDescent="0.3">
      <c r="I7183" s="82"/>
      <c r="M7183" s="85"/>
    </row>
    <row r="7184" spans="9:13" x14ac:dyDescent="0.3">
      <c r="I7184" s="82"/>
      <c r="M7184" s="85"/>
    </row>
    <row r="7185" spans="9:13" x14ac:dyDescent="0.3">
      <c r="I7185" s="82"/>
      <c r="M7185" s="85"/>
    </row>
    <row r="7186" spans="9:13" x14ac:dyDescent="0.3">
      <c r="I7186" s="82"/>
      <c r="M7186" s="85"/>
    </row>
    <row r="7187" spans="9:13" x14ac:dyDescent="0.3">
      <c r="I7187" s="82"/>
      <c r="M7187" s="85"/>
    </row>
    <row r="7188" spans="9:13" x14ac:dyDescent="0.3">
      <c r="I7188" s="82"/>
      <c r="M7188" s="85"/>
    </row>
    <row r="7189" spans="9:13" x14ac:dyDescent="0.3">
      <c r="I7189" s="82"/>
      <c r="M7189" s="85"/>
    </row>
    <row r="7190" spans="9:13" x14ac:dyDescent="0.3">
      <c r="I7190" s="82"/>
      <c r="M7190" s="85"/>
    </row>
    <row r="7191" spans="9:13" x14ac:dyDescent="0.3">
      <c r="I7191" s="82"/>
      <c r="M7191" s="85"/>
    </row>
    <row r="7192" spans="9:13" x14ac:dyDescent="0.3">
      <c r="I7192" s="82"/>
      <c r="M7192" s="85"/>
    </row>
    <row r="7193" spans="9:13" x14ac:dyDescent="0.3">
      <c r="I7193" s="82"/>
      <c r="M7193" s="85"/>
    </row>
    <row r="7194" spans="9:13" x14ac:dyDescent="0.3">
      <c r="I7194" s="82"/>
      <c r="M7194" s="85"/>
    </row>
    <row r="7195" spans="9:13" x14ac:dyDescent="0.3">
      <c r="I7195" s="82"/>
      <c r="M7195" s="85"/>
    </row>
    <row r="7196" spans="9:13" x14ac:dyDescent="0.3">
      <c r="I7196" s="82"/>
      <c r="M7196" s="85"/>
    </row>
    <row r="7197" spans="9:13" x14ac:dyDescent="0.3">
      <c r="I7197" s="82"/>
      <c r="M7197" s="85"/>
    </row>
    <row r="7198" spans="9:13" x14ac:dyDescent="0.3">
      <c r="I7198" s="82"/>
      <c r="M7198" s="85"/>
    </row>
    <row r="7199" spans="9:13" x14ac:dyDescent="0.3">
      <c r="I7199" s="82"/>
      <c r="M7199" s="85"/>
    </row>
    <row r="7200" spans="9:13" x14ac:dyDescent="0.3">
      <c r="I7200" s="82"/>
      <c r="M7200" s="85"/>
    </row>
    <row r="7201" spans="9:13" x14ac:dyDescent="0.3">
      <c r="I7201" s="82"/>
      <c r="M7201" s="85"/>
    </row>
    <row r="7202" spans="9:13" x14ac:dyDescent="0.3">
      <c r="I7202" s="82"/>
      <c r="M7202" s="85"/>
    </row>
    <row r="7203" spans="9:13" x14ac:dyDescent="0.3">
      <c r="I7203" s="82"/>
      <c r="M7203" s="85"/>
    </row>
    <row r="7204" spans="9:13" x14ac:dyDescent="0.3">
      <c r="I7204" s="82"/>
      <c r="M7204" s="85"/>
    </row>
    <row r="7205" spans="9:13" x14ac:dyDescent="0.3">
      <c r="I7205" s="82"/>
      <c r="M7205" s="85"/>
    </row>
    <row r="7206" spans="9:13" x14ac:dyDescent="0.3">
      <c r="I7206" s="82"/>
      <c r="M7206" s="85"/>
    </row>
    <row r="7207" spans="9:13" x14ac:dyDescent="0.3">
      <c r="I7207" s="82"/>
      <c r="M7207" s="85"/>
    </row>
    <row r="7208" spans="9:13" x14ac:dyDescent="0.3">
      <c r="I7208" s="82"/>
      <c r="M7208" s="85"/>
    </row>
    <row r="7209" spans="9:13" x14ac:dyDescent="0.3">
      <c r="I7209" s="82"/>
      <c r="M7209" s="85"/>
    </row>
    <row r="7210" spans="9:13" x14ac:dyDescent="0.3">
      <c r="I7210" s="82"/>
      <c r="M7210" s="85"/>
    </row>
    <row r="7211" spans="9:13" x14ac:dyDescent="0.3">
      <c r="I7211" s="82"/>
      <c r="M7211" s="85"/>
    </row>
    <row r="7212" spans="9:13" x14ac:dyDescent="0.3">
      <c r="I7212" s="82"/>
      <c r="M7212" s="85"/>
    </row>
    <row r="7213" spans="9:13" x14ac:dyDescent="0.3">
      <c r="I7213" s="82"/>
      <c r="M7213" s="85"/>
    </row>
    <row r="7214" spans="9:13" x14ac:dyDescent="0.3">
      <c r="I7214" s="82"/>
      <c r="M7214" s="85"/>
    </row>
    <row r="7215" spans="9:13" x14ac:dyDescent="0.3">
      <c r="I7215" s="82"/>
      <c r="M7215" s="85"/>
    </row>
    <row r="7216" spans="9:13" x14ac:dyDescent="0.3">
      <c r="I7216" s="82"/>
      <c r="M7216" s="85"/>
    </row>
    <row r="7217" spans="9:13" x14ac:dyDescent="0.3">
      <c r="I7217" s="82"/>
      <c r="M7217" s="85"/>
    </row>
    <row r="7218" spans="9:13" x14ac:dyDescent="0.3">
      <c r="I7218" s="82"/>
      <c r="M7218" s="85"/>
    </row>
    <row r="7219" spans="9:13" x14ac:dyDescent="0.3">
      <c r="I7219" s="82"/>
      <c r="M7219" s="85"/>
    </row>
    <row r="7220" spans="9:13" x14ac:dyDescent="0.3">
      <c r="I7220" s="82"/>
      <c r="M7220" s="85"/>
    </row>
    <row r="7221" spans="9:13" x14ac:dyDescent="0.3">
      <c r="I7221" s="82"/>
      <c r="M7221" s="85"/>
    </row>
    <row r="7222" spans="9:13" x14ac:dyDescent="0.3">
      <c r="I7222" s="82"/>
      <c r="M7222" s="85"/>
    </row>
    <row r="7223" spans="9:13" x14ac:dyDescent="0.3">
      <c r="I7223" s="82"/>
      <c r="M7223" s="85"/>
    </row>
    <row r="7224" spans="9:13" x14ac:dyDescent="0.3">
      <c r="I7224" s="82"/>
      <c r="M7224" s="85"/>
    </row>
    <row r="7225" spans="9:13" x14ac:dyDescent="0.3">
      <c r="I7225" s="82"/>
      <c r="M7225" s="85"/>
    </row>
    <row r="7226" spans="9:13" x14ac:dyDescent="0.3">
      <c r="I7226" s="82"/>
      <c r="M7226" s="85"/>
    </row>
    <row r="7227" spans="9:13" x14ac:dyDescent="0.3">
      <c r="I7227" s="82"/>
      <c r="M7227" s="85"/>
    </row>
    <row r="7228" spans="9:13" x14ac:dyDescent="0.3">
      <c r="I7228" s="82"/>
      <c r="M7228" s="85"/>
    </row>
    <row r="7229" spans="9:13" x14ac:dyDescent="0.3">
      <c r="I7229" s="82"/>
      <c r="M7229" s="85"/>
    </row>
    <row r="7230" spans="9:13" x14ac:dyDescent="0.3">
      <c r="I7230" s="82"/>
      <c r="M7230" s="85"/>
    </row>
    <row r="7231" spans="9:13" x14ac:dyDescent="0.3">
      <c r="I7231" s="82"/>
      <c r="M7231" s="85"/>
    </row>
    <row r="7232" spans="9:13" x14ac:dyDescent="0.3">
      <c r="I7232" s="82"/>
      <c r="M7232" s="85"/>
    </row>
    <row r="7233" spans="9:13" x14ac:dyDescent="0.3">
      <c r="I7233" s="82"/>
      <c r="M7233" s="85"/>
    </row>
    <row r="7234" spans="9:13" x14ac:dyDescent="0.3">
      <c r="I7234" s="82"/>
      <c r="M7234" s="85"/>
    </row>
    <row r="7235" spans="9:13" x14ac:dyDescent="0.3">
      <c r="I7235" s="82"/>
      <c r="M7235" s="85"/>
    </row>
    <row r="7236" spans="9:13" x14ac:dyDescent="0.3">
      <c r="I7236" s="82"/>
      <c r="M7236" s="85"/>
    </row>
    <row r="7237" spans="9:13" x14ac:dyDescent="0.3">
      <c r="I7237" s="82"/>
      <c r="M7237" s="85"/>
    </row>
    <row r="7238" spans="9:13" x14ac:dyDescent="0.3">
      <c r="I7238" s="82"/>
      <c r="M7238" s="85"/>
    </row>
    <row r="7239" spans="9:13" x14ac:dyDescent="0.3">
      <c r="I7239" s="82"/>
      <c r="M7239" s="85"/>
    </row>
    <row r="7240" spans="9:13" x14ac:dyDescent="0.3">
      <c r="I7240" s="82"/>
      <c r="M7240" s="85"/>
    </row>
    <row r="7241" spans="9:13" x14ac:dyDescent="0.3">
      <c r="I7241" s="82"/>
      <c r="M7241" s="85"/>
    </row>
    <row r="7242" spans="9:13" x14ac:dyDescent="0.3">
      <c r="I7242" s="82"/>
      <c r="M7242" s="85"/>
    </row>
    <row r="7243" spans="9:13" x14ac:dyDescent="0.3">
      <c r="I7243" s="82"/>
      <c r="M7243" s="85"/>
    </row>
    <row r="7244" spans="9:13" x14ac:dyDescent="0.3">
      <c r="I7244" s="82"/>
      <c r="M7244" s="85"/>
    </row>
    <row r="7245" spans="9:13" x14ac:dyDescent="0.3">
      <c r="I7245" s="82"/>
      <c r="M7245" s="85"/>
    </row>
    <row r="7246" spans="9:13" x14ac:dyDescent="0.3">
      <c r="I7246" s="82"/>
      <c r="M7246" s="85"/>
    </row>
    <row r="7247" spans="9:13" x14ac:dyDescent="0.3">
      <c r="I7247" s="82"/>
      <c r="M7247" s="85"/>
    </row>
    <row r="7248" spans="9:13" x14ac:dyDescent="0.3">
      <c r="I7248" s="82"/>
      <c r="M7248" s="85"/>
    </row>
    <row r="7249" spans="9:13" x14ac:dyDescent="0.3">
      <c r="I7249" s="82"/>
      <c r="M7249" s="85"/>
    </row>
    <row r="7250" spans="9:13" x14ac:dyDescent="0.3">
      <c r="I7250" s="82"/>
      <c r="M7250" s="85"/>
    </row>
    <row r="7251" spans="9:13" x14ac:dyDescent="0.3">
      <c r="I7251" s="82"/>
      <c r="M7251" s="85"/>
    </row>
    <row r="7252" spans="9:13" x14ac:dyDescent="0.3">
      <c r="I7252" s="82"/>
      <c r="M7252" s="85"/>
    </row>
    <row r="7253" spans="9:13" x14ac:dyDescent="0.3">
      <c r="I7253" s="82"/>
      <c r="M7253" s="85"/>
    </row>
    <row r="7254" spans="9:13" x14ac:dyDescent="0.3">
      <c r="I7254" s="82"/>
      <c r="M7254" s="85"/>
    </row>
    <row r="7255" spans="9:13" x14ac:dyDescent="0.3">
      <c r="I7255" s="82"/>
      <c r="M7255" s="85"/>
    </row>
    <row r="7256" spans="9:13" x14ac:dyDescent="0.3">
      <c r="I7256" s="82"/>
      <c r="M7256" s="85"/>
    </row>
    <row r="7257" spans="9:13" x14ac:dyDescent="0.3">
      <c r="I7257" s="82"/>
      <c r="M7257" s="85"/>
    </row>
    <row r="7258" spans="9:13" x14ac:dyDescent="0.3">
      <c r="I7258" s="82"/>
      <c r="M7258" s="85"/>
    </row>
    <row r="7259" spans="9:13" x14ac:dyDescent="0.3">
      <c r="I7259" s="82"/>
      <c r="M7259" s="85"/>
    </row>
    <row r="7260" spans="9:13" x14ac:dyDescent="0.3">
      <c r="I7260" s="82"/>
      <c r="M7260" s="85"/>
    </row>
    <row r="7261" spans="9:13" x14ac:dyDescent="0.3">
      <c r="I7261" s="82"/>
      <c r="M7261" s="85"/>
    </row>
    <row r="7262" spans="9:13" x14ac:dyDescent="0.3">
      <c r="I7262" s="82"/>
      <c r="M7262" s="85"/>
    </row>
    <row r="7263" spans="9:13" x14ac:dyDescent="0.3">
      <c r="I7263" s="82"/>
      <c r="M7263" s="85"/>
    </row>
    <row r="7264" spans="9:13" x14ac:dyDescent="0.3">
      <c r="I7264" s="82"/>
      <c r="M7264" s="85"/>
    </row>
    <row r="7265" spans="9:13" x14ac:dyDescent="0.3">
      <c r="I7265" s="82"/>
      <c r="M7265" s="85"/>
    </row>
    <row r="7266" spans="9:13" x14ac:dyDescent="0.3">
      <c r="I7266" s="82"/>
      <c r="M7266" s="85"/>
    </row>
    <row r="7267" spans="9:13" x14ac:dyDescent="0.3">
      <c r="I7267" s="82"/>
      <c r="M7267" s="85"/>
    </row>
    <row r="7268" spans="9:13" x14ac:dyDescent="0.3">
      <c r="I7268" s="82"/>
      <c r="M7268" s="85"/>
    </row>
    <row r="7269" spans="9:13" x14ac:dyDescent="0.3">
      <c r="I7269" s="82"/>
      <c r="M7269" s="85"/>
    </row>
    <row r="7270" spans="9:13" x14ac:dyDescent="0.3">
      <c r="I7270" s="82"/>
      <c r="M7270" s="85"/>
    </row>
    <row r="7271" spans="9:13" x14ac:dyDescent="0.3">
      <c r="I7271" s="82"/>
      <c r="M7271" s="85"/>
    </row>
    <row r="7272" spans="9:13" x14ac:dyDescent="0.3">
      <c r="I7272" s="82"/>
      <c r="M7272" s="85"/>
    </row>
    <row r="7273" spans="9:13" x14ac:dyDescent="0.3">
      <c r="I7273" s="82"/>
      <c r="M7273" s="85"/>
    </row>
    <row r="7274" spans="9:13" x14ac:dyDescent="0.3">
      <c r="I7274" s="82"/>
      <c r="M7274" s="85"/>
    </row>
    <row r="7275" spans="9:13" x14ac:dyDescent="0.3">
      <c r="I7275" s="82"/>
      <c r="M7275" s="85"/>
    </row>
    <row r="7276" spans="9:13" x14ac:dyDescent="0.3">
      <c r="I7276" s="82"/>
      <c r="M7276" s="85"/>
    </row>
    <row r="7277" spans="9:13" x14ac:dyDescent="0.3">
      <c r="I7277" s="82"/>
      <c r="M7277" s="85"/>
    </row>
    <row r="7278" spans="9:13" x14ac:dyDescent="0.3">
      <c r="I7278" s="82"/>
      <c r="M7278" s="85"/>
    </row>
    <row r="7279" spans="9:13" x14ac:dyDescent="0.3">
      <c r="I7279" s="82"/>
      <c r="M7279" s="85"/>
    </row>
    <row r="7280" spans="9:13" x14ac:dyDescent="0.3">
      <c r="I7280" s="82"/>
      <c r="M7280" s="85"/>
    </row>
    <row r="7281" spans="9:13" x14ac:dyDescent="0.3">
      <c r="I7281" s="82"/>
      <c r="M7281" s="85"/>
    </row>
    <row r="7282" spans="9:13" x14ac:dyDescent="0.3">
      <c r="I7282" s="82"/>
      <c r="M7282" s="85"/>
    </row>
    <row r="7283" spans="9:13" x14ac:dyDescent="0.3">
      <c r="I7283" s="82"/>
      <c r="M7283" s="85"/>
    </row>
    <row r="7284" spans="9:13" x14ac:dyDescent="0.3">
      <c r="I7284" s="82"/>
      <c r="M7284" s="85"/>
    </row>
    <row r="7285" spans="9:13" x14ac:dyDescent="0.3">
      <c r="I7285" s="82"/>
      <c r="M7285" s="85"/>
    </row>
    <row r="7286" spans="9:13" x14ac:dyDescent="0.3">
      <c r="I7286" s="82"/>
      <c r="M7286" s="85"/>
    </row>
    <row r="7287" spans="9:13" x14ac:dyDescent="0.3">
      <c r="I7287" s="82"/>
      <c r="M7287" s="85"/>
    </row>
    <row r="7288" spans="9:13" x14ac:dyDescent="0.3">
      <c r="I7288" s="82"/>
      <c r="M7288" s="85"/>
    </row>
    <row r="7289" spans="9:13" x14ac:dyDescent="0.3">
      <c r="I7289" s="82"/>
      <c r="M7289" s="85"/>
    </row>
    <row r="7290" spans="9:13" x14ac:dyDescent="0.3">
      <c r="I7290" s="82"/>
      <c r="M7290" s="85"/>
    </row>
    <row r="7291" spans="9:13" x14ac:dyDescent="0.3">
      <c r="I7291" s="82"/>
      <c r="M7291" s="85"/>
    </row>
    <row r="7292" spans="9:13" x14ac:dyDescent="0.3">
      <c r="I7292" s="82"/>
      <c r="M7292" s="85"/>
    </row>
    <row r="7293" spans="9:13" x14ac:dyDescent="0.3">
      <c r="I7293" s="82"/>
      <c r="M7293" s="85"/>
    </row>
    <row r="7294" spans="9:13" x14ac:dyDescent="0.3">
      <c r="I7294" s="82"/>
      <c r="M7294" s="85"/>
    </row>
    <row r="7295" spans="9:13" x14ac:dyDescent="0.3">
      <c r="I7295" s="82"/>
      <c r="M7295" s="85"/>
    </row>
    <row r="7296" spans="9:13" x14ac:dyDescent="0.3">
      <c r="I7296" s="82"/>
      <c r="M7296" s="85"/>
    </row>
    <row r="7297" spans="9:13" x14ac:dyDescent="0.3">
      <c r="I7297" s="82"/>
      <c r="M7297" s="85"/>
    </row>
    <row r="7298" spans="9:13" x14ac:dyDescent="0.3">
      <c r="I7298" s="82"/>
      <c r="M7298" s="85"/>
    </row>
    <row r="7299" spans="9:13" x14ac:dyDescent="0.3">
      <c r="I7299" s="82"/>
      <c r="M7299" s="85"/>
    </row>
    <row r="7300" spans="9:13" x14ac:dyDescent="0.3">
      <c r="I7300" s="82"/>
      <c r="M7300" s="85"/>
    </row>
    <row r="7301" spans="9:13" x14ac:dyDescent="0.3">
      <c r="I7301" s="82"/>
      <c r="M7301" s="85"/>
    </row>
    <row r="7302" spans="9:13" x14ac:dyDescent="0.3">
      <c r="I7302" s="82"/>
      <c r="M7302" s="85"/>
    </row>
    <row r="7303" spans="9:13" x14ac:dyDescent="0.3">
      <c r="I7303" s="82"/>
      <c r="M7303" s="85"/>
    </row>
    <row r="7304" spans="9:13" x14ac:dyDescent="0.3">
      <c r="I7304" s="82"/>
      <c r="M7304" s="85"/>
    </row>
    <row r="7305" spans="9:13" x14ac:dyDescent="0.3">
      <c r="I7305" s="82"/>
      <c r="M7305" s="85"/>
    </row>
    <row r="7306" spans="9:13" x14ac:dyDescent="0.3">
      <c r="I7306" s="82"/>
      <c r="M7306" s="85"/>
    </row>
    <row r="7307" spans="9:13" x14ac:dyDescent="0.3">
      <c r="I7307" s="82"/>
      <c r="M7307" s="85"/>
    </row>
    <row r="7308" spans="9:13" x14ac:dyDescent="0.3">
      <c r="I7308" s="82"/>
      <c r="M7308" s="85"/>
    </row>
    <row r="7309" spans="9:13" x14ac:dyDescent="0.3">
      <c r="I7309" s="82"/>
      <c r="M7309" s="85"/>
    </row>
    <row r="7310" spans="9:13" x14ac:dyDescent="0.3">
      <c r="I7310" s="82"/>
      <c r="M7310" s="85"/>
    </row>
    <row r="7311" spans="9:13" x14ac:dyDescent="0.3">
      <c r="I7311" s="82"/>
      <c r="M7311" s="85"/>
    </row>
    <row r="7312" spans="9:13" x14ac:dyDescent="0.3">
      <c r="I7312" s="82"/>
      <c r="M7312" s="85"/>
    </row>
    <row r="7313" spans="9:13" x14ac:dyDescent="0.3">
      <c r="I7313" s="82"/>
      <c r="M7313" s="85"/>
    </row>
    <row r="7314" spans="9:13" x14ac:dyDescent="0.3">
      <c r="I7314" s="82"/>
      <c r="M7314" s="85"/>
    </row>
    <row r="7315" spans="9:13" x14ac:dyDescent="0.3">
      <c r="I7315" s="82"/>
      <c r="M7315" s="85"/>
    </row>
    <row r="7316" spans="9:13" x14ac:dyDescent="0.3">
      <c r="I7316" s="82"/>
      <c r="M7316" s="85"/>
    </row>
    <row r="7317" spans="9:13" x14ac:dyDescent="0.3">
      <c r="I7317" s="82"/>
      <c r="M7317" s="85"/>
    </row>
    <row r="7318" spans="9:13" x14ac:dyDescent="0.3">
      <c r="I7318" s="82"/>
      <c r="M7318" s="85"/>
    </row>
    <row r="7319" spans="9:13" x14ac:dyDescent="0.3">
      <c r="I7319" s="82"/>
      <c r="M7319" s="85"/>
    </row>
    <row r="7320" spans="9:13" x14ac:dyDescent="0.3">
      <c r="I7320" s="82"/>
      <c r="M7320" s="85"/>
    </row>
    <row r="7321" spans="9:13" x14ac:dyDescent="0.3">
      <c r="I7321" s="82"/>
      <c r="M7321" s="85"/>
    </row>
    <row r="7322" spans="9:13" x14ac:dyDescent="0.3">
      <c r="I7322" s="82"/>
      <c r="M7322" s="85"/>
    </row>
    <row r="7323" spans="9:13" x14ac:dyDescent="0.3">
      <c r="I7323" s="82"/>
      <c r="M7323" s="85"/>
    </row>
    <row r="7324" spans="9:13" x14ac:dyDescent="0.3">
      <c r="I7324" s="82"/>
      <c r="M7324" s="85"/>
    </row>
    <row r="7325" spans="9:13" x14ac:dyDescent="0.3">
      <c r="I7325" s="82"/>
      <c r="M7325" s="85"/>
    </row>
    <row r="7326" spans="9:13" x14ac:dyDescent="0.3">
      <c r="I7326" s="82"/>
      <c r="M7326" s="85"/>
    </row>
    <row r="7327" spans="9:13" x14ac:dyDescent="0.3">
      <c r="I7327" s="82"/>
      <c r="M7327" s="85"/>
    </row>
    <row r="7328" spans="9:13" x14ac:dyDescent="0.3">
      <c r="I7328" s="82"/>
      <c r="M7328" s="85"/>
    </row>
    <row r="7329" spans="9:13" x14ac:dyDescent="0.3">
      <c r="I7329" s="82"/>
      <c r="M7329" s="85"/>
    </row>
    <row r="7330" spans="9:13" x14ac:dyDescent="0.3">
      <c r="I7330" s="82"/>
      <c r="M7330" s="85"/>
    </row>
    <row r="7331" spans="9:13" x14ac:dyDescent="0.3">
      <c r="I7331" s="82"/>
      <c r="M7331" s="85"/>
    </row>
    <row r="7332" spans="9:13" x14ac:dyDescent="0.3">
      <c r="I7332" s="82"/>
      <c r="M7332" s="85"/>
    </row>
    <row r="7333" spans="9:13" x14ac:dyDescent="0.3">
      <c r="I7333" s="82"/>
      <c r="M7333" s="85"/>
    </row>
    <row r="7334" spans="9:13" x14ac:dyDescent="0.3">
      <c r="I7334" s="82"/>
      <c r="M7334" s="85"/>
    </row>
    <row r="7335" spans="9:13" x14ac:dyDescent="0.3">
      <c r="I7335" s="82"/>
      <c r="M7335" s="85"/>
    </row>
    <row r="7336" spans="9:13" x14ac:dyDescent="0.3">
      <c r="I7336" s="82"/>
      <c r="M7336" s="85"/>
    </row>
    <row r="7337" spans="9:13" x14ac:dyDescent="0.3">
      <c r="I7337" s="82"/>
      <c r="M7337" s="85"/>
    </row>
    <row r="7338" spans="9:13" x14ac:dyDescent="0.3">
      <c r="I7338" s="82"/>
      <c r="M7338" s="85"/>
    </row>
    <row r="7339" spans="9:13" x14ac:dyDescent="0.3">
      <c r="I7339" s="82"/>
      <c r="M7339" s="85"/>
    </row>
    <row r="7340" spans="9:13" x14ac:dyDescent="0.3">
      <c r="I7340" s="82"/>
      <c r="M7340" s="85"/>
    </row>
    <row r="7341" spans="9:13" x14ac:dyDescent="0.3">
      <c r="I7341" s="82"/>
      <c r="M7341" s="85"/>
    </row>
    <row r="7342" spans="9:13" x14ac:dyDescent="0.3">
      <c r="I7342" s="82"/>
      <c r="M7342" s="85"/>
    </row>
    <row r="7343" spans="9:13" x14ac:dyDescent="0.3">
      <c r="I7343" s="82"/>
      <c r="M7343" s="85"/>
    </row>
    <row r="7344" spans="9:13" x14ac:dyDescent="0.3">
      <c r="I7344" s="82"/>
      <c r="M7344" s="85"/>
    </row>
    <row r="7345" spans="9:13" x14ac:dyDescent="0.3">
      <c r="I7345" s="82"/>
      <c r="M7345" s="85"/>
    </row>
    <row r="7346" spans="9:13" x14ac:dyDescent="0.3">
      <c r="I7346" s="82"/>
      <c r="M7346" s="85"/>
    </row>
    <row r="7347" spans="9:13" x14ac:dyDescent="0.3">
      <c r="I7347" s="82"/>
      <c r="M7347" s="85"/>
    </row>
    <row r="7348" spans="9:13" x14ac:dyDescent="0.3">
      <c r="I7348" s="82"/>
      <c r="M7348" s="85"/>
    </row>
    <row r="7349" spans="9:13" x14ac:dyDescent="0.3">
      <c r="I7349" s="82"/>
      <c r="M7349" s="85"/>
    </row>
    <row r="7350" spans="9:13" x14ac:dyDescent="0.3">
      <c r="I7350" s="82"/>
      <c r="M7350" s="85"/>
    </row>
    <row r="7351" spans="9:13" x14ac:dyDescent="0.3">
      <c r="I7351" s="82"/>
      <c r="M7351" s="85"/>
    </row>
    <row r="7352" spans="9:13" x14ac:dyDescent="0.3">
      <c r="I7352" s="82"/>
      <c r="M7352" s="85"/>
    </row>
    <row r="7353" spans="9:13" x14ac:dyDescent="0.3">
      <c r="I7353" s="82"/>
      <c r="M7353" s="85"/>
    </row>
    <row r="7354" spans="9:13" x14ac:dyDescent="0.3">
      <c r="I7354" s="82"/>
      <c r="M7354" s="85"/>
    </row>
    <row r="7355" spans="9:13" x14ac:dyDescent="0.3">
      <c r="I7355" s="82"/>
      <c r="M7355" s="85"/>
    </row>
    <row r="7356" spans="9:13" x14ac:dyDescent="0.3">
      <c r="I7356" s="82"/>
      <c r="M7356" s="85"/>
    </row>
    <row r="7357" spans="9:13" x14ac:dyDescent="0.3">
      <c r="I7357" s="82"/>
      <c r="M7357" s="85"/>
    </row>
    <row r="7358" spans="9:13" x14ac:dyDescent="0.3">
      <c r="I7358" s="82"/>
      <c r="M7358" s="85"/>
    </row>
    <row r="7359" spans="9:13" x14ac:dyDescent="0.3">
      <c r="I7359" s="82"/>
      <c r="M7359" s="85"/>
    </row>
    <row r="7360" spans="9:13" x14ac:dyDescent="0.3">
      <c r="I7360" s="82"/>
      <c r="M7360" s="85"/>
    </row>
    <row r="7361" spans="9:13" x14ac:dyDescent="0.3">
      <c r="I7361" s="82"/>
      <c r="M7361" s="85"/>
    </row>
    <row r="7362" spans="9:13" x14ac:dyDescent="0.3">
      <c r="I7362" s="82"/>
      <c r="M7362" s="85"/>
    </row>
    <row r="7363" spans="9:13" x14ac:dyDescent="0.3">
      <c r="I7363" s="82"/>
      <c r="M7363" s="85"/>
    </row>
    <row r="7364" spans="9:13" x14ac:dyDescent="0.3">
      <c r="I7364" s="82"/>
      <c r="M7364" s="85"/>
    </row>
    <row r="7365" spans="9:13" x14ac:dyDescent="0.3">
      <c r="I7365" s="82"/>
      <c r="M7365" s="85"/>
    </row>
    <row r="7366" spans="9:13" x14ac:dyDescent="0.3">
      <c r="I7366" s="82"/>
      <c r="M7366" s="85"/>
    </row>
    <row r="7367" spans="9:13" x14ac:dyDescent="0.3">
      <c r="I7367" s="82"/>
      <c r="M7367" s="85"/>
    </row>
    <row r="7368" spans="9:13" x14ac:dyDescent="0.3">
      <c r="I7368" s="82"/>
      <c r="M7368" s="85"/>
    </row>
    <row r="7369" spans="9:13" x14ac:dyDescent="0.3">
      <c r="I7369" s="82"/>
      <c r="M7369" s="85"/>
    </row>
    <row r="7370" spans="9:13" x14ac:dyDescent="0.3">
      <c r="I7370" s="82"/>
      <c r="M7370" s="85"/>
    </row>
    <row r="7371" spans="9:13" x14ac:dyDescent="0.3">
      <c r="I7371" s="82"/>
      <c r="M7371" s="85"/>
    </row>
    <row r="7372" spans="9:13" x14ac:dyDescent="0.3">
      <c r="I7372" s="82"/>
      <c r="M7372" s="85"/>
    </row>
    <row r="7373" spans="9:13" x14ac:dyDescent="0.3">
      <c r="I7373" s="82"/>
      <c r="M7373" s="85"/>
    </row>
    <row r="7374" spans="9:13" x14ac:dyDescent="0.3">
      <c r="I7374" s="82"/>
      <c r="M7374" s="85"/>
    </row>
    <row r="7375" spans="9:13" x14ac:dyDescent="0.3">
      <c r="I7375" s="82"/>
      <c r="M7375" s="85"/>
    </row>
    <row r="7376" spans="9:13" x14ac:dyDescent="0.3">
      <c r="I7376" s="82"/>
      <c r="M7376" s="85"/>
    </row>
    <row r="7377" spans="9:13" x14ac:dyDescent="0.3">
      <c r="I7377" s="82"/>
      <c r="M7377" s="85"/>
    </row>
    <row r="7378" spans="9:13" x14ac:dyDescent="0.3">
      <c r="I7378" s="82"/>
      <c r="M7378" s="85"/>
    </row>
    <row r="7379" spans="9:13" x14ac:dyDescent="0.3">
      <c r="I7379" s="82"/>
      <c r="M7379" s="85"/>
    </row>
    <row r="7380" spans="9:13" x14ac:dyDescent="0.3">
      <c r="I7380" s="82"/>
      <c r="M7380" s="85"/>
    </row>
    <row r="7381" spans="9:13" x14ac:dyDescent="0.3">
      <c r="I7381" s="82"/>
      <c r="M7381" s="85"/>
    </row>
    <row r="7382" spans="9:13" x14ac:dyDescent="0.3">
      <c r="I7382" s="82"/>
      <c r="M7382" s="85"/>
    </row>
    <row r="7383" spans="9:13" x14ac:dyDescent="0.3">
      <c r="I7383" s="82"/>
      <c r="M7383" s="85"/>
    </row>
    <row r="7384" spans="9:13" x14ac:dyDescent="0.3">
      <c r="I7384" s="82"/>
      <c r="M7384" s="85"/>
    </row>
    <row r="7385" spans="9:13" x14ac:dyDescent="0.3">
      <c r="I7385" s="82"/>
      <c r="M7385" s="85"/>
    </row>
    <row r="7386" spans="9:13" x14ac:dyDescent="0.3">
      <c r="I7386" s="82"/>
      <c r="M7386" s="85"/>
    </row>
    <row r="7387" spans="9:13" x14ac:dyDescent="0.3">
      <c r="I7387" s="82"/>
      <c r="M7387" s="85"/>
    </row>
    <row r="7388" spans="9:13" x14ac:dyDescent="0.3">
      <c r="I7388" s="82"/>
      <c r="M7388" s="85"/>
    </row>
    <row r="7389" spans="9:13" x14ac:dyDescent="0.3">
      <c r="I7389" s="82"/>
      <c r="M7389" s="85"/>
    </row>
    <row r="7390" spans="9:13" x14ac:dyDescent="0.3">
      <c r="I7390" s="82"/>
      <c r="M7390" s="85"/>
    </row>
    <row r="7391" spans="9:13" x14ac:dyDescent="0.3">
      <c r="I7391" s="82"/>
      <c r="M7391" s="85"/>
    </row>
    <row r="7392" spans="9:13" x14ac:dyDescent="0.3">
      <c r="I7392" s="82"/>
      <c r="M7392" s="85"/>
    </row>
    <row r="7393" spans="9:13" x14ac:dyDescent="0.3">
      <c r="I7393" s="82"/>
      <c r="M7393" s="85"/>
    </row>
    <row r="7394" spans="9:13" x14ac:dyDescent="0.3">
      <c r="I7394" s="82"/>
      <c r="M7394" s="85"/>
    </row>
    <row r="7395" spans="9:13" x14ac:dyDescent="0.3">
      <c r="I7395" s="82"/>
      <c r="M7395" s="85"/>
    </row>
    <row r="7396" spans="9:13" x14ac:dyDescent="0.3">
      <c r="I7396" s="82"/>
      <c r="M7396" s="85"/>
    </row>
    <row r="7397" spans="9:13" x14ac:dyDescent="0.3">
      <c r="I7397" s="82"/>
      <c r="M7397" s="85"/>
    </row>
    <row r="7398" spans="9:13" x14ac:dyDescent="0.3">
      <c r="I7398" s="82"/>
      <c r="M7398" s="85"/>
    </row>
    <row r="7399" spans="9:13" x14ac:dyDescent="0.3">
      <c r="I7399" s="82"/>
      <c r="M7399" s="85"/>
    </row>
    <row r="7400" spans="9:13" x14ac:dyDescent="0.3">
      <c r="I7400" s="82"/>
      <c r="M7400" s="85"/>
    </row>
    <row r="7401" spans="9:13" x14ac:dyDescent="0.3">
      <c r="I7401" s="82"/>
      <c r="M7401" s="85"/>
    </row>
    <row r="7402" spans="9:13" x14ac:dyDescent="0.3">
      <c r="I7402" s="82"/>
      <c r="M7402" s="85"/>
    </row>
    <row r="7403" spans="9:13" x14ac:dyDescent="0.3">
      <c r="I7403" s="82"/>
      <c r="M7403" s="85"/>
    </row>
    <row r="7404" spans="9:13" x14ac:dyDescent="0.3">
      <c r="I7404" s="82"/>
      <c r="M7404" s="85"/>
    </row>
    <row r="7405" spans="9:13" x14ac:dyDescent="0.3">
      <c r="I7405" s="82"/>
      <c r="M7405" s="85"/>
    </row>
    <row r="7406" spans="9:13" x14ac:dyDescent="0.3">
      <c r="I7406" s="82"/>
      <c r="M7406" s="85"/>
    </row>
    <row r="7407" spans="9:13" x14ac:dyDescent="0.3">
      <c r="I7407" s="82"/>
      <c r="M7407" s="85"/>
    </row>
    <row r="7408" spans="9:13" x14ac:dyDescent="0.3">
      <c r="I7408" s="82"/>
      <c r="M7408" s="85"/>
    </row>
    <row r="7409" spans="9:13" x14ac:dyDescent="0.3">
      <c r="I7409" s="82"/>
      <c r="M7409" s="85"/>
    </row>
    <row r="7410" spans="9:13" x14ac:dyDescent="0.3">
      <c r="I7410" s="82"/>
      <c r="M7410" s="85"/>
    </row>
    <row r="7411" spans="9:13" x14ac:dyDescent="0.3">
      <c r="I7411" s="82"/>
      <c r="M7411" s="85"/>
    </row>
    <row r="7412" spans="9:13" x14ac:dyDescent="0.3">
      <c r="I7412" s="82"/>
      <c r="M7412" s="85"/>
    </row>
    <row r="7413" spans="9:13" x14ac:dyDescent="0.3">
      <c r="I7413" s="82"/>
      <c r="M7413" s="85"/>
    </row>
    <row r="7414" spans="9:13" x14ac:dyDescent="0.3">
      <c r="I7414" s="82"/>
      <c r="M7414" s="85"/>
    </row>
    <row r="7415" spans="9:13" x14ac:dyDescent="0.3">
      <c r="I7415" s="82"/>
      <c r="M7415" s="85"/>
    </row>
    <row r="7416" spans="9:13" x14ac:dyDescent="0.3">
      <c r="I7416" s="82"/>
      <c r="M7416" s="85"/>
    </row>
    <row r="7417" spans="9:13" x14ac:dyDescent="0.3">
      <c r="I7417" s="82"/>
      <c r="M7417" s="85"/>
    </row>
    <row r="7418" spans="9:13" x14ac:dyDescent="0.3">
      <c r="I7418" s="82"/>
      <c r="M7418" s="85"/>
    </row>
    <row r="7419" spans="9:13" x14ac:dyDescent="0.3">
      <c r="I7419" s="82"/>
      <c r="M7419" s="85"/>
    </row>
    <row r="7420" spans="9:13" x14ac:dyDescent="0.3">
      <c r="I7420" s="82"/>
      <c r="M7420" s="85"/>
    </row>
    <row r="7421" spans="9:13" x14ac:dyDescent="0.3">
      <c r="I7421" s="82"/>
      <c r="M7421" s="85"/>
    </row>
    <row r="7422" spans="9:13" x14ac:dyDescent="0.3">
      <c r="I7422" s="82"/>
      <c r="M7422" s="85"/>
    </row>
    <row r="7423" spans="9:13" x14ac:dyDescent="0.3">
      <c r="I7423" s="82"/>
      <c r="M7423" s="85"/>
    </row>
    <row r="7424" spans="9:13" x14ac:dyDescent="0.3">
      <c r="I7424" s="82"/>
      <c r="M7424" s="85"/>
    </row>
    <row r="7425" spans="9:13" x14ac:dyDescent="0.3">
      <c r="I7425" s="82"/>
      <c r="M7425" s="85"/>
    </row>
    <row r="7426" spans="9:13" x14ac:dyDescent="0.3">
      <c r="I7426" s="82"/>
      <c r="M7426" s="85"/>
    </row>
    <row r="7427" spans="9:13" x14ac:dyDescent="0.3">
      <c r="I7427" s="82"/>
      <c r="M7427" s="85"/>
    </row>
    <row r="7428" spans="9:13" x14ac:dyDescent="0.3">
      <c r="I7428" s="82"/>
      <c r="M7428" s="85"/>
    </row>
    <row r="7429" spans="9:13" x14ac:dyDescent="0.3">
      <c r="I7429" s="82"/>
      <c r="M7429" s="85"/>
    </row>
    <row r="7430" spans="9:13" x14ac:dyDescent="0.3">
      <c r="I7430" s="82"/>
      <c r="M7430" s="85"/>
    </row>
    <row r="7431" spans="9:13" x14ac:dyDescent="0.3">
      <c r="I7431" s="82"/>
      <c r="M7431" s="85"/>
    </row>
    <row r="7432" spans="9:13" x14ac:dyDescent="0.3">
      <c r="I7432" s="82"/>
      <c r="M7432" s="85"/>
    </row>
    <row r="7433" spans="9:13" x14ac:dyDescent="0.3">
      <c r="I7433" s="82"/>
      <c r="M7433" s="85"/>
    </row>
    <row r="7434" spans="9:13" x14ac:dyDescent="0.3">
      <c r="I7434" s="82"/>
      <c r="M7434" s="85"/>
    </row>
    <row r="7435" spans="9:13" x14ac:dyDescent="0.3">
      <c r="I7435" s="82"/>
      <c r="M7435" s="85"/>
    </row>
    <row r="7436" spans="9:13" x14ac:dyDescent="0.3">
      <c r="I7436" s="82"/>
      <c r="M7436" s="85"/>
    </row>
    <row r="7437" spans="9:13" x14ac:dyDescent="0.3">
      <c r="I7437" s="82"/>
      <c r="M7437" s="85"/>
    </row>
    <row r="7438" spans="9:13" x14ac:dyDescent="0.3">
      <c r="I7438" s="82"/>
      <c r="M7438" s="85"/>
    </row>
    <row r="7439" spans="9:13" x14ac:dyDescent="0.3">
      <c r="I7439" s="82"/>
      <c r="M7439" s="85"/>
    </row>
    <row r="7440" spans="9:13" x14ac:dyDescent="0.3">
      <c r="I7440" s="82"/>
      <c r="M7440" s="85"/>
    </row>
    <row r="7441" spans="9:13" x14ac:dyDescent="0.3">
      <c r="I7441" s="82"/>
      <c r="M7441" s="85"/>
    </row>
    <row r="7442" spans="9:13" x14ac:dyDescent="0.3">
      <c r="I7442" s="82"/>
      <c r="M7442" s="85"/>
    </row>
    <row r="7443" spans="9:13" x14ac:dyDescent="0.3">
      <c r="I7443" s="82"/>
      <c r="M7443" s="85"/>
    </row>
    <row r="7444" spans="9:13" x14ac:dyDescent="0.3">
      <c r="I7444" s="82"/>
      <c r="M7444" s="85"/>
    </row>
    <row r="7445" spans="9:13" x14ac:dyDescent="0.3">
      <c r="I7445" s="82"/>
      <c r="M7445" s="85"/>
    </row>
    <row r="7446" spans="9:13" x14ac:dyDescent="0.3">
      <c r="I7446" s="82"/>
      <c r="M7446" s="85"/>
    </row>
    <row r="7447" spans="9:13" x14ac:dyDescent="0.3">
      <c r="I7447" s="82"/>
      <c r="M7447" s="85"/>
    </row>
    <row r="7448" spans="9:13" x14ac:dyDescent="0.3">
      <c r="I7448" s="82"/>
      <c r="M7448" s="85"/>
    </row>
    <row r="7449" spans="9:13" x14ac:dyDescent="0.3">
      <c r="I7449" s="82"/>
      <c r="M7449" s="85"/>
    </row>
    <row r="7450" spans="9:13" x14ac:dyDescent="0.3">
      <c r="I7450" s="82"/>
      <c r="M7450" s="85"/>
    </row>
    <row r="7451" spans="9:13" x14ac:dyDescent="0.3">
      <c r="I7451" s="82"/>
      <c r="M7451" s="85"/>
    </row>
    <row r="7452" spans="9:13" x14ac:dyDescent="0.3">
      <c r="I7452" s="82"/>
      <c r="M7452" s="85"/>
    </row>
    <row r="7453" spans="9:13" x14ac:dyDescent="0.3">
      <c r="I7453" s="82"/>
      <c r="M7453" s="85"/>
    </row>
    <row r="7454" spans="9:13" x14ac:dyDescent="0.3">
      <c r="I7454" s="82"/>
      <c r="M7454" s="85"/>
    </row>
    <row r="7455" spans="9:13" x14ac:dyDescent="0.3">
      <c r="I7455" s="82"/>
      <c r="M7455" s="85"/>
    </row>
    <row r="7456" spans="9:13" x14ac:dyDescent="0.3">
      <c r="I7456" s="82"/>
      <c r="M7456" s="85"/>
    </row>
    <row r="7457" spans="9:13" x14ac:dyDescent="0.3">
      <c r="I7457" s="82"/>
      <c r="M7457" s="85"/>
    </row>
    <row r="7458" spans="9:13" x14ac:dyDescent="0.3">
      <c r="I7458" s="82"/>
      <c r="M7458" s="85"/>
    </row>
    <row r="7459" spans="9:13" x14ac:dyDescent="0.3">
      <c r="I7459" s="82"/>
      <c r="M7459" s="85"/>
    </row>
    <row r="7460" spans="9:13" x14ac:dyDescent="0.3">
      <c r="I7460" s="82"/>
      <c r="M7460" s="85"/>
    </row>
    <row r="7461" spans="9:13" x14ac:dyDescent="0.3">
      <c r="I7461" s="82"/>
      <c r="M7461" s="85"/>
    </row>
    <row r="7462" spans="9:13" x14ac:dyDescent="0.3">
      <c r="I7462" s="82"/>
      <c r="M7462" s="85"/>
    </row>
    <row r="7463" spans="9:13" x14ac:dyDescent="0.3">
      <c r="I7463" s="82"/>
      <c r="M7463" s="85"/>
    </row>
    <row r="7464" spans="9:13" x14ac:dyDescent="0.3">
      <c r="I7464" s="82"/>
      <c r="M7464" s="85"/>
    </row>
    <row r="7465" spans="9:13" x14ac:dyDescent="0.3">
      <c r="I7465" s="82"/>
      <c r="M7465" s="85"/>
    </row>
    <row r="7466" spans="9:13" x14ac:dyDescent="0.3">
      <c r="I7466" s="82"/>
      <c r="M7466" s="85"/>
    </row>
    <row r="7467" spans="9:13" x14ac:dyDescent="0.3">
      <c r="I7467" s="82"/>
      <c r="M7467" s="85"/>
    </row>
    <row r="7468" spans="9:13" x14ac:dyDescent="0.3">
      <c r="I7468" s="82"/>
      <c r="M7468" s="85"/>
    </row>
    <row r="7469" spans="9:13" x14ac:dyDescent="0.3">
      <c r="I7469" s="82"/>
      <c r="M7469" s="85"/>
    </row>
    <row r="7470" spans="9:13" x14ac:dyDescent="0.3">
      <c r="I7470" s="82"/>
      <c r="M7470" s="85"/>
    </row>
    <row r="7471" spans="9:13" x14ac:dyDescent="0.3">
      <c r="I7471" s="82"/>
      <c r="M7471" s="85"/>
    </row>
    <row r="7472" spans="9:13" x14ac:dyDescent="0.3">
      <c r="I7472" s="82"/>
      <c r="M7472" s="85"/>
    </row>
    <row r="7473" spans="9:13" x14ac:dyDescent="0.3">
      <c r="I7473" s="82"/>
      <c r="M7473" s="85"/>
    </row>
    <row r="7474" spans="9:13" x14ac:dyDescent="0.3">
      <c r="I7474" s="82"/>
      <c r="M7474" s="85"/>
    </row>
    <row r="7475" spans="9:13" x14ac:dyDescent="0.3">
      <c r="I7475" s="82"/>
      <c r="M7475" s="85"/>
    </row>
    <row r="7476" spans="9:13" x14ac:dyDescent="0.3">
      <c r="I7476" s="82"/>
      <c r="M7476" s="85"/>
    </row>
    <row r="7477" spans="9:13" x14ac:dyDescent="0.3">
      <c r="I7477" s="82"/>
      <c r="M7477" s="85"/>
    </row>
    <row r="7478" spans="9:13" x14ac:dyDescent="0.3">
      <c r="I7478" s="82"/>
      <c r="M7478" s="85"/>
    </row>
    <row r="7479" spans="9:13" x14ac:dyDescent="0.3">
      <c r="I7479" s="82"/>
      <c r="M7479" s="85"/>
    </row>
    <row r="7480" spans="9:13" x14ac:dyDescent="0.3">
      <c r="I7480" s="82"/>
      <c r="M7480" s="85"/>
    </row>
    <row r="7481" spans="9:13" x14ac:dyDescent="0.3">
      <c r="I7481" s="82"/>
      <c r="M7481" s="85"/>
    </row>
    <row r="7482" spans="9:13" x14ac:dyDescent="0.3">
      <c r="I7482" s="82"/>
      <c r="M7482" s="85"/>
    </row>
    <row r="7483" spans="9:13" x14ac:dyDescent="0.3">
      <c r="I7483" s="82"/>
      <c r="M7483" s="85"/>
    </row>
    <row r="7484" spans="9:13" x14ac:dyDescent="0.3">
      <c r="I7484" s="82"/>
      <c r="M7484" s="85"/>
    </row>
    <row r="7485" spans="9:13" x14ac:dyDescent="0.3">
      <c r="I7485" s="82"/>
      <c r="M7485" s="85"/>
    </row>
    <row r="7486" spans="9:13" x14ac:dyDescent="0.3">
      <c r="I7486" s="82"/>
      <c r="M7486" s="85"/>
    </row>
    <row r="7487" spans="9:13" x14ac:dyDescent="0.3">
      <c r="I7487" s="82"/>
      <c r="M7487" s="85"/>
    </row>
    <row r="7488" spans="9:13" x14ac:dyDescent="0.3">
      <c r="I7488" s="82"/>
      <c r="M7488" s="85"/>
    </row>
    <row r="7489" spans="9:13" x14ac:dyDescent="0.3">
      <c r="I7489" s="82"/>
      <c r="M7489" s="85"/>
    </row>
    <row r="7490" spans="9:13" x14ac:dyDescent="0.3">
      <c r="I7490" s="82"/>
      <c r="M7490" s="85"/>
    </row>
    <row r="7491" spans="9:13" x14ac:dyDescent="0.3">
      <c r="I7491" s="82"/>
      <c r="M7491" s="85"/>
    </row>
    <row r="7492" spans="9:13" x14ac:dyDescent="0.3">
      <c r="I7492" s="82"/>
      <c r="M7492" s="85"/>
    </row>
    <row r="7493" spans="9:13" x14ac:dyDescent="0.3">
      <c r="I7493" s="82"/>
      <c r="M7493" s="85"/>
    </row>
    <row r="7494" spans="9:13" x14ac:dyDescent="0.3">
      <c r="I7494" s="82"/>
      <c r="M7494" s="85"/>
    </row>
    <row r="7495" spans="9:13" x14ac:dyDescent="0.3">
      <c r="I7495" s="82"/>
      <c r="M7495" s="85"/>
    </row>
    <row r="7496" spans="9:13" x14ac:dyDescent="0.3">
      <c r="I7496" s="82"/>
      <c r="M7496" s="85"/>
    </row>
    <row r="7497" spans="9:13" x14ac:dyDescent="0.3">
      <c r="I7497" s="82"/>
      <c r="M7497" s="85"/>
    </row>
    <row r="7498" spans="9:13" x14ac:dyDescent="0.3">
      <c r="I7498" s="82"/>
      <c r="M7498" s="85"/>
    </row>
    <row r="7499" spans="9:13" x14ac:dyDescent="0.3">
      <c r="I7499" s="82"/>
      <c r="M7499" s="85"/>
    </row>
    <row r="7500" spans="9:13" x14ac:dyDescent="0.3">
      <c r="I7500" s="82"/>
      <c r="M7500" s="85"/>
    </row>
    <row r="7501" spans="9:13" x14ac:dyDescent="0.3">
      <c r="I7501" s="82"/>
      <c r="M7501" s="85"/>
    </row>
    <row r="7502" spans="9:13" x14ac:dyDescent="0.3">
      <c r="I7502" s="82"/>
      <c r="M7502" s="85"/>
    </row>
    <row r="7503" spans="9:13" x14ac:dyDescent="0.3">
      <c r="I7503" s="82"/>
      <c r="M7503" s="85"/>
    </row>
    <row r="7504" spans="9:13" x14ac:dyDescent="0.3">
      <c r="I7504" s="82"/>
      <c r="M7504" s="85"/>
    </row>
    <row r="7505" spans="9:13" x14ac:dyDescent="0.3">
      <c r="I7505" s="82"/>
      <c r="M7505" s="85"/>
    </row>
    <row r="7506" spans="9:13" x14ac:dyDescent="0.3">
      <c r="I7506" s="82"/>
      <c r="M7506" s="85"/>
    </row>
    <row r="7507" spans="9:13" x14ac:dyDescent="0.3">
      <c r="I7507" s="82"/>
      <c r="M7507" s="85"/>
    </row>
    <row r="7508" spans="9:13" x14ac:dyDescent="0.3">
      <c r="I7508" s="82"/>
      <c r="M7508" s="85"/>
    </row>
    <row r="7509" spans="9:13" x14ac:dyDescent="0.3">
      <c r="I7509" s="82"/>
      <c r="M7509" s="85"/>
    </row>
    <row r="7510" spans="9:13" x14ac:dyDescent="0.3">
      <c r="I7510" s="82"/>
      <c r="M7510" s="85"/>
    </row>
    <row r="7511" spans="9:13" x14ac:dyDescent="0.3">
      <c r="I7511" s="82"/>
      <c r="M7511" s="85"/>
    </row>
    <row r="7512" spans="9:13" x14ac:dyDescent="0.3">
      <c r="I7512" s="82"/>
      <c r="M7512" s="85"/>
    </row>
    <row r="7513" spans="9:13" x14ac:dyDescent="0.3">
      <c r="I7513" s="82"/>
      <c r="M7513" s="85"/>
    </row>
    <row r="7514" spans="9:13" x14ac:dyDescent="0.3">
      <c r="I7514" s="82"/>
      <c r="M7514" s="85"/>
    </row>
    <row r="7515" spans="9:13" x14ac:dyDescent="0.3">
      <c r="I7515" s="82"/>
      <c r="M7515" s="85"/>
    </row>
    <row r="7516" spans="9:13" x14ac:dyDescent="0.3">
      <c r="I7516" s="82"/>
      <c r="M7516" s="85"/>
    </row>
    <row r="7517" spans="9:13" x14ac:dyDescent="0.3">
      <c r="I7517" s="82"/>
      <c r="M7517" s="85"/>
    </row>
    <row r="7518" spans="9:13" x14ac:dyDescent="0.3">
      <c r="I7518" s="82"/>
      <c r="M7518" s="85"/>
    </row>
    <row r="7519" spans="9:13" x14ac:dyDescent="0.3">
      <c r="I7519" s="82"/>
      <c r="M7519" s="85"/>
    </row>
    <row r="7520" spans="9:13" x14ac:dyDescent="0.3">
      <c r="I7520" s="82"/>
      <c r="M7520" s="85"/>
    </row>
    <row r="7521" spans="9:13" x14ac:dyDescent="0.3">
      <c r="I7521" s="82"/>
      <c r="M7521" s="85"/>
    </row>
    <row r="7522" spans="9:13" x14ac:dyDescent="0.3">
      <c r="I7522" s="82"/>
      <c r="M7522" s="85"/>
    </row>
    <row r="7523" spans="9:13" x14ac:dyDescent="0.3">
      <c r="I7523" s="82"/>
      <c r="M7523" s="85"/>
    </row>
    <row r="7524" spans="9:13" x14ac:dyDescent="0.3">
      <c r="I7524" s="82"/>
      <c r="M7524" s="85"/>
    </row>
    <row r="7525" spans="9:13" x14ac:dyDescent="0.3">
      <c r="I7525" s="82"/>
      <c r="M7525" s="85"/>
    </row>
    <row r="7526" spans="9:13" x14ac:dyDescent="0.3">
      <c r="I7526" s="82"/>
      <c r="M7526" s="85"/>
    </row>
    <row r="7527" spans="9:13" x14ac:dyDescent="0.3">
      <c r="I7527" s="82"/>
      <c r="M7527" s="85"/>
    </row>
    <row r="7528" spans="9:13" x14ac:dyDescent="0.3">
      <c r="I7528" s="82"/>
      <c r="M7528" s="85"/>
    </row>
    <row r="7529" spans="9:13" x14ac:dyDescent="0.3">
      <c r="I7529" s="82"/>
      <c r="M7529" s="85"/>
    </row>
    <row r="7530" spans="9:13" x14ac:dyDescent="0.3">
      <c r="I7530" s="82"/>
      <c r="M7530" s="85"/>
    </row>
    <row r="7531" spans="9:13" x14ac:dyDescent="0.3">
      <c r="I7531" s="82"/>
      <c r="M7531" s="85"/>
    </row>
    <row r="7532" spans="9:13" x14ac:dyDescent="0.3">
      <c r="I7532" s="82"/>
      <c r="M7532" s="85"/>
    </row>
    <row r="7533" spans="9:13" x14ac:dyDescent="0.3">
      <c r="I7533" s="82"/>
      <c r="M7533" s="85"/>
    </row>
    <row r="7534" spans="9:13" x14ac:dyDescent="0.3">
      <c r="I7534" s="82"/>
      <c r="M7534" s="85"/>
    </row>
    <row r="7535" spans="9:13" x14ac:dyDescent="0.3">
      <c r="I7535" s="82"/>
      <c r="M7535" s="85"/>
    </row>
    <row r="7536" spans="9:13" x14ac:dyDescent="0.3">
      <c r="I7536" s="82"/>
      <c r="M7536" s="85"/>
    </row>
    <row r="7537" spans="9:13" x14ac:dyDescent="0.3">
      <c r="I7537" s="82"/>
      <c r="M7537" s="85"/>
    </row>
    <row r="7538" spans="9:13" x14ac:dyDescent="0.3">
      <c r="I7538" s="82"/>
      <c r="M7538" s="85"/>
    </row>
    <row r="7539" spans="9:13" x14ac:dyDescent="0.3">
      <c r="I7539" s="82"/>
      <c r="M7539" s="85"/>
    </row>
    <row r="7540" spans="9:13" x14ac:dyDescent="0.3">
      <c r="I7540" s="82"/>
      <c r="M7540" s="85"/>
    </row>
    <row r="7541" spans="9:13" x14ac:dyDescent="0.3">
      <c r="I7541" s="82"/>
      <c r="M7541" s="85"/>
    </row>
    <row r="7542" spans="9:13" x14ac:dyDescent="0.3">
      <c r="I7542" s="82"/>
      <c r="M7542" s="85"/>
    </row>
    <row r="7543" spans="9:13" x14ac:dyDescent="0.3">
      <c r="I7543" s="82"/>
      <c r="M7543" s="85"/>
    </row>
    <row r="7544" spans="9:13" x14ac:dyDescent="0.3">
      <c r="I7544" s="82"/>
      <c r="M7544" s="85"/>
    </row>
    <row r="7545" spans="9:13" x14ac:dyDescent="0.3">
      <c r="I7545" s="82"/>
      <c r="M7545" s="85"/>
    </row>
    <row r="7546" spans="9:13" x14ac:dyDescent="0.3">
      <c r="I7546" s="82"/>
      <c r="M7546" s="85"/>
    </row>
    <row r="7547" spans="9:13" x14ac:dyDescent="0.3">
      <c r="I7547" s="82"/>
      <c r="M7547" s="85"/>
    </row>
    <row r="7548" spans="9:13" x14ac:dyDescent="0.3">
      <c r="I7548" s="82"/>
      <c r="M7548" s="85"/>
    </row>
    <row r="7549" spans="9:13" x14ac:dyDescent="0.3">
      <c r="I7549" s="82"/>
      <c r="M7549" s="85"/>
    </row>
    <row r="7550" spans="9:13" x14ac:dyDescent="0.3">
      <c r="I7550" s="82"/>
      <c r="M7550" s="85"/>
    </row>
    <row r="7551" spans="9:13" x14ac:dyDescent="0.3">
      <c r="I7551" s="82"/>
      <c r="M7551" s="85"/>
    </row>
    <row r="7552" spans="9:13" x14ac:dyDescent="0.3">
      <c r="I7552" s="82"/>
      <c r="M7552" s="85"/>
    </row>
    <row r="7553" spans="9:13" x14ac:dyDescent="0.3">
      <c r="I7553" s="82"/>
      <c r="M7553" s="85"/>
    </row>
    <row r="7554" spans="9:13" x14ac:dyDescent="0.3">
      <c r="I7554" s="82"/>
      <c r="M7554" s="85"/>
    </row>
    <row r="7555" spans="9:13" x14ac:dyDescent="0.3">
      <c r="I7555" s="82"/>
      <c r="M7555" s="85"/>
    </row>
    <row r="7556" spans="9:13" x14ac:dyDescent="0.3">
      <c r="I7556" s="82"/>
      <c r="M7556" s="85"/>
    </row>
    <row r="7557" spans="9:13" x14ac:dyDescent="0.3">
      <c r="I7557" s="82"/>
      <c r="M7557" s="85"/>
    </row>
    <row r="7558" spans="9:13" x14ac:dyDescent="0.3">
      <c r="I7558" s="82"/>
      <c r="M7558" s="85"/>
    </row>
    <row r="7559" spans="9:13" x14ac:dyDescent="0.3">
      <c r="I7559" s="82"/>
      <c r="M7559" s="85"/>
    </row>
    <row r="7560" spans="9:13" x14ac:dyDescent="0.3">
      <c r="I7560" s="82"/>
      <c r="M7560" s="85"/>
    </row>
    <row r="7561" spans="9:13" x14ac:dyDescent="0.3">
      <c r="I7561" s="82"/>
      <c r="M7561" s="85"/>
    </row>
    <row r="7562" spans="9:13" x14ac:dyDescent="0.3">
      <c r="I7562" s="82"/>
      <c r="M7562" s="85"/>
    </row>
    <row r="7563" spans="9:13" x14ac:dyDescent="0.3">
      <c r="I7563" s="82"/>
      <c r="M7563" s="85"/>
    </row>
    <row r="7564" spans="9:13" x14ac:dyDescent="0.3">
      <c r="I7564" s="82"/>
      <c r="M7564" s="85"/>
    </row>
    <row r="7565" spans="9:13" x14ac:dyDescent="0.3">
      <c r="I7565" s="82"/>
      <c r="M7565" s="85"/>
    </row>
    <row r="7566" spans="9:13" x14ac:dyDescent="0.3">
      <c r="I7566" s="82"/>
      <c r="M7566" s="85"/>
    </row>
    <row r="7567" spans="9:13" x14ac:dyDescent="0.3">
      <c r="I7567" s="82"/>
      <c r="M7567" s="85"/>
    </row>
    <row r="7568" spans="9:13" x14ac:dyDescent="0.3">
      <c r="I7568" s="82"/>
      <c r="M7568" s="85"/>
    </row>
    <row r="7569" spans="9:13" x14ac:dyDescent="0.3">
      <c r="I7569" s="82"/>
      <c r="M7569" s="85"/>
    </row>
    <row r="7570" spans="9:13" x14ac:dyDescent="0.3">
      <c r="I7570" s="82"/>
      <c r="M7570" s="85"/>
    </row>
    <row r="7571" spans="9:13" x14ac:dyDescent="0.3">
      <c r="I7571" s="82"/>
      <c r="M7571" s="85"/>
    </row>
    <row r="7572" spans="9:13" x14ac:dyDescent="0.3">
      <c r="I7572" s="82"/>
      <c r="M7572" s="85"/>
    </row>
    <row r="7573" spans="9:13" x14ac:dyDescent="0.3">
      <c r="I7573" s="82"/>
      <c r="M7573" s="85"/>
    </row>
    <row r="7574" spans="9:13" x14ac:dyDescent="0.3">
      <c r="I7574" s="82"/>
      <c r="M7574" s="85"/>
    </row>
    <row r="7575" spans="9:13" x14ac:dyDescent="0.3">
      <c r="I7575" s="82"/>
      <c r="M7575" s="85"/>
    </row>
    <row r="7576" spans="9:13" x14ac:dyDescent="0.3">
      <c r="I7576" s="82"/>
      <c r="M7576" s="85"/>
    </row>
    <row r="7577" spans="9:13" x14ac:dyDescent="0.3">
      <c r="I7577" s="82"/>
      <c r="M7577" s="85"/>
    </row>
    <row r="7578" spans="9:13" x14ac:dyDescent="0.3">
      <c r="I7578" s="82"/>
      <c r="M7578" s="85"/>
    </row>
    <row r="7579" spans="9:13" x14ac:dyDescent="0.3">
      <c r="I7579" s="82"/>
      <c r="M7579" s="85"/>
    </row>
    <row r="7580" spans="9:13" x14ac:dyDescent="0.3">
      <c r="I7580" s="82"/>
      <c r="M7580" s="85"/>
    </row>
    <row r="7581" spans="9:13" x14ac:dyDescent="0.3">
      <c r="I7581" s="82"/>
      <c r="M7581" s="85"/>
    </row>
    <row r="7582" spans="9:13" x14ac:dyDescent="0.3">
      <c r="I7582" s="82"/>
      <c r="M7582" s="85"/>
    </row>
    <row r="7583" spans="9:13" x14ac:dyDescent="0.3">
      <c r="I7583" s="82"/>
      <c r="M7583" s="85"/>
    </row>
    <row r="7584" spans="9:13" x14ac:dyDescent="0.3">
      <c r="I7584" s="82"/>
      <c r="M7584" s="85"/>
    </row>
    <row r="7585" spans="9:13" x14ac:dyDescent="0.3">
      <c r="I7585" s="82"/>
      <c r="M7585" s="85"/>
    </row>
    <row r="7586" spans="9:13" x14ac:dyDescent="0.3">
      <c r="I7586" s="82"/>
      <c r="M7586" s="85"/>
    </row>
    <row r="7587" spans="9:13" x14ac:dyDescent="0.3">
      <c r="I7587" s="82"/>
      <c r="M7587" s="85"/>
    </row>
    <row r="7588" spans="9:13" x14ac:dyDescent="0.3">
      <c r="I7588" s="82"/>
      <c r="M7588" s="85"/>
    </row>
    <row r="7589" spans="9:13" x14ac:dyDescent="0.3">
      <c r="I7589" s="82"/>
      <c r="M7589" s="85"/>
    </row>
    <row r="7590" spans="9:13" x14ac:dyDescent="0.3">
      <c r="I7590" s="82"/>
      <c r="M7590" s="85"/>
    </row>
    <row r="7591" spans="9:13" x14ac:dyDescent="0.3">
      <c r="I7591" s="82"/>
      <c r="M7591" s="85"/>
    </row>
    <row r="7592" spans="9:13" x14ac:dyDescent="0.3">
      <c r="I7592" s="82"/>
      <c r="M7592" s="85"/>
    </row>
    <row r="7593" spans="9:13" x14ac:dyDescent="0.3">
      <c r="I7593" s="82"/>
      <c r="M7593" s="85"/>
    </row>
    <row r="7594" spans="9:13" x14ac:dyDescent="0.3">
      <c r="I7594" s="82"/>
      <c r="M7594" s="85"/>
    </row>
    <row r="7595" spans="9:13" x14ac:dyDescent="0.3">
      <c r="I7595" s="82"/>
      <c r="M7595" s="85"/>
    </row>
    <row r="7596" spans="9:13" x14ac:dyDescent="0.3">
      <c r="I7596" s="82"/>
      <c r="M7596" s="85"/>
    </row>
    <row r="7597" spans="9:13" x14ac:dyDescent="0.3">
      <c r="I7597" s="82"/>
      <c r="M7597" s="85"/>
    </row>
    <row r="7598" spans="9:13" x14ac:dyDescent="0.3">
      <c r="I7598" s="82"/>
      <c r="M7598" s="85"/>
    </row>
    <row r="7599" spans="9:13" x14ac:dyDescent="0.3">
      <c r="I7599" s="82"/>
      <c r="M7599" s="85"/>
    </row>
    <row r="7600" spans="9:13" x14ac:dyDescent="0.3">
      <c r="I7600" s="82"/>
      <c r="M7600" s="85"/>
    </row>
    <row r="7601" spans="9:13" x14ac:dyDescent="0.3">
      <c r="I7601" s="82"/>
      <c r="M7601" s="85"/>
    </row>
    <row r="7602" spans="9:13" x14ac:dyDescent="0.3">
      <c r="I7602" s="82"/>
      <c r="M7602" s="85"/>
    </row>
    <row r="7603" spans="9:13" x14ac:dyDescent="0.3">
      <c r="I7603" s="82"/>
      <c r="M7603" s="85"/>
    </row>
    <row r="7604" spans="9:13" x14ac:dyDescent="0.3">
      <c r="I7604" s="82"/>
      <c r="M7604" s="85"/>
    </row>
    <row r="7605" spans="9:13" x14ac:dyDescent="0.3">
      <c r="I7605" s="82"/>
      <c r="M7605" s="85"/>
    </row>
    <row r="7606" spans="9:13" x14ac:dyDescent="0.3">
      <c r="I7606" s="82"/>
      <c r="M7606" s="85"/>
    </row>
    <row r="7607" spans="9:13" x14ac:dyDescent="0.3">
      <c r="I7607" s="82"/>
      <c r="M7607" s="85"/>
    </row>
    <row r="7608" spans="9:13" x14ac:dyDescent="0.3">
      <c r="I7608" s="82"/>
      <c r="M7608" s="85"/>
    </row>
    <row r="7609" spans="9:13" x14ac:dyDescent="0.3">
      <c r="I7609" s="82"/>
      <c r="M7609" s="85"/>
    </row>
    <row r="7610" spans="9:13" x14ac:dyDescent="0.3">
      <c r="I7610" s="82"/>
      <c r="M7610" s="85"/>
    </row>
    <row r="7611" spans="9:13" x14ac:dyDescent="0.3">
      <c r="I7611" s="82"/>
      <c r="M7611" s="85"/>
    </row>
    <row r="7612" spans="9:13" x14ac:dyDescent="0.3">
      <c r="I7612" s="82"/>
      <c r="M7612" s="85"/>
    </row>
    <row r="7613" spans="9:13" x14ac:dyDescent="0.3">
      <c r="I7613" s="82"/>
      <c r="M7613" s="85"/>
    </row>
    <row r="7614" spans="9:13" x14ac:dyDescent="0.3">
      <c r="I7614" s="82"/>
      <c r="M7614" s="85"/>
    </row>
    <row r="7615" spans="9:13" x14ac:dyDescent="0.3">
      <c r="I7615" s="82"/>
      <c r="M7615" s="85"/>
    </row>
    <row r="7616" spans="9:13" x14ac:dyDescent="0.3">
      <c r="I7616" s="82"/>
      <c r="M7616" s="85"/>
    </row>
    <row r="7617" spans="9:13" x14ac:dyDescent="0.3">
      <c r="I7617" s="82"/>
      <c r="M7617" s="85"/>
    </row>
    <row r="7618" spans="9:13" x14ac:dyDescent="0.3">
      <c r="I7618" s="82"/>
      <c r="M7618" s="85"/>
    </row>
    <row r="7619" spans="9:13" x14ac:dyDescent="0.3">
      <c r="I7619" s="82"/>
      <c r="M7619" s="85"/>
    </row>
    <row r="7620" spans="9:13" x14ac:dyDescent="0.3">
      <c r="I7620" s="82"/>
      <c r="M7620" s="85"/>
    </row>
    <row r="7621" spans="9:13" x14ac:dyDescent="0.3">
      <c r="I7621" s="82"/>
      <c r="M7621" s="85"/>
    </row>
    <row r="7622" spans="9:13" x14ac:dyDescent="0.3">
      <c r="I7622" s="82"/>
      <c r="M7622" s="85"/>
    </row>
    <row r="7623" spans="9:13" x14ac:dyDescent="0.3">
      <c r="I7623" s="82"/>
      <c r="M7623" s="85"/>
    </row>
    <row r="7624" spans="9:13" x14ac:dyDescent="0.3">
      <c r="I7624" s="82"/>
      <c r="M7624" s="85"/>
    </row>
    <row r="7625" spans="9:13" x14ac:dyDescent="0.3">
      <c r="I7625" s="82"/>
      <c r="M7625" s="85"/>
    </row>
    <row r="7626" spans="9:13" x14ac:dyDescent="0.3">
      <c r="I7626" s="82"/>
      <c r="M7626" s="85"/>
    </row>
    <row r="7627" spans="9:13" x14ac:dyDescent="0.3">
      <c r="I7627" s="82"/>
      <c r="M7627" s="85"/>
    </row>
    <row r="7628" spans="9:13" x14ac:dyDescent="0.3">
      <c r="I7628" s="82"/>
      <c r="M7628" s="85"/>
    </row>
    <row r="7629" spans="9:13" x14ac:dyDescent="0.3">
      <c r="I7629" s="82"/>
      <c r="M7629" s="85"/>
    </row>
    <row r="7630" spans="9:13" x14ac:dyDescent="0.3">
      <c r="I7630" s="82"/>
      <c r="M7630" s="85"/>
    </row>
    <row r="7631" spans="9:13" x14ac:dyDescent="0.3">
      <c r="I7631" s="82"/>
      <c r="M7631" s="85"/>
    </row>
    <row r="7632" spans="9:13" x14ac:dyDescent="0.3">
      <c r="I7632" s="82"/>
      <c r="M7632" s="85"/>
    </row>
    <row r="7633" spans="9:13" x14ac:dyDescent="0.3">
      <c r="I7633" s="82"/>
      <c r="M7633" s="85"/>
    </row>
    <row r="7634" spans="9:13" x14ac:dyDescent="0.3">
      <c r="I7634" s="82"/>
      <c r="M7634" s="85"/>
    </row>
    <row r="7635" spans="9:13" x14ac:dyDescent="0.3">
      <c r="I7635" s="82"/>
      <c r="M7635" s="85"/>
    </row>
    <row r="7636" spans="9:13" x14ac:dyDescent="0.3">
      <c r="I7636" s="82"/>
      <c r="M7636" s="85"/>
    </row>
    <row r="7637" spans="9:13" x14ac:dyDescent="0.3">
      <c r="I7637" s="82"/>
      <c r="M7637" s="85"/>
    </row>
    <row r="7638" spans="9:13" x14ac:dyDescent="0.3">
      <c r="I7638" s="82"/>
      <c r="M7638" s="85"/>
    </row>
    <row r="7639" spans="9:13" x14ac:dyDescent="0.3">
      <c r="I7639" s="82"/>
      <c r="M7639" s="85"/>
    </row>
    <row r="7640" spans="9:13" x14ac:dyDescent="0.3">
      <c r="I7640" s="82"/>
      <c r="M7640" s="85"/>
    </row>
    <row r="7641" spans="9:13" x14ac:dyDescent="0.3">
      <c r="I7641" s="82"/>
      <c r="M7641" s="85"/>
    </row>
    <row r="7642" spans="9:13" x14ac:dyDescent="0.3">
      <c r="I7642" s="82"/>
      <c r="M7642" s="85"/>
    </row>
    <row r="7643" spans="9:13" x14ac:dyDescent="0.3">
      <c r="I7643" s="82"/>
      <c r="M7643" s="85"/>
    </row>
    <row r="7644" spans="9:13" x14ac:dyDescent="0.3">
      <c r="I7644" s="82"/>
      <c r="M7644" s="85"/>
    </row>
    <row r="7645" spans="9:13" x14ac:dyDescent="0.3">
      <c r="I7645" s="82"/>
      <c r="M7645" s="85"/>
    </row>
    <row r="7646" spans="9:13" x14ac:dyDescent="0.3">
      <c r="I7646" s="82"/>
      <c r="M7646" s="85"/>
    </row>
    <row r="7647" spans="9:13" x14ac:dyDescent="0.3">
      <c r="I7647" s="82"/>
      <c r="M7647" s="85"/>
    </row>
    <row r="7648" spans="9:13" x14ac:dyDescent="0.3">
      <c r="I7648" s="82"/>
      <c r="M7648" s="85"/>
    </row>
    <row r="7649" spans="9:13" x14ac:dyDescent="0.3">
      <c r="I7649" s="82"/>
      <c r="M7649" s="85"/>
    </row>
    <row r="7650" spans="9:13" x14ac:dyDescent="0.3">
      <c r="I7650" s="82"/>
      <c r="M7650" s="85"/>
    </row>
    <row r="7651" spans="9:13" x14ac:dyDescent="0.3">
      <c r="I7651" s="82"/>
      <c r="M7651" s="85"/>
    </row>
    <row r="7652" spans="9:13" x14ac:dyDescent="0.3">
      <c r="I7652" s="82"/>
      <c r="M7652" s="85"/>
    </row>
    <row r="7653" spans="9:13" x14ac:dyDescent="0.3">
      <c r="I7653" s="82"/>
      <c r="M7653" s="85"/>
    </row>
    <row r="7654" spans="9:13" x14ac:dyDescent="0.3">
      <c r="I7654" s="82"/>
      <c r="M7654" s="85"/>
    </row>
    <row r="7655" spans="9:13" x14ac:dyDescent="0.3">
      <c r="I7655" s="82"/>
      <c r="M7655" s="85"/>
    </row>
    <row r="7656" spans="9:13" x14ac:dyDescent="0.3">
      <c r="I7656" s="82"/>
      <c r="M7656" s="85"/>
    </row>
    <row r="7657" spans="9:13" x14ac:dyDescent="0.3">
      <c r="I7657" s="82"/>
      <c r="M7657" s="85"/>
    </row>
    <row r="7658" spans="9:13" x14ac:dyDescent="0.3">
      <c r="I7658" s="82"/>
      <c r="M7658" s="85"/>
    </row>
    <row r="7659" spans="9:13" x14ac:dyDescent="0.3">
      <c r="I7659" s="82"/>
      <c r="M7659" s="85"/>
    </row>
    <row r="7660" spans="9:13" x14ac:dyDescent="0.3">
      <c r="I7660" s="82"/>
      <c r="M7660" s="85"/>
    </row>
    <row r="7661" spans="9:13" x14ac:dyDescent="0.3">
      <c r="I7661" s="82"/>
      <c r="M7661" s="85"/>
    </row>
    <row r="7662" spans="9:13" x14ac:dyDescent="0.3">
      <c r="I7662" s="82"/>
      <c r="M7662" s="85"/>
    </row>
    <row r="7663" spans="9:13" x14ac:dyDescent="0.3">
      <c r="I7663" s="82"/>
      <c r="M7663" s="85"/>
    </row>
    <row r="7664" spans="9:13" x14ac:dyDescent="0.3">
      <c r="I7664" s="82"/>
      <c r="M7664" s="85"/>
    </row>
    <row r="7665" spans="9:13" x14ac:dyDescent="0.3">
      <c r="I7665" s="82"/>
      <c r="M7665" s="85"/>
    </row>
    <row r="7666" spans="9:13" x14ac:dyDescent="0.3">
      <c r="I7666" s="82"/>
      <c r="M7666" s="85"/>
    </row>
    <row r="7667" spans="9:13" x14ac:dyDescent="0.3">
      <c r="I7667" s="82"/>
      <c r="M7667" s="85"/>
    </row>
    <row r="7668" spans="9:13" x14ac:dyDescent="0.3">
      <c r="I7668" s="82"/>
      <c r="M7668" s="85"/>
    </row>
    <row r="7669" spans="9:13" x14ac:dyDescent="0.3">
      <c r="I7669" s="82"/>
      <c r="M7669" s="85"/>
    </row>
    <row r="7670" spans="9:13" x14ac:dyDescent="0.3">
      <c r="I7670" s="82"/>
      <c r="M7670" s="85"/>
    </row>
    <row r="7671" spans="9:13" x14ac:dyDescent="0.3">
      <c r="I7671" s="82"/>
      <c r="M7671" s="85"/>
    </row>
    <row r="7672" spans="9:13" x14ac:dyDescent="0.3">
      <c r="I7672" s="82"/>
      <c r="M7672" s="85"/>
    </row>
    <row r="7673" spans="9:13" x14ac:dyDescent="0.3">
      <c r="I7673" s="82"/>
      <c r="M7673" s="85"/>
    </row>
    <row r="7674" spans="9:13" x14ac:dyDescent="0.3">
      <c r="I7674" s="82"/>
      <c r="M7674" s="85"/>
    </row>
    <row r="7675" spans="9:13" x14ac:dyDescent="0.3">
      <c r="I7675" s="82"/>
      <c r="M7675" s="85"/>
    </row>
    <row r="7676" spans="9:13" x14ac:dyDescent="0.3">
      <c r="I7676" s="82"/>
      <c r="M7676" s="85"/>
    </row>
    <row r="7677" spans="9:13" x14ac:dyDescent="0.3">
      <c r="I7677" s="82"/>
      <c r="M7677" s="85"/>
    </row>
    <row r="7678" spans="9:13" x14ac:dyDescent="0.3">
      <c r="I7678" s="82"/>
      <c r="M7678" s="85"/>
    </row>
    <row r="7679" spans="9:13" x14ac:dyDescent="0.3">
      <c r="I7679" s="82"/>
      <c r="M7679" s="85"/>
    </row>
    <row r="7680" spans="9:13" x14ac:dyDescent="0.3">
      <c r="I7680" s="82"/>
      <c r="M7680" s="85"/>
    </row>
    <row r="7681" spans="9:13" x14ac:dyDescent="0.3">
      <c r="I7681" s="82"/>
      <c r="M7681" s="85"/>
    </row>
    <row r="7682" spans="9:13" x14ac:dyDescent="0.3">
      <c r="I7682" s="82"/>
      <c r="M7682" s="85"/>
    </row>
    <row r="7683" spans="9:13" x14ac:dyDescent="0.3">
      <c r="I7683" s="82"/>
      <c r="M7683" s="85"/>
    </row>
    <row r="7684" spans="9:13" x14ac:dyDescent="0.3">
      <c r="I7684" s="82"/>
      <c r="M7684" s="85"/>
    </row>
    <row r="7685" spans="9:13" x14ac:dyDescent="0.3">
      <c r="I7685" s="82"/>
      <c r="M7685" s="85"/>
    </row>
    <row r="7686" spans="9:13" x14ac:dyDescent="0.3">
      <c r="I7686" s="82"/>
      <c r="M7686" s="85"/>
    </row>
    <row r="7687" spans="9:13" x14ac:dyDescent="0.3">
      <c r="I7687" s="82"/>
      <c r="M7687" s="85"/>
    </row>
    <row r="7688" spans="9:13" x14ac:dyDescent="0.3">
      <c r="I7688" s="82"/>
      <c r="M7688" s="85"/>
    </row>
    <row r="7689" spans="9:13" x14ac:dyDescent="0.3">
      <c r="I7689" s="82"/>
      <c r="M7689" s="85"/>
    </row>
    <row r="7690" spans="9:13" x14ac:dyDescent="0.3">
      <c r="I7690" s="82"/>
      <c r="M7690" s="85"/>
    </row>
    <row r="7691" spans="9:13" x14ac:dyDescent="0.3">
      <c r="I7691" s="82"/>
      <c r="M7691" s="85"/>
    </row>
    <row r="7692" spans="9:13" x14ac:dyDescent="0.3">
      <c r="I7692" s="82"/>
      <c r="M7692" s="85"/>
    </row>
    <row r="7693" spans="9:13" x14ac:dyDescent="0.3">
      <c r="I7693" s="82"/>
      <c r="M7693" s="85"/>
    </row>
    <row r="7694" spans="9:13" x14ac:dyDescent="0.3">
      <c r="I7694" s="82"/>
      <c r="M7694" s="85"/>
    </row>
    <row r="7695" spans="9:13" x14ac:dyDescent="0.3">
      <c r="I7695" s="82"/>
      <c r="M7695" s="85"/>
    </row>
    <row r="7696" spans="9:13" x14ac:dyDescent="0.3">
      <c r="I7696" s="82"/>
      <c r="M7696" s="85"/>
    </row>
    <row r="7697" spans="9:13" x14ac:dyDescent="0.3">
      <c r="I7697" s="82"/>
      <c r="M7697" s="85"/>
    </row>
    <row r="7698" spans="9:13" x14ac:dyDescent="0.3">
      <c r="I7698" s="82"/>
      <c r="M7698" s="85"/>
    </row>
    <row r="7699" spans="9:13" x14ac:dyDescent="0.3">
      <c r="I7699" s="82"/>
      <c r="M7699" s="85"/>
    </row>
    <row r="7700" spans="9:13" x14ac:dyDescent="0.3">
      <c r="I7700" s="82"/>
      <c r="M7700" s="85"/>
    </row>
    <row r="7701" spans="9:13" x14ac:dyDescent="0.3">
      <c r="I7701" s="82"/>
      <c r="M7701" s="85"/>
    </row>
    <row r="7702" spans="9:13" x14ac:dyDescent="0.3">
      <c r="I7702" s="82"/>
      <c r="M7702" s="85"/>
    </row>
    <row r="7703" spans="9:13" x14ac:dyDescent="0.3">
      <c r="I7703" s="82"/>
      <c r="M7703" s="85"/>
    </row>
    <row r="7704" spans="9:13" x14ac:dyDescent="0.3">
      <c r="I7704" s="82"/>
      <c r="M7704" s="85"/>
    </row>
    <row r="7705" spans="9:13" x14ac:dyDescent="0.3">
      <c r="I7705" s="82"/>
      <c r="M7705" s="85"/>
    </row>
    <row r="7706" spans="9:13" x14ac:dyDescent="0.3">
      <c r="I7706" s="82"/>
      <c r="M7706" s="85"/>
    </row>
    <row r="7707" spans="9:13" x14ac:dyDescent="0.3">
      <c r="I7707" s="82"/>
      <c r="M7707" s="85"/>
    </row>
    <row r="7708" spans="9:13" x14ac:dyDescent="0.3">
      <c r="I7708" s="82"/>
      <c r="M7708" s="85"/>
    </row>
    <row r="7709" spans="9:13" x14ac:dyDescent="0.3">
      <c r="I7709" s="82"/>
      <c r="M7709" s="85"/>
    </row>
    <row r="7710" spans="9:13" x14ac:dyDescent="0.3">
      <c r="I7710" s="82"/>
      <c r="M7710" s="85"/>
    </row>
    <row r="7711" spans="9:13" x14ac:dyDescent="0.3">
      <c r="I7711" s="82"/>
      <c r="M7711" s="85"/>
    </row>
    <row r="7712" spans="9:13" x14ac:dyDescent="0.3">
      <c r="I7712" s="82"/>
      <c r="M7712" s="85"/>
    </row>
    <row r="7713" spans="9:13" x14ac:dyDescent="0.3">
      <c r="I7713" s="82"/>
      <c r="M7713" s="85"/>
    </row>
    <row r="7714" spans="9:13" x14ac:dyDescent="0.3">
      <c r="I7714" s="82"/>
      <c r="M7714" s="85"/>
    </row>
    <row r="7715" spans="9:13" x14ac:dyDescent="0.3">
      <c r="I7715" s="82"/>
      <c r="M7715" s="85"/>
    </row>
    <row r="7716" spans="9:13" x14ac:dyDescent="0.3">
      <c r="I7716" s="82"/>
      <c r="M7716" s="85"/>
    </row>
    <row r="7717" spans="9:13" x14ac:dyDescent="0.3">
      <c r="I7717" s="82"/>
      <c r="M7717" s="85"/>
    </row>
    <row r="7718" spans="9:13" x14ac:dyDescent="0.3">
      <c r="I7718" s="82"/>
      <c r="M7718" s="85"/>
    </row>
    <row r="7719" spans="9:13" x14ac:dyDescent="0.3">
      <c r="I7719" s="82"/>
      <c r="M7719" s="85"/>
    </row>
    <row r="7720" spans="9:13" x14ac:dyDescent="0.3">
      <c r="I7720" s="82"/>
      <c r="M7720" s="85"/>
    </row>
    <row r="7721" spans="9:13" x14ac:dyDescent="0.3">
      <c r="I7721" s="82"/>
      <c r="M7721" s="85"/>
    </row>
    <row r="7722" spans="9:13" x14ac:dyDescent="0.3">
      <c r="I7722" s="82"/>
      <c r="M7722" s="85"/>
    </row>
    <row r="7723" spans="9:13" x14ac:dyDescent="0.3">
      <c r="I7723" s="82"/>
      <c r="M7723" s="85"/>
    </row>
    <row r="7724" spans="9:13" x14ac:dyDescent="0.3">
      <c r="I7724" s="82"/>
      <c r="M7724" s="85"/>
    </row>
    <row r="7725" spans="9:13" x14ac:dyDescent="0.3">
      <c r="I7725" s="82"/>
      <c r="M7725" s="85"/>
    </row>
    <row r="7726" spans="9:13" x14ac:dyDescent="0.3">
      <c r="I7726" s="82"/>
      <c r="M7726" s="85"/>
    </row>
    <row r="7727" spans="9:13" x14ac:dyDescent="0.3">
      <c r="I7727" s="82"/>
      <c r="M7727" s="85"/>
    </row>
    <row r="7728" spans="9:13" x14ac:dyDescent="0.3">
      <c r="I7728" s="82"/>
      <c r="M7728" s="85"/>
    </row>
    <row r="7729" spans="9:13" x14ac:dyDescent="0.3">
      <c r="I7729" s="82"/>
      <c r="M7729" s="85"/>
    </row>
    <row r="7730" spans="9:13" x14ac:dyDescent="0.3">
      <c r="I7730" s="82"/>
      <c r="M7730" s="85"/>
    </row>
    <row r="7731" spans="9:13" x14ac:dyDescent="0.3">
      <c r="I7731" s="82"/>
      <c r="M7731" s="85"/>
    </row>
    <row r="7732" spans="9:13" x14ac:dyDescent="0.3">
      <c r="I7732" s="82"/>
      <c r="M7732" s="85"/>
    </row>
    <row r="7733" spans="9:13" x14ac:dyDescent="0.3">
      <c r="I7733" s="82"/>
      <c r="M7733" s="85"/>
    </row>
    <row r="7734" spans="9:13" x14ac:dyDescent="0.3">
      <c r="I7734" s="82"/>
      <c r="M7734" s="85"/>
    </row>
    <row r="7735" spans="9:13" x14ac:dyDescent="0.3">
      <c r="I7735" s="82"/>
      <c r="M7735" s="85"/>
    </row>
    <row r="7736" spans="9:13" x14ac:dyDescent="0.3">
      <c r="I7736" s="82"/>
      <c r="M7736" s="85"/>
    </row>
    <row r="7737" spans="9:13" x14ac:dyDescent="0.3">
      <c r="I7737" s="82"/>
      <c r="M7737" s="85"/>
    </row>
    <row r="7738" spans="9:13" x14ac:dyDescent="0.3">
      <c r="I7738" s="82"/>
      <c r="M7738" s="85"/>
    </row>
    <row r="7739" spans="9:13" x14ac:dyDescent="0.3">
      <c r="I7739" s="82"/>
      <c r="M7739" s="85"/>
    </row>
    <row r="7740" spans="9:13" x14ac:dyDescent="0.3">
      <c r="I7740" s="82"/>
      <c r="M7740" s="85"/>
    </row>
    <row r="7741" spans="9:13" x14ac:dyDescent="0.3">
      <c r="I7741" s="82"/>
      <c r="M7741" s="85"/>
    </row>
    <row r="7742" spans="9:13" x14ac:dyDescent="0.3">
      <c r="I7742" s="82"/>
      <c r="M7742" s="85"/>
    </row>
    <row r="7743" spans="9:13" x14ac:dyDescent="0.3">
      <c r="I7743" s="82"/>
      <c r="M7743" s="85"/>
    </row>
    <row r="7744" spans="9:13" x14ac:dyDescent="0.3">
      <c r="I7744" s="82"/>
      <c r="M7744" s="85"/>
    </row>
    <row r="7745" spans="9:13" x14ac:dyDescent="0.3">
      <c r="I7745" s="82"/>
      <c r="M7745" s="85"/>
    </row>
    <row r="7746" spans="9:13" x14ac:dyDescent="0.3">
      <c r="I7746" s="82"/>
      <c r="M7746" s="85"/>
    </row>
    <row r="7747" spans="9:13" x14ac:dyDescent="0.3">
      <c r="I7747" s="82"/>
      <c r="M7747" s="85"/>
    </row>
    <row r="7748" spans="9:13" x14ac:dyDescent="0.3">
      <c r="I7748" s="82"/>
      <c r="M7748" s="85"/>
    </row>
    <row r="7749" spans="9:13" x14ac:dyDescent="0.3">
      <c r="I7749" s="82"/>
      <c r="M7749" s="85"/>
    </row>
    <row r="7750" spans="9:13" x14ac:dyDescent="0.3">
      <c r="I7750" s="82"/>
      <c r="M7750" s="85"/>
    </row>
    <row r="7751" spans="9:13" x14ac:dyDescent="0.3">
      <c r="I7751" s="82"/>
      <c r="M7751" s="85"/>
    </row>
    <row r="7752" spans="9:13" x14ac:dyDescent="0.3">
      <c r="I7752" s="82"/>
      <c r="M7752" s="85"/>
    </row>
    <row r="7753" spans="9:13" x14ac:dyDescent="0.3">
      <c r="I7753" s="82"/>
      <c r="M7753" s="85"/>
    </row>
    <row r="7754" spans="9:13" x14ac:dyDescent="0.3">
      <c r="I7754" s="82"/>
      <c r="M7754" s="85"/>
    </row>
    <row r="7755" spans="9:13" x14ac:dyDescent="0.3">
      <c r="I7755" s="82"/>
      <c r="M7755" s="85"/>
    </row>
    <row r="7756" spans="9:13" x14ac:dyDescent="0.3">
      <c r="I7756" s="82"/>
      <c r="M7756" s="85"/>
    </row>
    <row r="7757" spans="9:13" x14ac:dyDescent="0.3">
      <c r="I7757" s="82"/>
      <c r="M7757" s="85"/>
    </row>
    <row r="7758" spans="9:13" x14ac:dyDescent="0.3">
      <c r="I7758" s="82"/>
      <c r="M7758" s="85"/>
    </row>
    <row r="7759" spans="9:13" x14ac:dyDescent="0.3">
      <c r="I7759" s="82"/>
      <c r="M7759" s="85"/>
    </row>
    <row r="7760" spans="9:13" x14ac:dyDescent="0.3">
      <c r="I7760" s="82"/>
      <c r="M7760" s="85"/>
    </row>
    <row r="7761" spans="9:13" x14ac:dyDescent="0.3">
      <c r="I7761" s="82"/>
      <c r="M7761" s="85"/>
    </row>
    <row r="7762" spans="9:13" x14ac:dyDescent="0.3">
      <c r="I7762" s="82"/>
      <c r="M7762" s="85"/>
    </row>
    <row r="7763" spans="9:13" x14ac:dyDescent="0.3">
      <c r="I7763" s="82"/>
      <c r="M7763" s="85"/>
    </row>
    <row r="7764" spans="9:13" x14ac:dyDescent="0.3">
      <c r="I7764" s="82"/>
      <c r="M7764" s="85"/>
    </row>
    <row r="7765" spans="9:13" x14ac:dyDescent="0.3">
      <c r="I7765" s="82"/>
      <c r="M7765" s="85"/>
    </row>
    <row r="7766" spans="9:13" x14ac:dyDescent="0.3">
      <c r="I7766" s="82"/>
      <c r="M7766" s="85"/>
    </row>
    <row r="7767" spans="9:13" x14ac:dyDescent="0.3">
      <c r="I7767" s="82"/>
      <c r="M7767" s="85"/>
    </row>
    <row r="7768" spans="9:13" x14ac:dyDescent="0.3">
      <c r="I7768" s="82"/>
      <c r="M7768" s="85"/>
    </row>
    <row r="7769" spans="9:13" x14ac:dyDescent="0.3">
      <c r="I7769" s="82"/>
      <c r="M7769" s="85"/>
    </row>
    <row r="7770" spans="9:13" x14ac:dyDescent="0.3">
      <c r="I7770" s="82"/>
      <c r="M7770" s="85"/>
    </row>
    <row r="7771" spans="9:13" x14ac:dyDescent="0.3">
      <c r="I7771" s="82"/>
      <c r="M7771" s="85"/>
    </row>
    <row r="7772" spans="9:13" x14ac:dyDescent="0.3">
      <c r="I7772" s="82"/>
      <c r="M7772" s="85"/>
    </row>
    <row r="7773" spans="9:13" x14ac:dyDescent="0.3">
      <c r="I7773" s="82"/>
      <c r="M7773" s="85"/>
    </row>
    <row r="7774" spans="9:13" x14ac:dyDescent="0.3">
      <c r="I7774" s="82"/>
      <c r="M7774" s="85"/>
    </row>
    <row r="7775" spans="9:13" x14ac:dyDescent="0.3">
      <c r="I7775" s="82"/>
      <c r="M7775" s="85"/>
    </row>
    <row r="7776" spans="9:13" x14ac:dyDescent="0.3">
      <c r="I7776" s="82"/>
      <c r="M7776" s="85"/>
    </row>
    <row r="7777" spans="9:13" x14ac:dyDescent="0.3">
      <c r="I7777" s="82"/>
      <c r="M7777" s="85"/>
    </row>
    <row r="7778" spans="9:13" x14ac:dyDescent="0.3">
      <c r="I7778" s="82"/>
      <c r="M7778" s="85"/>
    </row>
    <row r="7779" spans="9:13" x14ac:dyDescent="0.3">
      <c r="I7779" s="82"/>
      <c r="M7779" s="85"/>
    </row>
    <row r="7780" spans="9:13" x14ac:dyDescent="0.3">
      <c r="I7780" s="82"/>
      <c r="M7780" s="85"/>
    </row>
    <row r="7781" spans="9:13" x14ac:dyDescent="0.3">
      <c r="I7781" s="82"/>
      <c r="M7781" s="85"/>
    </row>
    <row r="7782" spans="9:13" x14ac:dyDescent="0.3">
      <c r="I7782" s="82"/>
      <c r="M7782" s="85"/>
    </row>
    <row r="7783" spans="9:13" x14ac:dyDescent="0.3">
      <c r="I7783" s="82"/>
      <c r="M7783" s="85"/>
    </row>
    <row r="7784" spans="9:13" x14ac:dyDescent="0.3">
      <c r="I7784" s="82"/>
      <c r="M7784" s="85"/>
    </row>
    <row r="7785" spans="9:13" x14ac:dyDescent="0.3">
      <c r="I7785" s="82"/>
      <c r="M7785" s="85"/>
    </row>
    <row r="7786" spans="9:13" x14ac:dyDescent="0.3">
      <c r="I7786" s="82"/>
      <c r="M7786" s="85"/>
    </row>
    <row r="7787" spans="9:13" x14ac:dyDescent="0.3">
      <c r="I7787" s="82"/>
      <c r="M7787" s="85"/>
    </row>
    <row r="7788" spans="9:13" x14ac:dyDescent="0.3">
      <c r="I7788" s="82"/>
      <c r="M7788" s="85"/>
    </row>
    <row r="7789" spans="9:13" x14ac:dyDescent="0.3">
      <c r="I7789" s="82"/>
      <c r="M7789" s="85"/>
    </row>
    <row r="7790" spans="9:13" x14ac:dyDescent="0.3">
      <c r="I7790" s="82"/>
      <c r="M7790" s="85"/>
    </row>
    <row r="7791" spans="9:13" x14ac:dyDescent="0.3">
      <c r="I7791" s="82"/>
      <c r="M7791" s="85"/>
    </row>
    <row r="7792" spans="9:13" x14ac:dyDescent="0.3">
      <c r="I7792" s="82"/>
      <c r="M7792" s="85"/>
    </row>
    <row r="7793" spans="9:13" x14ac:dyDescent="0.3">
      <c r="I7793" s="82"/>
      <c r="M7793" s="85"/>
    </row>
    <row r="7794" spans="9:13" x14ac:dyDescent="0.3">
      <c r="I7794" s="82"/>
      <c r="M7794" s="85"/>
    </row>
    <row r="7795" spans="9:13" x14ac:dyDescent="0.3">
      <c r="I7795" s="82"/>
      <c r="M7795" s="85"/>
    </row>
    <row r="7796" spans="9:13" x14ac:dyDescent="0.3">
      <c r="I7796" s="82"/>
      <c r="M7796" s="85"/>
    </row>
    <row r="7797" spans="9:13" x14ac:dyDescent="0.3">
      <c r="I7797" s="82"/>
      <c r="M7797" s="85"/>
    </row>
    <row r="7798" spans="9:13" x14ac:dyDescent="0.3">
      <c r="I7798" s="82"/>
      <c r="M7798" s="85"/>
    </row>
    <row r="7799" spans="9:13" x14ac:dyDescent="0.3">
      <c r="I7799" s="82"/>
      <c r="M7799" s="85"/>
    </row>
    <row r="7800" spans="9:13" x14ac:dyDescent="0.3">
      <c r="I7800" s="82"/>
      <c r="M7800" s="85"/>
    </row>
    <row r="7801" spans="9:13" x14ac:dyDescent="0.3">
      <c r="I7801" s="82"/>
      <c r="M7801" s="85"/>
    </row>
    <row r="7802" spans="9:13" x14ac:dyDescent="0.3">
      <c r="I7802" s="82"/>
      <c r="M7802" s="85"/>
    </row>
    <row r="7803" spans="9:13" x14ac:dyDescent="0.3">
      <c r="I7803" s="82"/>
      <c r="M7803" s="85"/>
    </row>
    <row r="7804" spans="9:13" x14ac:dyDescent="0.3">
      <c r="I7804" s="82"/>
      <c r="M7804" s="85"/>
    </row>
    <row r="7805" spans="9:13" x14ac:dyDescent="0.3">
      <c r="I7805" s="82"/>
      <c r="M7805" s="85"/>
    </row>
    <row r="7806" spans="9:13" x14ac:dyDescent="0.3">
      <c r="I7806" s="82"/>
      <c r="M7806" s="85"/>
    </row>
    <row r="7807" spans="9:13" x14ac:dyDescent="0.3">
      <c r="I7807" s="82"/>
      <c r="M7807" s="85"/>
    </row>
    <row r="7808" spans="9:13" x14ac:dyDescent="0.3">
      <c r="I7808" s="82"/>
      <c r="M7808" s="85"/>
    </row>
    <row r="7809" spans="9:13" x14ac:dyDescent="0.3">
      <c r="I7809" s="82"/>
      <c r="M7809" s="85"/>
    </row>
    <row r="7810" spans="9:13" x14ac:dyDescent="0.3">
      <c r="I7810" s="82"/>
      <c r="M7810" s="85"/>
    </row>
    <row r="7811" spans="9:13" x14ac:dyDescent="0.3">
      <c r="I7811" s="82"/>
      <c r="M7811" s="85"/>
    </row>
    <row r="7812" spans="9:13" x14ac:dyDescent="0.3">
      <c r="I7812" s="82"/>
      <c r="M7812" s="85"/>
    </row>
    <row r="7813" spans="9:13" x14ac:dyDescent="0.3">
      <c r="I7813" s="82"/>
      <c r="M7813" s="85"/>
    </row>
    <row r="7814" spans="9:13" x14ac:dyDescent="0.3">
      <c r="I7814" s="82"/>
      <c r="M7814" s="85"/>
    </row>
    <row r="7815" spans="9:13" x14ac:dyDescent="0.3">
      <c r="I7815" s="82"/>
      <c r="M7815" s="85"/>
    </row>
    <row r="7816" spans="9:13" x14ac:dyDescent="0.3">
      <c r="I7816" s="82"/>
      <c r="M7816" s="85"/>
    </row>
    <row r="7817" spans="9:13" x14ac:dyDescent="0.3">
      <c r="I7817" s="82"/>
      <c r="M7817" s="85"/>
    </row>
    <row r="7818" spans="9:13" x14ac:dyDescent="0.3">
      <c r="I7818" s="82"/>
      <c r="M7818" s="85"/>
    </row>
    <row r="7819" spans="9:13" x14ac:dyDescent="0.3">
      <c r="I7819" s="82"/>
      <c r="M7819" s="85"/>
    </row>
    <row r="7820" spans="9:13" x14ac:dyDescent="0.3">
      <c r="I7820" s="82"/>
      <c r="M7820" s="85"/>
    </row>
    <row r="7821" spans="9:13" x14ac:dyDescent="0.3">
      <c r="I7821" s="82"/>
      <c r="M7821" s="85"/>
    </row>
    <row r="7822" spans="9:13" x14ac:dyDescent="0.3">
      <c r="I7822" s="82"/>
      <c r="M7822" s="85"/>
    </row>
    <row r="7823" spans="9:13" x14ac:dyDescent="0.3">
      <c r="I7823" s="82"/>
      <c r="M7823" s="85"/>
    </row>
    <row r="7824" spans="9:13" x14ac:dyDescent="0.3">
      <c r="I7824" s="82"/>
      <c r="M7824" s="85"/>
    </row>
    <row r="7825" spans="9:13" x14ac:dyDescent="0.3">
      <c r="I7825" s="82"/>
      <c r="M7825" s="85"/>
    </row>
    <row r="7826" spans="9:13" x14ac:dyDescent="0.3">
      <c r="I7826" s="82"/>
      <c r="M7826" s="85"/>
    </row>
    <row r="7827" spans="9:13" x14ac:dyDescent="0.3">
      <c r="I7827" s="82"/>
      <c r="M7827" s="85"/>
    </row>
    <row r="7828" spans="9:13" x14ac:dyDescent="0.3">
      <c r="I7828" s="82"/>
      <c r="M7828" s="85"/>
    </row>
    <row r="7829" spans="9:13" x14ac:dyDescent="0.3">
      <c r="I7829" s="82"/>
      <c r="M7829" s="85"/>
    </row>
    <row r="7830" spans="9:13" x14ac:dyDescent="0.3">
      <c r="I7830" s="82"/>
      <c r="M7830" s="85"/>
    </row>
    <row r="7831" spans="9:13" x14ac:dyDescent="0.3">
      <c r="I7831" s="82"/>
      <c r="M7831" s="85"/>
    </row>
    <row r="7832" spans="9:13" x14ac:dyDescent="0.3">
      <c r="I7832" s="82"/>
      <c r="M7832" s="85"/>
    </row>
    <row r="7833" spans="9:13" x14ac:dyDescent="0.3">
      <c r="I7833" s="82"/>
      <c r="M7833" s="85"/>
    </row>
    <row r="7834" spans="9:13" x14ac:dyDescent="0.3">
      <c r="I7834" s="82"/>
      <c r="M7834" s="85"/>
    </row>
    <row r="7835" spans="9:13" x14ac:dyDescent="0.3">
      <c r="I7835" s="82"/>
      <c r="M7835" s="85"/>
    </row>
    <row r="7836" spans="9:13" x14ac:dyDescent="0.3">
      <c r="I7836" s="82"/>
      <c r="M7836" s="85"/>
    </row>
    <row r="7837" spans="9:13" x14ac:dyDescent="0.3">
      <c r="I7837" s="82"/>
      <c r="M7837" s="85"/>
    </row>
    <row r="7838" spans="9:13" x14ac:dyDescent="0.3">
      <c r="I7838" s="82"/>
      <c r="M7838" s="85"/>
    </row>
    <row r="7839" spans="9:13" x14ac:dyDescent="0.3">
      <c r="I7839" s="82"/>
      <c r="M7839" s="85"/>
    </row>
    <row r="7840" spans="9:13" x14ac:dyDescent="0.3">
      <c r="I7840" s="82"/>
      <c r="M7840" s="85"/>
    </row>
    <row r="7841" spans="9:13" x14ac:dyDescent="0.3">
      <c r="I7841" s="82"/>
      <c r="M7841" s="85"/>
    </row>
    <row r="7842" spans="9:13" x14ac:dyDescent="0.3">
      <c r="I7842" s="82"/>
      <c r="M7842" s="85"/>
    </row>
    <row r="7843" spans="9:13" x14ac:dyDescent="0.3">
      <c r="I7843" s="82"/>
      <c r="M7843" s="85"/>
    </row>
    <row r="7844" spans="9:13" x14ac:dyDescent="0.3">
      <c r="I7844" s="82"/>
      <c r="M7844" s="85"/>
    </row>
    <row r="7845" spans="9:13" x14ac:dyDescent="0.3">
      <c r="I7845" s="82"/>
      <c r="M7845" s="85"/>
    </row>
    <row r="7846" spans="9:13" x14ac:dyDescent="0.3">
      <c r="I7846" s="82"/>
      <c r="M7846" s="85"/>
    </row>
    <row r="7847" spans="9:13" x14ac:dyDescent="0.3">
      <c r="I7847" s="82"/>
      <c r="M7847" s="85"/>
    </row>
    <row r="7848" spans="9:13" x14ac:dyDescent="0.3">
      <c r="I7848" s="82"/>
      <c r="M7848" s="85"/>
    </row>
    <row r="7849" spans="9:13" x14ac:dyDescent="0.3">
      <c r="I7849" s="82"/>
      <c r="M7849" s="85"/>
    </row>
    <row r="7850" spans="9:13" x14ac:dyDescent="0.3">
      <c r="I7850" s="82"/>
      <c r="M7850" s="85"/>
    </row>
    <row r="7851" spans="9:13" x14ac:dyDescent="0.3">
      <c r="I7851" s="82"/>
      <c r="M7851" s="85"/>
    </row>
    <row r="7852" spans="9:13" x14ac:dyDescent="0.3">
      <c r="I7852" s="82"/>
      <c r="M7852" s="85"/>
    </row>
    <row r="7853" spans="9:13" x14ac:dyDescent="0.3">
      <c r="I7853" s="82"/>
      <c r="M7853" s="85"/>
    </row>
    <row r="7854" spans="9:13" x14ac:dyDescent="0.3">
      <c r="I7854" s="82"/>
      <c r="M7854" s="85"/>
    </row>
    <row r="7855" spans="9:13" x14ac:dyDescent="0.3">
      <c r="I7855" s="82"/>
      <c r="M7855" s="85"/>
    </row>
    <row r="7856" spans="9:13" x14ac:dyDescent="0.3">
      <c r="I7856" s="82"/>
      <c r="M7856" s="85"/>
    </row>
    <row r="7857" spans="9:13" x14ac:dyDescent="0.3">
      <c r="I7857" s="82"/>
      <c r="M7857" s="85"/>
    </row>
    <row r="7858" spans="9:13" x14ac:dyDescent="0.3">
      <c r="I7858" s="82"/>
      <c r="M7858" s="85"/>
    </row>
    <row r="7859" spans="9:13" x14ac:dyDescent="0.3">
      <c r="I7859" s="82"/>
      <c r="M7859" s="85"/>
    </row>
    <row r="7860" spans="9:13" x14ac:dyDescent="0.3">
      <c r="I7860" s="82"/>
      <c r="M7860" s="85"/>
    </row>
    <row r="7861" spans="9:13" x14ac:dyDescent="0.3">
      <c r="I7861" s="82"/>
      <c r="M7861" s="85"/>
    </row>
    <row r="7862" spans="9:13" x14ac:dyDescent="0.3">
      <c r="I7862" s="82"/>
      <c r="M7862" s="85"/>
    </row>
    <row r="7863" spans="9:13" x14ac:dyDescent="0.3">
      <c r="I7863" s="82"/>
      <c r="M7863" s="85"/>
    </row>
    <row r="7864" spans="9:13" x14ac:dyDescent="0.3">
      <c r="I7864" s="82"/>
      <c r="M7864" s="85"/>
    </row>
    <row r="7865" spans="9:13" x14ac:dyDescent="0.3">
      <c r="I7865" s="82"/>
      <c r="M7865" s="85"/>
    </row>
    <row r="7866" spans="9:13" x14ac:dyDescent="0.3">
      <c r="I7866" s="82"/>
      <c r="M7866" s="85"/>
    </row>
    <row r="7867" spans="9:13" x14ac:dyDescent="0.3">
      <c r="I7867" s="82"/>
      <c r="M7867" s="85"/>
    </row>
    <row r="7868" spans="9:13" x14ac:dyDescent="0.3">
      <c r="I7868" s="82"/>
      <c r="M7868" s="85"/>
    </row>
    <row r="7869" spans="9:13" x14ac:dyDescent="0.3">
      <c r="I7869" s="82"/>
      <c r="M7869" s="85"/>
    </row>
    <row r="7870" spans="9:13" x14ac:dyDescent="0.3">
      <c r="I7870" s="82"/>
      <c r="M7870" s="85"/>
    </row>
    <row r="7871" spans="9:13" x14ac:dyDescent="0.3">
      <c r="I7871" s="82"/>
      <c r="M7871" s="85"/>
    </row>
    <row r="7872" spans="9:13" x14ac:dyDescent="0.3">
      <c r="I7872" s="82"/>
      <c r="M7872" s="85"/>
    </row>
    <row r="7873" spans="9:13" x14ac:dyDescent="0.3">
      <c r="I7873" s="82"/>
      <c r="M7873" s="85"/>
    </row>
    <row r="7874" spans="9:13" x14ac:dyDescent="0.3">
      <c r="I7874" s="82"/>
      <c r="M7874" s="85"/>
    </row>
    <row r="7875" spans="9:13" x14ac:dyDescent="0.3">
      <c r="I7875" s="82"/>
      <c r="M7875" s="85"/>
    </row>
    <row r="7876" spans="9:13" x14ac:dyDescent="0.3">
      <c r="I7876" s="82"/>
      <c r="M7876" s="85"/>
    </row>
    <row r="7877" spans="9:13" x14ac:dyDescent="0.3">
      <c r="I7877" s="82"/>
      <c r="M7877" s="85"/>
    </row>
    <row r="7878" spans="9:13" x14ac:dyDescent="0.3">
      <c r="I7878" s="82"/>
      <c r="M7878" s="85"/>
    </row>
    <row r="7879" spans="9:13" x14ac:dyDescent="0.3">
      <c r="I7879" s="82"/>
      <c r="M7879" s="85"/>
    </row>
    <row r="7880" spans="9:13" x14ac:dyDescent="0.3">
      <c r="I7880" s="82"/>
      <c r="M7880" s="85"/>
    </row>
    <row r="7881" spans="9:13" x14ac:dyDescent="0.3">
      <c r="I7881" s="82"/>
      <c r="M7881" s="85"/>
    </row>
    <row r="7882" spans="9:13" x14ac:dyDescent="0.3">
      <c r="I7882" s="82"/>
      <c r="M7882" s="85"/>
    </row>
    <row r="7883" spans="9:13" x14ac:dyDescent="0.3">
      <c r="I7883" s="82"/>
      <c r="M7883" s="85"/>
    </row>
    <row r="7884" spans="9:13" x14ac:dyDescent="0.3">
      <c r="I7884" s="82"/>
      <c r="M7884" s="85"/>
    </row>
    <row r="7885" spans="9:13" x14ac:dyDescent="0.3">
      <c r="I7885" s="82"/>
      <c r="M7885" s="85"/>
    </row>
    <row r="7886" spans="9:13" x14ac:dyDescent="0.3">
      <c r="I7886" s="82"/>
      <c r="M7886" s="85"/>
    </row>
    <row r="7887" spans="9:13" x14ac:dyDescent="0.3">
      <c r="I7887" s="82"/>
      <c r="M7887" s="85"/>
    </row>
    <row r="7888" spans="9:13" x14ac:dyDescent="0.3">
      <c r="I7888" s="82"/>
      <c r="M7888" s="85"/>
    </row>
    <row r="7889" spans="9:13" x14ac:dyDescent="0.3">
      <c r="I7889" s="82"/>
      <c r="M7889" s="85"/>
    </row>
    <row r="7890" spans="9:13" x14ac:dyDescent="0.3">
      <c r="I7890" s="82"/>
      <c r="M7890" s="85"/>
    </row>
    <row r="7891" spans="9:13" x14ac:dyDescent="0.3">
      <c r="I7891" s="82"/>
      <c r="M7891" s="85"/>
    </row>
    <row r="7892" spans="9:13" x14ac:dyDescent="0.3">
      <c r="I7892" s="82"/>
      <c r="M7892" s="85"/>
    </row>
    <row r="7893" spans="9:13" x14ac:dyDescent="0.3">
      <c r="I7893" s="82"/>
      <c r="M7893" s="85"/>
    </row>
    <row r="7894" spans="9:13" x14ac:dyDescent="0.3">
      <c r="I7894" s="82"/>
      <c r="M7894" s="85"/>
    </row>
    <row r="7895" spans="9:13" x14ac:dyDescent="0.3">
      <c r="I7895" s="82"/>
      <c r="M7895" s="85"/>
    </row>
    <row r="7896" spans="9:13" x14ac:dyDescent="0.3">
      <c r="I7896" s="82"/>
      <c r="M7896" s="85"/>
    </row>
    <row r="7897" spans="9:13" x14ac:dyDescent="0.3">
      <c r="I7897" s="82"/>
      <c r="M7897" s="85"/>
    </row>
    <row r="7898" spans="9:13" x14ac:dyDescent="0.3">
      <c r="I7898" s="82"/>
      <c r="M7898" s="85"/>
    </row>
    <row r="7899" spans="9:13" x14ac:dyDescent="0.3">
      <c r="I7899" s="82"/>
      <c r="M7899" s="85"/>
    </row>
    <row r="7900" spans="9:13" x14ac:dyDescent="0.3">
      <c r="I7900" s="82"/>
      <c r="M7900" s="85"/>
    </row>
    <row r="7901" spans="9:13" x14ac:dyDescent="0.3">
      <c r="I7901" s="82"/>
      <c r="M7901" s="85"/>
    </row>
    <row r="7902" spans="9:13" x14ac:dyDescent="0.3">
      <c r="I7902" s="82"/>
      <c r="M7902" s="85"/>
    </row>
    <row r="7903" spans="9:13" x14ac:dyDescent="0.3">
      <c r="I7903" s="82"/>
      <c r="M7903" s="85"/>
    </row>
    <row r="7904" spans="9:13" x14ac:dyDescent="0.3">
      <c r="I7904" s="82"/>
      <c r="M7904" s="85"/>
    </row>
    <row r="7905" spans="9:13" x14ac:dyDescent="0.3">
      <c r="I7905" s="82"/>
      <c r="M7905" s="85"/>
    </row>
    <row r="7906" spans="9:13" x14ac:dyDescent="0.3">
      <c r="I7906" s="82"/>
      <c r="M7906" s="85"/>
    </row>
    <row r="7907" spans="9:13" x14ac:dyDescent="0.3">
      <c r="I7907" s="82"/>
      <c r="M7907" s="85"/>
    </row>
    <row r="7908" spans="9:13" x14ac:dyDescent="0.3">
      <c r="I7908" s="82"/>
      <c r="M7908" s="85"/>
    </row>
    <row r="7909" spans="9:13" x14ac:dyDescent="0.3">
      <c r="I7909" s="82"/>
      <c r="M7909" s="85"/>
    </row>
    <row r="7910" spans="9:13" x14ac:dyDescent="0.3">
      <c r="I7910" s="82"/>
      <c r="M7910" s="85"/>
    </row>
    <row r="7911" spans="9:13" x14ac:dyDescent="0.3">
      <c r="I7911" s="82"/>
      <c r="M7911" s="85"/>
    </row>
    <row r="7912" spans="9:13" x14ac:dyDescent="0.3">
      <c r="I7912" s="82"/>
      <c r="M7912" s="85"/>
    </row>
    <row r="7913" spans="9:13" x14ac:dyDescent="0.3">
      <c r="I7913" s="82"/>
      <c r="M7913" s="85"/>
    </row>
    <row r="7914" spans="9:13" x14ac:dyDescent="0.3">
      <c r="I7914" s="82"/>
      <c r="M7914" s="85"/>
    </row>
    <row r="7915" spans="9:13" x14ac:dyDescent="0.3">
      <c r="I7915" s="82"/>
      <c r="M7915" s="85"/>
    </row>
    <row r="7916" spans="9:13" x14ac:dyDescent="0.3">
      <c r="I7916" s="82"/>
      <c r="M7916" s="85"/>
    </row>
    <row r="7917" spans="9:13" x14ac:dyDescent="0.3">
      <c r="I7917" s="82"/>
      <c r="M7917" s="85"/>
    </row>
    <row r="7918" spans="9:13" x14ac:dyDescent="0.3">
      <c r="I7918" s="82"/>
      <c r="M7918" s="85"/>
    </row>
    <row r="7919" spans="9:13" x14ac:dyDescent="0.3">
      <c r="I7919" s="82"/>
      <c r="M7919" s="85"/>
    </row>
    <row r="7920" spans="9:13" x14ac:dyDescent="0.3">
      <c r="I7920" s="82"/>
      <c r="M7920" s="85"/>
    </row>
    <row r="7921" spans="9:13" x14ac:dyDescent="0.3">
      <c r="I7921" s="82"/>
      <c r="M7921" s="85"/>
    </row>
    <row r="7922" spans="9:13" x14ac:dyDescent="0.3">
      <c r="I7922" s="82"/>
      <c r="M7922" s="85"/>
    </row>
    <row r="7923" spans="9:13" x14ac:dyDescent="0.3">
      <c r="I7923" s="82"/>
      <c r="M7923" s="85"/>
    </row>
    <row r="7924" spans="9:13" x14ac:dyDescent="0.3">
      <c r="I7924" s="82"/>
      <c r="M7924" s="85"/>
    </row>
    <row r="7925" spans="9:13" x14ac:dyDescent="0.3">
      <c r="I7925" s="82"/>
      <c r="M7925" s="85"/>
    </row>
    <row r="7926" spans="9:13" x14ac:dyDescent="0.3">
      <c r="I7926" s="82"/>
      <c r="M7926" s="85"/>
    </row>
    <row r="7927" spans="9:13" x14ac:dyDescent="0.3">
      <c r="I7927" s="82"/>
      <c r="M7927" s="85"/>
    </row>
    <row r="7928" spans="9:13" x14ac:dyDescent="0.3">
      <c r="I7928" s="82"/>
      <c r="M7928" s="85"/>
    </row>
    <row r="7929" spans="9:13" x14ac:dyDescent="0.3">
      <c r="I7929" s="82"/>
      <c r="M7929" s="85"/>
    </row>
    <row r="7930" spans="9:13" x14ac:dyDescent="0.3">
      <c r="I7930" s="82"/>
      <c r="M7930" s="85"/>
    </row>
    <row r="7931" spans="9:13" x14ac:dyDescent="0.3">
      <c r="I7931" s="82"/>
      <c r="M7931" s="85"/>
    </row>
    <row r="7932" spans="9:13" x14ac:dyDescent="0.3">
      <c r="I7932" s="82"/>
      <c r="M7932" s="85"/>
    </row>
    <row r="7933" spans="9:13" x14ac:dyDescent="0.3">
      <c r="I7933" s="82"/>
      <c r="M7933" s="85"/>
    </row>
    <row r="7934" spans="9:13" x14ac:dyDescent="0.3">
      <c r="I7934" s="82"/>
      <c r="M7934" s="85"/>
    </row>
    <row r="7935" spans="9:13" x14ac:dyDescent="0.3">
      <c r="I7935" s="82"/>
      <c r="M7935" s="85"/>
    </row>
    <row r="7936" spans="9:13" x14ac:dyDescent="0.3">
      <c r="I7936" s="82"/>
      <c r="M7936" s="85"/>
    </row>
    <row r="7937" spans="9:13" x14ac:dyDescent="0.3">
      <c r="I7937" s="82"/>
      <c r="M7937" s="85"/>
    </row>
    <row r="7938" spans="9:13" x14ac:dyDescent="0.3">
      <c r="I7938" s="82"/>
      <c r="M7938" s="85"/>
    </row>
    <row r="7939" spans="9:13" x14ac:dyDescent="0.3">
      <c r="I7939" s="82"/>
      <c r="M7939" s="85"/>
    </row>
    <row r="7940" spans="9:13" x14ac:dyDescent="0.3">
      <c r="I7940" s="82"/>
      <c r="M7940" s="85"/>
    </row>
    <row r="7941" spans="9:13" x14ac:dyDescent="0.3">
      <c r="I7941" s="82"/>
      <c r="M7941" s="85"/>
    </row>
    <row r="7942" spans="9:13" x14ac:dyDescent="0.3">
      <c r="I7942" s="82"/>
      <c r="M7942" s="85"/>
    </row>
    <row r="7943" spans="9:13" x14ac:dyDescent="0.3">
      <c r="I7943" s="82"/>
      <c r="M7943" s="85"/>
    </row>
    <row r="7944" spans="9:13" x14ac:dyDescent="0.3">
      <c r="I7944" s="82"/>
      <c r="M7944" s="85"/>
    </row>
    <row r="7945" spans="9:13" x14ac:dyDescent="0.3">
      <c r="I7945" s="82"/>
      <c r="M7945" s="85"/>
    </row>
    <row r="7946" spans="9:13" x14ac:dyDescent="0.3">
      <c r="I7946" s="82"/>
      <c r="M7946" s="85"/>
    </row>
    <row r="7947" spans="9:13" x14ac:dyDescent="0.3">
      <c r="I7947" s="82"/>
      <c r="M7947" s="85"/>
    </row>
    <row r="7948" spans="9:13" x14ac:dyDescent="0.3">
      <c r="I7948" s="82"/>
      <c r="M7948" s="85"/>
    </row>
    <row r="7949" spans="9:13" x14ac:dyDescent="0.3">
      <c r="I7949" s="82"/>
      <c r="M7949" s="85"/>
    </row>
    <row r="7950" spans="9:13" x14ac:dyDescent="0.3">
      <c r="I7950" s="82"/>
      <c r="M7950" s="85"/>
    </row>
    <row r="7951" spans="9:13" x14ac:dyDescent="0.3">
      <c r="I7951" s="82"/>
      <c r="M7951" s="85"/>
    </row>
    <row r="7952" spans="9:13" x14ac:dyDescent="0.3">
      <c r="I7952" s="82"/>
      <c r="M7952" s="85"/>
    </row>
    <row r="7953" spans="9:13" x14ac:dyDescent="0.3">
      <c r="I7953" s="82"/>
      <c r="M7953" s="85"/>
    </row>
    <row r="7954" spans="9:13" x14ac:dyDescent="0.3">
      <c r="I7954" s="82"/>
      <c r="M7954" s="85"/>
    </row>
    <row r="7955" spans="9:13" x14ac:dyDescent="0.3">
      <c r="I7955" s="82"/>
      <c r="M7955" s="85"/>
    </row>
    <row r="7956" spans="9:13" x14ac:dyDescent="0.3">
      <c r="I7956" s="82"/>
      <c r="M7956" s="85"/>
    </row>
    <row r="7957" spans="9:13" x14ac:dyDescent="0.3">
      <c r="I7957" s="82"/>
      <c r="M7957" s="85"/>
    </row>
    <row r="7958" spans="9:13" x14ac:dyDescent="0.3">
      <c r="I7958" s="82"/>
      <c r="M7958" s="85"/>
    </row>
    <row r="7959" spans="9:13" x14ac:dyDescent="0.3">
      <c r="I7959" s="82"/>
      <c r="M7959" s="85"/>
    </row>
    <row r="7960" spans="9:13" x14ac:dyDescent="0.3">
      <c r="I7960" s="82"/>
      <c r="M7960" s="85"/>
    </row>
    <row r="7961" spans="9:13" x14ac:dyDescent="0.3">
      <c r="I7961" s="82"/>
      <c r="M7961" s="85"/>
    </row>
    <row r="7962" spans="9:13" x14ac:dyDescent="0.3">
      <c r="I7962" s="82"/>
      <c r="M7962" s="85"/>
    </row>
    <row r="7963" spans="9:13" x14ac:dyDescent="0.3">
      <c r="I7963" s="82"/>
      <c r="M7963" s="85"/>
    </row>
    <row r="7964" spans="9:13" x14ac:dyDescent="0.3">
      <c r="I7964" s="82"/>
      <c r="M7964" s="85"/>
    </row>
    <row r="7965" spans="9:13" x14ac:dyDescent="0.3">
      <c r="I7965" s="82"/>
      <c r="M7965" s="85"/>
    </row>
    <row r="7966" spans="9:13" x14ac:dyDescent="0.3">
      <c r="I7966" s="82"/>
      <c r="M7966" s="85"/>
    </row>
    <row r="7967" spans="9:13" x14ac:dyDescent="0.3">
      <c r="I7967" s="82"/>
      <c r="M7967" s="85"/>
    </row>
    <row r="7968" spans="9:13" x14ac:dyDescent="0.3">
      <c r="I7968" s="82"/>
      <c r="M7968" s="85"/>
    </row>
    <row r="7969" spans="9:13" x14ac:dyDescent="0.3">
      <c r="I7969" s="82"/>
      <c r="M7969" s="85"/>
    </row>
    <row r="7970" spans="9:13" x14ac:dyDescent="0.3">
      <c r="I7970" s="82"/>
      <c r="M7970" s="85"/>
    </row>
    <row r="7971" spans="9:13" x14ac:dyDescent="0.3">
      <c r="I7971" s="82"/>
      <c r="M7971" s="85"/>
    </row>
    <row r="7972" spans="9:13" x14ac:dyDescent="0.3">
      <c r="I7972" s="82"/>
      <c r="M7972" s="85"/>
    </row>
    <row r="7973" spans="9:13" x14ac:dyDescent="0.3">
      <c r="I7973" s="82"/>
      <c r="M7973" s="85"/>
    </row>
    <row r="7974" spans="9:13" x14ac:dyDescent="0.3">
      <c r="I7974" s="82"/>
      <c r="M7974" s="85"/>
    </row>
    <row r="7975" spans="9:13" x14ac:dyDescent="0.3">
      <c r="I7975" s="82"/>
      <c r="M7975" s="85"/>
    </row>
    <row r="7976" spans="9:13" x14ac:dyDescent="0.3">
      <c r="I7976" s="82"/>
      <c r="M7976" s="85"/>
    </row>
    <row r="7977" spans="9:13" x14ac:dyDescent="0.3">
      <c r="I7977" s="82"/>
      <c r="M7977" s="85"/>
    </row>
    <row r="7978" spans="9:13" x14ac:dyDescent="0.3">
      <c r="I7978" s="82"/>
      <c r="M7978" s="85"/>
    </row>
    <row r="7979" spans="9:13" x14ac:dyDescent="0.3">
      <c r="I7979" s="82"/>
      <c r="M7979" s="85"/>
    </row>
    <row r="7980" spans="9:13" x14ac:dyDescent="0.3">
      <c r="I7980" s="82"/>
      <c r="M7980" s="85"/>
    </row>
    <row r="7981" spans="9:13" x14ac:dyDescent="0.3">
      <c r="I7981" s="82"/>
      <c r="M7981" s="85"/>
    </row>
    <row r="7982" spans="9:13" x14ac:dyDescent="0.3">
      <c r="I7982" s="82"/>
      <c r="M7982" s="85"/>
    </row>
    <row r="7983" spans="9:13" x14ac:dyDescent="0.3">
      <c r="I7983" s="82"/>
      <c r="M7983" s="85"/>
    </row>
    <row r="7984" spans="9:13" x14ac:dyDescent="0.3">
      <c r="I7984" s="82"/>
      <c r="M7984" s="85"/>
    </row>
    <row r="7985" spans="9:13" x14ac:dyDescent="0.3">
      <c r="I7985" s="82"/>
      <c r="M7985" s="85"/>
    </row>
    <row r="7986" spans="9:13" x14ac:dyDescent="0.3">
      <c r="I7986" s="82"/>
      <c r="M7986" s="85"/>
    </row>
    <row r="7987" spans="9:13" x14ac:dyDescent="0.3">
      <c r="I7987" s="82"/>
      <c r="M7987" s="85"/>
    </row>
    <row r="7988" spans="9:13" x14ac:dyDescent="0.3">
      <c r="I7988" s="82"/>
      <c r="M7988" s="85"/>
    </row>
    <row r="7989" spans="9:13" x14ac:dyDescent="0.3">
      <c r="I7989" s="82"/>
      <c r="M7989" s="85"/>
    </row>
    <row r="7990" spans="9:13" x14ac:dyDescent="0.3">
      <c r="I7990" s="82"/>
      <c r="M7990" s="85"/>
    </row>
    <row r="7991" spans="9:13" x14ac:dyDescent="0.3">
      <c r="I7991" s="82"/>
      <c r="M7991" s="85"/>
    </row>
    <row r="7992" spans="9:13" x14ac:dyDescent="0.3">
      <c r="I7992" s="82"/>
      <c r="M7992" s="85"/>
    </row>
    <row r="7993" spans="9:13" x14ac:dyDescent="0.3">
      <c r="I7993" s="82"/>
      <c r="M7993" s="85"/>
    </row>
    <row r="7994" spans="9:13" x14ac:dyDescent="0.3">
      <c r="I7994" s="82"/>
      <c r="M7994" s="85"/>
    </row>
    <row r="7995" spans="9:13" x14ac:dyDescent="0.3">
      <c r="I7995" s="82"/>
      <c r="M7995" s="85"/>
    </row>
    <row r="7996" spans="9:13" x14ac:dyDescent="0.3">
      <c r="I7996" s="82"/>
      <c r="M7996" s="85"/>
    </row>
    <row r="7997" spans="9:13" x14ac:dyDescent="0.3">
      <c r="I7997" s="82"/>
      <c r="M7997" s="85"/>
    </row>
    <row r="7998" spans="9:13" x14ac:dyDescent="0.3">
      <c r="I7998" s="82"/>
      <c r="M7998" s="85"/>
    </row>
    <row r="7999" spans="9:13" x14ac:dyDescent="0.3">
      <c r="I7999" s="82"/>
      <c r="M7999" s="85"/>
    </row>
    <row r="8000" spans="9:13" x14ac:dyDescent="0.3">
      <c r="I8000" s="82"/>
      <c r="M8000" s="85"/>
    </row>
    <row r="8001" spans="9:13" x14ac:dyDescent="0.3">
      <c r="I8001" s="82"/>
      <c r="M8001" s="85"/>
    </row>
    <row r="8002" spans="9:13" x14ac:dyDescent="0.3">
      <c r="I8002" s="82"/>
      <c r="M8002" s="85"/>
    </row>
    <row r="8003" spans="9:13" x14ac:dyDescent="0.3">
      <c r="I8003" s="82"/>
      <c r="M8003" s="85"/>
    </row>
    <row r="8004" spans="9:13" x14ac:dyDescent="0.3">
      <c r="I8004" s="82"/>
      <c r="M8004" s="85"/>
    </row>
    <row r="8005" spans="9:13" x14ac:dyDescent="0.3">
      <c r="I8005" s="82"/>
      <c r="M8005" s="85"/>
    </row>
    <row r="8006" spans="9:13" x14ac:dyDescent="0.3">
      <c r="I8006" s="82"/>
      <c r="M8006" s="85"/>
    </row>
    <row r="8007" spans="9:13" x14ac:dyDescent="0.3">
      <c r="I8007" s="82"/>
      <c r="M8007" s="85"/>
    </row>
    <row r="8008" spans="9:13" x14ac:dyDescent="0.3">
      <c r="I8008" s="82"/>
      <c r="M8008" s="85"/>
    </row>
    <row r="8009" spans="9:13" x14ac:dyDescent="0.3">
      <c r="I8009" s="82"/>
      <c r="M8009" s="85"/>
    </row>
    <row r="8010" spans="9:13" x14ac:dyDescent="0.3">
      <c r="I8010" s="82"/>
      <c r="M8010" s="85"/>
    </row>
    <row r="8011" spans="9:13" x14ac:dyDescent="0.3">
      <c r="I8011" s="82"/>
      <c r="M8011" s="85"/>
    </row>
    <row r="8012" spans="9:13" x14ac:dyDescent="0.3">
      <c r="I8012" s="82"/>
      <c r="M8012" s="85"/>
    </row>
    <row r="8013" spans="9:13" x14ac:dyDescent="0.3">
      <c r="I8013" s="82"/>
      <c r="M8013" s="85"/>
    </row>
    <row r="8014" spans="9:13" x14ac:dyDescent="0.3">
      <c r="I8014" s="82"/>
      <c r="M8014" s="85"/>
    </row>
    <row r="8015" spans="9:13" x14ac:dyDescent="0.3">
      <c r="I8015" s="82"/>
      <c r="M8015" s="85"/>
    </row>
    <row r="8016" spans="9:13" x14ac:dyDescent="0.3">
      <c r="I8016" s="82"/>
      <c r="M8016" s="85"/>
    </row>
    <row r="8017" spans="9:13" x14ac:dyDescent="0.3">
      <c r="I8017" s="82"/>
      <c r="M8017" s="85"/>
    </row>
    <row r="8018" spans="9:13" x14ac:dyDescent="0.3">
      <c r="I8018" s="82"/>
      <c r="M8018" s="85"/>
    </row>
    <row r="8019" spans="9:13" x14ac:dyDescent="0.3">
      <c r="I8019" s="82"/>
      <c r="M8019" s="85"/>
    </row>
    <row r="8020" spans="9:13" x14ac:dyDescent="0.3">
      <c r="I8020" s="82"/>
      <c r="M8020" s="85"/>
    </row>
    <row r="8021" spans="9:13" x14ac:dyDescent="0.3">
      <c r="I8021" s="82"/>
      <c r="M8021" s="85"/>
    </row>
    <row r="8022" spans="9:13" x14ac:dyDescent="0.3">
      <c r="I8022" s="82"/>
      <c r="M8022" s="85"/>
    </row>
    <row r="8023" spans="9:13" x14ac:dyDescent="0.3">
      <c r="I8023" s="82"/>
      <c r="M8023" s="85"/>
    </row>
    <row r="8024" spans="9:13" x14ac:dyDescent="0.3">
      <c r="I8024" s="82"/>
      <c r="M8024" s="85"/>
    </row>
    <row r="8025" spans="9:13" x14ac:dyDescent="0.3">
      <c r="I8025" s="82"/>
      <c r="M8025" s="85"/>
    </row>
    <row r="8026" spans="9:13" x14ac:dyDescent="0.3">
      <c r="I8026" s="82"/>
      <c r="M8026" s="85"/>
    </row>
    <row r="8027" spans="9:13" x14ac:dyDescent="0.3">
      <c r="I8027" s="82"/>
      <c r="M8027" s="85"/>
    </row>
    <row r="8028" spans="9:13" x14ac:dyDescent="0.3">
      <c r="I8028" s="82"/>
      <c r="M8028" s="85"/>
    </row>
    <row r="8029" spans="9:13" x14ac:dyDescent="0.3">
      <c r="I8029" s="82"/>
      <c r="M8029" s="85"/>
    </row>
    <row r="8030" spans="9:13" x14ac:dyDescent="0.3">
      <c r="I8030" s="82"/>
      <c r="M8030" s="85"/>
    </row>
    <row r="8031" spans="9:13" x14ac:dyDescent="0.3">
      <c r="I8031" s="82"/>
      <c r="M8031" s="85"/>
    </row>
    <row r="8032" spans="9:13" x14ac:dyDescent="0.3">
      <c r="I8032" s="82"/>
      <c r="M8032" s="85"/>
    </row>
    <row r="8033" spans="9:13" x14ac:dyDescent="0.3">
      <c r="I8033" s="82"/>
      <c r="M8033" s="85"/>
    </row>
    <row r="8034" spans="9:13" x14ac:dyDescent="0.3">
      <c r="I8034" s="82"/>
      <c r="M8034" s="85"/>
    </row>
    <row r="8035" spans="9:13" x14ac:dyDescent="0.3">
      <c r="I8035" s="82"/>
      <c r="M8035" s="85"/>
    </row>
    <row r="8036" spans="9:13" x14ac:dyDescent="0.3">
      <c r="I8036" s="82"/>
      <c r="M8036" s="85"/>
    </row>
    <row r="8037" spans="9:13" x14ac:dyDescent="0.3">
      <c r="I8037" s="82"/>
      <c r="M8037" s="85"/>
    </row>
    <row r="8038" spans="9:13" x14ac:dyDescent="0.3">
      <c r="I8038" s="82"/>
      <c r="M8038" s="85"/>
    </row>
    <row r="8039" spans="9:13" x14ac:dyDescent="0.3">
      <c r="I8039" s="82"/>
      <c r="M8039" s="85"/>
    </row>
    <row r="8040" spans="9:13" x14ac:dyDescent="0.3">
      <c r="I8040" s="82"/>
      <c r="M8040" s="85"/>
    </row>
    <row r="8041" spans="9:13" x14ac:dyDescent="0.3">
      <c r="I8041" s="82"/>
      <c r="M8041" s="85"/>
    </row>
    <row r="8042" spans="9:13" x14ac:dyDescent="0.3">
      <c r="I8042" s="82"/>
      <c r="M8042" s="85"/>
    </row>
    <row r="8043" spans="9:13" x14ac:dyDescent="0.3">
      <c r="I8043" s="82"/>
      <c r="M8043" s="85"/>
    </row>
    <row r="8044" spans="9:13" x14ac:dyDescent="0.3">
      <c r="I8044" s="82"/>
      <c r="M8044" s="85"/>
    </row>
    <row r="8045" spans="9:13" x14ac:dyDescent="0.3">
      <c r="I8045" s="82"/>
      <c r="M8045" s="85"/>
    </row>
    <row r="8046" spans="9:13" x14ac:dyDescent="0.3">
      <c r="I8046" s="82"/>
      <c r="M8046" s="85"/>
    </row>
    <row r="8047" spans="9:13" x14ac:dyDescent="0.3">
      <c r="I8047" s="82"/>
      <c r="M8047" s="85"/>
    </row>
    <row r="8048" spans="9:13" x14ac:dyDescent="0.3">
      <c r="I8048" s="82"/>
      <c r="M8048" s="85"/>
    </row>
    <row r="8049" spans="9:13" x14ac:dyDescent="0.3">
      <c r="I8049" s="82"/>
      <c r="M8049" s="85"/>
    </row>
    <row r="8050" spans="9:13" x14ac:dyDescent="0.3">
      <c r="I8050" s="82"/>
      <c r="M8050" s="85"/>
    </row>
    <row r="8051" spans="9:13" x14ac:dyDescent="0.3">
      <c r="I8051" s="82"/>
      <c r="M8051" s="85"/>
    </row>
    <row r="8052" spans="9:13" x14ac:dyDescent="0.3">
      <c r="I8052" s="82"/>
      <c r="M8052" s="85"/>
    </row>
    <row r="8053" spans="9:13" x14ac:dyDescent="0.3">
      <c r="I8053" s="82"/>
      <c r="M8053" s="85"/>
    </row>
    <row r="8054" spans="9:13" x14ac:dyDescent="0.3">
      <c r="I8054" s="82"/>
      <c r="M8054" s="85"/>
    </row>
    <row r="8055" spans="9:13" x14ac:dyDescent="0.3">
      <c r="I8055" s="82"/>
      <c r="M8055" s="85"/>
    </row>
    <row r="8056" spans="9:13" x14ac:dyDescent="0.3">
      <c r="I8056" s="82"/>
      <c r="M8056" s="85"/>
    </row>
    <row r="8057" spans="9:13" x14ac:dyDescent="0.3">
      <c r="I8057" s="82"/>
      <c r="M8057" s="85"/>
    </row>
    <row r="8058" spans="9:13" x14ac:dyDescent="0.3">
      <c r="I8058" s="82"/>
      <c r="M8058" s="85"/>
    </row>
    <row r="8059" spans="9:13" x14ac:dyDescent="0.3">
      <c r="I8059" s="82"/>
      <c r="M8059" s="85"/>
    </row>
    <row r="8060" spans="9:13" x14ac:dyDescent="0.3">
      <c r="I8060" s="82"/>
      <c r="M8060" s="85"/>
    </row>
    <row r="8061" spans="9:13" x14ac:dyDescent="0.3">
      <c r="I8061" s="82"/>
      <c r="M8061" s="85"/>
    </row>
    <row r="8062" spans="9:13" x14ac:dyDescent="0.3">
      <c r="I8062" s="82"/>
      <c r="M8062" s="85"/>
    </row>
    <row r="8063" spans="9:13" x14ac:dyDescent="0.3">
      <c r="I8063" s="82"/>
      <c r="M8063" s="85"/>
    </row>
    <row r="8064" spans="9:13" x14ac:dyDescent="0.3">
      <c r="I8064" s="82"/>
      <c r="M8064" s="85"/>
    </row>
    <row r="8065" spans="9:13" x14ac:dyDescent="0.3">
      <c r="I8065" s="82"/>
      <c r="M8065" s="85"/>
    </row>
    <row r="8066" spans="9:13" x14ac:dyDescent="0.3">
      <c r="I8066" s="82"/>
      <c r="M8066" s="85"/>
    </row>
    <row r="8067" spans="9:13" x14ac:dyDescent="0.3">
      <c r="I8067" s="82"/>
      <c r="M8067" s="85"/>
    </row>
    <row r="8068" spans="9:13" x14ac:dyDescent="0.3">
      <c r="I8068" s="82"/>
      <c r="M8068" s="85"/>
    </row>
    <row r="8069" spans="9:13" x14ac:dyDescent="0.3">
      <c r="I8069" s="82"/>
      <c r="M8069" s="85"/>
    </row>
    <row r="8070" spans="9:13" x14ac:dyDescent="0.3">
      <c r="I8070" s="82"/>
      <c r="M8070" s="85"/>
    </row>
    <row r="8071" spans="9:13" x14ac:dyDescent="0.3">
      <c r="I8071" s="82"/>
      <c r="M8071" s="85"/>
    </row>
    <row r="8072" spans="9:13" x14ac:dyDescent="0.3">
      <c r="I8072" s="82"/>
      <c r="M8072" s="85"/>
    </row>
    <row r="8073" spans="9:13" x14ac:dyDescent="0.3">
      <c r="I8073" s="82"/>
      <c r="M8073" s="85"/>
    </row>
    <row r="8074" spans="9:13" x14ac:dyDescent="0.3">
      <c r="I8074" s="82"/>
      <c r="M8074" s="85"/>
    </row>
    <row r="8075" spans="9:13" x14ac:dyDescent="0.3">
      <c r="I8075" s="82"/>
      <c r="M8075" s="85"/>
    </row>
    <row r="8076" spans="9:13" x14ac:dyDescent="0.3">
      <c r="I8076" s="82"/>
      <c r="M8076" s="85"/>
    </row>
    <row r="8077" spans="9:13" x14ac:dyDescent="0.3">
      <c r="I8077" s="82"/>
      <c r="M8077" s="85"/>
    </row>
    <row r="8078" spans="9:13" x14ac:dyDescent="0.3">
      <c r="I8078" s="82"/>
      <c r="M8078" s="85"/>
    </row>
    <row r="8079" spans="9:13" x14ac:dyDescent="0.3">
      <c r="I8079" s="82"/>
      <c r="M8079" s="85"/>
    </row>
    <row r="8080" spans="9:13" x14ac:dyDescent="0.3">
      <c r="I8080" s="82"/>
      <c r="M8080" s="85"/>
    </row>
    <row r="8081" spans="9:13" x14ac:dyDescent="0.3">
      <c r="I8081" s="82"/>
      <c r="M8081" s="85"/>
    </row>
    <row r="8082" spans="9:13" x14ac:dyDescent="0.3">
      <c r="I8082" s="82"/>
      <c r="M8082" s="85"/>
    </row>
    <row r="8083" spans="9:13" x14ac:dyDescent="0.3">
      <c r="I8083" s="82"/>
      <c r="M8083" s="85"/>
    </row>
    <row r="8084" spans="9:13" x14ac:dyDescent="0.3">
      <c r="I8084" s="82"/>
      <c r="M8084" s="85"/>
    </row>
    <row r="8085" spans="9:13" x14ac:dyDescent="0.3">
      <c r="I8085" s="82"/>
      <c r="M8085" s="85"/>
    </row>
    <row r="8086" spans="9:13" x14ac:dyDescent="0.3">
      <c r="I8086" s="82"/>
      <c r="M8086" s="85"/>
    </row>
    <row r="8087" spans="9:13" x14ac:dyDescent="0.3">
      <c r="I8087" s="82"/>
      <c r="M8087" s="85"/>
    </row>
    <row r="8088" spans="9:13" x14ac:dyDescent="0.3">
      <c r="I8088" s="82"/>
      <c r="M8088" s="85"/>
    </row>
    <row r="8089" spans="9:13" x14ac:dyDescent="0.3">
      <c r="I8089" s="82"/>
      <c r="M8089" s="85"/>
    </row>
    <row r="8090" spans="9:13" x14ac:dyDescent="0.3">
      <c r="I8090" s="82"/>
      <c r="M8090" s="85"/>
    </row>
    <row r="8091" spans="9:13" x14ac:dyDescent="0.3">
      <c r="I8091" s="82"/>
      <c r="M8091" s="85"/>
    </row>
    <row r="8092" spans="9:13" x14ac:dyDescent="0.3">
      <c r="I8092" s="82"/>
      <c r="M8092" s="85"/>
    </row>
    <row r="8093" spans="9:13" x14ac:dyDescent="0.3">
      <c r="I8093" s="82"/>
      <c r="M8093" s="85"/>
    </row>
    <row r="8094" spans="9:13" x14ac:dyDescent="0.3">
      <c r="I8094" s="82"/>
      <c r="M8094" s="85"/>
    </row>
    <row r="8095" spans="9:13" x14ac:dyDescent="0.3">
      <c r="I8095" s="82"/>
      <c r="M8095" s="85"/>
    </row>
    <row r="8096" spans="9:13" x14ac:dyDescent="0.3">
      <c r="I8096" s="82"/>
      <c r="M8096" s="85"/>
    </row>
    <row r="8097" spans="9:13" x14ac:dyDescent="0.3">
      <c r="I8097" s="82"/>
      <c r="M8097" s="85"/>
    </row>
    <row r="8098" spans="9:13" x14ac:dyDescent="0.3">
      <c r="I8098" s="82"/>
      <c r="M8098" s="85"/>
    </row>
    <row r="8099" spans="9:13" x14ac:dyDescent="0.3">
      <c r="I8099" s="82"/>
      <c r="M8099" s="85"/>
    </row>
    <row r="8100" spans="9:13" x14ac:dyDescent="0.3">
      <c r="I8100" s="82"/>
      <c r="M8100" s="85"/>
    </row>
    <row r="8101" spans="9:13" x14ac:dyDescent="0.3">
      <c r="I8101" s="82"/>
      <c r="M8101" s="85"/>
    </row>
    <row r="8102" spans="9:13" x14ac:dyDescent="0.3">
      <c r="I8102" s="82"/>
      <c r="M8102" s="85"/>
    </row>
    <row r="8103" spans="9:13" x14ac:dyDescent="0.3">
      <c r="I8103" s="82"/>
      <c r="M8103" s="85"/>
    </row>
    <row r="8104" spans="9:13" x14ac:dyDescent="0.3">
      <c r="I8104" s="82"/>
      <c r="M8104" s="85"/>
    </row>
    <row r="8105" spans="9:13" x14ac:dyDescent="0.3">
      <c r="I8105" s="82"/>
      <c r="M8105" s="85"/>
    </row>
    <row r="8106" spans="9:13" x14ac:dyDescent="0.3">
      <c r="I8106" s="82"/>
      <c r="M8106" s="85"/>
    </row>
    <row r="8107" spans="9:13" x14ac:dyDescent="0.3">
      <c r="I8107" s="82"/>
      <c r="M8107" s="85"/>
    </row>
    <row r="8108" spans="9:13" x14ac:dyDescent="0.3">
      <c r="I8108" s="82"/>
      <c r="M8108" s="85"/>
    </row>
    <row r="8109" spans="9:13" x14ac:dyDescent="0.3">
      <c r="I8109" s="82"/>
      <c r="M8109" s="85"/>
    </row>
    <row r="8110" spans="9:13" x14ac:dyDescent="0.3">
      <c r="I8110" s="82"/>
      <c r="M8110" s="85"/>
    </row>
    <row r="8111" spans="9:13" x14ac:dyDescent="0.3">
      <c r="I8111" s="82"/>
      <c r="M8111" s="85"/>
    </row>
    <row r="8112" spans="9:13" x14ac:dyDescent="0.3">
      <c r="I8112" s="82"/>
      <c r="M8112" s="85"/>
    </row>
    <row r="8113" spans="9:13" x14ac:dyDescent="0.3">
      <c r="I8113" s="82"/>
      <c r="M8113" s="85"/>
    </row>
    <row r="8114" spans="9:13" x14ac:dyDescent="0.3">
      <c r="I8114" s="82"/>
      <c r="M8114" s="85"/>
    </row>
    <row r="8115" spans="9:13" x14ac:dyDescent="0.3">
      <c r="I8115" s="82"/>
      <c r="M8115" s="85"/>
    </row>
    <row r="8116" spans="9:13" x14ac:dyDescent="0.3">
      <c r="I8116" s="82"/>
      <c r="M8116" s="85"/>
    </row>
    <row r="8117" spans="9:13" x14ac:dyDescent="0.3">
      <c r="I8117" s="82"/>
      <c r="M8117" s="85"/>
    </row>
    <row r="8118" spans="9:13" x14ac:dyDescent="0.3">
      <c r="I8118" s="82"/>
      <c r="M8118" s="85"/>
    </row>
    <row r="8119" spans="9:13" x14ac:dyDescent="0.3">
      <c r="I8119" s="82"/>
      <c r="M8119" s="85"/>
    </row>
    <row r="8120" spans="9:13" x14ac:dyDescent="0.3">
      <c r="I8120" s="82"/>
      <c r="M8120" s="85"/>
    </row>
    <row r="8121" spans="9:13" x14ac:dyDescent="0.3">
      <c r="I8121" s="82"/>
      <c r="M8121" s="85"/>
    </row>
    <row r="8122" spans="9:13" x14ac:dyDescent="0.3">
      <c r="I8122" s="82"/>
      <c r="M8122" s="85"/>
    </row>
    <row r="8123" spans="9:13" x14ac:dyDescent="0.3">
      <c r="I8123" s="82"/>
      <c r="M8123" s="85"/>
    </row>
    <row r="8124" spans="9:13" x14ac:dyDescent="0.3">
      <c r="I8124" s="82"/>
      <c r="M8124" s="85"/>
    </row>
    <row r="8125" spans="9:13" x14ac:dyDescent="0.3">
      <c r="I8125" s="82"/>
      <c r="M8125" s="85"/>
    </row>
    <row r="8126" spans="9:13" x14ac:dyDescent="0.3">
      <c r="I8126" s="82"/>
      <c r="M8126" s="85"/>
    </row>
    <row r="8127" spans="9:13" x14ac:dyDescent="0.3">
      <c r="I8127" s="82"/>
      <c r="M8127" s="85"/>
    </row>
    <row r="8128" spans="9:13" x14ac:dyDescent="0.3">
      <c r="I8128" s="82"/>
      <c r="M8128" s="85"/>
    </row>
    <row r="8129" spans="9:13" x14ac:dyDescent="0.3">
      <c r="I8129" s="82"/>
      <c r="M8129" s="85"/>
    </row>
    <row r="8130" spans="9:13" x14ac:dyDescent="0.3">
      <c r="I8130" s="82"/>
      <c r="M8130" s="85"/>
    </row>
    <row r="8131" spans="9:13" x14ac:dyDescent="0.3">
      <c r="I8131" s="82"/>
      <c r="M8131" s="85"/>
    </row>
    <row r="8132" spans="9:13" x14ac:dyDescent="0.3">
      <c r="I8132" s="82"/>
      <c r="M8132" s="85"/>
    </row>
    <row r="8133" spans="9:13" x14ac:dyDescent="0.3">
      <c r="I8133" s="82"/>
      <c r="M8133" s="85"/>
    </row>
    <row r="8134" spans="9:13" x14ac:dyDescent="0.3">
      <c r="I8134" s="82"/>
      <c r="M8134" s="85"/>
    </row>
    <row r="8135" spans="9:13" x14ac:dyDescent="0.3">
      <c r="I8135" s="82"/>
      <c r="M8135" s="85"/>
    </row>
    <row r="8136" spans="9:13" x14ac:dyDescent="0.3">
      <c r="I8136" s="82"/>
      <c r="M8136" s="85"/>
    </row>
    <row r="8137" spans="9:13" x14ac:dyDescent="0.3">
      <c r="I8137" s="82"/>
      <c r="M8137" s="85"/>
    </row>
    <row r="8138" spans="9:13" x14ac:dyDescent="0.3">
      <c r="I8138" s="82"/>
      <c r="M8138" s="85"/>
    </row>
    <row r="8139" spans="9:13" x14ac:dyDescent="0.3">
      <c r="I8139" s="82"/>
      <c r="M8139" s="85"/>
    </row>
    <row r="8140" spans="9:13" x14ac:dyDescent="0.3">
      <c r="I8140" s="82"/>
      <c r="M8140" s="85"/>
    </row>
    <row r="8141" spans="9:13" x14ac:dyDescent="0.3">
      <c r="I8141" s="82"/>
      <c r="M8141" s="85"/>
    </row>
    <row r="8142" spans="9:13" x14ac:dyDescent="0.3">
      <c r="I8142" s="82"/>
      <c r="M8142" s="85"/>
    </row>
    <row r="8143" spans="9:13" x14ac:dyDescent="0.3">
      <c r="I8143" s="82"/>
      <c r="M8143" s="85"/>
    </row>
    <row r="8144" spans="9:13" x14ac:dyDescent="0.3">
      <c r="I8144" s="82"/>
      <c r="M8144" s="85"/>
    </row>
    <row r="8145" spans="9:13" x14ac:dyDescent="0.3">
      <c r="I8145" s="82"/>
      <c r="M8145" s="85"/>
    </row>
    <row r="8146" spans="9:13" x14ac:dyDescent="0.3">
      <c r="I8146" s="82"/>
      <c r="M8146" s="85"/>
    </row>
    <row r="8147" spans="9:13" x14ac:dyDescent="0.3">
      <c r="I8147" s="82"/>
      <c r="M8147" s="85"/>
    </row>
    <row r="8148" spans="9:13" x14ac:dyDescent="0.3">
      <c r="I8148" s="82"/>
      <c r="M8148" s="85"/>
    </row>
    <row r="8149" spans="9:13" x14ac:dyDescent="0.3">
      <c r="I8149" s="82"/>
      <c r="M8149" s="85"/>
    </row>
    <row r="8150" spans="9:13" x14ac:dyDescent="0.3">
      <c r="I8150" s="82"/>
      <c r="M8150" s="85"/>
    </row>
    <row r="8151" spans="9:13" x14ac:dyDescent="0.3">
      <c r="I8151" s="82"/>
      <c r="M8151" s="85"/>
    </row>
    <row r="8152" spans="9:13" x14ac:dyDescent="0.3">
      <c r="I8152" s="82"/>
      <c r="M8152" s="85"/>
    </row>
    <row r="8153" spans="9:13" x14ac:dyDescent="0.3">
      <c r="I8153" s="82"/>
      <c r="M8153" s="85"/>
    </row>
    <row r="8154" spans="9:13" x14ac:dyDescent="0.3">
      <c r="I8154" s="82"/>
      <c r="M8154" s="85"/>
    </row>
    <row r="8155" spans="9:13" x14ac:dyDescent="0.3">
      <c r="I8155" s="82"/>
      <c r="M8155" s="85"/>
    </row>
    <row r="8156" spans="9:13" x14ac:dyDescent="0.3">
      <c r="I8156" s="82"/>
      <c r="M8156" s="85"/>
    </row>
    <row r="8157" spans="9:13" x14ac:dyDescent="0.3">
      <c r="I8157" s="82"/>
      <c r="M8157" s="85"/>
    </row>
    <row r="8158" spans="9:13" x14ac:dyDescent="0.3">
      <c r="I8158" s="82"/>
      <c r="M8158" s="85"/>
    </row>
    <row r="8159" spans="9:13" x14ac:dyDescent="0.3">
      <c r="I8159" s="82"/>
      <c r="M8159" s="85"/>
    </row>
    <row r="8160" spans="9:13" x14ac:dyDescent="0.3">
      <c r="I8160" s="82"/>
      <c r="M8160" s="85"/>
    </row>
    <row r="8161" spans="9:13" x14ac:dyDescent="0.3">
      <c r="I8161" s="82"/>
      <c r="M8161" s="85"/>
    </row>
    <row r="8162" spans="9:13" x14ac:dyDescent="0.3">
      <c r="I8162" s="82"/>
      <c r="M8162" s="85"/>
    </row>
    <row r="8163" spans="9:13" x14ac:dyDescent="0.3">
      <c r="I8163" s="82"/>
      <c r="M8163" s="85"/>
    </row>
    <row r="8164" spans="9:13" x14ac:dyDescent="0.3">
      <c r="I8164" s="82"/>
      <c r="M8164" s="85"/>
    </row>
    <row r="8165" spans="9:13" x14ac:dyDescent="0.3">
      <c r="I8165" s="82"/>
      <c r="M8165" s="85"/>
    </row>
    <row r="8166" spans="9:13" x14ac:dyDescent="0.3">
      <c r="I8166" s="82"/>
      <c r="M8166" s="85"/>
    </row>
    <row r="8167" spans="9:13" x14ac:dyDescent="0.3">
      <c r="I8167" s="82"/>
      <c r="M8167" s="85"/>
    </row>
    <row r="8168" spans="9:13" x14ac:dyDescent="0.3">
      <c r="I8168" s="82"/>
      <c r="M8168" s="85"/>
    </row>
    <row r="8169" spans="9:13" x14ac:dyDescent="0.3">
      <c r="I8169" s="82"/>
      <c r="M8169" s="85"/>
    </row>
    <row r="8170" spans="9:13" x14ac:dyDescent="0.3">
      <c r="I8170" s="82"/>
      <c r="M8170" s="85"/>
    </row>
    <row r="8171" spans="9:13" x14ac:dyDescent="0.3">
      <c r="I8171" s="82"/>
      <c r="M8171" s="85"/>
    </row>
    <row r="8172" spans="9:13" x14ac:dyDescent="0.3">
      <c r="I8172" s="82"/>
      <c r="M8172" s="85"/>
    </row>
    <row r="8173" spans="9:13" x14ac:dyDescent="0.3">
      <c r="I8173" s="82"/>
      <c r="M8173" s="85"/>
    </row>
    <row r="8174" spans="9:13" x14ac:dyDescent="0.3">
      <c r="I8174" s="82"/>
      <c r="M8174" s="85"/>
    </row>
    <row r="8175" spans="9:13" x14ac:dyDescent="0.3">
      <c r="I8175" s="82"/>
      <c r="M8175" s="85"/>
    </row>
    <row r="8176" spans="9:13" x14ac:dyDescent="0.3">
      <c r="I8176" s="82"/>
      <c r="M8176" s="85"/>
    </row>
    <row r="8177" spans="9:13" x14ac:dyDescent="0.3">
      <c r="I8177" s="82"/>
      <c r="M8177" s="85"/>
    </row>
    <row r="8178" spans="9:13" x14ac:dyDescent="0.3">
      <c r="I8178" s="82"/>
      <c r="M8178" s="85"/>
    </row>
    <row r="8179" spans="9:13" x14ac:dyDescent="0.3">
      <c r="I8179" s="82"/>
      <c r="M8179" s="85"/>
    </row>
    <row r="8180" spans="9:13" x14ac:dyDescent="0.3">
      <c r="I8180" s="82"/>
      <c r="M8180" s="85"/>
    </row>
    <row r="8181" spans="9:13" x14ac:dyDescent="0.3">
      <c r="I8181" s="82"/>
      <c r="M8181" s="85"/>
    </row>
    <row r="8182" spans="9:13" x14ac:dyDescent="0.3">
      <c r="I8182" s="82"/>
      <c r="M8182" s="85"/>
    </row>
    <row r="8183" spans="9:13" x14ac:dyDescent="0.3">
      <c r="I8183" s="82"/>
      <c r="M8183" s="85"/>
    </row>
    <row r="8184" spans="9:13" x14ac:dyDescent="0.3">
      <c r="I8184" s="82"/>
      <c r="M8184" s="85"/>
    </row>
    <row r="8185" spans="9:13" x14ac:dyDescent="0.3">
      <c r="I8185" s="82"/>
      <c r="M8185" s="85"/>
    </row>
    <row r="8186" spans="9:13" x14ac:dyDescent="0.3">
      <c r="I8186" s="82"/>
      <c r="M8186" s="85"/>
    </row>
    <row r="8187" spans="9:13" x14ac:dyDescent="0.3">
      <c r="I8187" s="82"/>
      <c r="M8187" s="85"/>
    </row>
    <row r="8188" spans="9:13" x14ac:dyDescent="0.3">
      <c r="I8188" s="82"/>
      <c r="M8188" s="85"/>
    </row>
    <row r="8189" spans="9:13" x14ac:dyDescent="0.3">
      <c r="I8189" s="82"/>
      <c r="M8189" s="85"/>
    </row>
    <row r="8190" spans="9:13" x14ac:dyDescent="0.3">
      <c r="I8190" s="82"/>
      <c r="M8190" s="85"/>
    </row>
    <row r="8191" spans="9:13" x14ac:dyDescent="0.3">
      <c r="I8191" s="82"/>
      <c r="M8191" s="85"/>
    </row>
    <row r="8192" spans="9:13" x14ac:dyDescent="0.3">
      <c r="I8192" s="82"/>
      <c r="M8192" s="85"/>
    </row>
    <row r="8193" spans="9:13" x14ac:dyDescent="0.3">
      <c r="I8193" s="82"/>
      <c r="M8193" s="85"/>
    </row>
    <row r="8194" spans="9:13" x14ac:dyDescent="0.3">
      <c r="I8194" s="82"/>
      <c r="M8194" s="85"/>
    </row>
    <row r="8195" spans="9:13" x14ac:dyDescent="0.3">
      <c r="I8195" s="82"/>
      <c r="M8195" s="85"/>
    </row>
    <row r="8196" spans="9:13" x14ac:dyDescent="0.3">
      <c r="I8196" s="82"/>
      <c r="M8196" s="85"/>
    </row>
    <row r="8197" spans="9:13" x14ac:dyDescent="0.3">
      <c r="I8197" s="82"/>
      <c r="M8197" s="85"/>
    </row>
    <row r="8198" spans="9:13" x14ac:dyDescent="0.3">
      <c r="I8198" s="82"/>
      <c r="M8198" s="85"/>
    </row>
    <row r="8199" spans="9:13" x14ac:dyDescent="0.3">
      <c r="I8199" s="82"/>
      <c r="M8199" s="85"/>
    </row>
    <row r="8200" spans="9:13" x14ac:dyDescent="0.3">
      <c r="I8200" s="82"/>
      <c r="M8200" s="85"/>
    </row>
    <row r="8201" spans="9:13" x14ac:dyDescent="0.3">
      <c r="I8201" s="82"/>
      <c r="M8201" s="85"/>
    </row>
    <row r="8202" spans="9:13" x14ac:dyDescent="0.3">
      <c r="I8202" s="82"/>
      <c r="M8202" s="85"/>
    </row>
    <row r="8203" spans="9:13" x14ac:dyDescent="0.3">
      <c r="I8203" s="82"/>
      <c r="M8203" s="85"/>
    </row>
    <row r="8204" spans="9:13" x14ac:dyDescent="0.3">
      <c r="I8204" s="82"/>
      <c r="M8204" s="85"/>
    </row>
    <row r="8205" spans="9:13" x14ac:dyDescent="0.3">
      <c r="I8205" s="82"/>
      <c r="M8205" s="85"/>
    </row>
    <row r="8206" spans="9:13" x14ac:dyDescent="0.3">
      <c r="I8206" s="82"/>
      <c r="M8206" s="85"/>
    </row>
    <row r="8207" spans="9:13" x14ac:dyDescent="0.3">
      <c r="I8207" s="82"/>
      <c r="M8207" s="85"/>
    </row>
    <row r="8208" spans="9:13" x14ac:dyDescent="0.3">
      <c r="I8208" s="82"/>
      <c r="M8208" s="85"/>
    </row>
    <row r="8209" spans="9:13" x14ac:dyDescent="0.3">
      <c r="I8209" s="82"/>
      <c r="M8209" s="85"/>
    </row>
    <row r="8210" spans="9:13" x14ac:dyDescent="0.3">
      <c r="I8210" s="82"/>
      <c r="M8210" s="85"/>
    </row>
    <row r="8211" spans="9:13" x14ac:dyDescent="0.3">
      <c r="I8211" s="82"/>
      <c r="M8211" s="85"/>
    </row>
    <row r="8212" spans="9:13" x14ac:dyDescent="0.3">
      <c r="I8212" s="82"/>
      <c r="M8212" s="85"/>
    </row>
    <row r="8213" spans="9:13" x14ac:dyDescent="0.3">
      <c r="I8213" s="82"/>
      <c r="M8213" s="85"/>
    </row>
    <row r="8214" spans="9:13" x14ac:dyDescent="0.3">
      <c r="I8214" s="82"/>
      <c r="M8214" s="85"/>
    </row>
    <row r="8215" spans="9:13" x14ac:dyDescent="0.3">
      <c r="I8215" s="82"/>
      <c r="M8215" s="85"/>
    </row>
    <row r="8216" spans="9:13" x14ac:dyDescent="0.3">
      <c r="I8216" s="82"/>
      <c r="M8216" s="85"/>
    </row>
    <row r="8217" spans="9:13" x14ac:dyDescent="0.3">
      <c r="I8217" s="82"/>
      <c r="M8217" s="85"/>
    </row>
    <row r="8218" spans="9:13" x14ac:dyDescent="0.3">
      <c r="I8218" s="82"/>
      <c r="M8218" s="85"/>
    </row>
    <row r="8219" spans="9:13" x14ac:dyDescent="0.3">
      <c r="I8219" s="82"/>
      <c r="M8219" s="85"/>
    </row>
    <row r="8220" spans="9:13" x14ac:dyDescent="0.3">
      <c r="I8220" s="82"/>
      <c r="M8220" s="85"/>
    </row>
    <row r="8221" spans="9:13" x14ac:dyDescent="0.3">
      <c r="I8221" s="82"/>
      <c r="M8221" s="85"/>
    </row>
    <row r="8222" spans="9:13" x14ac:dyDescent="0.3">
      <c r="I8222" s="82"/>
      <c r="M8222" s="85"/>
    </row>
    <row r="8223" spans="9:13" x14ac:dyDescent="0.3">
      <c r="I8223" s="82"/>
      <c r="M8223" s="85"/>
    </row>
    <row r="8224" spans="9:13" x14ac:dyDescent="0.3">
      <c r="I8224" s="82"/>
      <c r="M8224" s="85"/>
    </row>
    <row r="8225" spans="9:13" x14ac:dyDescent="0.3">
      <c r="I8225" s="82"/>
      <c r="M8225" s="85"/>
    </row>
    <row r="8226" spans="9:13" x14ac:dyDescent="0.3">
      <c r="I8226" s="82"/>
      <c r="M8226" s="85"/>
    </row>
    <row r="8227" spans="9:13" x14ac:dyDescent="0.3">
      <c r="I8227" s="82"/>
      <c r="M8227" s="85"/>
    </row>
    <row r="8228" spans="9:13" x14ac:dyDescent="0.3">
      <c r="I8228" s="82"/>
      <c r="M8228" s="85"/>
    </row>
    <row r="8229" spans="9:13" x14ac:dyDescent="0.3">
      <c r="I8229" s="82"/>
      <c r="M8229" s="85"/>
    </row>
    <row r="8230" spans="9:13" x14ac:dyDescent="0.3">
      <c r="I8230" s="82"/>
      <c r="M8230" s="85"/>
    </row>
    <row r="8231" spans="9:13" x14ac:dyDescent="0.3">
      <c r="I8231" s="82"/>
      <c r="M8231" s="85"/>
    </row>
    <row r="8232" spans="9:13" x14ac:dyDescent="0.3">
      <c r="I8232" s="82"/>
      <c r="M8232" s="85"/>
    </row>
    <row r="8233" spans="9:13" x14ac:dyDescent="0.3">
      <c r="I8233" s="82"/>
      <c r="M8233" s="85"/>
    </row>
    <row r="8234" spans="9:13" x14ac:dyDescent="0.3">
      <c r="I8234" s="82"/>
      <c r="M8234" s="85"/>
    </row>
    <row r="8235" spans="9:13" x14ac:dyDescent="0.3">
      <c r="I8235" s="82"/>
      <c r="M8235" s="85"/>
    </row>
    <row r="8236" spans="9:13" x14ac:dyDescent="0.3">
      <c r="I8236" s="82"/>
      <c r="M8236" s="85"/>
    </row>
    <row r="8237" spans="9:13" x14ac:dyDescent="0.3">
      <c r="I8237" s="82"/>
      <c r="M8237" s="85"/>
    </row>
    <row r="8238" spans="9:13" x14ac:dyDescent="0.3">
      <c r="I8238" s="82"/>
      <c r="M8238" s="85"/>
    </row>
    <row r="8239" spans="9:13" x14ac:dyDescent="0.3">
      <c r="I8239" s="82"/>
      <c r="M8239" s="85"/>
    </row>
    <row r="8240" spans="9:13" x14ac:dyDescent="0.3">
      <c r="I8240" s="82"/>
      <c r="M8240" s="85"/>
    </row>
    <row r="8241" spans="9:13" x14ac:dyDescent="0.3">
      <c r="I8241" s="82"/>
      <c r="M8241" s="85"/>
    </row>
    <row r="8242" spans="9:13" x14ac:dyDescent="0.3">
      <c r="I8242" s="82"/>
      <c r="M8242" s="85"/>
    </row>
    <row r="8243" spans="9:13" x14ac:dyDescent="0.3">
      <c r="I8243" s="82"/>
      <c r="M8243" s="85"/>
    </row>
    <row r="8244" spans="9:13" x14ac:dyDescent="0.3">
      <c r="I8244" s="82"/>
      <c r="M8244" s="85"/>
    </row>
    <row r="8245" spans="9:13" x14ac:dyDescent="0.3">
      <c r="I8245" s="82"/>
      <c r="M8245" s="85"/>
    </row>
    <row r="8246" spans="9:13" x14ac:dyDescent="0.3">
      <c r="I8246" s="82"/>
      <c r="M8246" s="85"/>
    </row>
    <row r="8247" spans="9:13" x14ac:dyDescent="0.3">
      <c r="I8247" s="82"/>
      <c r="M8247" s="85"/>
    </row>
    <row r="8248" spans="9:13" x14ac:dyDescent="0.3">
      <c r="I8248" s="82"/>
      <c r="M8248" s="85"/>
    </row>
    <row r="8249" spans="9:13" x14ac:dyDescent="0.3">
      <c r="I8249" s="82"/>
      <c r="M8249" s="85"/>
    </row>
    <row r="8250" spans="9:13" x14ac:dyDescent="0.3">
      <c r="I8250" s="82"/>
      <c r="M8250" s="85"/>
    </row>
    <row r="8251" spans="9:13" x14ac:dyDescent="0.3">
      <c r="I8251" s="82"/>
      <c r="M8251" s="85"/>
    </row>
    <row r="8252" spans="9:13" x14ac:dyDescent="0.3">
      <c r="I8252" s="82"/>
      <c r="M8252" s="85"/>
    </row>
    <row r="8253" spans="9:13" x14ac:dyDescent="0.3">
      <c r="I8253" s="82"/>
      <c r="M8253" s="85"/>
    </row>
    <row r="8254" spans="9:13" x14ac:dyDescent="0.3">
      <c r="I8254" s="82"/>
      <c r="M8254" s="85"/>
    </row>
    <row r="8255" spans="9:13" x14ac:dyDescent="0.3">
      <c r="I8255" s="82"/>
      <c r="M8255" s="85"/>
    </row>
    <row r="8256" spans="9:13" x14ac:dyDescent="0.3">
      <c r="I8256" s="82"/>
      <c r="M8256" s="85"/>
    </row>
    <row r="8257" spans="9:13" x14ac:dyDescent="0.3">
      <c r="I8257" s="82"/>
      <c r="M8257" s="85"/>
    </row>
    <row r="8258" spans="9:13" x14ac:dyDescent="0.3">
      <c r="I8258" s="82"/>
      <c r="M8258" s="85"/>
    </row>
    <row r="8259" spans="9:13" x14ac:dyDescent="0.3">
      <c r="I8259" s="82"/>
      <c r="M8259" s="85"/>
    </row>
    <row r="8260" spans="9:13" x14ac:dyDescent="0.3">
      <c r="I8260" s="82"/>
      <c r="M8260" s="85"/>
    </row>
    <row r="8261" spans="9:13" x14ac:dyDescent="0.3">
      <c r="I8261" s="82"/>
      <c r="M8261" s="85"/>
    </row>
    <row r="8262" spans="9:13" x14ac:dyDescent="0.3">
      <c r="I8262" s="82"/>
      <c r="M8262" s="85"/>
    </row>
    <row r="8263" spans="9:13" x14ac:dyDescent="0.3">
      <c r="I8263" s="82"/>
      <c r="M8263" s="85"/>
    </row>
    <row r="8264" spans="9:13" x14ac:dyDescent="0.3">
      <c r="I8264" s="82"/>
      <c r="M8264" s="85"/>
    </row>
    <row r="8265" spans="9:13" x14ac:dyDescent="0.3">
      <c r="I8265" s="82"/>
      <c r="M8265" s="85"/>
    </row>
    <row r="8266" spans="9:13" x14ac:dyDescent="0.3">
      <c r="I8266" s="82"/>
      <c r="M8266" s="85"/>
    </row>
    <row r="8267" spans="9:13" x14ac:dyDescent="0.3">
      <c r="I8267" s="82"/>
      <c r="M8267" s="85"/>
    </row>
    <row r="8268" spans="9:13" x14ac:dyDescent="0.3">
      <c r="I8268" s="82"/>
      <c r="M8268" s="85"/>
    </row>
    <row r="8269" spans="9:13" x14ac:dyDescent="0.3">
      <c r="I8269" s="82"/>
      <c r="M8269" s="85"/>
    </row>
    <row r="8270" spans="9:13" x14ac:dyDescent="0.3">
      <c r="I8270" s="82"/>
      <c r="M8270" s="85"/>
    </row>
    <row r="8271" spans="9:13" x14ac:dyDescent="0.3">
      <c r="I8271" s="82"/>
      <c r="M8271" s="85"/>
    </row>
    <row r="8272" spans="9:13" x14ac:dyDescent="0.3">
      <c r="I8272" s="82"/>
      <c r="M8272" s="85"/>
    </row>
    <row r="8273" spans="9:13" x14ac:dyDescent="0.3">
      <c r="I8273" s="82"/>
      <c r="M8273" s="85"/>
    </row>
    <row r="8274" spans="9:13" x14ac:dyDescent="0.3">
      <c r="I8274" s="82"/>
      <c r="M8274" s="85"/>
    </row>
    <row r="8275" spans="9:13" x14ac:dyDescent="0.3">
      <c r="I8275" s="82"/>
      <c r="M8275" s="85"/>
    </row>
    <row r="8276" spans="9:13" x14ac:dyDescent="0.3">
      <c r="I8276" s="82"/>
      <c r="M8276" s="85"/>
    </row>
    <row r="8277" spans="9:13" x14ac:dyDescent="0.3">
      <c r="I8277" s="82"/>
      <c r="M8277" s="85"/>
    </row>
    <row r="8278" spans="9:13" x14ac:dyDescent="0.3">
      <c r="I8278" s="82"/>
      <c r="M8278" s="85"/>
    </row>
    <row r="8279" spans="9:13" x14ac:dyDescent="0.3">
      <c r="I8279" s="82"/>
      <c r="M8279" s="85"/>
    </row>
    <row r="8280" spans="9:13" x14ac:dyDescent="0.3">
      <c r="I8280" s="82"/>
      <c r="M8280" s="85"/>
    </row>
    <row r="8281" spans="9:13" x14ac:dyDescent="0.3">
      <c r="I8281" s="82"/>
      <c r="M8281" s="85"/>
    </row>
    <row r="8282" spans="9:13" x14ac:dyDescent="0.3">
      <c r="I8282" s="82"/>
      <c r="M8282" s="85"/>
    </row>
    <row r="8283" spans="9:13" x14ac:dyDescent="0.3">
      <c r="I8283" s="82"/>
      <c r="M8283" s="85"/>
    </row>
    <row r="8284" spans="9:13" x14ac:dyDescent="0.3">
      <c r="I8284" s="82"/>
      <c r="M8284" s="85"/>
    </row>
    <row r="8285" spans="9:13" x14ac:dyDescent="0.3">
      <c r="I8285" s="82"/>
      <c r="M8285" s="85"/>
    </row>
    <row r="8286" spans="9:13" x14ac:dyDescent="0.3">
      <c r="I8286" s="82"/>
      <c r="M8286" s="85"/>
    </row>
    <row r="8287" spans="9:13" x14ac:dyDescent="0.3">
      <c r="I8287" s="82"/>
      <c r="M8287" s="85"/>
    </row>
    <row r="8288" spans="9:13" x14ac:dyDescent="0.3">
      <c r="I8288" s="82"/>
      <c r="M8288" s="85"/>
    </row>
    <row r="8289" spans="9:13" x14ac:dyDescent="0.3">
      <c r="I8289" s="82"/>
      <c r="M8289" s="85"/>
    </row>
    <row r="8290" spans="9:13" x14ac:dyDescent="0.3">
      <c r="I8290" s="82"/>
      <c r="M8290" s="85"/>
    </row>
    <row r="8291" spans="9:13" x14ac:dyDescent="0.3">
      <c r="I8291" s="82"/>
      <c r="M8291" s="85"/>
    </row>
    <row r="8292" spans="9:13" x14ac:dyDescent="0.3">
      <c r="I8292" s="82"/>
      <c r="M8292" s="85"/>
    </row>
    <row r="8293" spans="9:13" x14ac:dyDescent="0.3">
      <c r="I8293" s="82"/>
      <c r="M8293" s="85"/>
    </row>
    <row r="8294" spans="9:13" x14ac:dyDescent="0.3">
      <c r="I8294" s="82"/>
      <c r="M8294" s="85"/>
    </row>
    <row r="8295" spans="9:13" x14ac:dyDescent="0.3">
      <c r="I8295" s="82"/>
      <c r="M8295" s="85"/>
    </row>
    <row r="8296" spans="9:13" x14ac:dyDescent="0.3">
      <c r="I8296" s="82"/>
      <c r="M8296" s="85"/>
    </row>
    <row r="8297" spans="9:13" x14ac:dyDescent="0.3">
      <c r="I8297" s="82"/>
      <c r="M8297" s="85"/>
    </row>
    <row r="8298" spans="9:13" x14ac:dyDescent="0.3">
      <c r="I8298" s="82"/>
      <c r="M8298" s="85"/>
    </row>
    <row r="8299" spans="9:13" x14ac:dyDescent="0.3">
      <c r="I8299" s="82"/>
      <c r="M8299" s="85"/>
    </row>
    <row r="8300" spans="9:13" x14ac:dyDescent="0.3">
      <c r="I8300" s="82"/>
      <c r="M8300" s="85"/>
    </row>
    <row r="8301" spans="9:13" x14ac:dyDescent="0.3">
      <c r="I8301" s="82"/>
      <c r="M8301" s="85"/>
    </row>
    <row r="8302" spans="9:13" x14ac:dyDescent="0.3">
      <c r="I8302" s="82"/>
      <c r="M8302" s="85"/>
    </row>
    <row r="8303" spans="9:13" x14ac:dyDescent="0.3">
      <c r="I8303" s="82"/>
      <c r="M8303" s="85"/>
    </row>
    <row r="8304" spans="9:13" x14ac:dyDescent="0.3">
      <c r="I8304" s="82"/>
      <c r="M8304" s="85"/>
    </row>
    <row r="8305" spans="9:13" x14ac:dyDescent="0.3">
      <c r="I8305" s="82"/>
      <c r="M8305" s="85"/>
    </row>
    <row r="8306" spans="9:13" x14ac:dyDescent="0.3">
      <c r="I8306" s="82"/>
      <c r="M8306" s="85"/>
    </row>
    <row r="8307" spans="9:13" x14ac:dyDescent="0.3">
      <c r="I8307" s="82"/>
      <c r="M8307" s="85"/>
    </row>
    <row r="8308" spans="9:13" x14ac:dyDescent="0.3">
      <c r="I8308" s="82"/>
      <c r="M8308" s="85"/>
    </row>
    <row r="8309" spans="9:13" x14ac:dyDescent="0.3">
      <c r="I8309" s="82"/>
      <c r="M8309" s="85"/>
    </row>
    <row r="8310" spans="9:13" x14ac:dyDescent="0.3">
      <c r="I8310" s="82"/>
      <c r="M8310" s="85"/>
    </row>
    <row r="8311" spans="9:13" x14ac:dyDescent="0.3">
      <c r="I8311" s="82"/>
      <c r="M8311" s="85"/>
    </row>
    <row r="8312" spans="9:13" x14ac:dyDescent="0.3">
      <c r="I8312" s="82"/>
      <c r="M8312" s="85"/>
    </row>
    <row r="8313" spans="9:13" x14ac:dyDescent="0.3">
      <c r="I8313" s="82"/>
      <c r="M8313" s="85"/>
    </row>
    <row r="8314" spans="9:13" x14ac:dyDescent="0.3">
      <c r="I8314" s="82"/>
      <c r="M8314" s="85"/>
    </row>
    <row r="8315" spans="9:13" x14ac:dyDescent="0.3">
      <c r="I8315" s="82"/>
      <c r="M8315" s="85"/>
    </row>
    <row r="8316" spans="9:13" x14ac:dyDescent="0.3">
      <c r="I8316" s="82"/>
      <c r="M8316" s="85"/>
    </row>
    <row r="8317" spans="9:13" x14ac:dyDescent="0.3">
      <c r="I8317" s="82"/>
      <c r="M8317" s="85"/>
    </row>
    <row r="8318" spans="9:13" x14ac:dyDescent="0.3">
      <c r="I8318" s="82"/>
      <c r="M8318" s="85"/>
    </row>
    <row r="8319" spans="9:13" x14ac:dyDescent="0.3">
      <c r="I8319" s="82"/>
      <c r="M8319" s="85"/>
    </row>
    <row r="8320" spans="9:13" x14ac:dyDescent="0.3">
      <c r="I8320" s="82"/>
      <c r="M8320" s="85"/>
    </row>
    <row r="8321" spans="9:13" x14ac:dyDescent="0.3">
      <c r="I8321" s="82"/>
      <c r="M8321" s="85"/>
    </row>
    <row r="8322" spans="9:13" x14ac:dyDescent="0.3">
      <c r="I8322" s="82"/>
      <c r="M8322" s="85"/>
    </row>
    <row r="8323" spans="9:13" x14ac:dyDescent="0.3">
      <c r="I8323" s="82"/>
      <c r="M8323" s="85"/>
    </row>
    <row r="8324" spans="9:13" x14ac:dyDescent="0.3">
      <c r="I8324" s="82"/>
      <c r="M8324" s="85"/>
    </row>
    <row r="8325" spans="9:13" x14ac:dyDescent="0.3">
      <c r="I8325" s="82"/>
      <c r="M8325" s="85"/>
    </row>
    <row r="8326" spans="9:13" x14ac:dyDescent="0.3">
      <c r="I8326" s="82"/>
      <c r="M8326" s="85"/>
    </row>
    <row r="8327" spans="9:13" x14ac:dyDescent="0.3">
      <c r="I8327" s="82"/>
      <c r="M8327" s="85"/>
    </row>
    <row r="8328" spans="9:13" x14ac:dyDescent="0.3">
      <c r="I8328" s="82"/>
      <c r="M8328" s="85"/>
    </row>
    <row r="8329" spans="9:13" x14ac:dyDescent="0.3">
      <c r="I8329" s="82"/>
      <c r="M8329" s="85"/>
    </row>
    <row r="8330" spans="9:13" x14ac:dyDescent="0.3">
      <c r="I8330" s="82"/>
      <c r="M8330" s="85"/>
    </row>
    <row r="8331" spans="9:13" x14ac:dyDescent="0.3">
      <c r="I8331" s="82"/>
      <c r="M8331" s="85"/>
    </row>
    <row r="8332" spans="9:13" x14ac:dyDescent="0.3">
      <c r="I8332" s="82"/>
      <c r="M8332" s="85"/>
    </row>
    <row r="8333" spans="9:13" x14ac:dyDescent="0.3">
      <c r="I8333" s="82"/>
      <c r="M8333" s="85"/>
    </row>
    <row r="8334" spans="9:13" x14ac:dyDescent="0.3">
      <c r="I8334" s="82"/>
      <c r="M8334" s="85"/>
    </row>
    <row r="8335" spans="9:13" x14ac:dyDescent="0.3">
      <c r="I8335" s="82"/>
      <c r="M8335" s="85"/>
    </row>
    <row r="8336" spans="9:13" x14ac:dyDescent="0.3">
      <c r="I8336" s="82"/>
      <c r="M8336" s="85"/>
    </row>
    <row r="8337" spans="9:13" x14ac:dyDescent="0.3">
      <c r="I8337" s="82"/>
      <c r="M8337" s="85"/>
    </row>
    <row r="8338" spans="9:13" x14ac:dyDescent="0.3">
      <c r="I8338" s="82"/>
      <c r="M8338" s="85"/>
    </row>
    <row r="8339" spans="9:13" x14ac:dyDescent="0.3">
      <c r="I8339" s="82"/>
      <c r="M8339" s="85"/>
    </row>
    <row r="8340" spans="9:13" x14ac:dyDescent="0.3">
      <c r="I8340" s="82"/>
      <c r="M8340" s="85"/>
    </row>
    <row r="8341" spans="9:13" x14ac:dyDescent="0.3">
      <c r="I8341" s="82"/>
      <c r="M8341" s="85"/>
    </row>
    <row r="8342" spans="9:13" x14ac:dyDescent="0.3">
      <c r="I8342" s="82"/>
      <c r="M8342" s="85"/>
    </row>
    <row r="8343" spans="9:13" x14ac:dyDescent="0.3">
      <c r="I8343" s="82"/>
      <c r="M8343" s="85"/>
    </row>
    <row r="8344" spans="9:13" x14ac:dyDescent="0.3">
      <c r="I8344" s="82"/>
      <c r="M8344" s="85"/>
    </row>
    <row r="8345" spans="9:13" x14ac:dyDescent="0.3">
      <c r="I8345" s="82"/>
      <c r="M8345" s="85"/>
    </row>
    <row r="8346" spans="9:13" x14ac:dyDescent="0.3">
      <c r="I8346" s="82"/>
      <c r="M8346" s="85"/>
    </row>
    <row r="8347" spans="9:13" x14ac:dyDescent="0.3">
      <c r="I8347" s="82"/>
      <c r="M8347" s="85"/>
    </row>
    <row r="8348" spans="9:13" x14ac:dyDescent="0.3">
      <c r="I8348" s="82"/>
      <c r="M8348" s="85"/>
    </row>
    <row r="8349" spans="9:13" x14ac:dyDescent="0.3">
      <c r="I8349" s="82"/>
      <c r="M8349" s="85"/>
    </row>
    <row r="8350" spans="9:13" x14ac:dyDescent="0.3">
      <c r="I8350" s="82"/>
      <c r="M8350" s="85"/>
    </row>
    <row r="8351" spans="9:13" x14ac:dyDescent="0.3">
      <c r="I8351" s="82"/>
      <c r="M8351" s="85"/>
    </row>
    <row r="8352" spans="9:13" x14ac:dyDescent="0.3">
      <c r="I8352" s="82"/>
      <c r="M8352" s="85"/>
    </row>
    <row r="8353" spans="9:13" x14ac:dyDescent="0.3">
      <c r="I8353" s="82"/>
      <c r="M8353" s="85"/>
    </row>
    <row r="8354" spans="9:13" x14ac:dyDescent="0.3">
      <c r="I8354" s="82"/>
      <c r="M8354" s="85"/>
    </row>
    <row r="8355" spans="9:13" x14ac:dyDescent="0.3">
      <c r="I8355" s="82"/>
      <c r="M8355" s="85"/>
    </row>
    <row r="8356" spans="9:13" x14ac:dyDescent="0.3">
      <c r="I8356" s="82"/>
      <c r="M8356" s="85"/>
    </row>
    <row r="8357" spans="9:13" x14ac:dyDescent="0.3">
      <c r="I8357" s="82"/>
      <c r="M8357" s="85"/>
    </row>
    <row r="8358" spans="9:13" x14ac:dyDescent="0.3">
      <c r="I8358" s="82"/>
      <c r="M8358" s="85"/>
    </row>
    <row r="8359" spans="9:13" x14ac:dyDescent="0.3">
      <c r="I8359" s="82"/>
      <c r="M8359" s="85"/>
    </row>
    <row r="8360" spans="9:13" x14ac:dyDescent="0.3">
      <c r="I8360" s="82"/>
      <c r="M8360" s="85"/>
    </row>
    <row r="8361" spans="9:13" x14ac:dyDescent="0.3">
      <c r="I8361" s="82"/>
      <c r="M8361" s="85"/>
    </row>
    <row r="8362" spans="9:13" x14ac:dyDescent="0.3">
      <c r="I8362" s="82"/>
      <c r="M8362" s="85"/>
    </row>
    <row r="8363" spans="9:13" x14ac:dyDescent="0.3">
      <c r="I8363" s="82"/>
      <c r="M8363" s="85"/>
    </row>
    <row r="8364" spans="9:13" x14ac:dyDescent="0.3">
      <c r="I8364" s="82"/>
      <c r="M8364" s="85"/>
    </row>
    <row r="8365" spans="9:13" x14ac:dyDescent="0.3">
      <c r="I8365" s="82"/>
      <c r="M8365" s="85"/>
    </row>
    <row r="8366" spans="9:13" x14ac:dyDescent="0.3">
      <c r="I8366" s="82"/>
      <c r="M8366" s="85"/>
    </row>
    <row r="8367" spans="9:13" x14ac:dyDescent="0.3">
      <c r="I8367" s="82"/>
      <c r="M8367" s="85"/>
    </row>
    <row r="8368" spans="9:13" x14ac:dyDescent="0.3">
      <c r="I8368" s="82"/>
      <c r="M8368" s="85"/>
    </row>
    <row r="8369" spans="9:13" x14ac:dyDescent="0.3">
      <c r="I8369" s="82"/>
      <c r="M8369" s="85"/>
    </row>
    <row r="8370" spans="9:13" x14ac:dyDescent="0.3">
      <c r="I8370" s="82"/>
      <c r="M8370" s="85"/>
    </row>
    <row r="8371" spans="9:13" x14ac:dyDescent="0.3">
      <c r="I8371" s="82"/>
      <c r="M8371" s="85"/>
    </row>
    <row r="8372" spans="9:13" x14ac:dyDescent="0.3">
      <c r="I8372" s="82"/>
      <c r="M8372" s="85"/>
    </row>
    <row r="8373" spans="9:13" x14ac:dyDescent="0.3">
      <c r="I8373" s="82"/>
      <c r="M8373" s="85"/>
    </row>
    <row r="8374" spans="9:13" x14ac:dyDescent="0.3">
      <c r="I8374" s="82"/>
      <c r="M8374" s="85"/>
    </row>
    <row r="8375" spans="9:13" x14ac:dyDescent="0.3">
      <c r="I8375" s="82"/>
      <c r="M8375" s="85"/>
    </row>
    <row r="8376" spans="9:13" x14ac:dyDescent="0.3">
      <c r="I8376" s="82"/>
      <c r="M8376" s="85"/>
    </row>
    <row r="8377" spans="9:13" x14ac:dyDescent="0.3">
      <c r="I8377" s="82"/>
      <c r="M8377" s="85"/>
    </row>
    <row r="8378" spans="9:13" x14ac:dyDescent="0.3">
      <c r="I8378" s="82"/>
      <c r="M8378" s="85"/>
    </row>
    <row r="8379" spans="9:13" x14ac:dyDescent="0.3">
      <c r="I8379" s="82"/>
      <c r="M8379" s="85"/>
    </row>
    <row r="8380" spans="9:13" x14ac:dyDescent="0.3">
      <c r="I8380" s="82"/>
      <c r="M8380" s="85"/>
    </row>
    <row r="8381" spans="9:13" x14ac:dyDescent="0.3">
      <c r="I8381" s="82"/>
      <c r="M8381" s="85"/>
    </row>
    <row r="8382" spans="9:13" x14ac:dyDescent="0.3">
      <c r="I8382" s="82"/>
      <c r="M8382" s="85"/>
    </row>
    <row r="8383" spans="9:13" x14ac:dyDescent="0.3">
      <c r="I8383" s="82"/>
      <c r="M8383" s="85"/>
    </row>
    <row r="8384" spans="9:13" x14ac:dyDescent="0.3">
      <c r="I8384" s="82"/>
      <c r="M8384" s="85"/>
    </row>
    <row r="8385" spans="9:13" x14ac:dyDescent="0.3">
      <c r="I8385" s="82"/>
      <c r="M8385" s="85"/>
    </row>
    <row r="8386" spans="9:13" x14ac:dyDescent="0.3">
      <c r="I8386" s="82"/>
      <c r="M8386" s="85"/>
    </row>
    <row r="8387" spans="9:13" x14ac:dyDescent="0.3">
      <c r="I8387" s="82"/>
      <c r="M8387" s="85"/>
    </row>
    <row r="8388" spans="9:13" x14ac:dyDescent="0.3">
      <c r="I8388" s="82"/>
      <c r="M8388" s="85"/>
    </row>
    <row r="8389" spans="9:13" x14ac:dyDescent="0.3">
      <c r="I8389" s="82"/>
      <c r="M8389" s="85"/>
    </row>
    <row r="8390" spans="9:13" x14ac:dyDescent="0.3">
      <c r="I8390" s="82"/>
      <c r="M8390" s="85"/>
    </row>
    <row r="8391" spans="9:13" x14ac:dyDescent="0.3">
      <c r="I8391" s="82"/>
      <c r="M8391" s="85"/>
    </row>
    <row r="8392" spans="9:13" x14ac:dyDescent="0.3">
      <c r="I8392" s="82"/>
      <c r="M8392" s="85"/>
    </row>
    <row r="8393" spans="9:13" x14ac:dyDescent="0.3">
      <c r="I8393" s="82"/>
      <c r="M8393" s="85"/>
    </row>
    <row r="8394" spans="9:13" x14ac:dyDescent="0.3">
      <c r="I8394" s="82"/>
      <c r="M8394" s="85"/>
    </row>
    <row r="8395" spans="9:13" x14ac:dyDescent="0.3">
      <c r="I8395" s="82"/>
      <c r="M8395" s="85"/>
    </row>
    <row r="8396" spans="9:13" x14ac:dyDescent="0.3">
      <c r="I8396" s="82"/>
      <c r="M8396" s="85"/>
    </row>
    <row r="8397" spans="9:13" x14ac:dyDescent="0.3">
      <c r="I8397" s="82"/>
      <c r="M8397" s="85"/>
    </row>
    <row r="8398" spans="9:13" x14ac:dyDescent="0.3">
      <c r="I8398" s="82"/>
      <c r="M8398" s="85"/>
    </row>
    <row r="8399" spans="9:13" x14ac:dyDescent="0.3">
      <c r="I8399" s="82"/>
      <c r="M8399" s="85"/>
    </row>
    <row r="8400" spans="9:13" x14ac:dyDescent="0.3">
      <c r="I8400" s="82"/>
      <c r="M8400" s="85"/>
    </row>
    <row r="8401" spans="9:13" x14ac:dyDescent="0.3">
      <c r="I8401" s="82"/>
      <c r="M8401" s="85"/>
    </row>
    <row r="8402" spans="9:13" x14ac:dyDescent="0.3">
      <c r="I8402" s="82"/>
      <c r="M8402" s="85"/>
    </row>
    <row r="8403" spans="9:13" x14ac:dyDescent="0.3">
      <c r="I8403" s="82"/>
      <c r="M8403" s="85"/>
    </row>
    <row r="8404" spans="9:13" x14ac:dyDescent="0.3">
      <c r="I8404" s="82"/>
      <c r="M8404" s="85"/>
    </row>
    <row r="8405" spans="9:13" x14ac:dyDescent="0.3">
      <c r="I8405" s="82"/>
      <c r="M8405" s="85"/>
    </row>
    <row r="8406" spans="9:13" x14ac:dyDescent="0.3">
      <c r="I8406" s="82"/>
      <c r="M8406" s="85"/>
    </row>
    <row r="8407" spans="9:13" x14ac:dyDescent="0.3">
      <c r="I8407" s="82"/>
      <c r="M8407" s="85"/>
    </row>
    <row r="8408" spans="9:13" x14ac:dyDescent="0.3">
      <c r="I8408" s="82"/>
      <c r="M8408" s="85"/>
    </row>
    <row r="8409" spans="9:13" x14ac:dyDescent="0.3">
      <c r="I8409" s="82"/>
      <c r="M8409" s="85"/>
    </row>
    <row r="8410" spans="9:13" x14ac:dyDescent="0.3">
      <c r="I8410" s="82"/>
      <c r="M8410" s="85"/>
    </row>
    <row r="8411" spans="9:13" x14ac:dyDescent="0.3">
      <c r="I8411" s="82"/>
      <c r="M8411" s="85"/>
    </row>
    <row r="8412" spans="9:13" x14ac:dyDescent="0.3">
      <c r="I8412" s="82"/>
      <c r="M8412" s="85"/>
    </row>
    <row r="8413" spans="9:13" x14ac:dyDescent="0.3">
      <c r="I8413" s="82"/>
      <c r="M8413" s="85"/>
    </row>
    <row r="8414" spans="9:13" x14ac:dyDescent="0.3">
      <c r="I8414" s="82"/>
      <c r="M8414" s="85"/>
    </row>
    <row r="8415" spans="9:13" x14ac:dyDescent="0.3">
      <c r="I8415" s="82"/>
      <c r="M8415" s="85"/>
    </row>
    <row r="8416" spans="9:13" x14ac:dyDescent="0.3">
      <c r="I8416" s="82"/>
      <c r="M8416" s="85"/>
    </row>
    <row r="8417" spans="9:13" x14ac:dyDescent="0.3">
      <c r="I8417" s="82"/>
      <c r="M8417" s="85"/>
    </row>
    <row r="8418" spans="9:13" x14ac:dyDescent="0.3">
      <c r="I8418" s="82"/>
      <c r="M8418" s="85"/>
    </row>
    <row r="8419" spans="9:13" x14ac:dyDescent="0.3">
      <c r="I8419" s="82"/>
      <c r="M8419" s="85"/>
    </row>
    <row r="8420" spans="9:13" x14ac:dyDescent="0.3">
      <c r="I8420" s="82"/>
      <c r="M8420" s="85"/>
    </row>
    <row r="8421" spans="9:13" x14ac:dyDescent="0.3">
      <c r="I8421" s="82"/>
      <c r="M8421" s="85"/>
    </row>
    <row r="8422" spans="9:13" x14ac:dyDescent="0.3">
      <c r="I8422" s="82"/>
      <c r="M8422" s="85"/>
    </row>
    <row r="8423" spans="9:13" x14ac:dyDescent="0.3">
      <c r="I8423" s="82"/>
      <c r="M8423" s="85"/>
    </row>
    <row r="8424" spans="9:13" x14ac:dyDescent="0.3">
      <c r="I8424" s="82"/>
      <c r="M8424" s="85"/>
    </row>
    <row r="8425" spans="9:13" x14ac:dyDescent="0.3">
      <c r="I8425" s="82"/>
      <c r="M8425" s="85"/>
    </row>
    <row r="8426" spans="9:13" x14ac:dyDescent="0.3">
      <c r="I8426" s="82"/>
      <c r="M8426" s="85"/>
    </row>
    <row r="8427" spans="9:13" x14ac:dyDescent="0.3">
      <c r="I8427" s="82"/>
      <c r="M8427" s="85"/>
    </row>
    <row r="8428" spans="9:13" x14ac:dyDescent="0.3">
      <c r="I8428" s="82"/>
      <c r="M8428" s="85"/>
    </row>
    <row r="8429" spans="9:13" x14ac:dyDescent="0.3">
      <c r="I8429" s="82"/>
      <c r="M8429" s="85"/>
    </row>
    <row r="8430" spans="9:13" x14ac:dyDescent="0.3">
      <c r="I8430" s="82"/>
      <c r="M8430" s="85"/>
    </row>
    <row r="8431" spans="9:13" x14ac:dyDescent="0.3">
      <c r="I8431" s="82"/>
      <c r="M8431" s="85"/>
    </row>
    <row r="8432" spans="9:13" x14ac:dyDescent="0.3">
      <c r="I8432" s="82"/>
      <c r="M8432" s="85"/>
    </row>
    <row r="8433" spans="9:13" x14ac:dyDescent="0.3">
      <c r="I8433" s="82"/>
      <c r="M8433" s="85"/>
    </row>
    <row r="8434" spans="9:13" x14ac:dyDescent="0.3">
      <c r="I8434" s="82"/>
      <c r="M8434" s="85"/>
    </row>
    <row r="8435" spans="9:13" x14ac:dyDescent="0.3">
      <c r="I8435" s="82"/>
      <c r="M8435" s="85"/>
    </row>
    <row r="8436" spans="9:13" x14ac:dyDescent="0.3">
      <c r="I8436" s="82"/>
      <c r="M8436" s="85"/>
    </row>
    <row r="8437" spans="9:13" x14ac:dyDescent="0.3">
      <c r="I8437" s="82"/>
      <c r="M8437" s="85"/>
    </row>
    <row r="8438" spans="9:13" x14ac:dyDescent="0.3">
      <c r="I8438" s="82"/>
      <c r="M8438" s="85"/>
    </row>
    <row r="8439" spans="9:13" x14ac:dyDescent="0.3">
      <c r="I8439" s="82"/>
      <c r="M8439" s="85"/>
    </row>
    <row r="8440" spans="9:13" x14ac:dyDescent="0.3">
      <c r="I8440" s="82"/>
      <c r="M8440" s="85"/>
    </row>
    <row r="8441" spans="9:13" x14ac:dyDescent="0.3">
      <c r="I8441" s="82"/>
      <c r="M8441" s="85"/>
    </row>
    <row r="8442" spans="9:13" x14ac:dyDescent="0.3">
      <c r="I8442" s="82"/>
      <c r="M8442" s="85"/>
    </row>
    <row r="8443" spans="9:13" x14ac:dyDescent="0.3">
      <c r="I8443" s="82"/>
      <c r="M8443" s="85"/>
    </row>
    <row r="8444" spans="9:13" x14ac:dyDescent="0.3">
      <c r="I8444" s="82"/>
      <c r="M8444" s="85"/>
    </row>
    <row r="8445" spans="9:13" x14ac:dyDescent="0.3">
      <c r="I8445" s="82"/>
      <c r="M8445" s="85"/>
    </row>
    <row r="8446" spans="9:13" x14ac:dyDescent="0.3">
      <c r="I8446" s="82"/>
      <c r="M8446" s="85"/>
    </row>
    <row r="8447" spans="9:13" x14ac:dyDescent="0.3">
      <c r="I8447" s="82"/>
      <c r="M8447" s="85"/>
    </row>
    <row r="8448" spans="9:13" x14ac:dyDescent="0.3">
      <c r="I8448" s="82"/>
      <c r="M8448" s="85"/>
    </row>
    <row r="8449" spans="9:13" x14ac:dyDescent="0.3">
      <c r="I8449" s="82"/>
      <c r="M8449" s="85"/>
    </row>
    <row r="8450" spans="9:13" x14ac:dyDescent="0.3">
      <c r="I8450" s="82"/>
      <c r="M8450" s="85"/>
    </row>
    <row r="8451" spans="9:13" x14ac:dyDescent="0.3">
      <c r="I8451" s="82"/>
      <c r="M8451" s="85"/>
    </row>
    <row r="8452" spans="9:13" x14ac:dyDescent="0.3">
      <c r="I8452" s="82"/>
      <c r="M8452" s="85"/>
    </row>
    <row r="8453" spans="9:13" x14ac:dyDescent="0.3">
      <c r="I8453" s="82"/>
      <c r="M8453" s="85"/>
    </row>
    <row r="8454" spans="9:13" x14ac:dyDescent="0.3">
      <c r="I8454" s="82"/>
      <c r="M8454" s="85"/>
    </row>
    <row r="8455" spans="9:13" x14ac:dyDescent="0.3">
      <c r="I8455" s="82"/>
      <c r="M8455" s="85"/>
    </row>
    <row r="8456" spans="9:13" x14ac:dyDescent="0.3">
      <c r="I8456" s="82"/>
      <c r="M8456" s="85"/>
    </row>
    <row r="8457" spans="9:13" x14ac:dyDescent="0.3">
      <c r="I8457" s="82"/>
      <c r="M8457" s="85"/>
    </row>
    <row r="8458" spans="9:13" x14ac:dyDescent="0.3">
      <c r="I8458" s="82"/>
      <c r="M8458" s="85"/>
    </row>
    <row r="8459" spans="9:13" x14ac:dyDescent="0.3">
      <c r="I8459" s="82"/>
      <c r="M8459" s="85"/>
    </row>
    <row r="8460" spans="9:13" x14ac:dyDescent="0.3">
      <c r="I8460" s="82"/>
      <c r="M8460" s="85"/>
    </row>
    <row r="8461" spans="9:13" x14ac:dyDescent="0.3">
      <c r="I8461" s="82"/>
      <c r="M8461" s="85"/>
    </row>
    <row r="8462" spans="9:13" x14ac:dyDescent="0.3">
      <c r="I8462" s="82"/>
      <c r="M8462" s="85"/>
    </row>
    <row r="8463" spans="9:13" x14ac:dyDescent="0.3">
      <c r="I8463" s="82"/>
      <c r="M8463" s="85"/>
    </row>
    <row r="8464" spans="9:13" x14ac:dyDescent="0.3">
      <c r="I8464" s="82"/>
      <c r="M8464" s="85"/>
    </row>
    <row r="8465" spans="9:13" x14ac:dyDescent="0.3">
      <c r="I8465" s="82"/>
      <c r="M8465" s="85"/>
    </row>
    <row r="8466" spans="9:13" x14ac:dyDescent="0.3">
      <c r="I8466" s="82"/>
      <c r="M8466" s="85"/>
    </row>
    <row r="8467" spans="9:13" x14ac:dyDescent="0.3">
      <c r="I8467" s="82"/>
      <c r="M8467" s="85"/>
    </row>
    <row r="8468" spans="9:13" x14ac:dyDescent="0.3">
      <c r="I8468" s="82"/>
      <c r="M8468" s="85"/>
    </row>
    <row r="8469" spans="9:13" x14ac:dyDescent="0.3">
      <c r="I8469" s="82"/>
      <c r="M8469" s="85"/>
    </row>
    <row r="8470" spans="9:13" x14ac:dyDescent="0.3">
      <c r="I8470" s="82"/>
      <c r="M8470" s="85"/>
    </row>
    <row r="8471" spans="9:13" x14ac:dyDescent="0.3">
      <c r="I8471" s="82"/>
      <c r="M8471" s="85"/>
    </row>
    <row r="8472" spans="9:13" x14ac:dyDescent="0.3">
      <c r="I8472" s="82"/>
      <c r="M8472" s="85"/>
    </row>
    <row r="8473" spans="9:13" x14ac:dyDescent="0.3">
      <c r="I8473" s="82"/>
      <c r="M8473" s="85"/>
    </row>
    <row r="8474" spans="9:13" x14ac:dyDescent="0.3">
      <c r="I8474" s="82"/>
      <c r="M8474" s="85"/>
    </row>
    <row r="8475" spans="9:13" x14ac:dyDescent="0.3">
      <c r="I8475" s="82"/>
      <c r="M8475" s="85"/>
    </row>
    <row r="8476" spans="9:13" x14ac:dyDescent="0.3">
      <c r="I8476" s="82"/>
      <c r="M8476" s="85"/>
    </row>
    <row r="8477" spans="9:13" x14ac:dyDescent="0.3">
      <c r="I8477" s="82"/>
      <c r="M8477" s="85"/>
    </row>
    <row r="8478" spans="9:13" x14ac:dyDescent="0.3">
      <c r="I8478" s="82"/>
      <c r="M8478" s="85"/>
    </row>
    <row r="8479" spans="9:13" x14ac:dyDescent="0.3">
      <c r="I8479" s="82"/>
      <c r="M8479" s="85"/>
    </row>
    <row r="8480" spans="9:13" x14ac:dyDescent="0.3">
      <c r="I8480" s="82"/>
      <c r="M8480" s="85"/>
    </row>
    <row r="8481" spans="9:13" x14ac:dyDescent="0.3">
      <c r="I8481" s="82"/>
      <c r="M8481" s="85"/>
    </row>
    <row r="8482" spans="9:13" x14ac:dyDescent="0.3">
      <c r="I8482" s="82"/>
      <c r="M8482" s="85"/>
    </row>
    <row r="8483" spans="9:13" x14ac:dyDescent="0.3">
      <c r="I8483" s="82"/>
      <c r="M8483" s="85"/>
    </row>
    <row r="8484" spans="9:13" x14ac:dyDescent="0.3">
      <c r="I8484" s="82"/>
      <c r="M8484" s="85"/>
    </row>
    <row r="8485" spans="9:13" x14ac:dyDescent="0.3">
      <c r="I8485" s="82"/>
      <c r="M8485" s="85"/>
    </row>
    <row r="8486" spans="9:13" x14ac:dyDescent="0.3">
      <c r="I8486" s="82"/>
      <c r="M8486" s="85"/>
    </row>
    <row r="8487" spans="9:13" x14ac:dyDescent="0.3">
      <c r="I8487" s="82"/>
      <c r="M8487" s="85"/>
    </row>
    <row r="8488" spans="9:13" x14ac:dyDescent="0.3">
      <c r="I8488" s="82"/>
      <c r="M8488" s="85"/>
    </row>
    <row r="8489" spans="9:13" x14ac:dyDescent="0.3">
      <c r="I8489" s="82"/>
      <c r="M8489" s="85"/>
    </row>
    <row r="8490" spans="9:13" x14ac:dyDescent="0.3">
      <c r="I8490" s="82"/>
      <c r="M8490" s="85"/>
    </row>
    <row r="8491" spans="9:13" x14ac:dyDescent="0.3">
      <c r="I8491" s="82"/>
      <c r="M8491" s="85"/>
    </row>
    <row r="8492" spans="9:13" x14ac:dyDescent="0.3">
      <c r="I8492" s="82"/>
      <c r="M8492" s="85"/>
    </row>
    <row r="8493" spans="9:13" x14ac:dyDescent="0.3">
      <c r="I8493" s="82"/>
      <c r="M8493" s="85"/>
    </row>
    <row r="8494" spans="9:13" x14ac:dyDescent="0.3">
      <c r="I8494" s="82"/>
      <c r="M8494" s="85"/>
    </row>
    <row r="8495" spans="9:13" x14ac:dyDescent="0.3">
      <c r="I8495" s="82"/>
      <c r="M8495" s="85"/>
    </row>
    <row r="8496" spans="9:13" x14ac:dyDescent="0.3">
      <c r="I8496" s="82"/>
      <c r="M8496" s="85"/>
    </row>
    <row r="8497" spans="9:13" x14ac:dyDescent="0.3">
      <c r="I8497" s="82"/>
      <c r="M8497" s="85"/>
    </row>
    <row r="8498" spans="9:13" x14ac:dyDescent="0.3">
      <c r="I8498" s="82"/>
      <c r="M8498" s="85"/>
    </row>
    <row r="8499" spans="9:13" x14ac:dyDescent="0.3">
      <c r="I8499" s="82"/>
      <c r="M8499" s="85"/>
    </row>
    <row r="8500" spans="9:13" x14ac:dyDescent="0.3">
      <c r="I8500" s="82"/>
      <c r="M8500" s="85"/>
    </row>
    <row r="8501" spans="9:13" x14ac:dyDescent="0.3">
      <c r="I8501" s="82"/>
      <c r="M8501" s="85"/>
    </row>
    <row r="8502" spans="9:13" x14ac:dyDescent="0.3">
      <c r="I8502" s="82"/>
      <c r="M8502" s="85"/>
    </row>
    <row r="8503" spans="9:13" x14ac:dyDescent="0.3">
      <c r="I8503" s="82"/>
      <c r="M8503" s="85"/>
    </row>
    <row r="8504" spans="9:13" x14ac:dyDescent="0.3">
      <c r="I8504" s="82"/>
      <c r="M8504" s="85"/>
    </row>
    <row r="8505" spans="9:13" x14ac:dyDescent="0.3">
      <c r="I8505" s="82"/>
      <c r="M8505" s="85"/>
    </row>
    <row r="8506" spans="9:13" x14ac:dyDescent="0.3">
      <c r="I8506" s="82"/>
      <c r="M8506" s="85"/>
    </row>
    <row r="8507" spans="9:13" x14ac:dyDescent="0.3">
      <c r="I8507" s="82"/>
      <c r="M8507" s="85"/>
    </row>
    <row r="8508" spans="9:13" x14ac:dyDescent="0.3">
      <c r="I8508" s="82"/>
      <c r="M8508" s="85"/>
    </row>
    <row r="8509" spans="9:13" x14ac:dyDescent="0.3">
      <c r="I8509" s="82"/>
      <c r="M8509" s="85"/>
    </row>
    <row r="8510" spans="9:13" x14ac:dyDescent="0.3">
      <c r="I8510" s="82"/>
      <c r="M8510" s="85"/>
    </row>
    <row r="8511" spans="9:13" x14ac:dyDescent="0.3">
      <c r="I8511" s="82"/>
      <c r="M8511" s="85"/>
    </row>
    <row r="8512" spans="9:13" x14ac:dyDescent="0.3">
      <c r="I8512" s="82"/>
      <c r="M8512" s="85"/>
    </row>
    <row r="8513" spans="9:13" x14ac:dyDescent="0.3">
      <c r="I8513" s="82"/>
      <c r="M8513" s="85"/>
    </row>
    <row r="8514" spans="9:13" x14ac:dyDescent="0.3">
      <c r="I8514" s="82"/>
      <c r="M8514" s="85"/>
    </row>
    <row r="8515" spans="9:13" x14ac:dyDescent="0.3">
      <c r="I8515" s="82"/>
      <c r="M8515" s="85"/>
    </row>
    <row r="8516" spans="9:13" x14ac:dyDescent="0.3">
      <c r="I8516" s="82"/>
      <c r="M8516" s="85"/>
    </row>
    <row r="8517" spans="9:13" x14ac:dyDescent="0.3">
      <c r="I8517" s="82"/>
      <c r="M8517" s="85"/>
    </row>
    <row r="8518" spans="9:13" x14ac:dyDescent="0.3">
      <c r="I8518" s="82"/>
      <c r="M8518" s="85"/>
    </row>
    <row r="8519" spans="9:13" x14ac:dyDescent="0.3">
      <c r="I8519" s="82"/>
      <c r="M8519" s="85"/>
    </row>
    <row r="8520" spans="9:13" x14ac:dyDescent="0.3">
      <c r="I8520" s="82"/>
      <c r="M8520" s="85"/>
    </row>
    <row r="8521" spans="9:13" x14ac:dyDescent="0.3">
      <c r="I8521" s="82"/>
      <c r="M8521" s="85"/>
    </row>
    <row r="8522" spans="9:13" x14ac:dyDescent="0.3">
      <c r="I8522" s="82"/>
      <c r="M8522" s="85"/>
    </row>
    <row r="8523" spans="9:13" x14ac:dyDescent="0.3">
      <c r="I8523" s="82"/>
      <c r="M8523" s="85"/>
    </row>
    <row r="8524" spans="9:13" x14ac:dyDescent="0.3">
      <c r="I8524" s="82"/>
      <c r="M8524" s="85"/>
    </row>
    <row r="8525" spans="9:13" x14ac:dyDescent="0.3">
      <c r="I8525" s="82"/>
      <c r="M8525" s="85"/>
    </row>
    <row r="8526" spans="9:13" x14ac:dyDescent="0.3">
      <c r="I8526" s="82"/>
      <c r="M8526" s="85"/>
    </row>
    <row r="8527" spans="9:13" x14ac:dyDescent="0.3">
      <c r="I8527" s="82"/>
      <c r="M8527" s="85"/>
    </row>
    <row r="8528" spans="9:13" x14ac:dyDescent="0.3">
      <c r="I8528" s="82"/>
      <c r="M8528" s="85"/>
    </row>
    <row r="8529" spans="9:13" x14ac:dyDescent="0.3">
      <c r="I8529" s="82"/>
      <c r="M8529" s="85"/>
    </row>
    <row r="8530" spans="9:13" x14ac:dyDescent="0.3">
      <c r="I8530" s="82"/>
      <c r="M8530" s="85"/>
    </row>
    <row r="8531" spans="9:13" x14ac:dyDescent="0.3">
      <c r="I8531" s="82"/>
      <c r="M8531" s="85"/>
    </row>
    <row r="8532" spans="9:13" x14ac:dyDescent="0.3">
      <c r="I8532" s="82"/>
      <c r="M8532" s="85"/>
    </row>
    <row r="8533" spans="9:13" x14ac:dyDescent="0.3">
      <c r="I8533" s="82"/>
      <c r="M8533" s="85"/>
    </row>
    <row r="8534" spans="9:13" x14ac:dyDescent="0.3">
      <c r="I8534" s="82"/>
      <c r="M8534" s="85"/>
    </row>
    <row r="8535" spans="9:13" x14ac:dyDescent="0.3">
      <c r="I8535" s="82"/>
      <c r="M8535" s="85"/>
    </row>
    <row r="8536" spans="9:13" x14ac:dyDescent="0.3">
      <c r="I8536" s="82"/>
      <c r="M8536" s="85"/>
    </row>
    <row r="8537" spans="9:13" x14ac:dyDescent="0.3">
      <c r="I8537" s="82"/>
      <c r="M8537" s="85"/>
    </row>
    <row r="8538" spans="9:13" x14ac:dyDescent="0.3">
      <c r="I8538" s="82"/>
      <c r="M8538" s="85"/>
    </row>
    <row r="8539" spans="9:13" x14ac:dyDescent="0.3">
      <c r="I8539" s="82"/>
      <c r="M8539" s="85"/>
    </row>
    <row r="8540" spans="9:13" x14ac:dyDescent="0.3">
      <c r="I8540" s="82"/>
      <c r="M8540" s="85"/>
    </row>
    <row r="8541" spans="9:13" x14ac:dyDescent="0.3">
      <c r="I8541" s="82"/>
      <c r="M8541" s="85"/>
    </row>
    <row r="8542" spans="9:13" x14ac:dyDescent="0.3">
      <c r="I8542" s="82"/>
      <c r="M8542" s="85"/>
    </row>
    <row r="8543" spans="9:13" x14ac:dyDescent="0.3">
      <c r="I8543" s="82"/>
      <c r="M8543" s="85"/>
    </row>
    <row r="8544" spans="9:13" x14ac:dyDescent="0.3">
      <c r="I8544" s="82"/>
      <c r="M8544" s="85"/>
    </row>
    <row r="8545" spans="9:13" x14ac:dyDescent="0.3">
      <c r="I8545" s="82"/>
      <c r="M8545" s="85"/>
    </row>
    <row r="8546" spans="9:13" x14ac:dyDescent="0.3">
      <c r="I8546" s="82"/>
      <c r="M8546" s="85"/>
    </row>
    <row r="8547" spans="9:13" x14ac:dyDescent="0.3">
      <c r="I8547" s="82"/>
      <c r="M8547" s="85"/>
    </row>
    <row r="8548" spans="9:13" x14ac:dyDescent="0.3">
      <c r="I8548" s="82"/>
      <c r="M8548" s="85"/>
    </row>
    <row r="8549" spans="9:13" x14ac:dyDescent="0.3">
      <c r="I8549" s="82"/>
      <c r="M8549" s="85"/>
    </row>
    <row r="8550" spans="9:13" x14ac:dyDescent="0.3">
      <c r="I8550" s="82"/>
      <c r="M8550" s="85"/>
    </row>
    <row r="8551" spans="9:13" x14ac:dyDescent="0.3">
      <c r="I8551" s="82"/>
      <c r="M8551" s="85"/>
    </row>
    <row r="8552" spans="9:13" x14ac:dyDescent="0.3">
      <c r="I8552" s="82"/>
      <c r="M8552" s="85"/>
    </row>
    <row r="8553" spans="9:13" x14ac:dyDescent="0.3">
      <c r="I8553" s="82"/>
      <c r="M8553" s="85"/>
    </row>
    <row r="8554" spans="9:13" x14ac:dyDescent="0.3">
      <c r="I8554" s="82"/>
      <c r="M8554" s="85"/>
    </row>
    <row r="8555" spans="9:13" x14ac:dyDescent="0.3">
      <c r="I8555" s="82"/>
      <c r="M8555" s="85"/>
    </row>
    <row r="8556" spans="9:13" x14ac:dyDescent="0.3">
      <c r="I8556" s="82"/>
      <c r="M8556" s="85"/>
    </row>
    <row r="8557" spans="9:13" x14ac:dyDescent="0.3">
      <c r="I8557" s="82"/>
      <c r="M8557" s="85"/>
    </row>
    <row r="8558" spans="9:13" x14ac:dyDescent="0.3">
      <c r="I8558" s="82"/>
      <c r="M8558" s="85"/>
    </row>
    <row r="8559" spans="9:13" x14ac:dyDescent="0.3">
      <c r="I8559" s="82"/>
      <c r="M8559" s="85"/>
    </row>
    <row r="8560" spans="9:13" x14ac:dyDescent="0.3">
      <c r="I8560" s="82"/>
      <c r="M8560" s="85"/>
    </row>
    <row r="8561" spans="9:13" x14ac:dyDescent="0.3">
      <c r="I8561" s="82"/>
      <c r="M8561" s="85"/>
    </row>
    <row r="8562" spans="9:13" x14ac:dyDescent="0.3">
      <c r="I8562" s="82"/>
      <c r="M8562" s="85"/>
    </row>
    <row r="8563" spans="9:13" x14ac:dyDescent="0.3">
      <c r="I8563" s="82"/>
      <c r="M8563" s="85"/>
    </row>
    <row r="8564" spans="9:13" x14ac:dyDescent="0.3">
      <c r="I8564" s="82"/>
      <c r="M8564" s="85"/>
    </row>
    <row r="8565" spans="9:13" x14ac:dyDescent="0.3">
      <c r="I8565" s="82"/>
      <c r="M8565" s="85"/>
    </row>
    <row r="8566" spans="9:13" x14ac:dyDescent="0.3">
      <c r="I8566" s="82"/>
      <c r="M8566" s="85"/>
    </row>
    <row r="8567" spans="9:13" x14ac:dyDescent="0.3">
      <c r="I8567" s="82"/>
      <c r="M8567" s="85"/>
    </row>
    <row r="8568" spans="9:13" x14ac:dyDescent="0.3">
      <c r="I8568" s="82"/>
      <c r="M8568" s="85"/>
    </row>
    <row r="8569" spans="9:13" x14ac:dyDescent="0.3">
      <c r="I8569" s="82"/>
      <c r="M8569" s="85"/>
    </row>
    <row r="8570" spans="9:13" x14ac:dyDescent="0.3">
      <c r="I8570" s="82"/>
      <c r="M8570" s="85"/>
    </row>
    <row r="8571" spans="9:13" x14ac:dyDescent="0.3">
      <c r="I8571" s="82"/>
      <c r="M8571" s="85"/>
    </row>
    <row r="8572" spans="9:13" x14ac:dyDescent="0.3">
      <c r="I8572" s="82"/>
      <c r="M8572" s="85"/>
    </row>
    <row r="8573" spans="9:13" x14ac:dyDescent="0.3">
      <c r="I8573" s="82"/>
      <c r="M8573" s="85"/>
    </row>
    <row r="8574" spans="9:13" x14ac:dyDescent="0.3">
      <c r="I8574" s="82"/>
      <c r="M8574" s="85"/>
    </row>
    <row r="8575" spans="9:13" x14ac:dyDescent="0.3">
      <c r="I8575" s="82"/>
      <c r="M8575" s="85"/>
    </row>
    <row r="8576" spans="9:13" x14ac:dyDescent="0.3">
      <c r="I8576" s="82"/>
      <c r="M8576" s="85"/>
    </row>
    <row r="8577" spans="9:13" x14ac:dyDescent="0.3">
      <c r="I8577" s="82"/>
      <c r="M8577" s="85"/>
    </row>
    <row r="8578" spans="9:13" x14ac:dyDescent="0.3">
      <c r="I8578" s="82"/>
      <c r="M8578" s="85"/>
    </row>
    <row r="8579" spans="9:13" x14ac:dyDescent="0.3">
      <c r="I8579" s="82"/>
      <c r="M8579" s="85"/>
    </row>
    <row r="8580" spans="9:13" x14ac:dyDescent="0.3">
      <c r="I8580" s="82"/>
      <c r="M8580" s="85"/>
    </row>
    <row r="8581" spans="9:13" x14ac:dyDescent="0.3">
      <c r="I8581" s="82"/>
      <c r="M8581" s="85"/>
    </row>
    <row r="8582" spans="9:13" x14ac:dyDescent="0.3">
      <c r="I8582" s="82"/>
      <c r="M8582" s="85"/>
    </row>
    <row r="8583" spans="9:13" x14ac:dyDescent="0.3">
      <c r="I8583" s="82"/>
      <c r="M8583" s="85"/>
    </row>
    <row r="8584" spans="9:13" x14ac:dyDescent="0.3">
      <c r="I8584" s="82"/>
      <c r="M8584" s="85"/>
    </row>
    <row r="8585" spans="9:13" x14ac:dyDescent="0.3">
      <c r="I8585" s="82"/>
      <c r="M8585" s="85"/>
    </row>
    <row r="8586" spans="9:13" x14ac:dyDescent="0.3">
      <c r="I8586" s="82"/>
      <c r="M8586" s="85"/>
    </row>
    <row r="8587" spans="9:13" x14ac:dyDescent="0.3">
      <c r="I8587" s="82"/>
      <c r="M8587" s="85"/>
    </row>
    <row r="8588" spans="9:13" x14ac:dyDescent="0.3">
      <c r="I8588" s="82"/>
      <c r="M8588" s="85"/>
    </row>
    <row r="8589" spans="9:13" x14ac:dyDescent="0.3">
      <c r="I8589" s="82"/>
      <c r="M8589" s="85"/>
    </row>
    <row r="8590" spans="9:13" x14ac:dyDescent="0.3">
      <c r="I8590" s="82"/>
      <c r="M8590" s="85"/>
    </row>
    <row r="8591" spans="9:13" x14ac:dyDescent="0.3">
      <c r="I8591" s="82"/>
      <c r="M8591" s="85"/>
    </row>
    <row r="8592" spans="9:13" x14ac:dyDescent="0.3">
      <c r="I8592" s="82"/>
      <c r="M8592" s="85"/>
    </row>
    <row r="8593" spans="9:13" x14ac:dyDescent="0.3">
      <c r="I8593" s="82"/>
      <c r="M8593" s="85"/>
    </row>
    <row r="8594" spans="9:13" x14ac:dyDescent="0.3">
      <c r="I8594" s="82"/>
      <c r="M8594" s="85"/>
    </row>
    <row r="8595" spans="9:13" x14ac:dyDescent="0.3">
      <c r="I8595" s="82"/>
      <c r="M8595" s="85"/>
    </row>
    <row r="8596" spans="9:13" x14ac:dyDescent="0.3">
      <c r="I8596" s="82"/>
      <c r="M8596" s="85"/>
    </row>
    <row r="8597" spans="9:13" x14ac:dyDescent="0.3">
      <c r="I8597" s="82"/>
      <c r="M8597" s="85"/>
    </row>
    <row r="8598" spans="9:13" x14ac:dyDescent="0.3">
      <c r="I8598" s="82"/>
      <c r="M8598" s="85"/>
    </row>
    <row r="8599" spans="9:13" x14ac:dyDescent="0.3">
      <c r="I8599" s="82"/>
      <c r="M8599" s="85"/>
    </row>
    <row r="8600" spans="9:13" x14ac:dyDescent="0.3">
      <c r="I8600" s="82"/>
      <c r="M8600" s="85"/>
    </row>
    <row r="8601" spans="9:13" x14ac:dyDescent="0.3">
      <c r="I8601" s="82"/>
      <c r="M8601" s="85"/>
    </row>
    <row r="8602" spans="9:13" x14ac:dyDescent="0.3">
      <c r="I8602" s="82"/>
      <c r="M8602" s="85"/>
    </row>
    <row r="8603" spans="9:13" x14ac:dyDescent="0.3">
      <c r="I8603" s="82"/>
      <c r="M8603" s="85"/>
    </row>
    <row r="8604" spans="9:13" x14ac:dyDescent="0.3">
      <c r="I8604" s="82"/>
      <c r="M8604" s="85"/>
    </row>
    <row r="8605" spans="9:13" x14ac:dyDescent="0.3">
      <c r="I8605" s="82"/>
      <c r="M8605" s="85"/>
    </row>
    <row r="8606" spans="9:13" x14ac:dyDescent="0.3">
      <c r="I8606" s="82"/>
      <c r="M8606" s="85"/>
    </row>
    <row r="8607" spans="9:13" x14ac:dyDescent="0.3">
      <c r="I8607" s="82"/>
      <c r="M8607" s="85"/>
    </row>
    <row r="8608" spans="9:13" x14ac:dyDescent="0.3">
      <c r="I8608" s="82"/>
      <c r="M8608" s="85"/>
    </row>
    <row r="8609" spans="9:13" x14ac:dyDescent="0.3">
      <c r="I8609" s="82"/>
      <c r="M8609" s="85"/>
    </row>
    <row r="8610" spans="9:13" x14ac:dyDescent="0.3">
      <c r="I8610" s="82"/>
      <c r="M8610" s="85"/>
    </row>
    <row r="8611" spans="9:13" x14ac:dyDescent="0.3">
      <c r="I8611" s="82"/>
      <c r="M8611" s="85"/>
    </row>
    <row r="8612" spans="9:13" x14ac:dyDescent="0.3">
      <c r="I8612" s="82"/>
      <c r="M8612" s="85"/>
    </row>
    <row r="8613" spans="9:13" x14ac:dyDescent="0.3">
      <c r="I8613" s="82"/>
      <c r="M8613" s="85"/>
    </row>
    <row r="8614" spans="9:13" x14ac:dyDescent="0.3">
      <c r="I8614" s="82"/>
      <c r="M8614" s="85"/>
    </row>
    <row r="8615" spans="9:13" x14ac:dyDescent="0.3">
      <c r="I8615" s="82"/>
      <c r="M8615" s="85"/>
    </row>
    <row r="8616" spans="9:13" x14ac:dyDescent="0.3">
      <c r="I8616" s="82"/>
      <c r="M8616" s="85"/>
    </row>
    <row r="8617" spans="9:13" x14ac:dyDescent="0.3">
      <c r="I8617" s="82"/>
      <c r="M8617" s="85"/>
    </row>
    <row r="8618" spans="9:13" x14ac:dyDescent="0.3">
      <c r="I8618" s="82"/>
      <c r="M8618" s="85"/>
    </row>
    <row r="8619" spans="9:13" x14ac:dyDescent="0.3">
      <c r="I8619" s="82"/>
      <c r="M8619" s="85"/>
    </row>
    <row r="8620" spans="9:13" x14ac:dyDescent="0.3">
      <c r="I8620" s="82"/>
      <c r="M8620" s="85"/>
    </row>
    <row r="8621" spans="9:13" x14ac:dyDescent="0.3">
      <c r="I8621" s="82"/>
      <c r="M8621" s="85"/>
    </row>
    <row r="8622" spans="9:13" x14ac:dyDescent="0.3">
      <c r="I8622" s="82"/>
      <c r="M8622" s="85"/>
    </row>
    <row r="8623" spans="9:13" x14ac:dyDescent="0.3">
      <c r="I8623" s="82"/>
      <c r="M8623" s="85"/>
    </row>
    <row r="8624" spans="9:13" x14ac:dyDescent="0.3">
      <c r="I8624" s="82"/>
      <c r="M8624" s="85"/>
    </row>
    <row r="8625" spans="9:13" x14ac:dyDescent="0.3">
      <c r="I8625" s="82"/>
      <c r="M8625" s="85"/>
    </row>
    <row r="8626" spans="9:13" x14ac:dyDescent="0.3">
      <c r="I8626" s="82"/>
      <c r="M8626" s="85"/>
    </row>
    <row r="8627" spans="9:13" x14ac:dyDescent="0.3">
      <c r="I8627" s="82"/>
      <c r="M8627" s="85"/>
    </row>
    <row r="8628" spans="9:13" x14ac:dyDescent="0.3">
      <c r="I8628" s="82"/>
      <c r="M8628" s="85"/>
    </row>
    <row r="8629" spans="9:13" x14ac:dyDescent="0.3">
      <c r="I8629" s="82"/>
      <c r="M8629" s="85"/>
    </row>
    <row r="8630" spans="9:13" x14ac:dyDescent="0.3">
      <c r="I8630" s="82"/>
      <c r="M8630" s="85"/>
    </row>
    <row r="8631" spans="9:13" x14ac:dyDescent="0.3">
      <c r="I8631" s="82"/>
      <c r="M8631" s="85"/>
    </row>
    <row r="8632" spans="9:13" x14ac:dyDescent="0.3">
      <c r="I8632" s="82"/>
      <c r="M8632" s="85"/>
    </row>
    <row r="8633" spans="9:13" x14ac:dyDescent="0.3">
      <c r="I8633" s="82"/>
      <c r="M8633" s="85"/>
    </row>
    <row r="8634" spans="9:13" x14ac:dyDescent="0.3">
      <c r="I8634" s="82"/>
      <c r="M8634" s="85"/>
    </row>
    <row r="8635" spans="9:13" x14ac:dyDescent="0.3">
      <c r="I8635" s="82"/>
      <c r="M8635" s="85"/>
    </row>
    <row r="8636" spans="9:13" x14ac:dyDescent="0.3">
      <c r="I8636" s="82"/>
      <c r="M8636" s="85"/>
    </row>
    <row r="8637" spans="9:13" x14ac:dyDescent="0.3">
      <c r="I8637" s="82"/>
      <c r="M8637" s="85"/>
    </row>
    <row r="8638" spans="9:13" x14ac:dyDescent="0.3">
      <c r="I8638" s="82"/>
      <c r="M8638" s="85"/>
    </row>
    <row r="8639" spans="9:13" x14ac:dyDescent="0.3">
      <c r="I8639" s="82"/>
      <c r="M8639" s="85"/>
    </row>
    <row r="8640" spans="9:13" x14ac:dyDescent="0.3">
      <c r="I8640" s="82"/>
      <c r="M8640" s="85"/>
    </row>
    <row r="8641" spans="9:13" x14ac:dyDescent="0.3">
      <c r="I8641" s="82"/>
      <c r="M8641" s="85"/>
    </row>
    <row r="8642" spans="9:13" x14ac:dyDescent="0.3">
      <c r="I8642" s="82"/>
      <c r="M8642" s="85"/>
    </row>
    <row r="8643" spans="9:13" x14ac:dyDescent="0.3">
      <c r="I8643" s="82"/>
      <c r="M8643" s="85"/>
    </row>
    <row r="8644" spans="9:13" x14ac:dyDescent="0.3">
      <c r="I8644" s="82"/>
      <c r="M8644" s="85"/>
    </row>
    <row r="8645" spans="9:13" x14ac:dyDescent="0.3">
      <c r="I8645" s="82"/>
      <c r="M8645" s="85"/>
    </row>
    <row r="8646" spans="9:13" x14ac:dyDescent="0.3">
      <c r="I8646" s="82"/>
      <c r="M8646" s="85"/>
    </row>
    <row r="8647" spans="9:13" x14ac:dyDescent="0.3">
      <c r="I8647" s="82"/>
      <c r="M8647" s="85"/>
    </row>
    <row r="8648" spans="9:13" x14ac:dyDescent="0.3">
      <c r="I8648" s="82"/>
      <c r="M8648" s="85"/>
    </row>
    <row r="8649" spans="9:13" x14ac:dyDescent="0.3">
      <c r="I8649" s="82"/>
      <c r="M8649" s="85"/>
    </row>
    <row r="8650" spans="9:13" x14ac:dyDescent="0.3">
      <c r="I8650" s="82"/>
      <c r="M8650" s="85"/>
    </row>
    <row r="8651" spans="9:13" x14ac:dyDescent="0.3">
      <c r="I8651" s="82"/>
      <c r="M8651" s="85"/>
    </row>
    <row r="8652" spans="9:13" x14ac:dyDescent="0.3">
      <c r="I8652" s="82"/>
      <c r="M8652" s="85"/>
    </row>
    <row r="8653" spans="9:13" x14ac:dyDescent="0.3">
      <c r="I8653" s="82"/>
      <c r="M8653" s="85"/>
    </row>
    <row r="8654" spans="9:13" x14ac:dyDescent="0.3">
      <c r="I8654" s="82"/>
      <c r="M8654" s="85"/>
    </row>
    <row r="8655" spans="9:13" x14ac:dyDescent="0.3">
      <c r="I8655" s="82"/>
      <c r="M8655" s="85"/>
    </row>
    <row r="8656" spans="9:13" x14ac:dyDescent="0.3">
      <c r="I8656" s="82"/>
      <c r="M8656" s="85"/>
    </row>
    <row r="8657" spans="9:13" x14ac:dyDescent="0.3">
      <c r="I8657" s="82"/>
      <c r="M8657" s="85"/>
    </row>
    <row r="8658" spans="9:13" x14ac:dyDescent="0.3">
      <c r="I8658" s="82"/>
      <c r="M8658" s="85"/>
    </row>
    <row r="8659" spans="9:13" x14ac:dyDescent="0.3">
      <c r="I8659" s="82"/>
      <c r="M8659" s="85"/>
    </row>
    <row r="8660" spans="9:13" x14ac:dyDescent="0.3">
      <c r="I8660" s="82"/>
      <c r="M8660" s="85"/>
    </row>
    <row r="8661" spans="9:13" x14ac:dyDescent="0.3">
      <c r="I8661" s="82"/>
      <c r="M8661" s="85"/>
    </row>
    <row r="8662" spans="9:13" x14ac:dyDescent="0.3">
      <c r="I8662" s="82"/>
      <c r="M8662" s="85"/>
    </row>
    <row r="8663" spans="9:13" x14ac:dyDescent="0.3">
      <c r="I8663" s="82"/>
      <c r="M8663" s="85"/>
    </row>
    <row r="8664" spans="9:13" x14ac:dyDescent="0.3">
      <c r="I8664" s="82"/>
      <c r="M8664" s="85"/>
    </row>
    <row r="8665" spans="9:13" x14ac:dyDescent="0.3">
      <c r="I8665" s="82"/>
      <c r="M8665" s="85"/>
    </row>
    <row r="8666" spans="9:13" x14ac:dyDescent="0.3">
      <c r="I8666" s="82"/>
      <c r="M8666" s="85"/>
    </row>
    <row r="8667" spans="9:13" x14ac:dyDescent="0.3">
      <c r="I8667" s="82"/>
      <c r="M8667" s="85"/>
    </row>
    <row r="8668" spans="9:13" x14ac:dyDescent="0.3">
      <c r="I8668" s="82"/>
      <c r="M8668" s="85"/>
    </row>
    <row r="8669" spans="9:13" x14ac:dyDescent="0.3">
      <c r="I8669" s="82"/>
      <c r="M8669" s="85"/>
    </row>
    <row r="8670" spans="9:13" x14ac:dyDescent="0.3">
      <c r="I8670" s="82"/>
      <c r="M8670" s="85"/>
    </row>
    <row r="8671" spans="9:13" x14ac:dyDescent="0.3">
      <c r="I8671" s="82"/>
      <c r="M8671" s="85"/>
    </row>
    <row r="8672" spans="9:13" x14ac:dyDescent="0.3">
      <c r="I8672" s="82"/>
      <c r="M8672" s="85"/>
    </row>
    <row r="8673" spans="9:13" x14ac:dyDescent="0.3">
      <c r="I8673" s="82"/>
      <c r="M8673" s="85"/>
    </row>
    <row r="8674" spans="9:13" x14ac:dyDescent="0.3">
      <c r="I8674" s="82"/>
      <c r="M8674" s="85"/>
    </row>
    <row r="8675" spans="9:13" x14ac:dyDescent="0.3">
      <c r="I8675" s="82"/>
      <c r="M8675" s="85"/>
    </row>
    <row r="8676" spans="9:13" x14ac:dyDescent="0.3">
      <c r="I8676" s="82"/>
      <c r="M8676" s="85"/>
    </row>
    <row r="8677" spans="9:13" x14ac:dyDescent="0.3">
      <c r="I8677" s="82"/>
      <c r="M8677" s="85"/>
    </row>
    <row r="8678" spans="9:13" x14ac:dyDescent="0.3">
      <c r="I8678" s="82"/>
      <c r="M8678" s="85"/>
    </row>
    <row r="8679" spans="9:13" x14ac:dyDescent="0.3">
      <c r="I8679" s="82"/>
      <c r="M8679" s="85"/>
    </row>
    <row r="8680" spans="9:13" x14ac:dyDescent="0.3">
      <c r="I8680" s="82"/>
      <c r="M8680" s="85"/>
    </row>
    <row r="8681" spans="9:13" x14ac:dyDescent="0.3">
      <c r="I8681" s="82"/>
      <c r="M8681" s="85"/>
    </row>
    <row r="8682" spans="9:13" x14ac:dyDescent="0.3">
      <c r="I8682" s="82"/>
      <c r="M8682" s="85"/>
    </row>
    <row r="8683" spans="9:13" x14ac:dyDescent="0.3">
      <c r="I8683" s="82"/>
      <c r="M8683" s="85"/>
    </row>
    <row r="8684" spans="9:13" x14ac:dyDescent="0.3">
      <c r="I8684" s="82"/>
      <c r="M8684" s="85"/>
    </row>
    <row r="8685" spans="9:13" x14ac:dyDescent="0.3">
      <c r="I8685" s="82"/>
      <c r="M8685" s="85"/>
    </row>
    <row r="8686" spans="9:13" x14ac:dyDescent="0.3">
      <c r="I8686" s="82"/>
      <c r="M8686" s="85"/>
    </row>
    <row r="8687" spans="9:13" x14ac:dyDescent="0.3">
      <c r="I8687" s="82"/>
      <c r="M8687" s="85"/>
    </row>
    <row r="8688" spans="9:13" x14ac:dyDescent="0.3">
      <c r="I8688" s="82"/>
      <c r="M8688" s="85"/>
    </row>
    <row r="8689" spans="9:13" x14ac:dyDescent="0.3">
      <c r="I8689" s="82"/>
      <c r="M8689" s="85"/>
    </row>
    <row r="8690" spans="9:13" x14ac:dyDescent="0.3">
      <c r="I8690" s="82"/>
      <c r="M8690" s="85"/>
    </row>
    <row r="8691" spans="9:13" x14ac:dyDescent="0.3">
      <c r="I8691" s="82"/>
      <c r="M8691" s="85"/>
    </row>
    <row r="8692" spans="9:13" x14ac:dyDescent="0.3">
      <c r="I8692" s="82"/>
      <c r="M8692" s="85"/>
    </row>
    <row r="8693" spans="9:13" x14ac:dyDescent="0.3">
      <c r="I8693" s="82"/>
      <c r="M8693" s="85"/>
    </row>
    <row r="8694" spans="9:13" x14ac:dyDescent="0.3">
      <c r="I8694" s="82"/>
      <c r="M8694" s="85"/>
    </row>
    <row r="8695" spans="9:13" x14ac:dyDescent="0.3">
      <c r="I8695" s="82"/>
      <c r="M8695" s="85"/>
    </row>
    <row r="8696" spans="9:13" x14ac:dyDescent="0.3">
      <c r="I8696" s="82"/>
      <c r="M8696" s="85"/>
    </row>
    <row r="8697" spans="9:13" x14ac:dyDescent="0.3">
      <c r="I8697" s="82"/>
      <c r="M8697" s="85"/>
    </row>
    <row r="8698" spans="9:13" x14ac:dyDescent="0.3">
      <c r="I8698" s="82"/>
      <c r="M8698" s="85"/>
    </row>
    <row r="8699" spans="9:13" x14ac:dyDescent="0.3">
      <c r="I8699" s="82"/>
      <c r="M8699" s="85"/>
    </row>
    <row r="8700" spans="9:13" x14ac:dyDescent="0.3">
      <c r="I8700" s="82"/>
      <c r="M8700" s="85"/>
    </row>
    <row r="8701" spans="9:13" x14ac:dyDescent="0.3">
      <c r="I8701" s="82"/>
      <c r="M8701" s="85"/>
    </row>
    <row r="8702" spans="9:13" x14ac:dyDescent="0.3">
      <c r="I8702" s="82"/>
      <c r="M8702" s="85"/>
    </row>
    <row r="8703" spans="9:13" x14ac:dyDescent="0.3">
      <c r="I8703" s="82"/>
      <c r="M8703" s="85"/>
    </row>
    <row r="8704" spans="9:13" x14ac:dyDescent="0.3">
      <c r="I8704" s="82"/>
      <c r="M8704" s="85"/>
    </row>
    <row r="8705" spans="9:13" x14ac:dyDescent="0.3">
      <c r="I8705" s="82"/>
      <c r="M8705" s="85"/>
    </row>
    <row r="8706" spans="9:13" x14ac:dyDescent="0.3">
      <c r="I8706" s="82"/>
      <c r="M8706" s="85"/>
    </row>
    <row r="8707" spans="9:13" x14ac:dyDescent="0.3">
      <c r="I8707" s="82"/>
      <c r="M8707" s="85"/>
    </row>
    <row r="8708" spans="9:13" x14ac:dyDescent="0.3">
      <c r="I8708" s="82"/>
      <c r="M8708" s="85"/>
    </row>
    <row r="8709" spans="9:13" x14ac:dyDescent="0.3">
      <c r="I8709" s="82"/>
      <c r="M8709" s="85"/>
    </row>
    <row r="8710" spans="9:13" x14ac:dyDescent="0.3">
      <c r="I8710" s="82"/>
      <c r="M8710" s="85"/>
    </row>
    <row r="8711" spans="9:13" x14ac:dyDescent="0.3">
      <c r="I8711" s="82"/>
      <c r="M8711" s="85"/>
    </row>
    <row r="8712" spans="9:13" x14ac:dyDescent="0.3">
      <c r="I8712" s="82"/>
      <c r="M8712" s="85"/>
    </row>
    <row r="8713" spans="9:13" x14ac:dyDescent="0.3">
      <c r="I8713" s="82"/>
      <c r="M8713" s="85"/>
    </row>
    <row r="8714" spans="9:13" x14ac:dyDescent="0.3">
      <c r="I8714" s="82"/>
      <c r="M8714" s="85"/>
    </row>
    <row r="8715" spans="9:13" x14ac:dyDescent="0.3">
      <c r="I8715" s="82"/>
      <c r="M8715" s="85"/>
    </row>
    <row r="8716" spans="9:13" x14ac:dyDescent="0.3">
      <c r="I8716" s="82"/>
      <c r="M8716" s="85"/>
    </row>
    <row r="8717" spans="9:13" x14ac:dyDescent="0.3">
      <c r="I8717" s="82"/>
      <c r="M8717" s="85"/>
    </row>
    <row r="8718" spans="9:13" x14ac:dyDescent="0.3">
      <c r="I8718" s="82"/>
      <c r="M8718" s="85"/>
    </row>
    <row r="8719" spans="9:13" x14ac:dyDescent="0.3">
      <c r="I8719" s="82"/>
      <c r="M8719" s="85"/>
    </row>
    <row r="8720" spans="9:13" x14ac:dyDescent="0.3">
      <c r="I8720" s="82"/>
      <c r="M8720" s="85"/>
    </row>
    <row r="8721" spans="9:13" x14ac:dyDescent="0.3">
      <c r="I8721" s="82"/>
      <c r="M8721" s="85"/>
    </row>
    <row r="8722" spans="9:13" x14ac:dyDescent="0.3">
      <c r="I8722" s="82"/>
      <c r="M8722" s="85"/>
    </row>
    <row r="8723" spans="9:13" x14ac:dyDescent="0.3">
      <c r="I8723" s="82"/>
      <c r="M8723" s="85"/>
    </row>
    <row r="8724" spans="9:13" x14ac:dyDescent="0.3">
      <c r="I8724" s="82"/>
      <c r="M8724" s="85"/>
    </row>
    <row r="8725" spans="9:13" x14ac:dyDescent="0.3">
      <c r="I8725" s="82"/>
      <c r="M8725" s="85"/>
    </row>
    <row r="8726" spans="9:13" x14ac:dyDescent="0.3">
      <c r="I8726" s="82"/>
      <c r="M8726" s="85"/>
    </row>
    <row r="8727" spans="9:13" x14ac:dyDescent="0.3">
      <c r="I8727" s="82"/>
      <c r="M8727" s="85"/>
    </row>
    <row r="8728" spans="9:13" x14ac:dyDescent="0.3">
      <c r="I8728" s="82"/>
      <c r="M8728" s="85"/>
    </row>
    <row r="8729" spans="9:13" x14ac:dyDescent="0.3">
      <c r="I8729" s="82"/>
      <c r="M8729" s="85"/>
    </row>
    <row r="8730" spans="9:13" x14ac:dyDescent="0.3">
      <c r="I8730" s="82"/>
      <c r="M8730" s="85"/>
    </row>
    <row r="8731" spans="9:13" x14ac:dyDescent="0.3">
      <c r="I8731" s="82"/>
      <c r="M8731" s="85"/>
    </row>
    <row r="8732" spans="9:13" x14ac:dyDescent="0.3">
      <c r="I8732" s="82"/>
      <c r="M8732" s="85"/>
    </row>
    <row r="8733" spans="9:13" x14ac:dyDescent="0.3">
      <c r="I8733" s="82"/>
      <c r="M8733" s="85"/>
    </row>
    <row r="8734" spans="9:13" x14ac:dyDescent="0.3">
      <c r="I8734" s="82"/>
      <c r="M8734" s="85"/>
    </row>
    <row r="8735" spans="9:13" x14ac:dyDescent="0.3">
      <c r="I8735" s="82"/>
      <c r="M8735" s="85"/>
    </row>
    <row r="8736" spans="9:13" x14ac:dyDescent="0.3">
      <c r="I8736" s="82"/>
      <c r="M8736" s="85"/>
    </row>
    <row r="8737" spans="9:13" x14ac:dyDescent="0.3">
      <c r="I8737" s="82"/>
      <c r="M8737" s="85"/>
    </row>
    <row r="8738" spans="9:13" x14ac:dyDescent="0.3">
      <c r="I8738" s="82"/>
      <c r="M8738" s="85"/>
    </row>
    <row r="8739" spans="9:13" x14ac:dyDescent="0.3">
      <c r="I8739" s="82"/>
      <c r="M8739" s="85"/>
    </row>
    <row r="8740" spans="9:13" x14ac:dyDescent="0.3">
      <c r="I8740" s="82"/>
      <c r="M8740" s="85"/>
    </row>
    <row r="8741" spans="9:13" x14ac:dyDescent="0.3">
      <c r="I8741" s="82"/>
      <c r="M8741" s="85"/>
    </row>
    <row r="8742" spans="9:13" x14ac:dyDescent="0.3">
      <c r="I8742" s="82"/>
      <c r="M8742" s="85"/>
    </row>
    <row r="8743" spans="9:13" x14ac:dyDescent="0.3">
      <c r="I8743" s="82"/>
      <c r="M8743" s="85"/>
    </row>
    <row r="8744" spans="9:13" x14ac:dyDescent="0.3">
      <c r="I8744" s="82"/>
      <c r="M8744" s="85"/>
    </row>
    <row r="8745" spans="9:13" x14ac:dyDescent="0.3">
      <c r="I8745" s="82"/>
      <c r="M8745" s="85"/>
    </row>
    <row r="8746" spans="9:13" x14ac:dyDescent="0.3">
      <c r="I8746" s="82"/>
      <c r="M8746" s="85"/>
    </row>
    <row r="8747" spans="9:13" x14ac:dyDescent="0.3">
      <c r="I8747" s="82"/>
      <c r="M8747" s="85"/>
    </row>
    <row r="8748" spans="9:13" x14ac:dyDescent="0.3">
      <c r="I8748" s="82"/>
      <c r="M8748" s="85"/>
    </row>
    <row r="8749" spans="9:13" x14ac:dyDescent="0.3">
      <c r="I8749" s="82"/>
      <c r="M8749" s="85"/>
    </row>
    <row r="8750" spans="9:13" x14ac:dyDescent="0.3">
      <c r="I8750" s="82"/>
      <c r="M8750" s="85"/>
    </row>
    <row r="8751" spans="9:13" x14ac:dyDescent="0.3">
      <c r="I8751" s="82"/>
      <c r="M8751" s="85"/>
    </row>
    <row r="8752" spans="9:13" x14ac:dyDescent="0.3">
      <c r="I8752" s="82"/>
      <c r="M8752" s="85"/>
    </row>
    <row r="8753" spans="9:13" x14ac:dyDescent="0.3">
      <c r="I8753" s="82"/>
      <c r="M8753" s="85"/>
    </row>
    <row r="8754" spans="9:13" x14ac:dyDescent="0.3">
      <c r="I8754" s="82"/>
      <c r="M8754" s="85"/>
    </row>
    <row r="8755" spans="9:13" x14ac:dyDescent="0.3">
      <c r="I8755" s="82"/>
      <c r="M8755" s="85"/>
    </row>
    <row r="8756" spans="9:13" x14ac:dyDescent="0.3">
      <c r="I8756" s="82"/>
      <c r="M8756" s="85"/>
    </row>
    <row r="8757" spans="9:13" x14ac:dyDescent="0.3">
      <c r="I8757" s="82"/>
      <c r="M8757" s="85"/>
    </row>
    <row r="8758" spans="9:13" x14ac:dyDescent="0.3">
      <c r="I8758" s="82"/>
      <c r="M8758" s="85"/>
    </row>
    <row r="8759" spans="9:13" x14ac:dyDescent="0.3">
      <c r="I8759" s="82"/>
      <c r="M8759" s="85"/>
    </row>
    <row r="8760" spans="9:13" x14ac:dyDescent="0.3">
      <c r="I8760" s="82"/>
      <c r="M8760" s="85"/>
    </row>
    <row r="8761" spans="9:13" x14ac:dyDescent="0.3">
      <c r="I8761" s="82"/>
      <c r="M8761" s="85"/>
    </row>
    <row r="8762" spans="9:13" x14ac:dyDescent="0.3">
      <c r="I8762" s="82"/>
      <c r="M8762" s="85"/>
    </row>
    <row r="8763" spans="9:13" x14ac:dyDescent="0.3">
      <c r="I8763" s="82"/>
      <c r="M8763" s="85"/>
    </row>
    <row r="8764" spans="9:13" x14ac:dyDescent="0.3">
      <c r="I8764" s="82"/>
      <c r="M8764" s="85"/>
    </row>
    <row r="8765" spans="9:13" x14ac:dyDescent="0.3">
      <c r="I8765" s="82"/>
      <c r="M8765" s="85"/>
    </row>
    <row r="8766" spans="9:13" x14ac:dyDescent="0.3">
      <c r="I8766" s="82"/>
      <c r="M8766" s="85"/>
    </row>
    <row r="8767" spans="9:13" x14ac:dyDescent="0.3">
      <c r="I8767" s="82"/>
      <c r="M8767" s="85"/>
    </row>
    <row r="8768" spans="9:13" x14ac:dyDescent="0.3">
      <c r="I8768" s="82"/>
      <c r="M8768" s="85"/>
    </row>
    <row r="8769" spans="9:13" x14ac:dyDescent="0.3">
      <c r="I8769" s="82"/>
      <c r="M8769" s="85"/>
    </row>
    <row r="8770" spans="9:13" x14ac:dyDescent="0.3">
      <c r="I8770" s="82"/>
      <c r="M8770" s="85"/>
    </row>
    <row r="8771" spans="9:13" x14ac:dyDescent="0.3">
      <c r="I8771" s="82"/>
      <c r="M8771" s="85"/>
    </row>
    <row r="8772" spans="9:13" x14ac:dyDescent="0.3">
      <c r="I8772" s="82"/>
      <c r="M8772" s="85"/>
    </row>
    <row r="8773" spans="9:13" x14ac:dyDescent="0.3">
      <c r="I8773" s="82"/>
      <c r="M8773" s="85"/>
    </row>
    <row r="8774" spans="9:13" x14ac:dyDescent="0.3">
      <c r="I8774" s="82"/>
      <c r="M8774" s="85"/>
    </row>
    <row r="8775" spans="9:13" x14ac:dyDescent="0.3">
      <c r="I8775" s="82"/>
      <c r="M8775" s="85"/>
    </row>
    <row r="8776" spans="9:13" x14ac:dyDescent="0.3">
      <c r="I8776" s="82"/>
      <c r="M8776" s="85"/>
    </row>
    <row r="8777" spans="9:13" x14ac:dyDescent="0.3">
      <c r="I8777" s="82"/>
      <c r="M8777" s="85"/>
    </row>
    <row r="8778" spans="9:13" x14ac:dyDescent="0.3">
      <c r="I8778" s="82"/>
      <c r="M8778" s="85"/>
    </row>
    <row r="8779" spans="9:13" x14ac:dyDescent="0.3">
      <c r="I8779" s="82"/>
      <c r="M8779" s="85"/>
    </row>
    <row r="8780" spans="9:13" x14ac:dyDescent="0.3">
      <c r="I8780" s="82"/>
      <c r="M8780" s="85"/>
    </row>
    <row r="8781" spans="9:13" x14ac:dyDescent="0.3">
      <c r="I8781" s="82"/>
      <c r="M8781" s="85"/>
    </row>
    <row r="8782" spans="9:13" x14ac:dyDescent="0.3">
      <c r="I8782" s="82"/>
      <c r="M8782" s="85"/>
    </row>
    <row r="8783" spans="9:13" x14ac:dyDescent="0.3">
      <c r="I8783" s="82"/>
      <c r="M8783" s="85"/>
    </row>
    <row r="8784" spans="9:13" x14ac:dyDescent="0.3">
      <c r="I8784" s="82"/>
      <c r="M8784" s="85"/>
    </row>
    <row r="8785" spans="9:13" x14ac:dyDescent="0.3">
      <c r="I8785" s="82"/>
      <c r="M8785" s="85"/>
    </row>
    <row r="8786" spans="9:13" x14ac:dyDescent="0.3">
      <c r="I8786" s="82"/>
      <c r="M8786" s="85"/>
    </row>
    <row r="8787" spans="9:13" x14ac:dyDescent="0.3">
      <c r="I8787" s="82"/>
      <c r="M8787" s="85"/>
    </row>
    <row r="8788" spans="9:13" x14ac:dyDescent="0.3">
      <c r="I8788" s="82"/>
      <c r="M8788" s="85"/>
    </row>
    <row r="8789" spans="9:13" x14ac:dyDescent="0.3">
      <c r="I8789" s="82"/>
      <c r="M8789" s="85"/>
    </row>
    <row r="8790" spans="9:13" x14ac:dyDescent="0.3">
      <c r="I8790" s="82"/>
      <c r="M8790" s="85"/>
    </row>
    <row r="8791" spans="9:13" x14ac:dyDescent="0.3">
      <c r="I8791" s="82"/>
      <c r="M8791" s="85"/>
    </row>
    <row r="8792" spans="9:13" x14ac:dyDescent="0.3">
      <c r="I8792" s="82"/>
      <c r="M8792" s="85"/>
    </row>
    <row r="8793" spans="9:13" x14ac:dyDescent="0.3">
      <c r="I8793" s="82"/>
      <c r="M8793" s="85"/>
    </row>
    <row r="8794" spans="9:13" x14ac:dyDescent="0.3">
      <c r="I8794" s="82"/>
      <c r="M8794" s="85"/>
    </row>
    <row r="8795" spans="9:13" x14ac:dyDescent="0.3">
      <c r="I8795" s="82"/>
      <c r="M8795" s="85"/>
    </row>
    <row r="8796" spans="9:13" x14ac:dyDescent="0.3">
      <c r="I8796" s="82"/>
      <c r="M8796" s="85"/>
    </row>
    <row r="8797" spans="9:13" x14ac:dyDescent="0.3">
      <c r="I8797" s="82"/>
      <c r="M8797" s="85"/>
    </row>
    <row r="8798" spans="9:13" x14ac:dyDescent="0.3">
      <c r="I8798" s="82"/>
      <c r="M8798" s="85"/>
    </row>
    <row r="8799" spans="9:13" x14ac:dyDescent="0.3">
      <c r="I8799" s="82"/>
      <c r="M8799" s="85"/>
    </row>
    <row r="8800" spans="9:13" x14ac:dyDescent="0.3">
      <c r="I8800" s="82"/>
      <c r="M8800" s="85"/>
    </row>
    <row r="8801" spans="9:13" x14ac:dyDescent="0.3">
      <c r="I8801" s="82"/>
      <c r="M8801" s="85"/>
    </row>
    <row r="8802" spans="9:13" x14ac:dyDescent="0.3">
      <c r="I8802" s="82"/>
      <c r="M8802" s="85"/>
    </row>
    <row r="8803" spans="9:13" x14ac:dyDescent="0.3">
      <c r="I8803" s="82"/>
      <c r="M8803" s="85"/>
    </row>
    <row r="8804" spans="9:13" x14ac:dyDescent="0.3">
      <c r="I8804" s="82"/>
      <c r="M8804" s="85"/>
    </row>
    <row r="8805" spans="9:13" x14ac:dyDescent="0.3">
      <c r="I8805" s="82"/>
      <c r="M8805" s="85"/>
    </row>
    <row r="8806" spans="9:13" x14ac:dyDescent="0.3">
      <c r="I8806" s="82"/>
      <c r="M8806" s="85"/>
    </row>
    <row r="8807" spans="9:13" x14ac:dyDescent="0.3">
      <c r="I8807" s="82"/>
      <c r="M8807" s="85"/>
    </row>
    <row r="8808" spans="9:13" x14ac:dyDescent="0.3">
      <c r="I8808" s="82"/>
      <c r="M8808" s="85"/>
    </row>
    <row r="8809" spans="9:13" x14ac:dyDescent="0.3">
      <c r="I8809" s="82"/>
      <c r="M8809" s="85"/>
    </row>
    <row r="8810" spans="9:13" x14ac:dyDescent="0.3">
      <c r="I8810" s="82"/>
      <c r="M8810" s="85"/>
    </row>
    <row r="8811" spans="9:13" x14ac:dyDescent="0.3">
      <c r="I8811" s="82"/>
      <c r="M8811" s="85"/>
    </row>
    <row r="8812" spans="9:13" x14ac:dyDescent="0.3">
      <c r="I8812" s="82"/>
      <c r="M8812" s="85"/>
    </row>
    <row r="8813" spans="9:13" x14ac:dyDescent="0.3">
      <c r="I8813" s="82"/>
      <c r="M8813" s="85"/>
    </row>
    <row r="8814" spans="9:13" x14ac:dyDescent="0.3">
      <c r="I8814" s="82"/>
      <c r="M8814" s="85"/>
    </row>
    <row r="8815" spans="9:13" x14ac:dyDescent="0.3">
      <c r="I8815" s="82"/>
      <c r="M8815" s="85"/>
    </row>
    <row r="8816" spans="9:13" x14ac:dyDescent="0.3">
      <c r="I8816" s="82"/>
      <c r="M8816" s="85"/>
    </row>
    <row r="8817" spans="9:13" x14ac:dyDescent="0.3">
      <c r="I8817" s="82"/>
      <c r="M8817" s="85"/>
    </row>
    <row r="8818" spans="9:13" x14ac:dyDescent="0.3">
      <c r="I8818" s="82"/>
      <c r="M8818" s="85"/>
    </row>
    <row r="8819" spans="9:13" x14ac:dyDescent="0.3">
      <c r="I8819" s="82"/>
      <c r="M8819" s="85"/>
    </row>
    <row r="8820" spans="9:13" x14ac:dyDescent="0.3">
      <c r="I8820" s="82"/>
      <c r="M8820" s="85"/>
    </row>
    <row r="8821" spans="9:13" x14ac:dyDescent="0.3">
      <c r="I8821" s="82"/>
      <c r="M8821" s="85"/>
    </row>
    <row r="8822" spans="9:13" x14ac:dyDescent="0.3">
      <c r="I8822" s="82"/>
      <c r="M8822" s="85"/>
    </row>
    <row r="8823" spans="9:13" x14ac:dyDescent="0.3">
      <c r="I8823" s="82"/>
      <c r="M8823" s="85"/>
    </row>
    <row r="8824" spans="9:13" x14ac:dyDescent="0.3">
      <c r="I8824" s="82"/>
      <c r="M8824" s="85"/>
    </row>
    <row r="8825" spans="9:13" x14ac:dyDescent="0.3">
      <c r="I8825" s="82"/>
      <c r="M8825" s="85"/>
    </row>
    <row r="8826" spans="9:13" x14ac:dyDescent="0.3">
      <c r="I8826" s="82"/>
      <c r="M8826" s="85"/>
    </row>
    <row r="8827" spans="9:13" x14ac:dyDescent="0.3">
      <c r="I8827" s="82"/>
      <c r="M8827" s="85"/>
    </row>
    <row r="8828" spans="9:13" x14ac:dyDescent="0.3">
      <c r="I8828" s="82"/>
      <c r="M8828" s="85"/>
    </row>
    <row r="8829" spans="9:13" x14ac:dyDescent="0.3">
      <c r="I8829" s="82"/>
      <c r="M8829" s="85"/>
    </row>
    <row r="8830" spans="9:13" x14ac:dyDescent="0.3">
      <c r="I8830" s="82"/>
      <c r="M8830" s="85"/>
    </row>
    <row r="8831" spans="9:13" x14ac:dyDescent="0.3">
      <c r="I8831" s="82"/>
      <c r="M8831" s="85"/>
    </row>
    <row r="8832" spans="9:13" x14ac:dyDescent="0.3">
      <c r="I8832" s="82"/>
      <c r="M8832" s="85"/>
    </row>
    <row r="8833" spans="9:13" x14ac:dyDescent="0.3">
      <c r="I8833" s="82"/>
      <c r="M8833" s="85"/>
    </row>
    <row r="8834" spans="9:13" x14ac:dyDescent="0.3">
      <c r="I8834" s="82"/>
      <c r="M8834" s="85"/>
    </row>
    <row r="8835" spans="9:13" x14ac:dyDescent="0.3">
      <c r="I8835" s="82"/>
      <c r="M8835" s="85"/>
    </row>
    <row r="8836" spans="9:13" x14ac:dyDescent="0.3">
      <c r="I8836" s="82"/>
      <c r="M8836" s="85"/>
    </row>
    <row r="8837" spans="9:13" x14ac:dyDescent="0.3">
      <c r="I8837" s="82"/>
      <c r="M8837" s="85"/>
    </row>
    <row r="8838" spans="9:13" x14ac:dyDescent="0.3">
      <c r="I8838" s="82"/>
      <c r="M8838" s="85"/>
    </row>
    <row r="8839" spans="9:13" x14ac:dyDescent="0.3">
      <c r="I8839" s="82"/>
      <c r="M8839" s="85"/>
    </row>
    <row r="8840" spans="9:13" x14ac:dyDescent="0.3">
      <c r="I8840" s="82"/>
      <c r="M8840" s="85"/>
    </row>
    <row r="8841" spans="9:13" x14ac:dyDescent="0.3">
      <c r="I8841" s="82"/>
      <c r="M8841" s="85"/>
    </row>
    <row r="8842" spans="9:13" x14ac:dyDescent="0.3">
      <c r="I8842" s="82"/>
      <c r="M8842" s="85"/>
    </row>
    <row r="8843" spans="9:13" x14ac:dyDescent="0.3">
      <c r="I8843" s="82"/>
      <c r="M8843" s="85"/>
    </row>
    <row r="8844" spans="9:13" x14ac:dyDescent="0.3">
      <c r="I8844" s="82"/>
      <c r="M8844" s="85"/>
    </row>
    <row r="8845" spans="9:13" x14ac:dyDescent="0.3">
      <c r="I8845" s="82"/>
      <c r="M8845" s="85"/>
    </row>
    <row r="8846" spans="9:13" x14ac:dyDescent="0.3">
      <c r="I8846" s="82"/>
      <c r="M8846" s="85"/>
    </row>
    <row r="8847" spans="9:13" x14ac:dyDescent="0.3">
      <c r="I8847" s="82"/>
      <c r="M8847" s="85"/>
    </row>
    <row r="8848" spans="9:13" x14ac:dyDescent="0.3">
      <c r="I8848" s="82"/>
      <c r="M8848" s="85"/>
    </row>
    <row r="8849" spans="9:13" x14ac:dyDescent="0.3">
      <c r="I8849" s="82"/>
      <c r="M8849" s="85"/>
    </row>
    <row r="8850" spans="9:13" x14ac:dyDescent="0.3">
      <c r="I8850" s="82"/>
      <c r="M8850" s="85"/>
    </row>
    <row r="8851" spans="9:13" x14ac:dyDescent="0.3">
      <c r="I8851" s="82"/>
      <c r="M8851" s="85"/>
    </row>
    <row r="8852" spans="9:13" x14ac:dyDescent="0.3">
      <c r="I8852" s="82"/>
      <c r="M8852" s="85"/>
    </row>
    <row r="8853" spans="9:13" x14ac:dyDescent="0.3">
      <c r="I8853" s="82"/>
      <c r="M8853" s="85"/>
    </row>
    <row r="8854" spans="9:13" x14ac:dyDescent="0.3">
      <c r="I8854" s="82"/>
      <c r="M8854" s="85"/>
    </row>
    <row r="8855" spans="9:13" x14ac:dyDescent="0.3">
      <c r="I8855" s="82"/>
      <c r="M8855" s="85"/>
    </row>
    <row r="8856" spans="9:13" x14ac:dyDescent="0.3">
      <c r="I8856" s="82"/>
      <c r="M8856" s="85"/>
    </row>
    <row r="8857" spans="9:13" x14ac:dyDescent="0.3">
      <c r="I8857" s="82"/>
      <c r="M8857" s="85"/>
    </row>
    <row r="8858" spans="9:13" x14ac:dyDescent="0.3">
      <c r="I8858" s="82"/>
      <c r="M8858" s="85"/>
    </row>
    <row r="8859" spans="9:13" x14ac:dyDescent="0.3">
      <c r="I8859" s="82"/>
      <c r="M8859" s="85"/>
    </row>
    <row r="8860" spans="9:13" x14ac:dyDescent="0.3">
      <c r="I8860" s="82"/>
      <c r="M8860" s="85"/>
    </row>
    <row r="8861" spans="9:13" x14ac:dyDescent="0.3">
      <c r="I8861" s="82"/>
      <c r="M8861" s="85"/>
    </row>
    <row r="8862" spans="9:13" x14ac:dyDescent="0.3">
      <c r="I8862" s="82"/>
      <c r="M8862" s="85"/>
    </row>
    <row r="8863" spans="9:13" x14ac:dyDescent="0.3">
      <c r="I8863" s="82"/>
      <c r="M8863" s="85"/>
    </row>
    <row r="8864" spans="9:13" x14ac:dyDescent="0.3">
      <c r="I8864" s="82"/>
      <c r="M8864" s="85"/>
    </row>
    <row r="8865" spans="9:13" x14ac:dyDescent="0.3">
      <c r="I8865" s="82"/>
      <c r="M8865" s="85"/>
    </row>
    <row r="8866" spans="9:13" x14ac:dyDescent="0.3">
      <c r="I8866" s="82"/>
      <c r="M8866" s="85"/>
    </row>
    <row r="8867" spans="9:13" x14ac:dyDescent="0.3">
      <c r="I8867" s="82"/>
      <c r="M8867" s="85"/>
    </row>
    <row r="8868" spans="9:13" x14ac:dyDescent="0.3">
      <c r="I8868" s="82"/>
      <c r="M8868" s="85"/>
    </row>
    <row r="8869" spans="9:13" x14ac:dyDescent="0.3">
      <c r="I8869" s="82"/>
      <c r="M8869" s="85"/>
    </row>
    <row r="8870" spans="9:13" x14ac:dyDescent="0.3">
      <c r="I8870" s="82"/>
      <c r="M8870" s="85"/>
    </row>
    <row r="8871" spans="9:13" x14ac:dyDescent="0.3">
      <c r="I8871" s="82"/>
      <c r="M8871" s="85"/>
    </row>
    <row r="8872" spans="9:13" x14ac:dyDescent="0.3">
      <c r="I8872" s="82"/>
      <c r="M8872" s="85"/>
    </row>
    <row r="8873" spans="9:13" x14ac:dyDescent="0.3">
      <c r="I8873" s="82"/>
      <c r="M8873" s="85"/>
    </row>
    <row r="8874" spans="9:13" x14ac:dyDescent="0.3">
      <c r="I8874" s="82"/>
      <c r="M8874" s="85"/>
    </row>
    <row r="8875" spans="9:13" x14ac:dyDescent="0.3">
      <c r="I8875" s="82"/>
      <c r="M8875" s="85"/>
    </row>
    <row r="8876" spans="9:13" x14ac:dyDescent="0.3">
      <c r="I8876" s="82"/>
      <c r="M8876" s="85"/>
    </row>
    <row r="8877" spans="9:13" x14ac:dyDescent="0.3">
      <c r="I8877" s="82"/>
      <c r="M8877" s="85"/>
    </row>
    <row r="8878" spans="9:13" x14ac:dyDescent="0.3">
      <c r="I8878" s="82"/>
      <c r="M8878" s="85"/>
    </row>
    <row r="8879" spans="9:13" x14ac:dyDescent="0.3">
      <c r="I8879" s="82"/>
      <c r="M8879" s="85"/>
    </row>
    <row r="8880" spans="9:13" x14ac:dyDescent="0.3">
      <c r="I8880" s="82"/>
      <c r="M8880" s="85"/>
    </row>
    <row r="8881" spans="9:13" x14ac:dyDescent="0.3">
      <c r="I8881" s="82"/>
      <c r="M8881" s="85"/>
    </row>
    <row r="8882" spans="9:13" x14ac:dyDescent="0.3">
      <c r="I8882" s="82"/>
      <c r="M8882" s="85"/>
    </row>
    <row r="8883" spans="9:13" x14ac:dyDescent="0.3">
      <c r="I8883" s="82"/>
      <c r="M8883" s="85"/>
    </row>
    <row r="8884" spans="9:13" x14ac:dyDescent="0.3">
      <c r="I8884" s="82"/>
      <c r="M8884" s="85"/>
    </row>
    <row r="8885" spans="9:13" x14ac:dyDescent="0.3">
      <c r="I8885" s="82"/>
      <c r="M8885" s="85"/>
    </row>
    <row r="8886" spans="9:13" x14ac:dyDescent="0.3">
      <c r="I8886" s="82"/>
      <c r="M8886" s="85"/>
    </row>
    <row r="8887" spans="9:13" x14ac:dyDescent="0.3">
      <c r="I8887" s="82"/>
      <c r="M8887" s="85"/>
    </row>
    <row r="8888" spans="9:13" x14ac:dyDescent="0.3">
      <c r="I8888" s="82"/>
      <c r="M8888" s="85"/>
    </row>
    <row r="8889" spans="9:13" x14ac:dyDescent="0.3">
      <c r="I8889" s="82"/>
      <c r="M8889" s="85"/>
    </row>
    <row r="8890" spans="9:13" x14ac:dyDescent="0.3">
      <c r="I8890" s="82"/>
      <c r="M8890" s="85"/>
    </row>
    <row r="8891" spans="9:13" x14ac:dyDescent="0.3">
      <c r="I8891" s="82"/>
      <c r="M8891" s="85"/>
    </row>
    <row r="8892" spans="9:13" x14ac:dyDescent="0.3">
      <c r="I8892" s="82"/>
      <c r="M8892" s="85"/>
    </row>
    <row r="8893" spans="9:13" x14ac:dyDescent="0.3">
      <c r="I8893" s="82"/>
      <c r="M8893" s="85"/>
    </row>
    <row r="8894" spans="9:13" x14ac:dyDescent="0.3">
      <c r="I8894" s="82"/>
      <c r="M8894" s="85"/>
    </row>
    <row r="8895" spans="9:13" x14ac:dyDescent="0.3">
      <c r="I8895" s="82"/>
      <c r="M8895" s="85"/>
    </row>
    <row r="8896" spans="9:13" x14ac:dyDescent="0.3">
      <c r="I8896" s="82"/>
      <c r="M8896" s="85"/>
    </row>
    <row r="8897" spans="9:13" x14ac:dyDescent="0.3">
      <c r="I8897" s="82"/>
      <c r="M8897" s="85"/>
    </row>
    <row r="8898" spans="9:13" x14ac:dyDescent="0.3">
      <c r="I8898" s="82"/>
      <c r="M8898" s="85"/>
    </row>
    <row r="8899" spans="9:13" x14ac:dyDescent="0.3">
      <c r="I8899" s="82"/>
      <c r="M8899" s="85"/>
    </row>
    <row r="8900" spans="9:13" x14ac:dyDescent="0.3">
      <c r="I8900" s="82"/>
      <c r="M8900" s="85"/>
    </row>
    <row r="8901" spans="9:13" x14ac:dyDescent="0.3">
      <c r="I8901" s="82"/>
      <c r="M8901" s="85"/>
    </row>
    <row r="8902" spans="9:13" x14ac:dyDescent="0.3">
      <c r="I8902" s="82"/>
      <c r="M8902" s="85"/>
    </row>
    <row r="8903" spans="9:13" x14ac:dyDescent="0.3">
      <c r="I8903" s="82"/>
      <c r="M8903" s="85"/>
    </row>
    <row r="8904" spans="9:13" x14ac:dyDescent="0.3">
      <c r="I8904" s="82"/>
      <c r="M8904" s="85"/>
    </row>
    <row r="8905" spans="9:13" x14ac:dyDescent="0.3">
      <c r="I8905" s="82"/>
      <c r="M8905" s="85"/>
    </row>
    <row r="8906" spans="9:13" x14ac:dyDescent="0.3">
      <c r="I8906" s="82"/>
      <c r="M8906" s="85"/>
    </row>
    <row r="8907" spans="9:13" x14ac:dyDescent="0.3">
      <c r="I8907" s="82"/>
      <c r="M8907" s="85"/>
    </row>
    <row r="8908" spans="9:13" x14ac:dyDescent="0.3">
      <c r="I8908" s="82"/>
      <c r="M8908" s="85"/>
    </row>
    <row r="8909" spans="9:13" x14ac:dyDescent="0.3">
      <c r="I8909" s="82"/>
      <c r="M8909" s="85"/>
    </row>
    <row r="8910" spans="9:13" x14ac:dyDescent="0.3">
      <c r="I8910" s="82"/>
      <c r="M8910" s="85"/>
    </row>
    <row r="8911" spans="9:13" x14ac:dyDescent="0.3">
      <c r="I8911" s="82"/>
      <c r="M8911" s="85"/>
    </row>
    <row r="8912" spans="9:13" x14ac:dyDescent="0.3">
      <c r="I8912" s="82"/>
      <c r="M8912" s="85"/>
    </row>
    <row r="8913" spans="9:13" x14ac:dyDescent="0.3">
      <c r="I8913" s="82"/>
      <c r="M8913" s="85"/>
    </row>
    <row r="8914" spans="9:13" x14ac:dyDescent="0.3">
      <c r="I8914" s="82"/>
      <c r="M8914" s="85"/>
    </row>
    <row r="8915" spans="9:13" x14ac:dyDescent="0.3">
      <c r="I8915" s="82"/>
      <c r="M8915" s="85"/>
    </row>
    <row r="8916" spans="9:13" x14ac:dyDescent="0.3">
      <c r="I8916" s="82"/>
      <c r="M8916" s="85"/>
    </row>
    <row r="8917" spans="9:13" x14ac:dyDescent="0.3">
      <c r="I8917" s="82"/>
      <c r="M8917" s="85"/>
    </row>
    <row r="8918" spans="9:13" x14ac:dyDescent="0.3">
      <c r="I8918" s="82"/>
      <c r="M8918" s="85"/>
    </row>
    <row r="8919" spans="9:13" x14ac:dyDescent="0.3">
      <c r="I8919" s="82"/>
      <c r="M8919" s="85"/>
    </row>
    <row r="8920" spans="9:13" x14ac:dyDescent="0.3">
      <c r="I8920" s="82"/>
      <c r="M8920" s="85"/>
    </row>
    <row r="8921" spans="9:13" x14ac:dyDescent="0.3">
      <c r="I8921" s="82"/>
      <c r="M8921" s="85"/>
    </row>
    <row r="8922" spans="9:13" x14ac:dyDescent="0.3">
      <c r="I8922" s="82"/>
      <c r="M8922" s="85"/>
    </row>
    <row r="8923" spans="9:13" x14ac:dyDescent="0.3">
      <c r="I8923" s="82"/>
      <c r="M8923" s="85"/>
    </row>
    <row r="8924" spans="9:13" x14ac:dyDescent="0.3">
      <c r="I8924" s="82"/>
      <c r="M8924" s="85"/>
    </row>
    <row r="8925" spans="9:13" x14ac:dyDescent="0.3">
      <c r="I8925" s="82"/>
      <c r="M8925" s="85"/>
    </row>
    <row r="8926" spans="9:13" x14ac:dyDescent="0.3">
      <c r="I8926" s="82"/>
      <c r="M8926" s="85"/>
    </row>
    <row r="8927" spans="9:13" x14ac:dyDescent="0.3">
      <c r="I8927" s="82"/>
      <c r="M8927" s="85"/>
    </row>
    <row r="8928" spans="9:13" x14ac:dyDescent="0.3">
      <c r="I8928" s="82"/>
      <c r="M8928" s="85"/>
    </row>
    <row r="8929" spans="9:13" x14ac:dyDescent="0.3">
      <c r="I8929" s="82"/>
      <c r="M8929" s="85"/>
    </row>
    <row r="8930" spans="9:13" x14ac:dyDescent="0.3">
      <c r="I8930" s="82"/>
      <c r="M8930" s="85"/>
    </row>
    <row r="8931" spans="9:13" x14ac:dyDescent="0.3">
      <c r="I8931" s="82"/>
      <c r="M8931" s="85"/>
    </row>
    <row r="8932" spans="9:13" x14ac:dyDescent="0.3">
      <c r="I8932" s="82"/>
      <c r="M8932" s="85"/>
    </row>
    <row r="8933" spans="9:13" x14ac:dyDescent="0.3">
      <c r="I8933" s="82"/>
      <c r="M8933" s="85"/>
    </row>
    <row r="8934" spans="9:13" x14ac:dyDescent="0.3">
      <c r="I8934" s="82"/>
      <c r="M8934" s="85"/>
    </row>
    <row r="8935" spans="9:13" x14ac:dyDescent="0.3">
      <c r="I8935" s="82"/>
      <c r="M8935" s="85"/>
    </row>
    <row r="8936" spans="9:13" x14ac:dyDescent="0.3">
      <c r="I8936" s="82"/>
      <c r="M8936" s="85"/>
    </row>
    <row r="8937" spans="9:13" x14ac:dyDescent="0.3">
      <c r="I8937" s="82"/>
      <c r="M8937" s="85"/>
    </row>
    <row r="8938" spans="9:13" x14ac:dyDescent="0.3">
      <c r="I8938" s="82"/>
      <c r="M8938" s="85"/>
    </row>
    <row r="8939" spans="9:13" x14ac:dyDescent="0.3">
      <c r="I8939" s="82"/>
      <c r="M8939" s="85"/>
    </row>
    <row r="8940" spans="9:13" x14ac:dyDescent="0.3">
      <c r="I8940" s="82"/>
      <c r="M8940" s="85"/>
    </row>
    <row r="8941" spans="9:13" x14ac:dyDescent="0.3">
      <c r="I8941" s="82"/>
      <c r="M8941" s="85"/>
    </row>
    <row r="8942" spans="9:13" x14ac:dyDescent="0.3">
      <c r="I8942" s="82"/>
      <c r="M8942" s="85"/>
    </row>
    <row r="8943" spans="9:13" x14ac:dyDescent="0.3">
      <c r="I8943" s="82"/>
      <c r="M8943" s="85"/>
    </row>
    <row r="8944" spans="9:13" x14ac:dyDescent="0.3">
      <c r="I8944" s="82"/>
      <c r="M8944" s="85"/>
    </row>
    <row r="8945" spans="9:13" x14ac:dyDescent="0.3">
      <c r="I8945" s="82"/>
      <c r="M8945" s="85"/>
    </row>
    <row r="8946" spans="9:13" x14ac:dyDescent="0.3">
      <c r="I8946" s="82"/>
      <c r="M8946" s="85"/>
    </row>
    <row r="8947" spans="9:13" x14ac:dyDescent="0.3">
      <c r="I8947" s="82"/>
      <c r="M8947" s="85"/>
    </row>
    <row r="8948" spans="9:13" x14ac:dyDescent="0.3">
      <c r="I8948" s="82"/>
      <c r="M8948" s="85"/>
    </row>
    <row r="8949" spans="9:13" x14ac:dyDescent="0.3">
      <c r="I8949" s="82"/>
      <c r="M8949" s="85"/>
    </row>
    <row r="8950" spans="9:13" x14ac:dyDescent="0.3">
      <c r="I8950" s="82"/>
      <c r="M8950" s="85"/>
    </row>
    <row r="8951" spans="9:13" x14ac:dyDescent="0.3">
      <c r="I8951" s="82"/>
      <c r="M8951" s="85"/>
    </row>
    <row r="8952" spans="9:13" x14ac:dyDescent="0.3">
      <c r="I8952" s="82"/>
      <c r="M8952" s="85"/>
    </row>
    <row r="8953" spans="9:13" x14ac:dyDescent="0.3">
      <c r="I8953" s="82"/>
      <c r="M8953" s="85"/>
    </row>
    <row r="8954" spans="9:13" x14ac:dyDescent="0.3">
      <c r="I8954" s="82"/>
      <c r="M8954" s="85"/>
    </row>
    <row r="8955" spans="9:13" x14ac:dyDescent="0.3">
      <c r="I8955" s="82"/>
      <c r="M8955" s="85"/>
    </row>
    <row r="8956" spans="9:13" x14ac:dyDescent="0.3">
      <c r="I8956" s="82"/>
      <c r="M8956" s="85"/>
    </row>
    <row r="8957" spans="9:13" x14ac:dyDescent="0.3">
      <c r="I8957" s="82"/>
      <c r="M8957" s="85"/>
    </row>
    <row r="8958" spans="9:13" x14ac:dyDescent="0.3">
      <c r="I8958" s="82"/>
      <c r="M8958" s="85"/>
    </row>
    <row r="8959" spans="9:13" x14ac:dyDescent="0.3">
      <c r="I8959" s="82"/>
      <c r="M8959" s="85"/>
    </row>
    <row r="8960" spans="9:13" x14ac:dyDescent="0.3">
      <c r="I8960" s="82"/>
      <c r="M8960" s="85"/>
    </row>
    <row r="8961" spans="9:13" x14ac:dyDescent="0.3">
      <c r="I8961" s="82"/>
      <c r="M8961" s="85"/>
    </row>
    <row r="8962" spans="9:13" x14ac:dyDescent="0.3">
      <c r="I8962" s="82"/>
      <c r="M8962" s="85"/>
    </row>
    <row r="8963" spans="9:13" x14ac:dyDescent="0.3">
      <c r="I8963" s="82"/>
      <c r="M8963" s="85"/>
    </row>
    <row r="8964" spans="9:13" x14ac:dyDescent="0.3">
      <c r="I8964" s="82"/>
      <c r="M8964" s="85"/>
    </row>
    <row r="8965" spans="9:13" x14ac:dyDescent="0.3">
      <c r="I8965" s="82"/>
      <c r="M8965" s="85"/>
    </row>
    <row r="8966" spans="9:13" x14ac:dyDescent="0.3">
      <c r="I8966" s="82"/>
      <c r="M8966" s="85"/>
    </row>
    <row r="8967" spans="9:13" x14ac:dyDescent="0.3">
      <c r="I8967" s="82"/>
      <c r="M8967" s="85"/>
    </row>
    <row r="8968" spans="9:13" x14ac:dyDescent="0.3">
      <c r="I8968" s="82"/>
      <c r="M8968" s="85"/>
    </row>
    <row r="8969" spans="9:13" x14ac:dyDescent="0.3">
      <c r="I8969" s="82"/>
      <c r="M8969" s="85"/>
    </row>
    <row r="8970" spans="9:13" x14ac:dyDescent="0.3">
      <c r="I8970" s="82"/>
      <c r="M8970" s="85"/>
    </row>
    <row r="8971" spans="9:13" x14ac:dyDescent="0.3">
      <c r="I8971" s="82"/>
      <c r="M8971" s="85"/>
    </row>
    <row r="8972" spans="9:13" x14ac:dyDescent="0.3">
      <c r="I8972" s="82"/>
      <c r="M8972" s="85"/>
    </row>
    <row r="8973" spans="9:13" x14ac:dyDescent="0.3">
      <c r="I8973" s="82"/>
      <c r="M8973" s="85"/>
    </row>
    <row r="8974" spans="9:13" x14ac:dyDescent="0.3">
      <c r="I8974" s="82"/>
      <c r="M8974" s="85"/>
    </row>
    <row r="8975" spans="9:13" x14ac:dyDescent="0.3">
      <c r="I8975" s="82"/>
      <c r="M8975" s="85"/>
    </row>
    <row r="8976" spans="9:13" x14ac:dyDescent="0.3">
      <c r="I8976" s="82"/>
      <c r="M8976" s="85"/>
    </row>
    <row r="8977" spans="9:13" x14ac:dyDescent="0.3">
      <c r="I8977" s="82"/>
      <c r="M8977" s="85"/>
    </row>
    <row r="8978" spans="9:13" x14ac:dyDescent="0.3">
      <c r="I8978" s="82"/>
      <c r="M8978" s="85"/>
    </row>
    <row r="8979" spans="9:13" x14ac:dyDescent="0.3">
      <c r="I8979" s="82"/>
      <c r="M8979" s="85"/>
    </row>
    <row r="8980" spans="9:13" x14ac:dyDescent="0.3">
      <c r="I8980" s="82"/>
      <c r="M8980" s="85"/>
    </row>
    <row r="8981" spans="9:13" x14ac:dyDescent="0.3">
      <c r="I8981" s="82"/>
      <c r="M8981" s="85"/>
    </row>
    <row r="8982" spans="9:13" x14ac:dyDescent="0.3">
      <c r="I8982" s="82"/>
      <c r="M8982" s="85"/>
    </row>
    <row r="8983" spans="9:13" x14ac:dyDescent="0.3">
      <c r="I8983" s="82"/>
      <c r="M8983" s="85"/>
    </row>
    <row r="8984" spans="9:13" x14ac:dyDescent="0.3">
      <c r="I8984" s="82"/>
      <c r="M8984" s="85"/>
    </row>
    <row r="8985" spans="9:13" x14ac:dyDescent="0.3">
      <c r="I8985" s="82"/>
      <c r="M8985" s="85"/>
    </row>
    <row r="8986" spans="9:13" x14ac:dyDescent="0.3">
      <c r="I8986" s="82"/>
      <c r="M8986" s="85"/>
    </row>
    <row r="8987" spans="9:13" x14ac:dyDescent="0.3">
      <c r="I8987" s="82"/>
      <c r="M8987" s="85"/>
    </row>
    <row r="8988" spans="9:13" x14ac:dyDescent="0.3">
      <c r="I8988" s="82"/>
      <c r="M8988" s="85"/>
    </row>
    <row r="8989" spans="9:13" x14ac:dyDescent="0.3">
      <c r="I8989" s="82"/>
      <c r="M8989" s="85"/>
    </row>
    <row r="8990" spans="9:13" x14ac:dyDescent="0.3">
      <c r="I8990" s="82"/>
      <c r="M8990" s="85"/>
    </row>
    <row r="8991" spans="9:13" x14ac:dyDescent="0.3">
      <c r="I8991" s="82"/>
      <c r="M8991" s="85"/>
    </row>
    <row r="8992" spans="9:13" x14ac:dyDescent="0.3">
      <c r="I8992" s="82"/>
      <c r="M8992" s="85"/>
    </row>
    <row r="8993" spans="9:13" x14ac:dyDescent="0.3">
      <c r="I8993" s="82"/>
      <c r="M8993" s="85"/>
    </row>
    <row r="8994" spans="9:13" x14ac:dyDescent="0.3">
      <c r="I8994" s="82"/>
      <c r="M8994" s="85"/>
    </row>
    <row r="8995" spans="9:13" x14ac:dyDescent="0.3">
      <c r="I8995" s="82"/>
      <c r="M8995" s="85"/>
    </row>
    <row r="8996" spans="9:13" x14ac:dyDescent="0.3">
      <c r="I8996" s="82"/>
      <c r="M8996" s="85"/>
    </row>
    <row r="8997" spans="9:13" x14ac:dyDescent="0.3">
      <c r="I8997" s="82"/>
      <c r="M8997" s="85"/>
    </row>
    <row r="8998" spans="9:13" x14ac:dyDescent="0.3">
      <c r="I8998" s="82"/>
      <c r="M8998" s="85"/>
    </row>
    <row r="8999" spans="9:13" x14ac:dyDescent="0.3">
      <c r="I8999" s="82"/>
      <c r="M8999" s="85"/>
    </row>
    <row r="9000" spans="9:13" x14ac:dyDescent="0.3">
      <c r="I9000" s="82"/>
      <c r="M9000" s="85"/>
    </row>
    <row r="9001" spans="9:13" x14ac:dyDescent="0.3">
      <c r="I9001" s="82"/>
      <c r="M9001" s="85"/>
    </row>
    <row r="9002" spans="9:13" x14ac:dyDescent="0.3">
      <c r="I9002" s="82"/>
      <c r="M9002" s="85"/>
    </row>
    <row r="9003" spans="9:13" x14ac:dyDescent="0.3">
      <c r="I9003" s="82"/>
      <c r="M9003" s="85"/>
    </row>
    <row r="9004" spans="9:13" x14ac:dyDescent="0.3">
      <c r="I9004" s="82"/>
      <c r="M9004" s="85"/>
    </row>
    <row r="9005" spans="9:13" x14ac:dyDescent="0.3">
      <c r="I9005" s="82"/>
      <c r="M9005" s="85"/>
    </row>
    <row r="9006" spans="9:13" x14ac:dyDescent="0.3">
      <c r="I9006" s="82"/>
      <c r="M9006" s="85"/>
    </row>
    <row r="9007" spans="9:13" x14ac:dyDescent="0.3">
      <c r="I9007" s="82"/>
      <c r="M9007" s="85"/>
    </row>
    <row r="9008" spans="9:13" x14ac:dyDescent="0.3">
      <c r="I9008" s="82"/>
      <c r="M9008" s="85"/>
    </row>
    <row r="9009" spans="9:13" x14ac:dyDescent="0.3">
      <c r="I9009" s="82"/>
      <c r="M9009" s="85"/>
    </row>
    <row r="9010" spans="9:13" x14ac:dyDescent="0.3">
      <c r="I9010" s="82"/>
      <c r="M9010" s="85"/>
    </row>
    <row r="9011" spans="9:13" x14ac:dyDescent="0.3">
      <c r="I9011" s="82"/>
      <c r="M9011" s="85"/>
    </row>
    <row r="9012" spans="9:13" x14ac:dyDescent="0.3">
      <c r="I9012" s="82"/>
      <c r="M9012" s="85"/>
    </row>
    <row r="9013" spans="9:13" x14ac:dyDescent="0.3">
      <c r="I9013" s="82"/>
      <c r="M9013" s="85"/>
    </row>
    <row r="9014" spans="9:13" x14ac:dyDescent="0.3">
      <c r="I9014" s="82"/>
      <c r="M9014" s="85"/>
    </row>
    <row r="9015" spans="9:13" x14ac:dyDescent="0.3">
      <c r="I9015" s="82"/>
      <c r="M9015" s="85"/>
    </row>
    <row r="9016" spans="9:13" x14ac:dyDescent="0.3">
      <c r="I9016" s="82"/>
      <c r="M9016" s="85"/>
    </row>
    <row r="9017" spans="9:13" x14ac:dyDescent="0.3">
      <c r="I9017" s="82"/>
      <c r="M9017" s="85"/>
    </row>
    <row r="9018" spans="9:13" x14ac:dyDescent="0.3">
      <c r="I9018" s="82"/>
      <c r="M9018" s="85"/>
    </row>
    <row r="9019" spans="9:13" x14ac:dyDescent="0.3">
      <c r="I9019" s="82"/>
      <c r="M9019" s="85"/>
    </row>
    <row r="9020" spans="9:13" x14ac:dyDescent="0.3">
      <c r="I9020" s="82"/>
      <c r="M9020" s="85"/>
    </row>
    <row r="9021" spans="9:13" x14ac:dyDescent="0.3">
      <c r="I9021" s="82"/>
      <c r="M9021" s="85"/>
    </row>
    <row r="9022" spans="9:13" x14ac:dyDescent="0.3">
      <c r="I9022" s="82"/>
      <c r="M9022" s="85"/>
    </row>
    <row r="9023" spans="9:13" x14ac:dyDescent="0.3">
      <c r="I9023" s="82"/>
      <c r="M9023" s="85"/>
    </row>
    <row r="9024" spans="9:13" x14ac:dyDescent="0.3">
      <c r="I9024" s="82"/>
      <c r="M9024" s="85"/>
    </row>
    <row r="9025" spans="9:13" x14ac:dyDescent="0.3">
      <c r="I9025" s="82"/>
      <c r="M9025" s="85"/>
    </row>
    <row r="9026" spans="9:13" x14ac:dyDescent="0.3">
      <c r="I9026" s="82"/>
      <c r="M9026" s="85"/>
    </row>
    <row r="9027" spans="9:13" x14ac:dyDescent="0.3">
      <c r="I9027" s="82"/>
      <c r="M9027" s="85"/>
    </row>
    <row r="9028" spans="9:13" x14ac:dyDescent="0.3">
      <c r="I9028" s="82"/>
      <c r="M9028" s="85"/>
    </row>
    <row r="9029" spans="9:13" x14ac:dyDescent="0.3">
      <c r="I9029" s="82"/>
      <c r="M9029" s="85"/>
    </row>
    <row r="9030" spans="9:13" x14ac:dyDescent="0.3">
      <c r="I9030" s="82"/>
      <c r="M9030" s="85"/>
    </row>
    <row r="9031" spans="9:13" x14ac:dyDescent="0.3">
      <c r="I9031" s="82"/>
      <c r="M9031" s="85"/>
    </row>
    <row r="9032" spans="9:13" x14ac:dyDescent="0.3">
      <c r="I9032" s="82"/>
      <c r="M9032" s="85"/>
    </row>
    <row r="9033" spans="9:13" x14ac:dyDescent="0.3">
      <c r="I9033" s="82"/>
      <c r="M9033" s="85"/>
    </row>
    <row r="9034" spans="9:13" x14ac:dyDescent="0.3">
      <c r="I9034" s="82"/>
      <c r="M9034" s="85"/>
    </row>
    <row r="9035" spans="9:13" x14ac:dyDescent="0.3">
      <c r="I9035" s="82"/>
      <c r="M9035" s="85"/>
    </row>
    <row r="9036" spans="9:13" x14ac:dyDescent="0.3">
      <c r="I9036" s="82"/>
      <c r="M9036" s="85"/>
    </row>
    <row r="9037" spans="9:13" x14ac:dyDescent="0.3">
      <c r="I9037" s="82"/>
      <c r="M9037" s="85"/>
    </row>
    <row r="9038" spans="9:13" x14ac:dyDescent="0.3">
      <c r="I9038" s="82"/>
      <c r="M9038" s="85"/>
    </row>
    <row r="9039" spans="9:13" x14ac:dyDescent="0.3">
      <c r="I9039" s="82"/>
      <c r="M9039" s="85"/>
    </row>
    <row r="9040" spans="9:13" x14ac:dyDescent="0.3">
      <c r="I9040" s="82"/>
      <c r="M9040" s="85"/>
    </row>
    <row r="9041" spans="9:13" x14ac:dyDescent="0.3">
      <c r="I9041" s="82"/>
      <c r="M9041" s="85"/>
    </row>
    <row r="9042" spans="9:13" x14ac:dyDescent="0.3">
      <c r="I9042" s="82"/>
      <c r="M9042" s="85"/>
    </row>
    <row r="9043" spans="9:13" x14ac:dyDescent="0.3">
      <c r="I9043" s="82"/>
      <c r="M9043" s="85"/>
    </row>
    <row r="9044" spans="9:13" x14ac:dyDescent="0.3">
      <c r="I9044" s="82"/>
      <c r="M9044" s="85"/>
    </row>
    <row r="9045" spans="9:13" x14ac:dyDescent="0.3">
      <c r="I9045" s="82"/>
      <c r="M9045" s="85"/>
    </row>
    <row r="9046" spans="9:13" x14ac:dyDescent="0.3">
      <c r="I9046" s="82"/>
      <c r="M9046" s="85"/>
    </row>
    <row r="9047" spans="9:13" x14ac:dyDescent="0.3">
      <c r="I9047" s="82"/>
      <c r="M9047" s="85"/>
    </row>
    <row r="9048" spans="9:13" x14ac:dyDescent="0.3">
      <c r="I9048" s="82"/>
      <c r="M9048" s="85"/>
    </row>
    <row r="9049" spans="9:13" x14ac:dyDescent="0.3">
      <c r="I9049" s="82"/>
      <c r="M9049" s="85"/>
    </row>
    <row r="9050" spans="9:13" x14ac:dyDescent="0.3">
      <c r="I9050" s="82"/>
      <c r="M9050" s="85"/>
    </row>
    <row r="9051" spans="9:13" x14ac:dyDescent="0.3">
      <c r="I9051" s="82"/>
      <c r="M9051" s="85"/>
    </row>
    <row r="9052" spans="9:13" x14ac:dyDescent="0.3">
      <c r="I9052" s="82"/>
      <c r="M9052" s="85"/>
    </row>
    <row r="9053" spans="9:13" x14ac:dyDescent="0.3">
      <c r="I9053" s="82"/>
      <c r="M9053" s="85"/>
    </row>
    <row r="9054" spans="9:13" x14ac:dyDescent="0.3">
      <c r="I9054" s="82"/>
      <c r="M9054" s="85"/>
    </row>
    <row r="9055" spans="9:13" x14ac:dyDescent="0.3">
      <c r="I9055" s="82"/>
      <c r="M9055" s="85"/>
    </row>
    <row r="9056" spans="9:13" x14ac:dyDescent="0.3">
      <c r="I9056" s="82"/>
      <c r="M9056" s="85"/>
    </row>
    <row r="9057" spans="9:13" x14ac:dyDescent="0.3">
      <c r="I9057" s="82"/>
      <c r="M9057" s="85"/>
    </row>
    <row r="9058" spans="9:13" x14ac:dyDescent="0.3">
      <c r="I9058" s="82"/>
      <c r="M9058" s="85"/>
    </row>
    <row r="9059" spans="9:13" x14ac:dyDescent="0.3">
      <c r="I9059" s="82"/>
      <c r="M9059" s="85"/>
    </row>
    <row r="9060" spans="9:13" x14ac:dyDescent="0.3">
      <c r="I9060" s="82"/>
      <c r="M9060" s="85"/>
    </row>
    <row r="9061" spans="9:13" x14ac:dyDescent="0.3">
      <c r="I9061" s="82"/>
      <c r="M9061" s="85"/>
    </row>
    <row r="9062" spans="9:13" x14ac:dyDescent="0.3">
      <c r="I9062" s="82"/>
      <c r="M9062" s="85"/>
    </row>
    <row r="9063" spans="9:13" x14ac:dyDescent="0.3">
      <c r="I9063" s="82"/>
      <c r="M9063" s="85"/>
    </row>
    <row r="9064" spans="9:13" x14ac:dyDescent="0.3">
      <c r="I9064" s="82"/>
      <c r="M9064" s="85"/>
    </row>
    <row r="9065" spans="9:13" x14ac:dyDescent="0.3">
      <c r="I9065" s="82"/>
      <c r="M9065" s="85"/>
    </row>
    <row r="9066" spans="9:13" x14ac:dyDescent="0.3">
      <c r="I9066" s="82"/>
      <c r="M9066" s="85"/>
    </row>
    <row r="9067" spans="9:13" x14ac:dyDescent="0.3">
      <c r="I9067" s="82"/>
      <c r="M9067" s="85"/>
    </row>
    <row r="9068" spans="9:13" x14ac:dyDescent="0.3">
      <c r="I9068" s="82"/>
      <c r="M9068" s="85"/>
    </row>
    <row r="9069" spans="9:13" x14ac:dyDescent="0.3">
      <c r="I9069" s="82"/>
      <c r="M9069" s="85"/>
    </row>
    <row r="9070" spans="9:13" x14ac:dyDescent="0.3">
      <c r="I9070" s="82"/>
      <c r="M9070" s="85"/>
    </row>
    <row r="9071" spans="9:13" x14ac:dyDescent="0.3">
      <c r="I9071" s="82"/>
      <c r="M9071" s="85"/>
    </row>
    <row r="9072" spans="9:13" x14ac:dyDescent="0.3">
      <c r="I9072" s="82"/>
      <c r="M9072" s="85"/>
    </row>
    <row r="9073" spans="9:13" x14ac:dyDescent="0.3">
      <c r="I9073" s="82"/>
      <c r="M9073" s="85"/>
    </row>
    <row r="9074" spans="9:13" x14ac:dyDescent="0.3">
      <c r="I9074" s="82"/>
      <c r="M9074" s="85"/>
    </row>
    <row r="9075" spans="9:13" x14ac:dyDescent="0.3">
      <c r="I9075" s="82"/>
      <c r="M9075" s="85"/>
    </row>
    <row r="9076" spans="9:13" x14ac:dyDescent="0.3">
      <c r="I9076" s="82"/>
      <c r="M9076" s="85"/>
    </row>
    <row r="9077" spans="9:13" x14ac:dyDescent="0.3">
      <c r="I9077" s="82"/>
      <c r="M9077" s="85"/>
    </row>
    <row r="9078" spans="9:13" x14ac:dyDescent="0.3">
      <c r="I9078" s="82"/>
      <c r="M9078" s="85"/>
    </row>
    <row r="9079" spans="9:13" x14ac:dyDescent="0.3">
      <c r="I9079" s="82"/>
      <c r="M9079" s="85"/>
    </row>
    <row r="9080" spans="9:13" x14ac:dyDescent="0.3">
      <c r="I9080" s="82"/>
      <c r="M9080" s="85"/>
    </row>
    <row r="9081" spans="9:13" x14ac:dyDescent="0.3">
      <c r="I9081" s="82"/>
      <c r="M9081" s="85"/>
    </row>
    <row r="9082" spans="9:13" x14ac:dyDescent="0.3">
      <c r="I9082" s="82"/>
      <c r="M9082" s="85"/>
    </row>
    <row r="9083" spans="9:13" x14ac:dyDescent="0.3">
      <c r="I9083" s="82"/>
      <c r="M9083" s="85"/>
    </row>
    <row r="9084" spans="9:13" x14ac:dyDescent="0.3">
      <c r="I9084" s="82"/>
      <c r="M9084" s="85"/>
    </row>
    <row r="9085" spans="9:13" x14ac:dyDescent="0.3">
      <c r="I9085" s="82"/>
      <c r="M9085" s="85"/>
    </row>
    <row r="9086" spans="9:13" x14ac:dyDescent="0.3">
      <c r="I9086" s="82"/>
      <c r="M9086" s="85"/>
    </row>
    <row r="9087" spans="9:13" x14ac:dyDescent="0.3">
      <c r="I9087" s="82"/>
      <c r="M9087" s="85"/>
    </row>
    <row r="9088" spans="9:13" x14ac:dyDescent="0.3">
      <c r="I9088" s="82"/>
      <c r="M9088" s="85"/>
    </row>
    <row r="9089" spans="9:13" x14ac:dyDescent="0.3">
      <c r="I9089" s="82"/>
      <c r="M9089" s="85"/>
    </row>
    <row r="9090" spans="9:13" x14ac:dyDescent="0.3">
      <c r="I9090" s="82"/>
      <c r="M9090" s="85"/>
    </row>
    <row r="9091" spans="9:13" x14ac:dyDescent="0.3">
      <c r="I9091" s="82"/>
      <c r="M9091" s="85"/>
    </row>
    <row r="9092" spans="9:13" x14ac:dyDescent="0.3">
      <c r="I9092" s="82"/>
      <c r="M9092" s="85"/>
    </row>
    <row r="9093" spans="9:13" x14ac:dyDescent="0.3">
      <c r="I9093" s="82"/>
      <c r="M9093" s="85"/>
    </row>
    <row r="9094" spans="9:13" x14ac:dyDescent="0.3">
      <c r="I9094" s="82"/>
      <c r="M9094" s="85"/>
    </row>
    <row r="9095" spans="9:13" x14ac:dyDescent="0.3">
      <c r="I9095" s="82"/>
      <c r="M9095" s="85"/>
    </row>
    <row r="9096" spans="9:13" x14ac:dyDescent="0.3">
      <c r="I9096" s="82"/>
      <c r="M9096" s="85"/>
    </row>
    <row r="9097" spans="9:13" x14ac:dyDescent="0.3">
      <c r="I9097" s="82"/>
      <c r="M9097" s="85"/>
    </row>
    <row r="9098" spans="9:13" x14ac:dyDescent="0.3">
      <c r="I9098" s="82"/>
      <c r="M9098" s="85"/>
    </row>
    <row r="9099" spans="9:13" x14ac:dyDescent="0.3">
      <c r="I9099" s="82"/>
      <c r="M9099" s="85"/>
    </row>
    <row r="9100" spans="9:13" x14ac:dyDescent="0.3">
      <c r="I9100" s="82"/>
      <c r="M9100" s="85"/>
    </row>
    <row r="9101" spans="9:13" x14ac:dyDescent="0.3">
      <c r="I9101" s="82"/>
      <c r="M9101" s="85"/>
    </row>
    <row r="9102" spans="9:13" x14ac:dyDescent="0.3">
      <c r="I9102" s="82"/>
      <c r="M9102" s="85"/>
    </row>
    <row r="9103" spans="9:13" x14ac:dyDescent="0.3">
      <c r="I9103" s="82"/>
      <c r="M9103" s="85"/>
    </row>
    <row r="9104" spans="9:13" x14ac:dyDescent="0.3">
      <c r="I9104" s="82"/>
      <c r="M9104" s="85"/>
    </row>
    <row r="9105" spans="9:13" x14ac:dyDescent="0.3">
      <c r="I9105" s="82"/>
      <c r="M9105" s="85"/>
    </row>
    <row r="9106" spans="9:13" x14ac:dyDescent="0.3">
      <c r="I9106" s="82"/>
      <c r="M9106" s="85"/>
    </row>
    <row r="9107" spans="9:13" x14ac:dyDescent="0.3">
      <c r="I9107" s="82"/>
      <c r="M9107" s="85"/>
    </row>
    <row r="9108" spans="9:13" x14ac:dyDescent="0.3">
      <c r="I9108" s="82"/>
      <c r="M9108" s="85"/>
    </row>
    <row r="9109" spans="9:13" x14ac:dyDescent="0.3">
      <c r="I9109" s="82"/>
      <c r="M9109" s="85"/>
    </row>
    <row r="9110" spans="9:13" x14ac:dyDescent="0.3">
      <c r="I9110" s="82"/>
      <c r="M9110" s="85"/>
    </row>
    <row r="9111" spans="9:13" x14ac:dyDescent="0.3">
      <c r="I9111" s="82"/>
      <c r="M9111" s="85"/>
    </row>
    <row r="9112" spans="9:13" x14ac:dyDescent="0.3">
      <c r="I9112" s="82"/>
      <c r="M9112" s="85"/>
    </row>
    <row r="9113" spans="9:13" x14ac:dyDescent="0.3">
      <c r="I9113" s="82"/>
      <c r="M9113" s="85"/>
    </row>
    <row r="9114" spans="9:13" x14ac:dyDescent="0.3">
      <c r="I9114" s="82"/>
      <c r="M9114" s="85"/>
    </row>
    <row r="9115" spans="9:13" x14ac:dyDescent="0.3">
      <c r="I9115" s="82"/>
      <c r="M9115" s="85"/>
    </row>
    <row r="9116" spans="9:13" x14ac:dyDescent="0.3">
      <c r="I9116" s="82"/>
      <c r="M9116" s="85"/>
    </row>
    <row r="9117" spans="9:13" x14ac:dyDescent="0.3">
      <c r="I9117" s="82"/>
      <c r="M9117" s="85"/>
    </row>
    <row r="9118" spans="9:13" x14ac:dyDescent="0.3">
      <c r="I9118" s="82"/>
      <c r="M9118" s="85"/>
    </row>
    <row r="9119" spans="9:13" x14ac:dyDescent="0.3">
      <c r="I9119" s="82"/>
      <c r="M9119" s="85"/>
    </row>
    <row r="9120" spans="9:13" x14ac:dyDescent="0.3">
      <c r="I9120" s="82"/>
      <c r="M9120" s="85"/>
    </row>
    <row r="9121" spans="9:13" x14ac:dyDescent="0.3">
      <c r="I9121" s="82"/>
      <c r="M9121" s="85"/>
    </row>
    <row r="9122" spans="9:13" x14ac:dyDescent="0.3">
      <c r="I9122" s="82"/>
      <c r="M9122" s="85"/>
    </row>
    <row r="9123" spans="9:13" x14ac:dyDescent="0.3">
      <c r="I9123" s="82"/>
      <c r="M9123" s="85"/>
    </row>
    <row r="9124" spans="9:13" x14ac:dyDescent="0.3">
      <c r="I9124" s="82"/>
      <c r="M9124" s="85"/>
    </row>
    <row r="9125" spans="9:13" x14ac:dyDescent="0.3">
      <c r="I9125" s="82"/>
      <c r="M9125" s="85"/>
    </row>
    <row r="9126" spans="9:13" x14ac:dyDescent="0.3">
      <c r="I9126" s="82"/>
      <c r="M9126" s="85"/>
    </row>
    <row r="9127" spans="9:13" x14ac:dyDescent="0.3">
      <c r="I9127" s="82"/>
      <c r="M9127" s="85"/>
    </row>
    <row r="9128" spans="9:13" x14ac:dyDescent="0.3">
      <c r="I9128" s="82"/>
      <c r="M9128" s="85"/>
    </row>
    <row r="9129" spans="9:13" x14ac:dyDescent="0.3">
      <c r="I9129" s="82"/>
      <c r="M9129" s="85"/>
    </row>
    <row r="9130" spans="9:13" x14ac:dyDescent="0.3">
      <c r="I9130" s="82"/>
      <c r="M9130" s="85"/>
    </row>
    <row r="9131" spans="9:13" x14ac:dyDescent="0.3">
      <c r="I9131" s="82"/>
      <c r="M9131" s="85"/>
    </row>
    <row r="9132" spans="9:13" x14ac:dyDescent="0.3">
      <c r="I9132" s="82"/>
      <c r="M9132" s="85"/>
    </row>
    <row r="9133" spans="9:13" x14ac:dyDescent="0.3">
      <c r="I9133" s="82"/>
      <c r="M9133" s="85"/>
    </row>
    <row r="9134" spans="9:13" x14ac:dyDescent="0.3">
      <c r="I9134" s="82"/>
      <c r="M9134" s="85"/>
    </row>
    <row r="9135" spans="9:13" x14ac:dyDescent="0.3">
      <c r="I9135" s="82"/>
      <c r="M9135" s="85"/>
    </row>
    <row r="9136" spans="9:13" x14ac:dyDescent="0.3">
      <c r="I9136" s="82"/>
      <c r="M9136" s="85"/>
    </row>
    <row r="9137" spans="9:13" x14ac:dyDescent="0.3">
      <c r="I9137" s="82"/>
      <c r="M9137" s="85"/>
    </row>
    <row r="9138" spans="9:13" x14ac:dyDescent="0.3">
      <c r="I9138" s="82"/>
      <c r="M9138" s="85"/>
    </row>
    <row r="9139" spans="9:13" x14ac:dyDescent="0.3">
      <c r="I9139" s="82"/>
      <c r="M9139" s="85"/>
    </row>
    <row r="9140" spans="9:13" x14ac:dyDescent="0.3">
      <c r="I9140" s="82"/>
      <c r="M9140" s="85"/>
    </row>
    <row r="9141" spans="9:13" x14ac:dyDescent="0.3">
      <c r="I9141" s="82"/>
      <c r="M9141" s="85"/>
    </row>
    <row r="9142" spans="9:13" x14ac:dyDescent="0.3">
      <c r="I9142" s="82"/>
      <c r="M9142" s="85"/>
    </row>
    <row r="9143" spans="9:13" x14ac:dyDescent="0.3">
      <c r="I9143" s="82"/>
      <c r="M9143" s="85"/>
    </row>
    <row r="9144" spans="9:13" x14ac:dyDescent="0.3">
      <c r="I9144" s="82"/>
      <c r="M9144" s="85"/>
    </row>
    <row r="9145" spans="9:13" x14ac:dyDescent="0.3">
      <c r="I9145" s="82"/>
      <c r="M9145" s="85"/>
    </row>
    <row r="9146" spans="9:13" x14ac:dyDescent="0.3">
      <c r="I9146" s="82"/>
      <c r="M9146" s="85"/>
    </row>
    <row r="9147" spans="9:13" x14ac:dyDescent="0.3">
      <c r="I9147" s="82"/>
      <c r="M9147" s="85"/>
    </row>
    <row r="9148" spans="9:13" x14ac:dyDescent="0.3">
      <c r="I9148" s="82"/>
      <c r="M9148" s="85"/>
    </row>
    <row r="9149" spans="9:13" x14ac:dyDescent="0.3">
      <c r="I9149" s="82"/>
      <c r="M9149" s="85"/>
    </row>
    <row r="9150" spans="9:13" x14ac:dyDescent="0.3">
      <c r="I9150" s="82"/>
      <c r="M9150" s="85"/>
    </row>
    <row r="9151" spans="9:13" x14ac:dyDescent="0.3">
      <c r="I9151" s="82"/>
      <c r="M9151" s="85"/>
    </row>
    <row r="9152" spans="9:13" x14ac:dyDescent="0.3">
      <c r="I9152" s="82"/>
      <c r="M9152" s="85"/>
    </row>
    <row r="9153" spans="9:13" x14ac:dyDescent="0.3">
      <c r="I9153" s="82"/>
      <c r="M9153" s="85"/>
    </row>
    <row r="9154" spans="9:13" x14ac:dyDescent="0.3">
      <c r="I9154" s="82"/>
      <c r="M9154" s="85"/>
    </row>
    <row r="9155" spans="9:13" x14ac:dyDescent="0.3">
      <c r="I9155" s="82"/>
      <c r="M9155" s="85"/>
    </row>
    <row r="9156" spans="9:13" x14ac:dyDescent="0.3">
      <c r="I9156" s="82"/>
      <c r="M9156" s="85"/>
    </row>
    <row r="9157" spans="9:13" x14ac:dyDescent="0.3">
      <c r="I9157" s="82"/>
      <c r="M9157" s="85"/>
    </row>
    <row r="9158" spans="9:13" x14ac:dyDescent="0.3">
      <c r="I9158" s="82"/>
      <c r="M9158" s="85"/>
    </row>
    <row r="9159" spans="9:13" x14ac:dyDescent="0.3">
      <c r="I9159" s="82"/>
      <c r="M9159" s="85"/>
    </row>
    <row r="9160" spans="9:13" x14ac:dyDescent="0.3">
      <c r="I9160" s="82"/>
      <c r="M9160" s="85"/>
    </row>
    <row r="9161" spans="9:13" x14ac:dyDescent="0.3">
      <c r="I9161" s="82"/>
      <c r="M9161" s="85"/>
    </row>
    <row r="9162" spans="9:13" x14ac:dyDescent="0.3">
      <c r="I9162" s="82"/>
      <c r="M9162" s="85"/>
    </row>
    <row r="9163" spans="9:13" x14ac:dyDescent="0.3">
      <c r="I9163" s="82"/>
      <c r="M9163" s="85"/>
    </row>
    <row r="9164" spans="9:13" x14ac:dyDescent="0.3">
      <c r="I9164" s="82"/>
      <c r="M9164" s="85"/>
    </row>
    <row r="9165" spans="9:13" x14ac:dyDescent="0.3">
      <c r="I9165" s="82"/>
      <c r="M9165" s="85"/>
    </row>
    <row r="9166" spans="9:13" x14ac:dyDescent="0.3">
      <c r="I9166" s="82"/>
      <c r="M9166" s="85"/>
    </row>
    <row r="9167" spans="9:13" x14ac:dyDescent="0.3">
      <c r="I9167" s="82"/>
      <c r="M9167" s="85"/>
    </row>
    <row r="9168" spans="9:13" x14ac:dyDescent="0.3">
      <c r="I9168" s="82"/>
      <c r="M9168" s="85"/>
    </row>
    <row r="9169" spans="9:13" x14ac:dyDescent="0.3">
      <c r="I9169" s="82"/>
      <c r="M9169" s="85"/>
    </row>
    <row r="9170" spans="9:13" x14ac:dyDescent="0.3">
      <c r="I9170" s="82"/>
      <c r="M9170" s="85"/>
    </row>
    <row r="9171" spans="9:13" x14ac:dyDescent="0.3">
      <c r="I9171" s="82"/>
      <c r="M9171" s="85"/>
    </row>
    <row r="9172" spans="9:13" x14ac:dyDescent="0.3">
      <c r="I9172" s="82"/>
      <c r="M9172" s="85"/>
    </row>
    <row r="9173" spans="9:13" x14ac:dyDescent="0.3">
      <c r="I9173" s="82"/>
      <c r="M9173" s="85"/>
    </row>
    <row r="9174" spans="9:13" x14ac:dyDescent="0.3">
      <c r="I9174" s="82"/>
      <c r="M9174" s="85"/>
    </row>
    <row r="9175" spans="9:13" x14ac:dyDescent="0.3">
      <c r="I9175" s="82"/>
      <c r="M9175" s="85"/>
    </row>
    <row r="9176" spans="9:13" x14ac:dyDescent="0.3">
      <c r="I9176" s="82"/>
      <c r="M9176" s="85"/>
    </row>
    <row r="9177" spans="9:13" x14ac:dyDescent="0.3">
      <c r="I9177" s="82"/>
      <c r="M9177" s="85"/>
    </row>
    <row r="9178" spans="9:13" x14ac:dyDescent="0.3">
      <c r="I9178" s="82"/>
      <c r="M9178" s="85"/>
    </row>
    <row r="9179" spans="9:13" x14ac:dyDescent="0.3">
      <c r="I9179" s="82"/>
      <c r="M9179" s="85"/>
    </row>
    <row r="9180" spans="9:13" x14ac:dyDescent="0.3">
      <c r="I9180" s="82"/>
      <c r="M9180" s="85"/>
    </row>
    <row r="9181" spans="9:13" x14ac:dyDescent="0.3">
      <c r="I9181" s="82"/>
      <c r="M9181" s="85"/>
    </row>
    <row r="9182" spans="9:13" x14ac:dyDescent="0.3">
      <c r="I9182" s="82"/>
      <c r="M9182" s="85"/>
    </row>
    <row r="9183" spans="9:13" x14ac:dyDescent="0.3">
      <c r="I9183" s="82"/>
      <c r="M9183" s="85"/>
    </row>
    <row r="9184" spans="9:13" x14ac:dyDescent="0.3">
      <c r="I9184" s="82"/>
      <c r="M9184" s="85"/>
    </row>
    <row r="9185" spans="9:13" x14ac:dyDescent="0.3">
      <c r="I9185" s="82"/>
      <c r="M9185" s="85"/>
    </row>
    <row r="9186" spans="9:13" x14ac:dyDescent="0.3">
      <c r="I9186" s="82"/>
      <c r="M9186" s="85"/>
    </row>
    <row r="9187" spans="9:13" x14ac:dyDescent="0.3">
      <c r="I9187" s="82"/>
      <c r="M9187" s="85"/>
    </row>
    <row r="9188" spans="9:13" x14ac:dyDescent="0.3">
      <c r="I9188" s="82"/>
      <c r="M9188" s="85"/>
    </row>
    <row r="9189" spans="9:13" x14ac:dyDescent="0.3">
      <c r="I9189" s="82"/>
      <c r="M9189" s="85"/>
    </row>
    <row r="9190" spans="9:13" x14ac:dyDescent="0.3">
      <c r="I9190" s="82"/>
      <c r="M9190" s="85"/>
    </row>
    <row r="9191" spans="9:13" x14ac:dyDescent="0.3">
      <c r="I9191" s="82"/>
      <c r="M9191" s="85"/>
    </row>
    <row r="9192" spans="9:13" x14ac:dyDescent="0.3">
      <c r="I9192" s="82"/>
      <c r="M9192" s="85"/>
    </row>
    <row r="9193" spans="9:13" x14ac:dyDescent="0.3">
      <c r="I9193" s="82"/>
      <c r="M9193" s="85"/>
    </row>
    <row r="9194" spans="9:13" x14ac:dyDescent="0.3">
      <c r="I9194" s="82"/>
      <c r="M9194" s="85"/>
    </row>
    <row r="9195" spans="9:13" x14ac:dyDescent="0.3">
      <c r="I9195" s="82"/>
      <c r="M9195" s="85"/>
    </row>
    <row r="9196" spans="9:13" x14ac:dyDescent="0.3">
      <c r="I9196" s="82"/>
      <c r="M9196" s="85"/>
    </row>
    <row r="9197" spans="9:13" x14ac:dyDescent="0.3">
      <c r="I9197" s="82"/>
      <c r="M9197" s="85"/>
    </row>
    <row r="9198" spans="9:13" x14ac:dyDescent="0.3">
      <c r="I9198" s="82"/>
      <c r="M9198" s="85"/>
    </row>
    <row r="9199" spans="9:13" x14ac:dyDescent="0.3">
      <c r="I9199" s="82"/>
      <c r="M9199" s="85"/>
    </row>
    <row r="9200" spans="9:13" x14ac:dyDescent="0.3">
      <c r="I9200" s="82"/>
      <c r="M9200" s="85"/>
    </row>
    <row r="9201" spans="9:13" x14ac:dyDescent="0.3">
      <c r="I9201" s="82"/>
      <c r="M9201" s="85"/>
    </row>
    <row r="9202" spans="9:13" x14ac:dyDescent="0.3">
      <c r="I9202" s="82"/>
      <c r="M9202" s="85"/>
    </row>
    <row r="9203" spans="9:13" x14ac:dyDescent="0.3">
      <c r="I9203" s="82"/>
      <c r="M9203" s="85"/>
    </row>
    <row r="9204" spans="9:13" x14ac:dyDescent="0.3">
      <c r="I9204" s="82"/>
      <c r="M9204" s="85"/>
    </row>
    <row r="9205" spans="9:13" x14ac:dyDescent="0.3">
      <c r="I9205" s="82"/>
      <c r="M9205" s="85"/>
    </row>
    <row r="9206" spans="9:13" x14ac:dyDescent="0.3">
      <c r="I9206" s="82"/>
      <c r="M9206" s="85"/>
    </row>
    <row r="9207" spans="9:13" x14ac:dyDescent="0.3">
      <c r="I9207" s="82"/>
      <c r="M9207" s="85"/>
    </row>
    <row r="9208" spans="9:13" x14ac:dyDescent="0.3">
      <c r="I9208" s="82"/>
      <c r="M9208" s="85"/>
    </row>
    <row r="9209" spans="9:13" x14ac:dyDescent="0.3">
      <c r="I9209" s="82"/>
      <c r="M9209" s="85"/>
    </row>
    <row r="9210" spans="9:13" x14ac:dyDescent="0.3">
      <c r="I9210" s="82"/>
      <c r="M9210" s="85"/>
    </row>
    <row r="9211" spans="9:13" x14ac:dyDescent="0.3">
      <c r="I9211" s="82"/>
      <c r="M9211" s="85"/>
    </row>
    <row r="9212" spans="9:13" x14ac:dyDescent="0.3">
      <c r="I9212" s="82"/>
      <c r="M9212" s="85"/>
    </row>
    <row r="9213" spans="9:13" x14ac:dyDescent="0.3">
      <c r="I9213" s="82"/>
      <c r="M9213" s="85"/>
    </row>
    <row r="9214" spans="9:13" x14ac:dyDescent="0.3">
      <c r="I9214" s="82"/>
      <c r="M9214" s="85"/>
    </row>
    <row r="9215" spans="9:13" x14ac:dyDescent="0.3">
      <c r="I9215" s="82"/>
      <c r="M9215" s="85"/>
    </row>
    <row r="9216" spans="9:13" x14ac:dyDescent="0.3">
      <c r="I9216" s="82"/>
      <c r="M9216" s="85"/>
    </row>
    <row r="9217" spans="9:13" x14ac:dyDescent="0.3">
      <c r="I9217" s="82"/>
      <c r="M9217" s="85"/>
    </row>
    <row r="9218" spans="9:13" x14ac:dyDescent="0.3">
      <c r="I9218" s="82"/>
      <c r="M9218" s="85"/>
    </row>
    <row r="9219" spans="9:13" x14ac:dyDescent="0.3">
      <c r="I9219" s="82"/>
      <c r="M9219" s="85"/>
    </row>
    <row r="9220" spans="9:13" x14ac:dyDescent="0.3">
      <c r="I9220" s="82"/>
      <c r="M9220" s="85"/>
    </row>
    <row r="9221" spans="9:13" x14ac:dyDescent="0.3">
      <c r="I9221" s="82"/>
      <c r="M9221" s="85"/>
    </row>
    <row r="9222" spans="9:13" x14ac:dyDescent="0.3">
      <c r="I9222" s="82"/>
      <c r="M9222" s="85"/>
    </row>
    <row r="9223" spans="9:13" x14ac:dyDescent="0.3">
      <c r="I9223" s="82"/>
      <c r="M9223" s="85"/>
    </row>
    <row r="9224" spans="9:13" x14ac:dyDescent="0.3">
      <c r="I9224" s="82"/>
      <c r="M9224" s="85"/>
    </row>
    <row r="9225" spans="9:13" x14ac:dyDescent="0.3">
      <c r="I9225" s="82"/>
      <c r="M9225" s="85"/>
    </row>
    <row r="9226" spans="9:13" x14ac:dyDescent="0.3">
      <c r="I9226" s="82"/>
      <c r="M9226" s="85"/>
    </row>
    <row r="9227" spans="9:13" x14ac:dyDescent="0.3">
      <c r="I9227" s="82"/>
      <c r="M9227" s="85"/>
    </row>
    <row r="9228" spans="9:13" x14ac:dyDescent="0.3">
      <c r="I9228" s="82"/>
      <c r="M9228" s="85"/>
    </row>
    <row r="9229" spans="9:13" x14ac:dyDescent="0.3">
      <c r="I9229" s="82"/>
      <c r="M9229" s="85"/>
    </row>
    <row r="9230" spans="9:13" x14ac:dyDescent="0.3">
      <c r="I9230" s="82"/>
      <c r="M9230" s="85"/>
    </row>
    <row r="9231" spans="9:13" x14ac:dyDescent="0.3">
      <c r="I9231" s="82"/>
      <c r="M9231" s="85"/>
    </row>
    <row r="9232" spans="9:13" x14ac:dyDescent="0.3">
      <c r="I9232" s="82"/>
      <c r="M9232" s="85"/>
    </row>
    <row r="9233" spans="9:13" x14ac:dyDescent="0.3">
      <c r="I9233" s="82"/>
      <c r="M9233" s="85"/>
    </row>
    <row r="9234" spans="9:13" x14ac:dyDescent="0.3">
      <c r="I9234" s="82"/>
      <c r="M9234" s="85"/>
    </row>
    <row r="9235" spans="9:13" x14ac:dyDescent="0.3">
      <c r="I9235" s="82"/>
      <c r="M9235" s="85"/>
    </row>
    <row r="9236" spans="9:13" x14ac:dyDescent="0.3">
      <c r="I9236" s="82"/>
      <c r="M9236" s="85"/>
    </row>
    <row r="9237" spans="9:13" x14ac:dyDescent="0.3">
      <c r="I9237" s="82"/>
      <c r="M9237" s="85"/>
    </row>
    <row r="9238" spans="9:13" x14ac:dyDescent="0.3">
      <c r="I9238" s="82"/>
      <c r="M9238" s="85"/>
    </row>
    <row r="9239" spans="9:13" x14ac:dyDescent="0.3">
      <c r="I9239" s="82"/>
      <c r="M9239" s="85"/>
    </row>
    <row r="9240" spans="9:13" x14ac:dyDescent="0.3">
      <c r="I9240" s="82"/>
      <c r="M9240" s="85"/>
    </row>
    <row r="9241" spans="9:13" x14ac:dyDescent="0.3">
      <c r="I9241" s="82"/>
      <c r="M9241" s="85"/>
    </row>
    <row r="9242" spans="9:13" x14ac:dyDescent="0.3">
      <c r="I9242" s="82"/>
      <c r="M9242" s="85"/>
    </row>
    <row r="9243" spans="9:13" x14ac:dyDescent="0.3">
      <c r="I9243" s="82"/>
      <c r="M9243" s="85"/>
    </row>
    <row r="9244" spans="9:13" x14ac:dyDescent="0.3">
      <c r="I9244" s="82"/>
      <c r="M9244" s="85"/>
    </row>
    <row r="9245" spans="9:13" x14ac:dyDescent="0.3">
      <c r="I9245" s="82"/>
      <c r="M9245" s="85"/>
    </row>
    <row r="9246" spans="9:13" x14ac:dyDescent="0.3">
      <c r="I9246" s="82"/>
      <c r="M9246" s="85"/>
    </row>
    <row r="9247" spans="9:13" x14ac:dyDescent="0.3">
      <c r="I9247" s="82"/>
      <c r="M9247" s="85"/>
    </row>
    <row r="9248" spans="9:13" x14ac:dyDescent="0.3">
      <c r="I9248" s="82"/>
      <c r="M9248" s="85"/>
    </row>
    <row r="9249" spans="9:13" x14ac:dyDescent="0.3">
      <c r="I9249" s="82"/>
      <c r="M9249" s="85"/>
    </row>
    <row r="9250" spans="9:13" x14ac:dyDescent="0.3">
      <c r="I9250" s="82"/>
      <c r="M9250" s="85"/>
    </row>
    <row r="9251" spans="9:13" x14ac:dyDescent="0.3">
      <c r="I9251" s="82"/>
      <c r="M9251" s="85"/>
    </row>
    <row r="9252" spans="9:13" x14ac:dyDescent="0.3">
      <c r="I9252" s="82"/>
      <c r="M9252" s="85"/>
    </row>
    <row r="9253" spans="9:13" x14ac:dyDescent="0.3">
      <c r="I9253" s="82"/>
      <c r="M9253" s="85"/>
    </row>
    <row r="9254" spans="9:13" x14ac:dyDescent="0.3">
      <c r="I9254" s="82"/>
      <c r="M9254" s="85"/>
    </row>
    <row r="9255" spans="9:13" x14ac:dyDescent="0.3">
      <c r="I9255" s="82"/>
      <c r="M9255" s="85"/>
    </row>
    <row r="9256" spans="9:13" x14ac:dyDescent="0.3">
      <c r="I9256" s="82"/>
      <c r="M9256" s="85"/>
    </row>
    <row r="9257" spans="9:13" x14ac:dyDescent="0.3">
      <c r="I9257" s="82"/>
      <c r="M9257" s="85"/>
    </row>
    <row r="9258" spans="9:13" x14ac:dyDescent="0.3">
      <c r="I9258" s="82"/>
      <c r="M9258" s="85"/>
    </row>
    <row r="9259" spans="9:13" x14ac:dyDescent="0.3">
      <c r="I9259" s="82"/>
      <c r="M9259" s="85"/>
    </row>
    <row r="9260" spans="9:13" x14ac:dyDescent="0.3">
      <c r="I9260" s="82"/>
      <c r="M9260" s="85"/>
    </row>
    <row r="9261" spans="9:13" x14ac:dyDescent="0.3">
      <c r="I9261" s="82"/>
      <c r="M9261" s="85"/>
    </row>
    <row r="9262" spans="9:13" x14ac:dyDescent="0.3">
      <c r="I9262" s="82"/>
      <c r="M9262" s="85"/>
    </row>
    <row r="9263" spans="9:13" x14ac:dyDescent="0.3">
      <c r="I9263" s="82"/>
      <c r="M9263" s="85"/>
    </row>
    <row r="9264" spans="9:13" x14ac:dyDescent="0.3">
      <c r="I9264" s="82"/>
      <c r="M9264" s="85"/>
    </row>
    <row r="9265" spans="9:13" x14ac:dyDescent="0.3">
      <c r="I9265" s="82"/>
      <c r="M9265" s="85"/>
    </row>
    <row r="9266" spans="9:13" x14ac:dyDescent="0.3">
      <c r="I9266" s="82"/>
      <c r="M9266" s="85"/>
    </row>
    <row r="9267" spans="9:13" x14ac:dyDescent="0.3">
      <c r="I9267" s="82"/>
      <c r="M9267" s="85"/>
    </row>
    <row r="9268" spans="9:13" x14ac:dyDescent="0.3">
      <c r="I9268" s="82"/>
      <c r="M9268" s="85"/>
    </row>
    <row r="9269" spans="9:13" x14ac:dyDescent="0.3">
      <c r="I9269" s="82"/>
      <c r="M9269" s="85"/>
    </row>
    <row r="9270" spans="9:13" x14ac:dyDescent="0.3">
      <c r="I9270" s="82"/>
      <c r="M9270" s="85"/>
    </row>
    <row r="9271" spans="9:13" x14ac:dyDescent="0.3">
      <c r="I9271" s="82"/>
      <c r="M9271" s="85"/>
    </row>
    <row r="9272" spans="9:13" x14ac:dyDescent="0.3">
      <c r="I9272" s="82"/>
      <c r="M9272" s="85"/>
    </row>
    <row r="9273" spans="9:13" x14ac:dyDescent="0.3">
      <c r="I9273" s="82"/>
      <c r="M9273" s="85"/>
    </row>
    <row r="9274" spans="9:13" x14ac:dyDescent="0.3">
      <c r="I9274" s="82"/>
      <c r="M9274" s="85"/>
    </row>
    <row r="9275" spans="9:13" x14ac:dyDescent="0.3">
      <c r="I9275" s="82"/>
      <c r="M9275" s="85"/>
    </row>
    <row r="9276" spans="9:13" x14ac:dyDescent="0.3">
      <c r="I9276" s="82"/>
      <c r="M9276" s="85"/>
    </row>
    <row r="9277" spans="9:13" x14ac:dyDescent="0.3">
      <c r="I9277" s="82"/>
      <c r="M9277" s="85"/>
    </row>
    <row r="9278" spans="9:13" x14ac:dyDescent="0.3">
      <c r="I9278" s="82"/>
      <c r="M9278" s="85"/>
    </row>
    <row r="9279" spans="9:13" x14ac:dyDescent="0.3">
      <c r="I9279" s="82"/>
      <c r="M9279" s="85"/>
    </row>
    <row r="9280" spans="9:13" x14ac:dyDescent="0.3">
      <c r="I9280" s="82"/>
      <c r="M9280" s="85"/>
    </row>
    <row r="9281" spans="9:13" x14ac:dyDescent="0.3">
      <c r="I9281" s="82"/>
      <c r="M9281" s="85"/>
    </row>
    <row r="9282" spans="9:13" x14ac:dyDescent="0.3">
      <c r="I9282" s="82"/>
      <c r="M9282" s="85"/>
    </row>
    <row r="9283" spans="9:13" x14ac:dyDescent="0.3">
      <c r="I9283" s="82"/>
      <c r="M9283" s="85"/>
    </row>
    <row r="9284" spans="9:13" x14ac:dyDescent="0.3">
      <c r="I9284" s="82"/>
      <c r="M9284" s="85"/>
    </row>
    <row r="9285" spans="9:13" x14ac:dyDescent="0.3">
      <c r="I9285" s="82"/>
      <c r="M9285" s="85"/>
    </row>
    <row r="9286" spans="9:13" x14ac:dyDescent="0.3">
      <c r="I9286" s="82"/>
      <c r="M9286" s="85"/>
    </row>
    <row r="9287" spans="9:13" x14ac:dyDescent="0.3">
      <c r="I9287" s="82"/>
      <c r="M9287" s="85"/>
    </row>
    <row r="9288" spans="9:13" x14ac:dyDescent="0.3">
      <c r="I9288" s="82"/>
      <c r="M9288" s="85"/>
    </row>
    <row r="9289" spans="9:13" x14ac:dyDescent="0.3">
      <c r="I9289" s="82"/>
      <c r="M9289" s="85"/>
    </row>
    <row r="9290" spans="9:13" x14ac:dyDescent="0.3">
      <c r="I9290" s="82"/>
      <c r="M9290" s="85"/>
    </row>
    <row r="9291" spans="9:13" x14ac:dyDescent="0.3">
      <c r="I9291" s="82"/>
      <c r="M9291" s="85"/>
    </row>
    <row r="9292" spans="9:13" x14ac:dyDescent="0.3">
      <c r="I9292" s="82"/>
      <c r="M9292" s="85"/>
    </row>
    <row r="9293" spans="9:13" x14ac:dyDescent="0.3">
      <c r="I9293" s="82"/>
      <c r="M9293" s="85"/>
    </row>
    <row r="9294" spans="9:13" x14ac:dyDescent="0.3">
      <c r="I9294" s="82"/>
      <c r="M9294" s="85"/>
    </row>
    <row r="9295" spans="9:13" x14ac:dyDescent="0.3">
      <c r="I9295" s="82"/>
      <c r="M9295" s="85"/>
    </row>
    <row r="9296" spans="9:13" x14ac:dyDescent="0.3">
      <c r="I9296" s="82"/>
      <c r="M9296" s="85"/>
    </row>
    <row r="9297" spans="9:13" x14ac:dyDescent="0.3">
      <c r="I9297" s="82"/>
      <c r="M9297" s="85"/>
    </row>
    <row r="9298" spans="9:13" x14ac:dyDescent="0.3">
      <c r="I9298" s="82"/>
      <c r="M9298" s="85"/>
    </row>
    <row r="9299" spans="9:13" x14ac:dyDescent="0.3">
      <c r="I9299" s="82"/>
      <c r="M9299" s="85"/>
    </row>
    <row r="9300" spans="9:13" x14ac:dyDescent="0.3">
      <c r="I9300" s="82"/>
      <c r="M9300" s="85"/>
    </row>
    <row r="9301" spans="9:13" x14ac:dyDescent="0.3">
      <c r="I9301" s="82"/>
      <c r="M9301" s="85"/>
    </row>
    <row r="9302" spans="9:13" x14ac:dyDescent="0.3">
      <c r="I9302" s="82"/>
      <c r="M9302" s="85"/>
    </row>
    <row r="9303" spans="9:13" x14ac:dyDescent="0.3">
      <c r="I9303" s="82"/>
      <c r="M9303" s="85"/>
    </row>
    <row r="9304" spans="9:13" x14ac:dyDescent="0.3">
      <c r="I9304" s="82"/>
      <c r="M9304" s="85"/>
    </row>
    <row r="9305" spans="9:13" x14ac:dyDescent="0.3">
      <c r="I9305" s="82"/>
      <c r="M9305" s="85"/>
    </row>
    <row r="9306" spans="9:13" x14ac:dyDescent="0.3">
      <c r="I9306" s="82"/>
      <c r="M9306" s="85"/>
    </row>
    <row r="9307" spans="9:13" x14ac:dyDescent="0.3">
      <c r="I9307" s="82"/>
      <c r="M9307" s="85"/>
    </row>
    <row r="9308" spans="9:13" x14ac:dyDescent="0.3">
      <c r="I9308" s="82"/>
      <c r="M9308" s="85"/>
    </row>
    <row r="9309" spans="9:13" x14ac:dyDescent="0.3">
      <c r="I9309" s="82"/>
      <c r="M9309" s="85"/>
    </row>
    <row r="9310" spans="9:13" x14ac:dyDescent="0.3">
      <c r="I9310" s="82"/>
      <c r="M9310" s="85"/>
    </row>
    <row r="9311" spans="9:13" x14ac:dyDescent="0.3">
      <c r="I9311" s="82"/>
      <c r="M9311" s="85"/>
    </row>
    <row r="9312" spans="9:13" x14ac:dyDescent="0.3">
      <c r="I9312" s="82"/>
      <c r="M9312" s="85"/>
    </row>
    <row r="9313" spans="9:13" x14ac:dyDescent="0.3">
      <c r="I9313" s="82"/>
      <c r="M9313" s="85"/>
    </row>
    <row r="9314" spans="9:13" x14ac:dyDescent="0.3">
      <c r="I9314" s="82"/>
      <c r="M9314" s="85"/>
    </row>
    <row r="9315" spans="9:13" x14ac:dyDescent="0.3">
      <c r="I9315" s="82"/>
      <c r="M9315" s="85"/>
    </row>
    <row r="9316" spans="9:13" x14ac:dyDescent="0.3">
      <c r="I9316" s="82"/>
      <c r="M9316" s="85"/>
    </row>
    <row r="9317" spans="9:13" x14ac:dyDescent="0.3">
      <c r="I9317" s="82"/>
      <c r="M9317" s="85"/>
    </row>
    <row r="9318" spans="9:13" x14ac:dyDescent="0.3">
      <c r="I9318" s="82"/>
      <c r="M9318" s="85"/>
    </row>
    <row r="9319" spans="9:13" x14ac:dyDescent="0.3">
      <c r="I9319" s="82"/>
      <c r="M9319" s="85"/>
    </row>
    <row r="9320" spans="9:13" x14ac:dyDescent="0.3">
      <c r="I9320" s="82"/>
      <c r="M9320" s="85"/>
    </row>
    <row r="9321" spans="9:13" x14ac:dyDescent="0.3">
      <c r="I9321" s="82"/>
      <c r="M9321" s="85"/>
    </row>
    <row r="9322" spans="9:13" x14ac:dyDescent="0.3">
      <c r="I9322" s="82"/>
      <c r="M9322" s="85"/>
    </row>
    <row r="9323" spans="9:13" x14ac:dyDescent="0.3">
      <c r="I9323" s="82"/>
      <c r="M9323" s="85"/>
    </row>
    <row r="9324" spans="9:13" x14ac:dyDescent="0.3">
      <c r="I9324" s="82"/>
      <c r="M9324" s="85"/>
    </row>
    <row r="9325" spans="9:13" x14ac:dyDescent="0.3">
      <c r="I9325" s="82"/>
      <c r="M9325" s="85"/>
    </row>
    <row r="9326" spans="9:13" x14ac:dyDescent="0.3">
      <c r="I9326" s="82"/>
      <c r="M9326" s="85"/>
    </row>
    <row r="9327" spans="9:13" x14ac:dyDescent="0.3">
      <c r="I9327" s="82"/>
      <c r="M9327" s="85"/>
    </row>
    <row r="9328" spans="9:13" x14ac:dyDescent="0.3">
      <c r="I9328" s="82"/>
      <c r="M9328" s="85"/>
    </row>
    <row r="9329" spans="9:13" x14ac:dyDescent="0.3">
      <c r="I9329" s="82"/>
      <c r="M9329" s="85"/>
    </row>
    <row r="9330" spans="9:13" x14ac:dyDescent="0.3">
      <c r="I9330" s="82"/>
      <c r="M9330" s="85"/>
    </row>
    <row r="9331" spans="9:13" x14ac:dyDescent="0.3">
      <c r="I9331" s="82"/>
      <c r="M9331" s="85"/>
    </row>
    <row r="9332" spans="9:13" x14ac:dyDescent="0.3">
      <c r="I9332" s="82"/>
      <c r="M9332" s="85"/>
    </row>
    <row r="9333" spans="9:13" x14ac:dyDescent="0.3">
      <c r="I9333" s="82"/>
      <c r="M9333" s="85"/>
    </row>
    <row r="9334" spans="9:13" x14ac:dyDescent="0.3">
      <c r="I9334" s="82"/>
      <c r="M9334" s="85"/>
    </row>
    <row r="9335" spans="9:13" x14ac:dyDescent="0.3">
      <c r="I9335" s="82"/>
      <c r="M9335" s="85"/>
    </row>
    <row r="9336" spans="9:13" x14ac:dyDescent="0.3">
      <c r="I9336" s="82"/>
      <c r="M9336" s="85"/>
    </row>
    <row r="9337" spans="9:13" x14ac:dyDescent="0.3">
      <c r="I9337" s="82"/>
      <c r="M9337" s="85"/>
    </row>
    <row r="9338" spans="9:13" x14ac:dyDescent="0.3">
      <c r="I9338" s="82"/>
      <c r="M9338" s="85"/>
    </row>
    <row r="9339" spans="9:13" x14ac:dyDescent="0.3">
      <c r="I9339" s="82"/>
      <c r="M9339" s="85"/>
    </row>
    <row r="9340" spans="9:13" x14ac:dyDescent="0.3">
      <c r="I9340" s="82"/>
      <c r="M9340" s="85"/>
    </row>
    <row r="9341" spans="9:13" x14ac:dyDescent="0.3">
      <c r="I9341" s="82"/>
      <c r="M9341" s="85"/>
    </row>
    <row r="9342" spans="9:13" x14ac:dyDescent="0.3">
      <c r="I9342" s="82"/>
      <c r="M9342" s="85"/>
    </row>
    <row r="9343" spans="9:13" x14ac:dyDescent="0.3">
      <c r="I9343" s="82"/>
      <c r="M9343" s="85"/>
    </row>
    <row r="9344" spans="9:13" x14ac:dyDescent="0.3">
      <c r="I9344" s="82"/>
      <c r="M9344" s="85"/>
    </row>
    <row r="9345" spans="9:13" x14ac:dyDescent="0.3">
      <c r="I9345" s="82"/>
      <c r="M9345" s="85"/>
    </row>
    <row r="9346" spans="9:13" x14ac:dyDescent="0.3">
      <c r="I9346" s="82"/>
      <c r="M9346" s="85"/>
    </row>
    <row r="9347" spans="9:13" x14ac:dyDescent="0.3">
      <c r="I9347" s="82"/>
      <c r="M9347" s="85"/>
    </row>
    <row r="9348" spans="9:13" x14ac:dyDescent="0.3">
      <c r="I9348" s="82"/>
      <c r="M9348" s="85"/>
    </row>
    <row r="9349" spans="9:13" x14ac:dyDescent="0.3">
      <c r="I9349" s="82"/>
      <c r="M9349" s="85"/>
    </row>
    <row r="9350" spans="9:13" x14ac:dyDescent="0.3">
      <c r="I9350" s="82"/>
      <c r="M9350" s="85"/>
    </row>
    <row r="9351" spans="9:13" x14ac:dyDescent="0.3">
      <c r="I9351" s="82"/>
      <c r="M9351" s="85"/>
    </row>
    <row r="9352" spans="9:13" x14ac:dyDescent="0.3">
      <c r="I9352" s="82"/>
      <c r="M9352" s="85"/>
    </row>
    <row r="9353" spans="9:13" x14ac:dyDescent="0.3">
      <c r="I9353" s="82"/>
      <c r="M9353" s="85"/>
    </row>
    <row r="9354" spans="9:13" x14ac:dyDescent="0.3">
      <c r="I9354" s="82"/>
      <c r="M9354" s="85"/>
    </row>
    <row r="9355" spans="9:13" x14ac:dyDescent="0.3">
      <c r="I9355" s="82"/>
      <c r="M9355" s="85"/>
    </row>
    <row r="9356" spans="9:13" x14ac:dyDescent="0.3">
      <c r="I9356" s="82"/>
      <c r="M9356" s="85"/>
    </row>
    <row r="9357" spans="9:13" x14ac:dyDescent="0.3">
      <c r="I9357" s="82"/>
      <c r="M9357" s="85"/>
    </row>
    <row r="9358" spans="9:13" x14ac:dyDescent="0.3">
      <c r="I9358" s="82"/>
      <c r="M9358" s="85"/>
    </row>
    <row r="9359" spans="9:13" x14ac:dyDescent="0.3">
      <c r="I9359" s="82"/>
      <c r="M9359" s="85"/>
    </row>
    <row r="9360" spans="9:13" x14ac:dyDescent="0.3">
      <c r="I9360" s="82"/>
      <c r="M9360" s="85"/>
    </row>
    <row r="9361" spans="9:13" x14ac:dyDescent="0.3">
      <c r="I9361" s="82"/>
      <c r="M9361" s="85"/>
    </row>
    <row r="9362" spans="9:13" x14ac:dyDescent="0.3">
      <c r="I9362" s="82"/>
      <c r="M9362" s="85"/>
    </row>
    <row r="9363" spans="9:13" x14ac:dyDescent="0.3">
      <c r="I9363" s="82"/>
      <c r="M9363" s="85"/>
    </row>
    <row r="9364" spans="9:13" x14ac:dyDescent="0.3">
      <c r="I9364" s="82"/>
      <c r="M9364" s="85"/>
    </row>
    <row r="9365" spans="9:13" x14ac:dyDescent="0.3">
      <c r="I9365" s="82"/>
      <c r="M9365" s="85"/>
    </row>
    <row r="9366" spans="9:13" x14ac:dyDescent="0.3">
      <c r="I9366" s="82"/>
      <c r="M9366" s="85"/>
    </row>
    <row r="9367" spans="9:13" x14ac:dyDescent="0.3">
      <c r="I9367" s="82"/>
      <c r="M9367" s="85"/>
    </row>
    <row r="9368" spans="9:13" x14ac:dyDescent="0.3">
      <c r="I9368" s="82"/>
      <c r="M9368" s="85"/>
    </row>
    <row r="9369" spans="9:13" x14ac:dyDescent="0.3">
      <c r="I9369" s="82"/>
      <c r="M9369" s="85"/>
    </row>
    <row r="9370" spans="9:13" x14ac:dyDescent="0.3">
      <c r="I9370" s="82"/>
      <c r="M9370" s="85"/>
    </row>
    <row r="9371" spans="9:13" x14ac:dyDescent="0.3">
      <c r="I9371" s="82"/>
      <c r="M9371" s="85"/>
    </row>
    <row r="9372" spans="9:13" x14ac:dyDescent="0.3">
      <c r="I9372" s="82"/>
      <c r="M9372" s="85"/>
    </row>
    <row r="9373" spans="9:13" x14ac:dyDescent="0.3">
      <c r="I9373" s="82"/>
      <c r="M9373" s="85"/>
    </row>
    <row r="9374" spans="9:13" x14ac:dyDescent="0.3">
      <c r="I9374" s="82"/>
      <c r="M9374" s="85"/>
    </row>
    <row r="9375" spans="9:13" x14ac:dyDescent="0.3">
      <c r="I9375" s="82"/>
      <c r="M9375" s="85"/>
    </row>
    <row r="9376" spans="9:13" x14ac:dyDescent="0.3">
      <c r="I9376" s="82"/>
      <c r="M9376" s="85"/>
    </row>
    <row r="9377" spans="9:13" x14ac:dyDescent="0.3">
      <c r="I9377" s="82"/>
      <c r="M9377" s="85"/>
    </row>
    <row r="9378" spans="9:13" x14ac:dyDescent="0.3">
      <c r="I9378" s="82"/>
      <c r="M9378" s="85"/>
    </row>
    <row r="9379" spans="9:13" x14ac:dyDescent="0.3">
      <c r="I9379" s="82"/>
      <c r="M9379" s="85"/>
    </row>
    <row r="9380" spans="9:13" x14ac:dyDescent="0.3">
      <c r="I9380" s="82"/>
      <c r="M9380" s="85"/>
    </row>
    <row r="9381" spans="9:13" x14ac:dyDescent="0.3">
      <c r="I9381" s="82"/>
      <c r="M9381" s="85"/>
    </row>
    <row r="9382" spans="9:13" x14ac:dyDescent="0.3">
      <c r="I9382" s="82"/>
      <c r="M9382" s="85"/>
    </row>
    <row r="9383" spans="9:13" x14ac:dyDescent="0.3">
      <c r="I9383" s="82"/>
      <c r="M9383" s="85"/>
    </row>
    <row r="9384" spans="9:13" x14ac:dyDescent="0.3">
      <c r="I9384" s="82"/>
      <c r="M9384" s="85"/>
    </row>
    <row r="9385" spans="9:13" x14ac:dyDescent="0.3">
      <c r="I9385" s="82"/>
      <c r="M9385" s="85"/>
    </row>
    <row r="9386" spans="9:13" x14ac:dyDescent="0.3">
      <c r="I9386" s="82"/>
      <c r="M9386" s="85"/>
    </row>
    <row r="9387" spans="9:13" x14ac:dyDescent="0.3">
      <c r="I9387" s="82"/>
      <c r="M9387" s="85"/>
    </row>
    <row r="9388" spans="9:13" x14ac:dyDescent="0.3">
      <c r="I9388" s="82"/>
      <c r="M9388" s="85"/>
    </row>
    <row r="9389" spans="9:13" x14ac:dyDescent="0.3">
      <c r="I9389" s="82"/>
      <c r="M9389" s="85"/>
    </row>
    <row r="9390" spans="9:13" x14ac:dyDescent="0.3">
      <c r="I9390" s="82"/>
      <c r="M9390" s="85"/>
    </row>
    <row r="9391" spans="9:13" x14ac:dyDescent="0.3">
      <c r="I9391" s="82"/>
      <c r="M9391" s="85"/>
    </row>
    <row r="9392" spans="9:13" x14ac:dyDescent="0.3">
      <c r="I9392" s="82"/>
      <c r="M9392" s="85"/>
    </row>
    <row r="9393" spans="9:13" x14ac:dyDescent="0.3">
      <c r="I9393" s="82"/>
      <c r="M9393" s="85"/>
    </row>
    <row r="9394" spans="9:13" x14ac:dyDescent="0.3">
      <c r="I9394" s="82"/>
      <c r="M9394" s="85"/>
    </row>
    <row r="9395" spans="9:13" x14ac:dyDescent="0.3">
      <c r="I9395" s="82"/>
      <c r="M9395" s="85"/>
    </row>
    <row r="9396" spans="9:13" x14ac:dyDescent="0.3">
      <c r="I9396" s="82"/>
      <c r="M9396" s="85"/>
    </row>
    <row r="9397" spans="9:13" x14ac:dyDescent="0.3">
      <c r="I9397" s="82"/>
      <c r="M9397" s="85"/>
    </row>
    <row r="9398" spans="9:13" x14ac:dyDescent="0.3">
      <c r="I9398" s="82"/>
      <c r="M9398" s="85"/>
    </row>
    <row r="9399" spans="9:13" x14ac:dyDescent="0.3">
      <c r="I9399" s="82"/>
      <c r="M9399" s="85"/>
    </row>
    <row r="9400" spans="9:13" x14ac:dyDescent="0.3">
      <c r="I9400" s="82"/>
      <c r="M9400" s="85"/>
    </row>
    <row r="9401" spans="9:13" x14ac:dyDescent="0.3">
      <c r="I9401" s="82"/>
      <c r="M9401" s="85"/>
    </row>
    <row r="9402" spans="9:13" x14ac:dyDescent="0.3">
      <c r="I9402" s="82"/>
      <c r="M9402" s="85"/>
    </row>
    <row r="9403" spans="9:13" x14ac:dyDescent="0.3">
      <c r="I9403" s="82"/>
      <c r="M9403" s="85"/>
    </row>
    <row r="9404" spans="9:13" x14ac:dyDescent="0.3">
      <c r="I9404" s="82"/>
      <c r="M9404" s="85"/>
    </row>
    <row r="9405" spans="9:13" x14ac:dyDescent="0.3">
      <c r="I9405" s="82"/>
      <c r="M9405" s="85"/>
    </row>
    <row r="9406" spans="9:13" x14ac:dyDescent="0.3">
      <c r="I9406" s="82"/>
      <c r="M9406" s="85"/>
    </row>
    <row r="9407" spans="9:13" x14ac:dyDescent="0.3">
      <c r="I9407" s="82"/>
      <c r="M9407" s="85"/>
    </row>
    <row r="9408" spans="9:13" x14ac:dyDescent="0.3">
      <c r="I9408" s="82"/>
      <c r="M9408" s="85"/>
    </row>
    <row r="9409" spans="9:13" x14ac:dyDescent="0.3">
      <c r="I9409" s="82"/>
      <c r="M9409" s="85"/>
    </row>
    <row r="9410" spans="9:13" x14ac:dyDescent="0.3">
      <c r="I9410" s="82"/>
      <c r="M9410" s="85"/>
    </row>
    <row r="9411" spans="9:13" x14ac:dyDescent="0.3">
      <c r="I9411" s="82"/>
      <c r="M9411" s="85"/>
    </row>
    <row r="9412" spans="9:13" x14ac:dyDescent="0.3">
      <c r="I9412" s="82"/>
      <c r="M9412" s="85"/>
    </row>
    <row r="9413" spans="9:13" x14ac:dyDescent="0.3">
      <c r="I9413" s="82"/>
      <c r="M9413" s="85"/>
    </row>
    <row r="9414" spans="9:13" x14ac:dyDescent="0.3">
      <c r="I9414" s="82"/>
      <c r="M9414" s="85"/>
    </row>
    <row r="9415" spans="9:13" x14ac:dyDescent="0.3">
      <c r="I9415" s="82"/>
      <c r="M9415" s="85"/>
    </row>
    <row r="9416" spans="9:13" x14ac:dyDescent="0.3">
      <c r="I9416" s="82"/>
      <c r="M9416" s="85"/>
    </row>
    <row r="9417" spans="9:13" x14ac:dyDescent="0.3">
      <c r="I9417" s="82"/>
      <c r="M9417" s="85"/>
    </row>
    <row r="9418" spans="9:13" x14ac:dyDescent="0.3">
      <c r="I9418" s="82"/>
      <c r="M9418" s="85"/>
    </row>
    <row r="9419" spans="9:13" x14ac:dyDescent="0.3">
      <c r="I9419" s="82"/>
      <c r="M9419" s="85"/>
    </row>
    <row r="9420" spans="9:13" x14ac:dyDescent="0.3">
      <c r="I9420" s="82"/>
      <c r="M9420" s="85"/>
    </row>
    <row r="9421" spans="9:13" x14ac:dyDescent="0.3">
      <c r="I9421" s="82"/>
      <c r="M9421" s="85"/>
    </row>
    <row r="9422" spans="9:13" x14ac:dyDescent="0.3">
      <c r="I9422" s="82"/>
      <c r="M9422" s="85"/>
    </row>
    <row r="9423" spans="9:13" x14ac:dyDescent="0.3">
      <c r="I9423" s="82"/>
      <c r="M9423" s="85"/>
    </row>
    <row r="9424" spans="9:13" x14ac:dyDescent="0.3">
      <c r="I9424" s="82"/>
      <c r="M9424" s="85"/>
    </row>
    <row r="9425" spans="9:13" x14ac:dyDescent="0.3">
      <c r="I9425" s="82"/>
      <c r="M9425" s="85"/>
    </row>
    <row r="9426" spans="9:13" x14ac:dyDescent="0.3">
      <c r="I9426" s="82"/>
      <c r="M9426" s="85"/>
    </row>
    <row r="9427" spans="9:13" x14ac:dyDescent="0.3">
      <c r="I9427" s="82"/>
      <c r="M9427" s="85"/>
    </row>
    <row r="9428" spans="9:13" x14ac:dyDescent="0.3">
      <c r="I9428" s="82"/>
      <c r="M9428" s="85"/>
    </row>
    <row r="9429" spans="9:13" x14ac:dyDescent="0.3">
      <c r="I9429" s="82"/>
      <c r="M9429" s="85"/>
    </row>
    <row r="9430" spans="9:13" x14ac:dyDescent="0.3">
      <c r="I9430" s="82"/>
      <c r="M9430" s="85"/>
    </row>
    <row r="9431" spans="9:13" x14ac:dyDescent="0.3">
      <c r="I9431" s="82"/>
      <c r="M9431" s="85"/>
    </row>
    <row r="9432" spans="9:13" x14ac:dyDescent="0.3">
      <c r="I9432" s="82"/>
      <c r="M9432" s="85"/>
    </row>
    <row r="9433" spans="9:13" x14ac:dyDescent="0.3">
      <c r="I9433" s="82"/>
      <c r="M9433" s="85"/>
    </row>
    <row r="9434" spans="9:13" x14ac:dyDescent="0.3">
      <c r="I9434" s="82"/>
      <c r="M9434" s="85"/>
    </row>
    <row r="9435" spans="9:13" x14ac:dyDescent="0.3">
      <c r="I9435" s="82"/>
      <c r="M9435" s="85"/>
    </row>
    <row r="9436" spans="9:13" x14ac:dyDescent="0.3">
      <c r="I9436" s="82"/>
      <c r="M9436" s="85"/>
    </row>
    <row r="9437" spans="9:13" x14ac:dyDescent="0.3">
      <c r="I9437" s="82"/>
      <c r="M9437" s="85"/>
    </row>
    <row r="9438" spans="9:13" x14ac:dyDescent="0.3">
      <c r="I9438" s="82"/>
      <c r="M9438" s="85"/>
    </row>
    <row r="9439" spans="9:13" x14ac:dyDescent="0.3">
      <c r="I9439" s="82"/>
      <c r="M9439" s="85"/>
    </row>
    <row r="9440" spans="9:13" x14ac:dyDescent="0.3">
      <c r="I9440" s="82"/>
      <c r="M9440" s="85"/>
    </row>
    <row r="9441" spans="9:13" x14ac:dyDescent="0.3">
      <c r="I9441" s="82"/>
      <c r="M9441" s="85"/>
    </row>
    <row r="9442" spans="9:13" x14ac:dyDescent="0.3">
      <c r="I9442" s="82"/>
      <c r="M9442" s="85"/>
    </row>
    <row r="9443" spans="9:13" x14ac:dyDescent="0.3">
      <c r="I9443" s="82"/>
      <c r="M9443" s="85"/>
    </row>
    <row r="9444" spans="9:13" x14ac:dyDescent="0.3">
      <c r="I9444" s="82"/>
      <c r="M9444" s="85"/>
    </row>
    <row r="9445" spans="9:13" x14ac:dyDescent="0.3">
      <c r="I9445" s="82"/>
      <c r="M9445" s="85"/>
    </row>
    <row r="9446" spans="9:13" x14ac:dyDescent="0.3">
      <c r="I9446" s="82"/>
      <c r="M9446" s="85"/>
    </row>
    <row r="9447" spans="9:13" x14ac:dyDescent="0.3">
      <c r="I9447" s="82"/>
      <c r="M9447" s="85"/>
    </row>
    <row r="9448" spans="9:13" x14ac:dyDescent="0.3">
      <c r="I9448" s="82"/>
      <c r="M9448" s="85"/>
    </row>
    <row r="9449" spans="9:13" x14ac:dyDescent="0.3">
      <c r="I9449" s="82"/>
      <c r="M9449" s="85"/>
    </row>
    <row r="9450" spans="9:13" x14ac:dyDescent="0.3">
      <c r="I9450" s="82"/>
      <c r="M9450" s="85"/>
    </row>
    <row r="9451" spans="9:13" x14ac:dyDescent="0.3">
      <c r="I9451" s="82"/>
      <c r="M9451" s="85"/>
    </row>
    <row r="9452" spans="9:13" x14ac:dyDescent="0.3">
      <c r="I9452" s="82"/>
      <c r="M9452" s="85"/>
    </row>
    <row r="9453" spans="9:13" x14ac:dyDescent="0.3">
      <c r="I9453" s="82"/>
      <c r="M9453" s="85"/>
    </row>
    <row r="9454" spans="9:13" x14ac:dyDescent="0.3">
      <c r="I9454" s="82"/>
      <c r="M9454" s="85"/>
    </row>
    <row r="9455" spans="9:13" x14ac:dyDescent="0.3">
      <c r="I9455" s="82"/>
      <c r="M9455" s="85"/>
    </row>
    <row r="9456" spans="9:13" x14ac:dyDescent="0.3">
      <c r="I9456" s="82"/>
      <c r="M9456" s="85"/>
    </row>
    <row r="9457" spans="9:13" x14ac:dyDescent="0.3">
      <c r="I9457" s="82"/>
      <c r="M9457" s="85"/>
    </row>
    <row r="9458" spans="9:13" x14ac:dyDescent="0.3">
      <c r="I9458" s="82"/>
      <c r="M9458" s="85"/>
    </row>
    <row r="9459" spans="9:13" x14ac:dyDescent="0.3">
      <c r="I9459" s="82"/>
      <c r="M9459" s="85"/>
    </row>
    <row r="9460" spans="9:13" x14ac:dyDescent="0.3">
      <c r="I9460" s="82"/>
      <c r="M9460" s="85"/>
    </row>
    <row r="9461" spans="9:13" x14ac:dyDescent="0.3">
      <c r="I9461" s="82"/>
      <c r="M9461" s="85"/>
    </row>
    <row r="9462" spans="9:13" x14ac:dyDescent="0.3">
      <c r="I9462" s="82"/>
      <c r="M9462" s="85"/>
    </row>
    <row r="9463" spans="9:13" x14ac:dyDescent="0.3">
      <c r="I9463" s="82"/>
      <c r="M9463" s="85"/>
    </row>
    <row r="9464" spans="9:13" x14ac:dyDescent="0.3">
      <c r="I9464" s="82"/>
      <c r="M9464" s="85"/>
    </row>
    <row r="9465" spans="9:13" x14ac:dyDescent="0.3">
      <c r="I9465" s="82"/>
      <c r="M9465" s="85"/>
    </row>
    <row r="9466" spans="9:13" x14ac:dyDescent="0.3">
      <c r="I9466" s="82"/>
      <c r="M9466" s="85"/>
    </row>
    <row r="9467" spans="9:13" x14ac:dyDescent="0.3">
      <c r="I9467" s="82"/>
      <c r="M9467" s="85"/>
    </row>
    <row r="9468" spans="9:13" x14ac:dyDescent="0.3">
      <c r="I9468" s="82"/>
      <c r="M9468" s="85"/>
    </row>
    <row r="9469" spans="9:13" x14ac:dyDescent="0.3">
      <c r="I9469" s="82"/>
      <c r="M9469" s="85"/>
    </row>
    <row r="9470" spans="9:13" x14ac:dyDescent="0.3">
      <c r="I9470" s="82"/>
      <c r="M9470" s="85"/>
    </row>
    <row r="9471" spans="9:13" x14ac:dyDescent="0.3">
      <c r="I9471" s="82"/>
      <c r="M9471" s="85"/>
    </row>
    <row r="9472" spans="9:13" x14ac:dyDescent="0.3">
      <c r="I9472" s="82"/>
      <c r="M9472" s="85"/>
    </row>
    <row r="9473" spans="9:13" x14ac:dyDescent="0.3">
      <c r="I9473" s="82"/>
      <c r="M9473" s="85"/>
    </row>
    <row r="9474" spans="9:13" x14ac:dyDescent="0.3">
      <c r="I9474" s="82"/>
      <c r="M9474" s="85"/>
    </row>
    <row r="9475" spans="9:13" x14ac:dyDescent="0.3">
      <c r="I9475" s="82"/>
      <c r="M9475" s="85"/>
    </row>
    <row r="9476" spans="9:13" x14ac:dyDescent="0.3">
      <c r="I9476" s="82"/>
      <c r="M9476" s="85"/>
    </row>
    <row r="9477" spans="9:13" x14ac:dyDescent="0.3">
      <c r="I9477" s="82"/>
      <c r="M9477" s="85"/>
    </row>
    <row r="9478" spans="9:13" x14ac:dyDescent="0.3">
      <c r="I9478" s="82"/>
      <c r="M9478" s="85"/>
    </row>
    <row r="9479" spans="9:13" x14ac:dyDescent="0.3">
      <c r="I9479" s="82"/>
      <c r="M9479" s="85"/>
    </row>
    <row r="9480" spans="9:13" x14ac:dyDescent="0.3">
      <c r="I9480" s="82"/>
      <c r="M9480" s="85"/>
    </row>
    <row r="9481" spans="9:13" x14ac:dyDescent="0.3">
      <c r="I9481" s="82"/>
      <c r="M9481" s="85"/>
    </row>
    <row r="9482" spans="9:13" x14ac:dyDescent="0.3">
      <c r="I9482" s="82"/>
      <c r="M9482" s="85"/>
    </row>
    <row r="9483" spans="9:13" x14ac:dyDescent="0.3">
      <c r="I9483" s="82"/>
      <c r="M9483" s="85"/>
    </row>
    <row r="9484" spans="9:13" x14ac:dyDescent="0.3">
      <c r="I9484" s="82"/>
      <c r="M9484" s="85"/>
    </row>
    <row r="9485" spans="9:13" x14ac:dyDescent="0.3">
      <c r="I9485" s="82"/>
      <c r="M9485" s="85"/>
    </row>
    <row r="9486" spans="9:13" x14ac:dyDescent="0.3">
      <c r="I9486" s="82"/>
      <c r="M9486" s="85"/>
    </row>
    <row r="9487" spans="9:13" x14ac:dyDescent="0.3">
      <c r="I9487" s="82"/>
      <c r="M9487" s="85"/>
    </row>
    <row r="9488" spans="9:13" x14ac:dyDescent="0.3">
      <c r="I9488" s="82"/>
      <c r="M9488" s="85"/>
    </row>
    <row r="9489" spans="9:13" x14ac:dyDescent="0.3">
      <c r="I9489" s="82"/>
      <c r="M9489" s="85"/>
    </row>
    <row r="9490" spans="9:13" x14ac:dyDescent="0.3">
      <c r="I9490" s="82"/>
      <c r="M9490" s="85"/>
    </row>
    <row r="9491" spans="9:13" x14ac:dyDescent="0.3">
      <c r="I9491" s="82"/>
      <c r="M9491" s="85"/>
    </row>
    <row r="9492" spans="9:13" x14ac:dyDescent="0.3">
      <c r="I9492" s="82"/>
      <c r="M9492" s="85"/>
    </row>
    <row r="9493" spans="9:13" x14ac:dyDescent="0.3">
      <c r="I9493" s="82"/>
      <c r="M9493" s="85"/>
    </row>
    <row r="9494" spans="9:13" x14ac:dyDescent="0.3">
      <c r="I9494" s="82"/>
      <c r="M9494" s="85"/>
    </row>
    <row r="9495" spans="9:13" x14ac:dyDescent="0.3">
      <c r="I9495" s="82"/>
      <c r="M9495" s="85"/>
    </row>
    <row r="9496" spans="9:13" x14ac:dyDescent="0.3">
      <c r="I9496" s="82"/>
      <c r="M9496" s="85"/>
    </row>
    <row r="9497" spans="9:13" x14ac:dyDescent="0.3">
      <c r="I9497" s="82"/>
      <c r="M9497" s="85"/>
    </row>
    <row r="9498" spans="9:13" x14ac:dyDescent="0.3">
      <c r="I9498" s="82"/>
      <c r="M9498" s="85"/>
    </row>
    <row r="9499" spans="9:13" x14ac:dyDescent="0.3">
      <c r="I9499" s="82"/>
      <c r="M9499" s="85"/>
    </row>
    <row r="9500" spans="9:13" x14ac:dyDescent="0.3">
      <c r="I9500" s="82"/>
      <c r="M9500" s="85"/>
    </row>
    <row r="9501" spans="9:13" x14ac:dyDescent="0.3">
      <c r="I9501" s="82"/>
      <c r="M9501" s="85"/>
    </row>
    <row r="9502" spans="9:13" x14ac:dyDescent="0.3">
      <c r="I9502" s="82"/>
      <c r="M9502" s="85"/>
    </row>
    <row r="9503" spans="9:13" x14ac:dyDescent="0.3">
      <c r="I9503" s="82"/>
      <c r="M9503" s="85"/>
    </row>
    <row r="9504" spans="9:13" x14ac:dyDescent="0.3">
      <c r="I9504" s="82"/>
      <c r="M9504" s="85"/>
    </row>
    <row r="9505" spans="9:13" x14ac:dyDescent="0.3">
      <c r="I9505" s="82"/>
      <c r="M9505" s="85"/>
    </row>
    <row r="9506" spans="9:13" x14ac:dyDescent="0.3">
      <c r="I9506" s="82"/>
      <c r="M9506" s="85"/>
    </row>
    <row r="9507" spans="9:13" x14ac:dyDescent="0.3">
      <c r="I9507" s="82"/>
      <c r="M9507" s="85"/>
    </row>
    <row r="9508" spans="9:13" x14ac:dyDescent="0.3">
      <c r="I9508" s="82"/>
      <c r="M9508" s="85"/>
    </row>
    <row r="9509" spans="9:13" x14ac:dyDescent="0.3">
      <c r="I9509" s="82"/>
      <c r="M9509" s="85"/>
    </row>
    <row r="9510" spans="9:13" x14ac:dyDescent="0.3">
      <c r="I9510" s="82"/>
      <c r="M9510" s="85"/>
    </row>
    <row r="9511" spans="9:13" x14ac:dyDescent="0.3">
      <c r="I9511" s="82"/>
      <c r="M9511" s="85"/>
    </row>
    <row r="9512" spans="9:13" x14ac:dyDescent="0.3">
      <c r="I9512" s="82"/>
      <c r="M9512" s="85"/>
    </row>
    <row r="9513" spans="9:13" x14ac:dyDescent="0.3">
      <c r="I9513" s="82"/>
      <c r="M9513" s="85"/>
    </row>
    <row r="9514" spans="9:13" x14ac:dyDescent="0.3">
      <c r="I9514" s="82"/>
      <c r="M9514" s="85"/>
    </row>
    <row r="9515" spans="9:13" x14ac:dyDescent="0.3">
      <c r="I9515" s="82"/>
      <c r="M9515" s="85"/>
    </row>
    <row r="9516" spans="9:13" x14ac:dyDescent="0.3">
      <c r="I9516" s="82"/>
      <c r="M9516" s="85"/>
    </row>
    <row r="9517" spans="9:13" x14ac:dyDescent="0.3">
      <c r="I9517" s="82"/>
      <c r="M9517" s="85"/>
    </row>
    <row r="9518" spans="9:13" x14ac:dyDescent="0.3">
      <c r="I9518" s="82"/>
      <c r="M9518" s="85"/>
    </row>
    <row r="9519" spans="9:13" x14ac:dyDescent="0.3">
      <c r="I9519" s="82"/>
      <c r="M9519" s="85"/>
    </row>
    <row r="9520" spans="9:13" x14ac:dyDescent="0.3">
      <c r="I9520" s="82"/>
      <c r="M9520" s="85"/>
    </row>
    <row r="9521" spans="9:13" x14ac:dyDescent="0.3">
      <c r="I9521" s="82"/>
      <c r="M9521" s="85"/>
    </row>
    <row r="9522" spans="9:13" x14ac:dyDescent="0.3">
      <c r="I9522" s="82"/>
      <c r="M9522" s="85"/>
    </row>
    <row r="9523" spans="9:13" x14ac:dyDescent="0.3">
      <c r="I9523" s="82"/>
      <c r="M9523" s="85"/>
    </row>
    <row r="9524" spans="9:13" x14ac:dyDescent="0.3">
      <c r="I9524" s="82"/>
      <c r="M9524" s="85"/>
    </row>
    <row r="9525" spans="9:13" x14ac:dyDescent="0.3">
      <c r="I9525" s="82"/>
      <c r="M9525" s="85"/>
    </row>
    <row r="9526" spans="9:13" x14ac:dyDescent="0.3">
      <c r="I9526" s="82"/>
      <c r="M9526" s="85"/>
    </row>
    <row r="9527" spans="9:13" x14ac:dyDescent="0.3">
      <c r="I9527" s="82"/>
      <c r="M9527" s="85"/>
    </row>
    <row r="9528" spans="9:13" x14ac:dyDescent="0.3">
      <c r="I9528" s="82"/>
      <c r="M9528" s="85"/>
    </row>
    <row r="9529" spans="9:13" x14ac:dyDescent="0.3">
      <c r="I9529" s="82"/>
      <c r="M9529" s="85"/>
    </row>
    <row r="9530" spans="9:13" x14ac:dyDescent="0.3">
      <c r="I9530" s="82"/>
      <c r="M9530" s="85"/>
    </row>
    <row r="9531" spans="9:13" x14ac:dyDescent="0.3">
      <c r="I9531" s="82"/>
      <c r="M9531" s="85"/>
    </row>
    <row r="9532" spans="9:13" x14ac:dyDescent="0.3">
      <c r="I9532" s="82"/>
      <c r="M9532" s="85"/>
    </row>
    <row r="9533" spans="9:13" x14ac:dyDescent="0.3">
      <c r="I9533" s="82"/>
      <c r="M9533" s="85"/>
    </row>
    <row r="9534" spans="9:13" x14ac:dyDescent="0.3">
      <c r="I9534" s="82"/>
      <c r="M9534" s="85"/>
    </row>
    <row r="9535" spans="9:13" x14ac:dyDescent="0.3">
      <c r="I9535" s="82"/>
      <c r="M9535" s="85"/>
    </row>
    <row r="9536" spans="9:13" x14ac:dyDescent="0.3">
      <c r="I9536" s="82"/>
      <c r="M9536" s="85"/>
    </row>
    <row r="9537" spans="9:13" x14ac:dyDescent="0.3">
      <c r="I9537" s="82"/>
      <c r="M9537" s="85"/>
    </row>
    <row r="9538" spans="9:13" x14ac:dyDescent="0.3">
      <c r="I9538" s="82"/>
      <c r="M9538" s="85"/>
    </row>
    <row r="9539" spans="9:13" x14ac:dyDescent="0.3">
      <c r="I9539" s="82"/>
      <c r="M9539" s="85"/>
    </row>
    <row r="9540" spans="9:13" x14ac:dyDescent="0.3">
      <c r="I9540" s="82"/>
      <c r="M9540" s="85"/>
    </row>
    <row r="9541" spans="9:13" x14ac:dyDescent="0.3">
      <c r="I9541" s="82"/>
      <c r="M9541" s="85"/>
    </row>
    <row r="9542" spans="9:13" x14ac:dyDescent="0.3">
      <c r="I9542" s="82"/>
      <c r="M9542" s="85"/>
    </row>
    <row r="9543" spans="9:13" x14ac:dyDescent="0.3">
      <c r="I9543" s="82"/>
      <c r="M9543" s="85"/>
    </row>
    <row r="9544" spans="9:13" x14ac:dyDescent="0.3">
      <c r="I9544" s="82"/>
      <c r="M9544" s="85"/>
    </row>
    <row r="9545" spans="9:13" x14ac:dyDescent="0.3">
      <c r="I9545" s="82"/>
      <c r="M9545" s="85"/>
    </row>
    <row r="9546" spans="9:13" x14ac:dyDescent="0.3">
      <c r="I9546" s="82"/>
      <c r="M9546" s="85"/>
    </row>
    <row r="9547" spans="9:13" x14ac:dyDescent="0.3">
      <c r="I9547" s="82"/>
      <c r="M9547" s="85"/>
    </row>
    <row r="9548" spans="9:13" x14ac:dyDescent="0.3">
      <c r="I9548" s="82"/>
      <c r="M9548" s="85"/>
    </row>
    <row r="9549" spans="9:13" x14ac:dyDescent="0.3">
      <c r="I9549" s="82"/>
      <c r="M9549" s="85"/>
    </row>
    <row r="9550" spans="9:13" x14ac:dyDescent="0.3">
      <c r="I9550" s="82"/>
      <c r="M9550" s="85"/>
    </row>
    <row r="9551" spans="9:13" x14ac:dyDescent="0.3">
      <c r="I9551" s="82"/>
      <c r="M9551" s="85"/>
    </row>
    <row r="9552" spans="9:13" x14ac:dyDescent="0.3">
      <c r="I9552" s="82"/>
      <c r="M9552" s="85"/>
    </row>
    <row r="9553" spans="9:13" x14ac:dyDescent="0.3">
      <c r="I9553" s="82"/>
      <c r="M9553" s="85"/>
    </row>
    <row r="9554" spans="9:13" x14ac:dyDescent="0.3">
      <c r="I9554" s="82"/>
      <c r="M9554" s="85"/>
    </row>
    <row r="9555" spans="9:13" x14ac:dyDescent="0.3">
      <c r="I9555" s="82"/>
      <c r="M9555" s="85"/>
    </row>
    <row r="9556" spans="9:13" x14ac:dyDescent="0.3">
      <c r="I9556" s="82"/>
      <c r="M9556" s="85"/>
    </row>
    <row r="9557" spans="9:13" x14ac:dyDescent="0.3">
      <c r="I9557" s="82"/>
      <c r="M9557" s="85"/>
    </row>
    <row r="9558" spans="9:13" x14ac:dyDescent="0.3">
      <c r="I9558" s="82"/>
      <c r="M9558" s="85"/>
    </row>
    <row r="9559" spans="9:13" x14ac:dyDescent="0.3">
      <c r="I9559" s="82"/>
      <c r="M9559" s="85"/>
    </row>
    <row r="9560" spans="9:13" x14ac:dyDescent="0.3">
      <c r="I9560" s="82"/>
      <c r="M9560" s="85"/>
    </row>
    <row r="9561" spans="9:13" x14ac:dyDescent="0.3">
      <c r="I9561" s="82"/>
      <c r="M9561" s="85"/>
    </row>
    <row r="9562" spans="9:13" x14ac:dyDescent="0.3">
      <c r="I9562" s="82"/>
      <c r="M9562" s="85"/>
    </row>
    <row r="9563" spans="9:13" x14ac:dyDescent="0.3">
      <c r="I9563" s="82"/>
      <c r="M9563" s="85"/>
    </row>
    <row r="9564" spans="9:13" x14ac:dyDescent="0.3">
      <c r="I9564" s="82"/>
      <c r="M9564" s="85"/>
    </row>
    <row r="9565" spans="9:13" x14ac:dyDescent="0.3">
      <c r="I9565" s="82"/>
      <c r="M9565" s="85"/>
    </row>
    <row r="9566" spans="9:13" x14ac:dyDescent="0.3">
      <c r="I9566" s="82"/>
      <c r="M9566" s="85"/>
    </row>
    <row r="9567" spans="9:13" x14ac:dyDescent="0.3">
      <c r="I9567" s="82"/>
      <c r="M9567" s="85"/>
    </row>
    <row r="9568" spans="9:13" x14ac:dyDescent="0.3">
      <c r="I9568" s="82"/>
      <c r="M9568" s="85"/>
    </row>
    <row r="9569" spans="9:13" x14ac:dyDescent="0.3">
      <c r="I9569" s="82"/>
      <c r="M9569" s="85"/>
    </row>
    <row r="9570" spans="9:13" x14ac:dyDescent="0.3">
      <c r="I9570" s="82"/>
      <c r="M9570" s="85"/>
    </row>
    <row r="9571" spans="9:13" x14ac:dyDescent="0.3">
      <c r="I9571" s="82"/>
      <c r="M9571" s="85"/>
    </row>
    <row r="9572" spans="9:13" x14ac:dyDescent="0.3">
      <c r="I9572" s="82"/>
      <c r="M9572" s="85"/>
    </row>
    <row r="9573" spans="9:13" x14ac:dyDescent="0.3">
      <c r="I9573" s="82"/>
      <c r="M9573" s="85"/>
    </row>
    <row r="9574" spans="9:13" x14ac:dyDescent="0.3">
      <c r="I9574" s="82"/>
      <c r="M9574" s="85"/>
    </row>
    <row r="9575" spans="9:13" x14ac:dyDescent="0.3">
      <c r="I9575" s="82"/>
      <c r="M9575" s="85"/>
    </row>
    <row r="9576" spans="9:13" x14ac:dyDescent="0.3">
      <c r="I9576" s="82"/>
      <c r="M9576" s="85"/>
    </row>
    <row r="9577" spans="9:13" x14ac:dyDescent="0.3">
      <c r="I9577" s="82"/>
      <c r="M9577" s="85"/>
    </row>
    <row r="9578" spans="9:13" x14ac:dyDescent="0.3">
      <c r="I9578" s="82"/>
      <c r="M9578" s="85"/>
    </row>
    <row r="9579" spans="9:13" x14ac:dyDescent="0.3">
      <c r="I9579" s="82"/>
      <c r="M9579" s="85"/>
    </row>
    <row r="9580" spans="9:13" x14ac:dyDescent="0.3">
      <c r="I9580" s="82"/>
      <c r="M9580" s="85"/>
    </row>
    <row r="9581" spans="9:13" x14ac:dyDescent="0.3">
      <c r="I9581" s="82"/>
      <c r="M9581" s="85"/>
    </row>
    <row r="9582" spans="9:13" x14ac:dyDescent="0.3">
      <c r="I9582" s="82"/>
      <c r="M9582" s="85"/>
    </row>
    <row r="9583" spans="9:13" x14ac:dyDescent="0.3">
      <c r="I9583" s="82"/>
      <c r="M9583" s="85"/>
    </row>
    <row r="9584" spans="9:13" x14ac:dyDescent="0.3">
      <c r="I9584" s="82"/>
      <c r="M9584" s="85"/>
    </row>
    <row r="9585" spans="9:13" x14ac:dyDescent="0.3">
      <c r="I9585" s="82"/>
      <c r="M9585" s="85"/>
    </row>
    <row r="9586" spans="9:13" x14ac:dyDescent="0.3">
      <c r="I9586" s="82"/>
      <c r="M9586" s="85"/>
    </row>
    <row r="9587" spans="9:13" x14ac:dyDescent="0.3">
      <c r="I9587" s="82"/>
      <c r="M9587" s="85"/>
    </row>
    <row r="9588" spans="9:13" x14ac:dyDescent="0.3">
      <c r="I9588" s="82"/>
      <c r="M9588" s="85"/>
    </row>
    <row r="9589" spans="9:13" x14ac:dyDescent="0.3">
      <c r="I9589" s="82"/>
      <c r="M9589" s="85"/>
    </row>
    <row r="9590" spans="9:13" x14ac:dyDescent="0.3">
      <c r="I9590" s="82"/>
      <c r="M9590" s="85"/>
    </row>
    <row r="9591" spans="9:13" x14ac:dyDescent="0.3">
      <c r="I9591" s="82"/>
      <c r="M9591" s="85"/>
    </row>
    <row r="9592" spans="9:13" x14ac:dyDescent="0.3">
      <c r="I9592" s="82"/>
      <c r="M9592" s="85"/>
    </row>
    <row r="9593" spans="9:13" x14ac:dyDescent="0.3">
      <c r="I9593" s="82"/>
      <c r="M9593" s="85"/>
    </row>
    <row r="9594" spans="9:13" x14ac:dyDescent="0.3">
      <c r="I9594" s="82"/>
      <c r="M9594" s="85"/>
    </row>
    <row r="9595" spans="9:13" x14ac:dyDescent="0.3">
      <c r="I9595" s="82"/>
      <c r="M9595" s="85"/>
    </row>
    <row r="9596" spans="9:13" x14ac:dyDescent="0.3">
      <c r="I9596" s="82"/>
      <c r="M9596" s="85"/>
    </row>
    <row r="9597" spans="9:13" x14ac:dyDescent="0.3">
      <c r="I9597" s="82"/>
      <c r="M9597" s="85"/>
    </row>
    <row r="9598" spans="9:13" x14ac:dyDescent="0.3">
      <c r="I9598" s="82"/>
      <c r="M9598" s="85"/>
    </row>
    <row r="9599" spans="9:13" x14ac:dyDescent="0.3">
      <c r="I9599" s="82"/>
      <c r="M9599" s="85"/>
    </row>
    <row r="9600" spans="9:13" x14ac:dyDescent="0.3">
      <c r="I9600" s="82"/>
      <c r="M9600" s="85"/>
    </row>
    <row r="9601" spans="9:13" x14ac:dyDescent="0.3">
      <c r="I9601" s="82"/>
      <c r="M9601" s="85"/>
    </row>
    <row r="9602" spans="9:13" x14ac:dyDescent="0.3">
      <c r="I9602" s="82"/>
      <c r="M9602" s="85"/>
    </row>
    <row r="9603" spans="9:13" x14ac:dyDescent="0.3">
      <c r="I9603" s="82"/>
      <c r="M9603" s="85"/>
    </row>
    <row r="9604" spans="9:13" x14ac:dyDescent="0.3">
      <c r="I9604" s="82"/>
      <c r="M9604" s="85"/>
    </row>
    <row r="9605" spans="9:13" x14ac:dyDescent="0.3">
      <c r="I9605" s="82"/>
      <c r="M9605" s="85"/>
    </row>
    <row r="9606" spans="9:13" x14ac:dyDescent="0.3">
      <c r="I9606" s="82"/>
      <c r="M9606" s="85"/>
    </row>
    <row r="9607" spans="9:13" x14ac:dyDescent="0.3">
      <c r="I9607" s="82"/>
      <c r="M9607" s="85"/>
    </row>
    <row r="9608" spans="9:13" x14ac:dyDescent="0.3">
      <c r="I9608" s="82"/>
      <c r="M9608" s="85"/>
    </row>
    <row r="9609" spans="9:13" x14ac:dyDescent="0.3">
      <c r="I9609" s="82"/>
      <c r="M9609" s="85"/>
    </row>
    <row r="9610" spans="9:13" x14ac:dyDescent="0.3">
      <c r="I9610" s="82"/>
      <c r="M9610" s="85"/>
    </row>
    <row r="9611" spans="9:13" x14ac:dyDescent="0.3">
      <c r="I9611" s="82"/>
      <c r="M9611" s="85"/>
    </row>
    <row r="9612" spans="9:13" x14ac:dyDescent="0.3">
      <c r="I9612" s="82"/>
      <c r="M9612" s="85"/>
    </row>
    <row r="9613" spans="9:13" x14ac:dyDescent="0.3">
      <c r="I9613" s="82"/>
      <c r="M9613" s="85"/>
    </row>
    <row r="9614" spans="9:13" x14ac:dyDescent="0.3">
      <c r="I9614" s="82"/>
      <c r="M9614" s="85"/>
    </row>
    <row r="9615" spans="9:13" x14ac:dyDescent="0.3">
      <c r="I9615" s="82"/>
      <c r="M9615" s="85"/>
    </row>
    <row r="9616" spans="9:13" x14ac:dyDescent="0.3">
      <c r="I9616" s="82"/>
      <c r="M9616" s="85"/>
    </row>
    <row r="9617" spans="9:13" x14ac:dyDescent="0.3">
      <c r="I9617" s="82"/>
      <c r="M9617" s="85"/>
    </row>
    <row r="9618" spans="9:13" x14ac:dyDescent="0.3">
      <c r="I9618" s="82"/>
      <c r="M9618" s="85"/>
    </row>
    <row r="9619" spans="9:13" x14ac:dyDescent="0.3">
      <c r="I9619" s="82"/>
      <c r="M9619" s="85"/>
    </row>
    <row r="9620" spans="9:13" x14ac:dyDescent="0.3">
      <c r="I9620" s="82"/>
      <c r="M9620" s="85"/>
    </row>
    <row r="9621" spans="9:13" x14ac:dyDescent="0.3">
      <c r="I9621" s="82"/>
      <c r="M9621" s="85"/>
    </row>
    <row r="9622" spans="9:13" x14ac:dyDescent="0.3">
      <c r="I9622" s="82"/>
      <c r="M9622" s="85"/>
    </row>
    <row r="9623" spans="9:13" x14ac:dyDescent="0.3">
      <c r="I9623" s="82"/>
      <c r="M9623" s="85"/>
    </row>
    <row r="9624" spans="9:13" x14ac:dyDescent="0.3">
      <c r="I9624" s="82"/>
      <c r="M9624" s="85"/>
    </row>
    <row r="9625" spans="9:13" x14ac:dyDescent="0.3">
      <c r="I9625" s="82"/>
      <c r="M9625" s="85"/>
    </row>
    <row r="9626" spans="9:13" x14ac:dyDescent="0.3">
      <c r="I9626" s="82"/>
      <c r="M9626" s="85"/>
    </row>
    <row r="9627" spans="9:13" x14ac:dyDescent="0.3">
      <c r="I9627" s="82"/>
      <c r="M9627" s="85"/>
    </row>
    <row r="9628" spans="9:13" x14ac:dyDescent="0.3">
      <c r="I9628" s="82"/>
      <c r="M9628" s="85"/>
    </row>
    <row r="9629" spans="9:13" x14ac:dyDescent="0.3">
      <c r="I9629" s="82"/>
      <c r="M9629" s="85"/>
    </row>
    <row r="9630" spans="9:13" x14ac:dyDescent="0.3">
      <c r="I9630" s="82"/>
      <c r="M9630" s="85"/>
    </row>
    <row r="9631" spans="9:13" x14ac:dyDescent="0.3">
      <c r="I9631" s="82"/>
      <c r="M9631" s="85"/>
    </row>
    <row r="9632" spans="9:13" x14ac:dyDescent="0.3">
      <c r="I9632" s="82"/>
      <c r="M9632" s="85"/>
    </row>
    <row r="9633" spans="9:13" x14ac:dyDescent="0.3">
      <c r="I9633" s="82"/>
      <c r="M9633" s="85"/>
    </row>
    <row r="9634" spans="9:13" x14ac:dyDescent="0.3">
      <c r="I9634" s="82"/>
      <c r="M9634" s="85"/>
    </row>
    <row r="9635" spans="9:13" x14ac:dyDescent="0.3">
      <c r="I9635" s="82"/>
      <c r="M9635" s="85"/>
    </row>
    <row r="9636" spans="9:13" x14ac:dyDescent="0.3">
      <c r="I9636" s="82"/>
      <c r="M9636" s="85"/>
    </row>
    <row r="9637" spans="9:13" x14ac:dyDescent="0.3">
      <c r="I9637" s="82"/>
      <c r="M9637" s="85"/>
    </row>
    <row r="9638" spans="9:13" x14ac:dyDescent="0.3">
      <c r="I9638" s="82"/>
      <c r="M9638" s="85"/>
    </row>
    <row r="9639" spans="9:13" x14ac:dyDescent="0.3">
      <c r="I9639" s="82"/>
      <c r="M9639" s="85"/>
    </row>
    <row r="9640" spans="9:13" x14ac:dyDescent="0.3">
      <c r="I9640" s="82"/>
      <c r="M9640" s="85"/>
    </row>
    <row r="9641" spans="9:13" x14ac:dyDescent="0.3">
      <c r="I9641" s="82"/>
      <c r="M9641" s="85"/>
    </row>
    <row r="9642" spans="9:13" x14ac:dyDescent="0.3">
      <c r="I9642" s="82"/>
      <c r="M9642" s="85"/>
    </row>
    <row r="9643" spans="9:13" x14ac:dyDescent="0.3">
      <c r="I9643" s="82"/>
      <c r="M9643" s="85"/>
    </row>
    <row r="9644" spans="9:13" x14ac:dyDescent="0.3">
      <c r="I9644" s="82"/>
      <c r="M9644" s="85"/>
    </row>
    <row r="9645" spans="9:13" x14ac:dyDescent="0.3">
      <c r="I9645" s="82"/>
      <c r="M9645" s="85"/>
    </row>
    <row r="9646" spans="9:13" x14ac:dyDescent="0.3">
      <c r="I9646" s="82"/>
      <c r="M9646" s="85"/>
    </row>
    <row r="9647" spans="9:13" x14ac:dyDescent="0.3">
      <c r="I9647" s="82"/>
      <c r="M9647" s="85"/>
    </row>
    <row r="9648" spans="9:13" x14ac:dyDescent="0.3">
      <c r="I9648" s="82"/>
      <c r="M9648" s="85"/>
    </row>
    <row r="9649" spans="9:13" x14ac:dyDescent="0.3">
      <c r="I9649" s="82"/>
      <c r="M9649" s="85"/>
    </row>
    <row r="9650" spans="9:13" x14ac:dyDescent="0.3">
      <c r="I9650" s="82"/>
      <c r="M9650" s="85"/>
    </row>
    <row r="9651" spans="9:13" x14ac:dyDescent="0.3">
      <c r="I9651" s="82"/>
      <c r="M9651" s="85"/>
    </row>
    <row r="9652" spans="9:13" x14ac:dyDescent="0.3">
      <c r="I9652" s="82"/>
      <c r="M9652" s="85"/>
    </row>
    <row r="9653" spans="9:13" x14ac:dyDescent="0.3">
      <c r="I9653" s="82"/>
      <c r="M9653" s="85"/>
    </row>
    <row r="9654" spans="9:13" x14ac:dyDescent="0.3">
      <c r="I9654" s="82"/>
      <c r="M9654" s="85"/>
    </row>
    <row r="9655" spans="9:13" x14ac:dyDescent="0.3">
      <c r="I9655" s="82"/>
      <c r="M9655" s="85"/>
    </row>
    <row r="9656" spans="9:13" x14ac:dyDescent="0.3">
      <c r="I9656" s="82"/>
      <c r="M9656" s="85"/>
    </row>
    <row r="9657" spans="9:13" x14ac:dyDescent="0.3">
      <c r="I9657" s="82"/>
      <c r="M9657" s="85"/>
    </row>
    <row r="9658" spans="9:13" x14ac:dyDescent="0.3">
      <c r="I9658" s="82"/>
      <c r="M9658" s="85"/>
    </row>
    <row r="9659" spans="9:13" x14ac:dyDescent="0.3">
      <c r="I9659" s="82"/>
      <c r="M9659" s="85"/>
    </row>
    <row r="9660" spans="9:13" x14ac:dyDescent="0.3">
      <c r="I9660" s="82"/>
      <c r="M9660" s="85"/>
    </row>
    <row r="9661" spans="9:13" x14ac:dyDescent="0.3">
      <c r="I9661" s="82"/>
      <c r="M9661" s="85"/>
    </row>
    <row r="9662" spans="9:13" x14ac:dyDescent="0.3">
      <c r="I9662" s="82"/>
      <c r="M9662" s="85"/>
    </row>
    <row r="9663" spans="9:13" x14ac:dyDescent="0.3">
      <c r="I9663" s="82"/>
      <c r="M9663" s="85"/>
    </row>
    <row r="9664" spans="9:13" x14ac:dyDescent="0.3">
      <c r="I9664" s="82"/>
      <c r="M9664" s="85"/>
    </row>
    <row r="9665" spans="9:13" x14ac:dyDescent="0.3">
      <c r="I9665" s="82"/>
      <c r="M9665" s="85"/>
    </row>
    <row r="9666" spans="9:13" x14ac:dyDescent="0.3">
      <c r="I9666" s="82"/>
      <c r="M9666" s="85"/>
    </row>
    <row r="9667" spans="9:13" x14ac:dyDescent="0.3">
      <c r="I9667" s="82"/>
      <c r="M9667" s="85"/>
    </row>
    <row r="9668" spans="9:13" x14ac:dyDescent="0.3">
      <c r="I9668" s="82"/>
      <c r="M9668" s="85"/>
    </row>
    <row r="9669" spans="9:13" x14ac:dyDescent="0.3">
      <c r="I9669" s="82"/>
      <c r="M9669" s="85"/>
    </row>
    <row r="9670" spans="9:13" x14ac:dyDescent="0.3">
      <c r="I9670" s="82"/>
      <c r="M9670" s="85"/>
    </row>
    <row r="9671" spans="9:13" x14ac:dyDescent="0.3">
      <c r="I9671" s="82"/>
      <c r="M9671" s="85"/>
    </row>
    <row r="9672" spans="9:13" x14ac:dyDescent="0.3">
      <c r="I9672" s="82"/>
      <c r="M9672" s="85"/>
    </row>
    <row r="9673" spans="9:13" x14ac:dyDescent="0.3">
      <c r="I9673" s="82"/>
      <c r="M9673" s="85"/>
    </row>
    <row r="9674" spans="9:13" x14ac:dyDescent="0.3">
      <c r="I9674" s="82"/>
      <c r="M9674" s="85"/>
    </row>
    <row r="9675" spans="9:13" x14ac:dyDescent="0.3">
      <c r="I9675" s="82"/>
      <c r="M9675" s="85"/>
    </row>
    <row r="9676" spans="9:13" x14ac:dyDescent="0.3">
      <c r="I9676" s="82"/>
      <c r="M9676" s="85"/>
    </row>
    <row r="9677" spans="9:13" x14ac:dyDescent="0.3">
      <c r="I9677" s="82"/>
      <c r="M9677" s="85"/>
    </row>
    <row r="9678" spans="9:13" x14ac:dyDescent="0.3">
      <c r="I9678" s="82"/>
      <c r="M9678" s="85"/>
    </row>
    <row r="9679" spans="9:13" x14ac:dyDescent="0.3">
      <c r="I9679" s="82"/>
      <c r="M9679" s="85"/>
    </row>
    <row r="9680" spans="9:13" x14ac:dyDescent="0.3">
      <c r="I9680" s="82"/>
      <c r="M9680" s="85"/>
    </row>
    <row r="9681" spans="9:13" x14ac:dyDescent="0.3">
      <c r="I9681" s="82"/>
      <c r="M9681" s="85"/>
    </row>
    <row r="9682" spans="9:13" x14ac:dyDescent="0.3">
      <c r="I9682" s="82"/>
      <c r="M9682" s="85"/>
    </row>
    <row r="9683" spans="9:13" x14ac:dyDescent="0.3">
      <c r="I9683" s="82"/>
      <c r="M9683" s="85"/>
    </row>
    <row r="9684" spans="9:13" x14ac:dyDescent="0.3">
      <c r="I9684" s="82"/>
      <c r="M9684" s="85"/>
    </row>
    <row r="9685" spans="9:13" x14ac:dyDescent="0.3">
      <c r="I9685" s="82"/>
      <c r="M9685" s="85"/>
    </row>
    <row r="9686" spans="9:13" x14ac:dyDescent="0.3">
      <c r="I9686" s="82"/>
      <c r="M9686" s="85"/>
    </row>
    <row r="9687" spans="9:13" x14ac:dyDescent="0.3">
      <c r="I9687" s="82"/>
      <c r="M9687" s="85"/>
    </row>
    <row r="9688" spans="9:13" x14ac:dyDescent="0.3">
      <c r="I9688" s="82"/>
      <c r="M9688" s="85"/>
    </row>
    <row r="9689" spans="9:13" x14ac:dyDescent="0.3">
      <c r="I9689" s="82"/>
      <c r="M9689" s="85"/>
    </row>
    <row r="9690" spans="9:13" x14ac:dyDescent="0.3">
      <c r="I9690" s="82"/>
      <c r="M9690" s="85"/>
    </row>
    <row r="9691" spans="9:13" x14ac:dyDescent="0.3">
      <c r="I9691" s="82"/>
      <c r="M9691" s="85"/>
    </row>
    <row r="9692" spans="9:13" x14ac:dyDescent="0.3">
      <c r="I9692" s="82"/>
      <c r="M9692" s="85"/>
    </row>
    <row r="9693" spans="9:13" x14ac:dyDescent="0.3">
      <c r="I9693" s="82"/>
      <c r="M9693" s="85"/>
    </row>
    <row r="9694" spans="9:13" x14ac:dyDescent="0.3">
      <c r="I9694" s="82"/>
      <c r="M9694" s="85"/>
    </row>
    <row r="9695" spans="9:13" x14ac:dyDescent="0.3">
      <c r="I9695" s="82"/>
      <c r="M9695" s="85"/>
    </row>
    <row r="9696" spans="9:13" x14ac:dyDescent="0.3">
      <c r="I9696" s="82"/>
      <c r="M9696" s="85"/>
    </row>
    <row r="9697" spans="9:13" x14ac:dyDescent="0.3">
      <c r="I9697" s="82"/>
      <c r="M9697" s="85"/>
    </row>
    <row r="9698" spans="9:13" x14ac:dyDescent="0.3">
      <c r="I9698" s="82"/>
      <c r="M9698" s="85"/>
    </row>
    <row r="9699" spans="9:13" x14ac:dyDescent="0.3">
      <c r="I9699" s="82"/>
      <c r="M9699" s="85"/>
    </row>
    <row r="9700" spans="9:13" x14ac:dyDescent="0.3">
      <c r="I9700" s="82"/>
      <c r="M9700" s="85"/>
    </row>
    <row r="9701" spans="9:13" x14ac:dyDescent="0.3">
      <c r="I9701" s="82"/>
      <c r="M9701" s="85"/>
    </row>
    <row r="9702" spans="9:13" x14ac:dyDescent="0.3">
      <c r="I9702" s="82"/>
      <c r="M9702" s="85"/>
    </row>
    <row r="9703" spans="9:13" x14ac:dyDescent="0.3">
      <c r="I9703" s="82"/>
      <c r="M9703" s="85"/>
    </row>
    <row r="9704" spans="9:13" x14ac:dyDescent="0.3">
      <c r="I9704" s="82"/>
      <c r="M9704" s="85"/>
    </row>
    <row r="9705" spans="9:13" x14ac:dyDescent="0.3">
      <c r="I9705" s="82"/>
      <c r="M9705" s="85"/>
    </row>
    <row r="9706" spans="9:13" x14ac:dyDescent="0.3">
      <c r="I9706" s="82"/>
      <c r="M9706" s="85"/>
    </row>
    <row r="9707" spans="9:13" x14ac:dyDescent="0.3">
      <c r="I9707" s="82"/>
      <c r="M9707" s="85"/>
    </row>
    <row r="9708" spans="9:13" x14ac:dyDescent="0.3">
      <c r="I9708" s="82"/>
      <c r="M9708" s="85"/>
    </row>
    <row r="9709" spans="9:13" x14ac:dyDescent="0.3">
      <c r="I9709" s="82"/>
      <c r="M9709" s="85"/>
    </row>
    <row r="9710" spans="9:13" x14ac:dyDescent="0.3">
      <c r="I9710" s="82"/>
      <c r="M9710" s="85"/>
    </row>
    <row r="9711" spans="9:13" x14ac:dyDescent="0.3">
      <c r="I9711" s="82"/>
      <c r="M9711" s="85"/>
    </row>
    <row r="9712" spans="9:13" x14ac:dyDescent="0.3">
      <c r="I9712" s="82"/>
      <c r="M9712" s="85"/>
    </row>
    <row r="9713" spans="9:13" x14ac:dyDescent="0.3">
      <c r="I9713" s="82"/>
      <c r="M9713" s="85"/>
    </row>
    <row r="9714" spans="9:13" x14ac:dyDescent="0.3">
      <c r="I9714" s="82"/>
      <c r="M9714" s="85"/>
    </row>
    <row r="9715" spans="9:13" x14ac:dyDescent="0.3">
      <c r="I9715" s="82"/>
      <c r="M9715" s="85"/>
    </row>
    <row r="9716" spans="9:13" x14ac:dyDescent="0.3">
      <c r="I9716" s="82"/>
      <c r="M9716" s="85"/>
    </row>
    <row r="9717" spans="9:13" x14ac:dyDescent="0.3">
      <c r="I9717" s="82"/>
      <c r="M9717" s="85"/>
    </row>
    <row r="9718" spans="9:13" x14ac:dyDescent="0.3">
      <c r="I9718" s="82"/>
      <c r="M9718" s="85"/>
    </row>
    <row r="9719" spans="9:13" x14ac:dyDescent="0.3">
      <c r="I9719" s="82"/>
      <c r="M9719" s="85"/>
    </row>
    <row r="9720" spans="9:13" x14ac:dyDescent="0.3">
      <c r="I9720" s="82"/>
      <c r="M9720" s="85"/>
    </row>
    <row r="9721" spans="9:13" x14ac:dyDescent="0.3">
      <c r="I9721" s="82"/>
      <c r="M9721" s="85"/>
    </row>
    <row r="9722" spans="9:13" x14ac:dyDescent="0.3">
      <c r="I9722" s="82"/>
      <c r="M9722" s="85"/>
    </row>
    <row r="9723" spans="9:13" x14ac:dyDescent="0.3">
      <c r="I9723" s="82"/>
      <c r="M9723" s="85"/>
    </row>
    <row r="9724" spans="9:13" x14ac:dyDescent="0.3">
      <c r="I9724" s="82"/>
      <c r="M9724" s="85"/>
    </row>
    <row r="9725" spans="9:13" x14ac:dyDescent="0.3">
      <c r="I9725" s="82"/>
      <c r="M9725" s="85"/>
    </row>
    <row r="9726" spans="9:13" x14ac:dyDescent="0.3">
      <c r="I9726" s="82"/>
      <c r="M9726" s="85"/>
    </row>
    <row r="9727" spans="9:13" x14ac:dyDescent="0.3">
      <c r="I9727" s="82"/>
      <c r="M9727" s="85"/>
    </row>
    <row r="9728" spans="9:13" x14ac:dyDescent="0.3">
      <c r="I9728" s="82"/>
      <c r="M9728" s="85"/>
    </row>
    <row r="9729" spans="9:13" x14ac:dyDescent="0.3">
      <c r="I9729" s="82"/>
      <c r="M9729" s="85"/>
    </row>
    <row r="9730" spans="9:13" x14ac:dyDescent="0.3">
      <c r="I9730" s="82"/>
      <c r="M9730" s="85"/>
    </row>
    <row r="9731" spans="9:13" x14ac:dyDescent="0.3">
      <c r="I9731" s="82"/>
      <c r="M9731" s="85"/>
    </row>
    <row r="9732" spans="9:13" x14ac:dyDescent="0.3">
      <c r="I9732" s="82"/>
      <c r="M9732" s="85"/>
    </row>
    <row r="9733" spans="9:13" x14ac:dyDescent="0.3">
      <c r="I9733" s="82"/>
      <c r="M9733" s="85"/>
    </row>
    <row r="9734" spans="9:13" x14ac:dyDescent="0.3">
      <c r="I9734" s="82"/>
      <c r="M9734" s="85"/>
    </row>
    <row r="9735" spans="9:13" x14ac:dyDescent="0.3">
      <c r="I9735" s="82"/>
      <c r="M9735" s="85"/>
    </row>
    <row r="9736" spans="9:13" x14ac:dyDescent="0.3">
      <c r="I9736" s="82"/>
      <c r="M9736" s="85"/>
    </row>
    <row r="9737" spans="9:13" x14ac:dyDescent="0.3">
      <c r="I9737" s="82"/>
      <c r="M9737" s="85"/>
    </row>
    <row r="9738" spans="9:13" x14ac:dyDescent="0.3">
      <c r="I9738" s="82"/>
      <c r="M9738" s="85"/>
    </row>
    <row r="9739" spans="9:13" x14ac:dyDescent="0.3">
      <c r="I9739" s="82"/>
      <c r="M9739" s="85"/>
    </row>
    <row r="9740" spans="9:13" x14ac:dyDescent="0.3">
      <c r="I9740" s="82"/>
      <c r="M9740" s="85"/>
    </row>
    <row r="9741" spans="9:13" x14ac:dyDescent="0.3">
      <c r="I9741" s="82"/>
      <c r="M9741" s="85"/>
    </row>
    <row r="9742" spans="9:13" x14ac:dyDescent="0.3">
      <c r="I9742" s="82"/>
      <c r="M9742" s="85"/>
    </row>
    <row r="9743" spans="9:13" x14ac:dyDescent="0.3">
      <c r="I9743" s="82"/>
      <c r="M9743" s="85"/>
    </row>
    <row r="9744" spans="9:13" x14ac:dyDescent="0.3">
      <c r="I9744" s="82"/>
      <c r="M9744" s="85"/>
    </row>
    <row r="9745" spans="9:13" x14ac:dyDescent="0.3">
      <c r="I9745" s="82"/>
      <c r="M9745" s="85"/>
    </row>
    <row r="9746" spans="9:13" x14ac:dyDescent="0.3">
      <c r="I9746" s="82"/>
      <c r="M9746" s="85"/>
    </row>
    <row r="9747" spans="9:13" x14ac:dyDescent="0.3">
      <c r="I9747" s="82"/>
      <c r="M9747" s="85"/>
    </row>
    <row r="9748" spans="9:13" x14ac:dyDescent="0.3">
      <c r="I9748" s="82"/>
      <c r="M9748" s="85"/>
    </row>
    <row r="9749" spans="9:13" x14ac:dyDescent="0.3">
      <c r="I9749" s="82"/>
      <c r="M9749" s="85"/>
    </row>
    <row r="9750" spans="9:13" x14ac:dyDescent="0.3">
      <c r="I9750" s="82"/>
      <c r="M9750" s="85"/>
    </row>
    <row r="9751" spans="9:13" x14ac:dyDescent="0.3">
      <c r="I9751" s="82"/>
      <c r="M9751" s="85"/>
    </row>
    <row r="9752" spans="9:13" x14ac:dyDescent="0.3">
      <c r="I9752" s="82"/>
      <c r="M9752" s="85"/>
    </row>
    <row r="9753" spans="9:13" x14ac:dyDescent="0.3">
      <c r="I9753" s="82"/>
      <c r="M9753" s="85"/>
    </row>
    <row r="9754" spans="9:13" x14ac:dyDescent="0.3">
      <c r="I9754" s="82"/>
      <c r="M9754" s="85"/>
    </row>
    <row r="9755" spans="9:13" x14ac:dyDescent="0.3">
      <c r="I9755" s="82"/>
      <c r="M9755" s="85"/>
    </row>
    <row r="9756" spans="9:13" x14ac:dyDescent="0.3">
      <c r="I9756" s="82"/>
      <c r="M9756" s="85"/>
    </row>
    <row r="9757" spans="9:13" x14ac:dyDescent="0.3">
      <c r="I9757" s="82"/>
      <c r="M9757" s="85"/>
    </row>
    <row r="9758" spans="9:13" x14ac:dyDescent="0.3">
      <c r="I9758" s="82"/>
      <c r="M9758" s="85"/>
    </row>
    <row r="9759" spans="9:13" x14ac:dyDescent="0.3">
      <c r="I9759" s="82"/>
      <c r="M9759" s="85"/>
    </row>
    <row r="9760" spans="9:13" x14ac:dyDescent="0.3">
      <c r="I9760" s="82"/>
      <c r="M9760" s="85"/>
    </row>
    <row r="9761" spans="9:13" x14ac:dyDescent="0.3">
      <c r="I9761" s="82"/>
      <c r="M9761" s="85"/>
    </row>
    <row r="9762" spans="9:13" x14ac:dyDescent="0.3">
      <c r="I9762" s="82"/>
      <c r="M9762" s="85"/>
    </row>
    <row r="9763" spans="9:13" x14ac:dyDescent="0.3">
      <c r="I9763" s="82"/>
      <c r="M9763" s="85"/>
    </row>
    <row r="9764" spans="9:13" x14ac:dyDescent="0.3">
      <c r="I9764" s="82"/>
      <c r="M9764" s="85"/>
    </row>
    <row r="9765" spans="9:13" x14ac:dyDescent="0.3">
      <c r="I9765" s="82"/>
      <c r="M9765" s="85"/>
    </row>
    <row r="9766" spans="9:13" x14ac:dyDescent="0.3">
      <c r="I9766" s="82"/>
      <c r="M9766" s="85"/>
    </row>
    <row r="9767" spans="9:13" x14ac:dyDescent="0.3">
      <c r="I9767" s="82"/>
      <c r="M9767" s="85"/>
    </row>
    <row r="9768" spans="9:13" x14ac:dyDescent="0.3">
      <c r="I9768" s="82"/>
      <c r="M9768" s="85"/>
    </row>
    <row r="9769" spans="9:13" x14ac:dyDescent="0.3">
      <c r="I9769" s="82"/>
      <c r="M9769" s="85"/>
    </row>
    <row r="9770" spans="9:13" x14ac:dyDescent="0.3">
      <c r="I9770" s="82"/>
      <c r="M9770" s="85"/>
    </row>
    <row r="9771" spans="9:13" x14ac:dyDescent="0.3">
      <c r="I9771" s="82"/>
      <c r="M9771" s="85"/>
    </row>
    <row r="9772" spans="9:13" x14ac:dyDescent="0.3">
      <c r="I9772" s="82"/>
      <c r="M9772" s="85"/>
    </row>
    <row r="9773" spans="9:13" x14ac:dyDescent="0.3">
      <c r="I9773" s="82"/>
      <c r="M9773" s="85"/>
    </row>
    <row r="9774" spans="9:13" x14ac:dyDescent="0.3">
      <c r="I9774" s="82"/>
      <c r="M9774" s="85"/>
    </row>
    <row r="9775" spans="9:13" x14ac:dyDescent="0.3">
      <c r="I9775" s="82"/>
      <c r="M9775" s="85"/>
    </row>
    <row r="9776" spans="9:13" x14ac:dyDescent="0.3">
      <c r="I9776" s="82"/>
      <c r="M9776" s="85"/>
    </row>
    <row r="9777" spans="9:13" x14ac:dyDescent="0.3">
      <c r="I9777" s="82"/>
      <c r="M9777" s="85"/>
    </row>
    <row r="9778" spans="9:13" x14ac:dyDescent="0.3">
      <c r="I9778" s="82"/>
      <c r="M9778" s="85"/>
    </row>
    <row r="9779" spans="9:13" x14ac:dyDescent="0.3">
      <c r="I9779" s="82"/>
      <c r="M9779" s="85"/>
    </row>
    <row r="9780" spans="9:13" x14ac:dyDescent="0.3">
      <c r="I9780" s="82"/>
      <c r="M9780" s="85"/>
    </row>
    <row r="9781" spans="9:13" x14ac:dyDescent="0.3">
      <c r="I9781" s="82"/>
      <c r="M9781" s="85"/>
    </row>
    <row r="9782" spans="9:13" x14ac:dyDescent="0.3">
      <c r="I9782" s="82"/>
      <c r="M9782" s="85"/>
    </row>
    <row r="9783" spans="9:13" x14ac:dyDescent="0.3">
      <c r="I9783" s="82"/>
      <c r="M9783" s="85"/>
    </row>
    <row r="9784" spans="9:13" x14ac:dyDescent="0.3">
      <c r="I9784" s="82"/>
      <c r="M9784" s="85"/>
    </row>
    <row r="9785" spans="9:13" x14ac:dyDescent="0.3">
      <c r="I9785" s="82"/>
      <c r="M9785" s="85"/>
    </row>
    <row r="9786" spans="9:13" x14ac:dyDescent="0.3">
      <c r="I9786" s="82"/>
      <c r="M9786" s="85"/>
    </row>
    <row r="9787" spans="9:13" x14ac:dyDescent="0.3">
      <c r="I9787" s="82"/>
      <c r="M9787" s="85"/>
    </row>
    <row r="9788" spans="9:13" x14ac:dyDescent="0.3">
      <c r="I9788" s="82"/>
      <c r="M9788" s="85"/>
    </row>
    <row r="9789" spans="9:13" x14ac:dyDescent="0.3">
      <c r="I9789" s="82"/>
      <c r="M9789" s="85"/>
    </row>
    <row r="9790" spans="9:13" x14ac:dyDescent="0.3">
      <c r="I9790" s="82"/>
      <c r="M9790" s="85"/>
    </row>
    <row r="9791" spans="9:13" x14ac:dyDescent="0.3">
      <c r="I9791" s="82"/>
      <c r="M9791" s="85"/>
    </row>
    <row r="9792" spans="9:13" x14ac:dyDescent="0.3">
      <c r="I9792" s="82"/>
      <c r="M9792" s="85"/>
    </row>
    <row r="9793" spans="9:13" x14ac:dyDescent="0.3">
      <c r="I9793" s="82"/>
      <c r="M9793" s="85"/>
    </row>
    <row r="9794" spans="9:13" x14ac:dyDescent="0.3">
      <c r="I9794" s="82"/>
      <c r="M9794" s="85"/>
    </row>
    <row r="9795" spans="9:13" x14ac:dyDescent="0.3">
      <c r="I9795" s="82"/>
      <c r="M9795" s="85"/>
    </row>
    <row r="9796" spans="9:13" x14ac:dyDescent="0.3">
      <c r="I9796" s="82"/>
      <c r="M9796" s="85"/>
    </row>
    <row r="9797" spans="9:13" x14ac:dyDescent="0.3">
      <c r="I9797" s="82"/>
      <c r="M9797" s="85"/>
    </row>
    <row r="9798" spans="9:13" x14ac:dyDescent="0.3">
      <c r="I9798" s="82"/>
      <c r="M9798" s="85"/>
    </row>
    <row r="9799" spans="9:13" x14ac:dyDescent="0.3">
      <c r="I9799" s="82"/>
      <c r="M9799" s="85"/>
    </row>
    <row r="9800" spans="9:13" x14ac:dyDescent="0.3">
      <c r="I9800" s="82"/>
      <c r="M9800" s="85"/>
    </row>
    <row r="9801" spans="9:13" x14ac:dyDescent="0.3">
      <c r="I9801" s="82"/>
      <c r="M9801" s="85"/>
    </row>
    <row r="9802" spans="9:13" x14ac:dyDescent="0.3">
      <c r="I9802" s="82"/>
      <c r="M9802" s="85"/>
    </row>
    <row r="9803" spans="9:13" x14ac:dyDescent="0.3">
      <c r="I9803" s="82"/>
      <c r="M9803" s="85"/>
    </row>
    <row r="9804" spans="9:13" x14ac:dyDescent="0.3">
      <c r="I9804" s="82"/>
      <c r="M9804" s="85"/>
    </row>
    <row r="9805" spans="9:13" x14ac:dyDescent="0.3">
      <c r="I9805" s="82"/>
      <c r="M9805" s="85"/>
    </row>
    <row r="9806" spans="9:13" x14ac:dyDescent="0.3">
      <c r="I9806" s="82"/>
      <c r="M9806" s="85"/>
    </row>
    <row r="9807" spans="9:13" x14ac:dyDescent="0.3">
      <c r="I9807" s="82"/>
      <c r="M9807" s="85"/>
    </row>
    <row r="9808" spans="9:13" x14ac:dyDescent="0.3">
      <c r="I9808" s="82"/>
      <c r="M9808" s="85"/>
    </row>
    <row r="9809" spans="9:13" x14ac:dyDescent="0.3">
      <c r="I9809" s="82"/>
      <c r="M9809" s="85"/>
    </row>
    <row r="9810" spans="9:13" x14ac:dyDescent="0.3">
      <c r="I9810" s="82"/>
      <c r="M9810" s="85"/>
    </row>
    <row r="9811" spans="9:13" x14ac:dyDescent="0.3">
      <c r="I9811" s="82"/>
      <c r="M9811" s="85"/>
    </row>
    <row r="9812" spans="9:13" x14ac:dyDescent="0.3">
      <c r="I9812" s="82"/>
      <c r="M9812" s="85"/>
    </row>
    <row r="9813" spans="9:13" x14ac:dyDescent="0.3">
      <c r="I9813" s="82"/>
      <c r="M9813" s="85"/>
    </row>
    <row r="9814" spans="9:13" x14ac:dyDescent="0.3">
      <c r="I9814" s="82"/>
      <c r="M9814" s="85"/>
    </row>
    <row r="9815" spans="9:13" x14ac:dyDescent="0.3">
      <c r="I9815" s="82"/>
      <c r="M9815" s="85"/>
    </row>
    <row r="9816" spans="9:13" x14ac:dyDescent="0.3">
      <c r="I9816" s="82"/>
      <c r="M9816" s="85"/>
    </row>
    <row r="9817" spans="9:13" x14ac:dyDescent="0.3">
      <c r="I9817" s="82"/>
      <c r="M9817" s="85"/>
    </row>
    <row r="9818" spans="9:13" x14ac:dyDescent="0.3">
      <c r="I9818" s="82"/>
      <c r="M9818" s="85"/>
    </row>
    <row r="9819" spans="9:13" x14ac:dyDescent="0.3">
      <c r="I9819" s="82"/>
      <c r="M9819" s="85"/>
    </row>
    <row r="9820" spans="9:13" x14ac:dyDescent="0.3">
      <c r="I9820" s="82"/>
      <c r="M9820" s="85"/>
    </row>
    <row r="9821" spans="9:13" x14ac:dyDescent="0.3">
      <c r="I9821" s="82"/>
      <c r="M9821" s="85"/>
    </row>
    <row r="9822" spans="9:13" x14ac:dyDescent="0.3">
      <c r="I9822" s="82"/>
      <c r="M9822" s="85"/>
    </row>
    <row r="9823" spans="9:13" x14ac:dyDescent="0.3">
      <c r="I9823" s="82"/>
      <c r="M9823" s="85"/>
    </row>
    <row r="9824" spans="9:13" x14ac:dyDescent="0.3">
      <c r="I9824" s="82"/>
      <c r="M9824" s="85"/>
    </row>
    <row r="9825" spans="9:13" x14ac:dyDescent="0.3">
      <c r="I9825" s="82"/>
      <c r="M9825" s="85"/>
    </row>
    <row r="9826" spans="9:13" x14ac:dyDescent="0.3">
      <c r="I9826" s="82"/>
      <c r="M9826" s="85"/>
    </row>
    <row r="9827" spans="9:13" x14ac:dyDescent="0.3">
      <c r="I9827" s="82"/>
      <c r="M9827" s="85"/>
    </row>
    <row r="9828" spans="9:13" x14ac:dyDescent="0.3">
      <c r="I9828" s="82"/>
      <c r="M9828" s="85"/>
    </row>
    <row r="9829" spans="9:13" x14ac:dyDescent="0.3">
      <c r="I9829" s="82"/>
      <c r="M9829" s="85"/>
    </row>
    <row r="9830" spans="9:13" x14ac:dyDescent="0.3">
      <c r="I9830" s="82"/>
      <c r="M9830" s="85"/>
    </row>
    <row r="9831" spans="9:13" x14ac:dyDescent="0.3">
      <c r="I9831" s="82"/>
      <c r="M9831" s="85"/>
    </row>
    <row r="9832" spans="9:13" x14ac:dyDescent="0.3">
      <c r="I9832" s="82"/>
      <c r="M9832" s="85"/>
    </row>
    <row r="9833" spans="9:13" x14ac:dyDescent="0.3">
      <c r="I9833" s="82"/>
      <c r="M9833" s="85"/>
    </row>
    <row r="9834" spans="9:13" x14ac:dyDescent="0.3">
      <c r="I9834" s="82"/>
      <c r="M9834" s="85"/>
    </row>
    <row r="9835" spans="9:13" x14ac:dyDescent="0.3">
      <c r="I9835" s="82"/>
      <c r="M9835" s="85"/>
    </row>
    <row r="9836" spans="9:13" x14ac:dyDescent="0.3">
      <c r="I9836" s="82"/>
      <c r="M9836" s="85"/>
    </row>
    <row r="9837" spans="9:13" x14ac:dyDescent="0.3">
      <c r="I9837" s="82"/>
      <c r="M9837" s="85"/>
    </row>
    <row r="9838" spans="9:13" x14ac:dyDescent="0.3">
      <c r="I9838" s="82"/>
      <c r="M9838" s="85"/>
    </row>
    <row r="9839" spans="9:13" x14ac:dyDescent="0.3">
      <c r="I9839" s="82"/>
      <c r="M9839" s="85"/>
    </row>
    <row r="9840" spans="9:13" x14ac:dyDescent="0.3">
      <c r="I9840" s="82"/>
      <c r="M9840" s="85"/>
    </row>
    <row r="9841" spans="9:13" x14ac:dyDescent="0.3">
      <c r="I9841" s="82"/>
      <c r="M9841" s="85"/>
    </row>
    <row r="9842" spans="9:13" x14ac:dyDescent="0.3">
      <c r="I9842" s="82"/>
      <c r="M9842" s="85"/>
    </row>
    <row r="9843" spans="9:13" x14ac:dyDescent="0.3">
      <c r="I9843" s="82"/>
      <c r="M9843" s="85"/>
    </row>
    <row r="9844" spans="9:13" x14ac:dyDescent="0.3">
      <c r="I9844" s="82"/>
      <c r="M9844" s="85"/>
    </row>
    <row r="9845" spans="9:13" x14ac:dyDescent="0.3">
      <c r="I9845" s="82"/>
      <c r="M9845" s="85"/>
    </row>
    <row r="9846" spans="9:13" x14ac:dyDescent="0.3">
      <c r="I9846" s="82"/>
      <c r="M9846" s="85"/>
    </row>
    <row r="9847" spans="9:13" x14ac:dyDescent="0.3">
      <c r="I9847" s="82"/>
      <c r="M9847" s="85"/>
    </row>
    <row r="9848" spans="9:13" x14ac:dyDescent="0.3">
      <c r="I9848" s="82"/>
      <c r="M9848" s="85"/>
    </row>
    <row r="9849" spans="9:13" x14ac:dyDescent="0.3">
      <c r="I9849" s="82"/>
      <c r="M9849" s="85"/>
    </row>
    <row r="9850" spans="9:13" x14ac:dyDescent="0.3">
      <c r="I9850" s="82"/>
      <c r="M9850" s="85"/>
    </row>
    <row r="9851" spans="9:13" x14ac:dyDescent="0.3">
      <c r="I9851" s="82"/>
      <c r="M9851" s="85"/>
    </row>
    <row r="9852" spans="9:13" x14ac:dyDescent="0.3">
      <c r="I9852" s="82"/>
      <c r="M9852" s="85"/>
    </row>
    <row r="9853" spans="9:13" x14ac:dyDescent="0.3">
      <c r="I9853" s="82"/>
      <c r="M9853" s="85"/>
    </row>
    <row r="9854" spans="9:13" x14ac:dyDescent="0.3">
      <c r="I9854" s="82"/>
      <c r="M9854" s="85"/>
    </row>
    <row r="9855" spans="9:13" x14ac:dyDescent="0.3">
      <c r="I9855" s="82"/>
      <c r="M9855" s="85"/>
    </row>
    <row r="9856" spans="9:13" x14ac:dyDescent="0.3">
      <c r="I9856" s="82"/>
      <c r="M9856" s="85"/>
    </row>
    <row r="9857" spans="9:13" x14ac:dyDescent="0.3">
      <c r="I9857" s="82"/>
      <c r="M9857" s="85"/>
    </row>
    <row r="9858" spans="9:13" x14ac:dyDescent="0.3">
      <c r="I9858" s="82"/>
      <c r="M9858" s="85"/>
    </row>
    <row r="9859" spans="9:13" x14ac:dyDescent="0.3">
      <c r="I9859" s="82"/>
      <c r="M9859" s="85"/>
    </row>
    <row r="9860" spans="9:13" x14ac:dyDescent="0.3">
      <c r="I9860" s="82"/>
      <c r="M9860" s="85"/>
    </row>
    <row r="9861" spans="9:13" x14ac:dyDescent="0.3">
      <c r="I9861" s="82"/>
      <c r="M9861" s="85"/>
    </row>
    <row r="9862" spans="9:13" x14ac:dyDescent="0.3">
      <c r="I9862" s="82"/>
      <c r="M9862" s="85"/>
    </row>
    <row r="9863" spans="9:13" x14ac:dyDescent="0.3">
      <c r="I9863" s="82"/>
      <c r="M9863" s="85"/>
    </row>
    <row r="9864" spans="9:13" x14ac:dyDescent="0.3">
      <c r="I9864" s="82"/>
      <c r="M9864" s="85"/>
    </row>
    <row r="9865" spans="9:13" x14ac:dyDescent="0.3">
      <c r="I9865" s="82"/>
      <c r="M9865" s="85"/>
    </row>
    <row r="9866" spans="9:13" x14ac:dyDescent="0.3">
      <c r="I9866" s="82"/>
      <c r="M9866" s="85"/>
    </row>
    <row r="9867" spans="9:13" x14ac:dyDescent="0.3">
      <c r="I9867" s="82"/>
      <c r="M9867" s="85"/>
    </row>
    <row r="9868" spans="9:13" x14ac:dyDescent="0.3">
      <c r="I9868" s="82"/>
      <c r="M9868" s="85"/>
    </row>
    <row r="9869" spans="9:13" x14ac:dyDescent="0.3">
      <c r="I9869" s="82"/>
      <c r="M9869" s="85"/>
    </row>
    <row r="9870" spans="9:13" x14ac:dyDescent="0.3">
      <c r="I9870" s="82"/>
      <c r="M9870" s="85"/>
    </row>
    <row r="9871" spans="9:13" x14ac:dyDescent="0.3">
      <c r="I9871" s="82"/>
      <c r="M9871" s="85"/>
    </row>
    <row r="9872" spans="9:13" x14ac:dyDescent="0.3">
      <c r="I9872" s="82"/>
      <c r="M9872" s="85"/>
    </row>
    <row r="9873" spans="9:13" x14ac:dyDescent="0.3">
      <c r="I9873" s="82"/>
      <c r="M9873" s="85"/>
    </row>
    <row r="9874" spans="9:13" x14ac:dyDescent="0.3">
      <c r="I9874" s="82"/>
      <c r="M9874" s="85"/>
    </row>
    <row r="9875" spans="9:13" x14ac:dyDescent="0.3">
      <c r="I9875" s="82"/>
      <c r="M9875" s="85"/>
    </row>
    <row r="9876" spans="9:13" x14ac:dyDescent="0.3">
      <c r="I9876" s="82"/>
      <c r="M9876" s="85"/>
    </row>
    <row r="9877" spans="9:13" x14ac:dyDescent="0.3">
      <c r="I9877" s="82"/>
      <c r="M9877" s="85"/>
    </row>
    <row r="9878" spans="9:13" x14ac:dyDescent="0.3">
      <c r="I9878" s="82"/>
      <c r="M9878" s="85"/>
    </row>
    <row r="9879" spans="9:13" x14ac:dyDescent="0.3">
      <c r="I9879" s="82"/>
      <c r="M9879" s="85"/>
    </row>
    <row r="9880" spans="9:13" x14ac:dyDescent="0.3">
      <c r="I9880" s="82"/>
      <c r="M9880" s="85"/>
    </row>
    <row r="9881" spans="9:13" x14ac:dyDescent="0.3">
      <c r="I9881" s="82"/>
      <c r="M9881" s="85"/>
    </row>
    <row r="9882" spans="9:13" x14ac:dyDescent="0.3">
      <c r="I9882" s="82"/>
      <c r="M9882" s="85"/>
    </row>
    <row r="9883" spans="9:13" x14ac:dyDescent="0.3">
      <c r="I9883" s="82"/>
      <c r="M9883" s="85"/>
    </row>
    <row r="9884" spans="9:13" x14ac:dyDescent="0.3">
      <c r="I9884" s="82"/>
      <c r="M9884" s="85"/>
    </row>
    <row r="9885" spans="9:13" x14ac:dyDescent="0.3">
      <c r="I9885" s="82"/>
      <c r="M9885" s="85"/>
    </row>
    <row r="9886" spans="9:13" x14ac:dyDescent="0.3">
      <c r="I9886" s="82"/>
      <c r="M9886" s="85"/>
    </row>
    <row r="9887" spans="9:13" x14ac:dyDescent="0.3">
      <c r="I9887" s="82"/>
      <c r="M9887" s="85"/>
    </row>
    <row r="9888" spans="9:13" x14ac:dyDescent="0.3">
      <c r="I9888" s="82"/>
      <c r="M9888" s="85"/>
    </row>
    <row r="9889" spans="9:13" x14ac:dyDescent="0.3">
      <c r="I9889" s="82"/>
      <c r="M9889" s="85"/>
    </row>
    <row r="9890" spans="9:13" x14ac:dyDescent="0.3">
      <c r="I9890" s="82"/>
      <c r="M9890" s="85"/>
    </row>
    <row r="9891" spans="9:13" x14ac:dyDescent="0.3">
      <c r="I9891" s="82"/>
      <c r="M9891" s="85"/>
    </row>
    <row r="9892" spans="9:13" x14ac:dyDescent="0.3">
      <c r="I9892" s="82"/>
      <c r="M9892" s="85"/>
    </row>
    <row r="9893" spans="9:13" x14ac:dyDescent="0.3">
      <c r="I9893" s="82"/>
      <c r="M9893" s="85"/>
    </row>
    <row r="9894" spans="9:13" x14ac:dyDescent="0.3">
      <c r="I9894" s="82"/>
      <c r="M9894" s="85"/>
    </row>
    <row r="9895" spans="9:13" x14ac:dyDescent="0.3">
      <c r="I9895" s="82"/>
      <c r="M9895" s="85"/>
    </row>
    <row r="9896" spans="9:13" x14ac:dyDescent="0.3">
      <c r="I9896" s="82"/>
      <c r="M9896" s="85"/>
    </row>
    <row r="9897" spans="9:13" x14ac:dyDescent="0.3">
      <c r="I9897" s="82"/>
      <c r="M9897" s="85"/>
    </row>
    <row r="9898" spans="9:13" x14ac:dyDescent="0.3">
      <c r="I9898" s="82"/>
      <c r="M9898" s="85"/>
    </row>
    <row r="9899" spans="9:13" x14ac:dyDescent="0.3">
      <c r="I9899" s="82"/>
      <c r="M9899" s="85"/>
    </row>
    <row r="9900" spans="9:13" x14ac:dyDescent="0.3">
      <c r="I9900" s="82"/>
      <c r="M9900" s="85"/>
    </row>
    <row r="9901" spans="9:13" x14ac:dyDescent="0.3">
      <c r="I9901" s="82"/>
      <c r="M9901" s="85"/>
    </row>
    <row r="9902" spans="9:13" x14ac:dyDescent="0.3">
      <c r="I9902" s="82"/>
      <c r="M9902" s="85"/>
    </row>
    <row r="9903" spans="9:13" x14ac:dyDescent="0.3">
      <c r="I9903" s="82"/>
      <c r="M9903" s="85"/>
    </row>
    <row r="9904" spans="9:13" x14ac:dyDescent="0.3">
      <c r="I9904" s="82"/>
      <c r="M9904" s="85"/>
    </row>
    <row r="9905" spans="9:13" x14ac:dyDescent="0.3">
      <c r="I9905" s="82"/>
      <c r="M9905" s="85"/>
    </row>
    <row r="9906" spans="9:13" x14ac:dyDescent="0.3">
      <c r="I9906" s="82"/>
      <c r="M9906" s="85"/>
    </row>
    <row r="9907" spans="9:13" x14ac:dyDescent="0.3">
      <c r="I9907" s="82"/>
      <c r="M9907" s="85"/>
    </row>
    <row r="9908" spans="9:13" x14ac:dyDescent="0.3">
      <c r="I9908" s="82"/>
      <c r="M9908" s="85"/>
    </row>
    <row r="9909" spans="9:13" x14ac:dyDescent="0.3">
      <c r="I9909" s="82"/>
      <c r="M9909" s="85"/>
    </row>
    <row r="9910" spans="9:13" x14ac:dyDescent="0.3">
      <c r="I9910" s="82"/>
      <c r="M9910" s="85"/>
    </row>
    <row r="9911" spans="9:13" x14ac:dyDescent="0.3">
      <c r="I9911" s="82"/>
      <c r="M9911" s="85"/>
    </row>
    <row r="9912" spans="9:13" x14ac:dyDescent="0.3">
      <c r="I9912" s="82"/>
      <c r="M9912" s="85"/>
    </row>
    <row r="9913" spans="9:13" x14ac:dyDescent="0.3">
      <c r="I9913" s="82"/>
      <c r="M9913" s="85"/>
    </row>
    <row r="9914" spans="9:13" x14ac:dyDescent="0.3">
      <c r="I9914" s="82"/>
      <c r="M9914" s="85"/>
    </row>
    <row r="9915" spans="9:13" x14ac:dyDescent="0.3">
      <c r="I9915" s="82"/>
      <c r="M9915" s="85"/>
    </row>
    <row r="9916" spans="9:13" x14ac:dyDescent="0.3">
      <c r="I9916" s="82"/>
      <c r="M9916" s="85"/>
    </row>
    <row r="9917" spans="9:13" x14ac:dyDescent="0.3">
      <c r="I9917" s="82"/>
      <c r="M9917" s="85"/>
    </row>
    <row r="9918" spans="9:13" x14ac:dyDescent="0.3">
      <c r="I9918" s="82"/>
      <c r="M9918" s="85"/>
    </row>
    <row r="9919" spans="9:13" x14ac:dyDescent="0.3">
      <c r="I9919" s="82"/>
      <c r="M9919" s="85"/>
    </row>
    <row r="9920" spans="9:13" x14ac:dyDescent="0.3">
      <c r="I9920" s="82"/>
      <c r="M9920" s="85"/>
    </row>
    <row r="9921" spans="9:13" x14ac:dyDescent="0.3">
      <c r="I9921" s="82"/>
      <c r="M9921" s="85"/>
    </row>
    <row r="9922" spans="9:13" x14ac:dyDescent="0.3">
      <c r="I9922" s="82"/>
      <c r="M9922" s="85"/>
    </row>
    <row r="9923" spans="9:13" x14ac:dyDescent="0.3">
      <c r="I9923" s="82"/>
      <c r="M9923" s="85"/>
    </row>
    <row r="9924" spans="9:13" x14ac:dyDescent="0.3">
      <c r="I9924" s="82"/>
      <c r="M9924" s="85"/>
    </row>
    <row r="9925" spans="9:13" x14ac:dyDescent="0.3">
      <c r="I9925" s="82"/>
      <c r="M9925" s="85"/>
    </row>
    <row r="9926" spans="9:13" x14ac:dyDescent="0.3">
      <c r="I9926" s="82"/>
      <c r="M9926" s="85"/>
    </row>
    <row r="9927" spans="9:13" x14ac:dyDescent="0.3">
      <c r="I9927" s="82"/>
      <c r="M9927" s="85"/>
    </row>
    <row r="9928" spans="9:13" x14ac:dyDescent="0.3">
      <c r="I9928" s="82"/>
      <c r="M9928" s="85"/>
    </row>
    <row r="9929" spans="9:13" x14ac:dyDescent="0.3">
      <c r="I9929" s="82"/>
      <c r="M9929" s="85"/>
    </row>
    <row r="9930" spans="9:13" x14ac:dyDescent="0.3">
      <c r="I9930" s="82"/>
      <c r="M9930" s="85"/>
    </row>
    <row r="9931" spans="9:13" x14ac:dyDescent="0.3">
      <c r="I9931" s="82"/>
      <c r="M9931" s="85"/>
    </row>
    <row r="9932" spans="9:13" x14ac:dyDescent="0.3">
      <c r="I9932" s="82"/>
      <c r="M9932" s="85"/>
    </row>
    <row r="9933" spans="9:13" x14ac:dyDescent="0.3">
      <c r="I9933" s="82"/>
      <c r="M9933" s="85"/>
    </row>
    <row r="9934" spans="9:13" x14ac:dyDescent="0.3">
      <c r="I9934" s="82"/>
      <c r="M9934" s="85"/>
    </row>
    <row r="9935" spans="9:13" x14ac:dyDescent="0.3">
      <c r="I9935" s="82"/>
      <c r="M9935" s="85"/>
    </row>
    <row r="9936" spans="9:13" x14ac:dyDescent="0.3">
      <c r="I9936" s="82"/>
      <c r="M9936" s="85"/>
    </row>
    <row r="9937" spans="9:13" x14ac:dyDescent="0.3">
      <c r="I9937" s="82"/>
      <c r="M9937" s="85"/>
    </row>
    <row r="9938" spans="9:13" x14ac:dyDescent="0.3">
      <c r="I9938" s="82"/>
      <c r="M9938" s="85"/>
    </row>
    <row r="9939" spans="9:13" x14ac:dyDescent="0.3">
      <c r="I9939" s="82"/>
      <c r="M9939" s="85"/>
    </row>
    <row r="9940" spans="9:13" x14ac:dyDescent="0.3">
      <c r="I9940" s="82"/>
      <c r="M9940" s="85"/>
    </row>
    <row r="9941" spans="9:13" x14ac:dyDescent="0.3">
      <c r="I9941" s="82"/>
      <c r="M9941" s="85"/>
    </row>
    <row r="9942" spans="9:13" x14ac:dyDescent="0.3">
      <c r="I9942" s="82"/>
      <c r="M9942" s="85"/>
    </row>
    <row r="9943" spans="9:13" x14ac:dyDescent="0.3">
      <c r="I9943" s="82"/>
      <c r="M9943" s="85"/>
    </row>
    <row r="9944" spans="9:13" x14ac:dyDescent="0.3">
      <c r="I9944" s="82"/>
      <c r="M9944" s="85"/>
    </row>
    <row r="9945" spans="9:13" x14ac:dyDescent="0.3">
      <c r="I9945" s="82"/>
      <c r="M9945" s="85"/>
    </row>
    <row r="9946" spans="9:13" x14ac:dyDescent="0.3">
      <c r="I9946" s="82"/>
      <c r="M9946" s="85"/>
    </row>
    <row r="9947" spans="9:13" x14ac:dyDescent="0.3">
      <c r="I9947" s="82"/>
      <c r="M9947" s="85"/>
    </row>
    <row r="9948" spans="9:13" x14ac:dyDescent="0.3">
      <c r="I9948" s="82"/>
      <c r="M9948" s="85"/>
    </row>
    <row r="9949" spans="9:13" x14ac:dyDescent="0.3">
      <c r="I9949" s="82"/>
      <c r="M9949" s="85"/>
    </row>
    <row r="9950" spans="9:13" x14ac:dyDescent="0.3">
      <c r="I9950" s="82"/>
      <c r="M9950" s="85"/>
    </row>
    <row r="9951" spans="9:13" x14ac:dyDescent="0.3">
      <c r="I9951" s="82"/>
      <c r="M9951" s="85"/>
    </row>
    <row r="9952" spans="9:13" x14ac:dyDescent="0.3">
      <c r="I9952" s="82"/>
      <c r="M9952" s="85"/>
    </row>
    <row r="9953" spans="9:13" x14ac:dyDescent="0.3">
      <c r="I9953" s="82"/>
      <c r="M9953" s="85"/>
    </row>
    <row r="9954" spans="9:13" x14ac:dyDescent="0.3">
      <c r="I9954" s="82"/>
      <c r="M9954" s="85"/>
    </row>
    <row r="9955" spans="9:13" x14ac:dyDescent="0.3">
      <c r="I9955" s="82"/>
      <c r="M9955" s="85"/>
    </row>
    <row r="9956" spans="9:13" x14ac:dyDescent="0.3">
      <c r="I9956" s="82"/>
      <c r="M9956" s="85"/>
    </row>
    <row r="9957" spans="9:13" x14ac:dyDescent="0.3">
      <c r="I9957" s="82"/>
      <c r="M9957" s="85"/>
    </row>
    <row r="9958" spans="9:13" x14ac:dyDescent="0.3">
      <c r="I9958" s="82"/>
      <c r="M9958" s="85"/>
    </row>
    <row r="9959" spans="9:13" x14ac:dyDescent="0.3">
      <c r="I9959" s="82"/>
      <c r="M9959" s="85"/>
    </row>
    <row r="9960" spans="9:13" x14ac:dyDescent="0.3">
      <c r="I9960" s="82"/>
      <c r="M9960" s="85"/>
    </row>
    <row r="9961" spans="9:13" x14ac:dyDescent="0.3">
      <c r="I9961" s="82"/>
      <c r="M9961" s="85"/>
    </row>
    <row r="9962" spans="9:13" x14ac:dyDescent="0.3">
      <c r="I9962" s="82"/>
      <c r="M9962" s="85"/>
    </row>
    <row r="9963" spans="9:13" x14ac:dyDescent="0.3">
      <c r="I9963" s="82"/>
      <c r="M9963" s="85"/>
    </row>
    <row r="9964" spans="9:13" x14ac:dyDescent="0.3">
      <c r="I9964" s="82"/>
      <c r="M9964" s="85"/>
    </row>
    <row r="9965" spans="9:13" x14ac:dyDescent="0.3">
      <c r="I9965" s="82"/>
      <c r="M9965" s="85"/>
    </row>
    <row r="9966" spans="9:13" x14ac:dyDescent="0.3">
      <c r="I9966" s="82"/>
      <c r="M9966" s="85"/>
    </row>
    <row r="9967" spans="9:13" x14ac:dyDescent="0.3">
      <c r="I9967" s="82"/>
      <c r="M9967" s="85"/>
    </row>
    <row r="9968" spans="9:13" x14ac:dyDescent="0.3">
      <c r="I9968" s="82"/>
      <c r="M9968" s="85"/>
    </row>
    <row r="9969" spans="9:13" x14ac:dyDescent="0.3">
      <c r="I9969" s="82"/>
      <c r="M9969" s="85"/>
    </row>
    <row r="9970" spans="9:13" x14ac:dyDescent="0.3">
      <c r="I9970" s="82"/>
      <c r="M9970" s="85"/>
    </row>
    <row r="9971" spans="9:13" x14ac:dyDescent="0.3">
      <c r="I9971" s="82"/>
      <c r="M9971" s="85"/>
    </row>
    <row r="9972" spans="9:13" x14ac:dyDescent="0.3">
      <c r="I9972" s="82"/>
      <c r="M9972" s="85"/>
    </row>
    <row r="9973" spans="9:13" x14ac:dyDescent="0.3">
      <c r="I9973" s="82"/>
      <c r="M9973" s="85"/>
    </row>
    <row r="9974" spans="9:13" x14ac:dyDescent="0.3">
      <c r="I9974" s="82"/>
      <c r="M9974" s="85"/>
    </row>
    <row r="9975" spans="9:13" x14ac:dyDescent="0.3">
      <c r="I9975" s="82"/>
      <c r="M9975" s="85"/>
    </row>
    <row r="9976" spans="9:13" x14ac:dyDescent="0.3">
      <c r="I9976" s="82"/>
      <c r="M9976" s="85"/>
    </row>
    <row r="9977" spans="9:13" x14ac:dyDescent="0.3">
      <c r="I9977" s="82"/>
      <c r="M9977" s="85"/>
    </row>
    <row r="9978" spans="9:13" x14ac:dyDescent="0.3">
      <c r="I9978" s="82"/>
      <c r="M9978" s="85"/>
    </row>
    <row r="9979" spans="9:13" x14ac:dyDescent="0.3">
      <c r="I9979" s="82"/>
      <c r="M9979" s="85"/>
    </row>
    <row r="9980" spans="9:13" x14ac:dyDescent="0.3">
      <c r="I9980" s="82"/>
      <c r="M9980" s="85"/>
    </row>
    <row r="9981" spans="9:13" x14ac:dyDescent="0.3">
      <c r="I9981" s="82"/>
      <c r="M9981" s="85"/>
    </row>
    <row r="9982" spans="9:13" x14ac:dyDescent="0.3">
      <c r="I9982" s="82"/>
      <c r="M9982" s="85"/>
    </row>
    <row r="9983" spans="9:13" x14ac:dyDescent="0.3">
      <c r="I9983" s="82"/>
      <c r="M9983" s="85"/>
    </row>
    <row r="9984" spans="9:13" x14ac:dyDescent="0.3">
      <c r="I9984" s="82"/>
      <c r="M9984" s="85"/>
    </row>
    <row r="9985" spans="9:13" x14ac:dyDescent="0.3">
      <c r="I9985" s="82"/>
      <c r="M9985" s="85"/>
    </row>
    <row r="9986" spans="9:13" x14ac:dyDescent="0.3">
      <c r="I9986" s="82"/>
      <c r="M9986" s="85"/>
    </row>
    <row r="9987" spans="9:13" x14ac:dyDescent="0.3">
      <c r="I9987" s="82"/>
      <c r="M9987" s="85"/>
    </row>
    <row r="9988" spans="9:13" x14ac:dyDescent="0.3">
      <c r="I9988" s="82"/>
      <c r="M9988" s="85"/>
    </row>
    <row r="9989" spans="9:13" x14ac:dyDescent="0.3">
      <c r="I9989" s="82"/>
      <c r="M9989" s="85"/>
    </row>
    <row r="9990" spans="9:13" x14ac:dyDescent="0.3">
      <c r="I9990" s="82"/>
      <c r="M9990" s="85"/>
    </row>
    <row r="9991" spans="9:13" x14ac:dyDescent="0.3">
      <c r="I9991" s="82"/>
      <c r="M9991" s="85"/>
    </row>
    <row r="9992" spans="9:13" x14ac:dyDescent="0.3">
      <c r="I9992" s="82"/>
      <c r="M9992" s="85"/>
    </row>
    <row r="9993" spans="9:13" x14ac:dyDescent="0.3">
      <c r="I9993" s="82"/>
      <c r="M9993" s="85"/>
    </row>
    <row r="9994" spans="9:13" x14ac:dyDescent="0.3">
      <c r="I9994" s="82"/>
      <c r="M9994" s="85"/>
    </row>
    <row r="9995" spans="9:13" x14ac:dyDescent="0.3">
      <c r="I9995" s="82"/>
      <c r="M9995" s="85"/>
    </row>
    <row r="9996" spans="9:13" x14ac:dyDescent="0.3">
      <c r="I9996" s="82"/>
      <c r="M9996" s="85"/>
    </row>
    <row r="9997" spans="9:13" x14ac:dyDescent="0.3">
      <c r="I9997" s="82"/>
      <c r="M9997" s="85"/>
    </row>
    <row r="9998" spans="9:13" x14ac:dyDescent="0.3">
      <c r="I9998" s="82"/>
      <c r="M9998" s="85"/>
    </row>
    <row r="9999" spans="9:13" x14ac:dyDescent="0.3">
      <c r="I9999" s="82"/>
      <c r="M9999" s="85"/>
    </row>
    <row r="10000" spans="9:13" x14ac:dyDescent="0.3">
      <c r="I10000" s="82"/>
      <c r="M10000" s="85"/>
    </row>
    <row r="10001" spans="9:13" x14ac:dyDescent="0.3">
      <c r="I10001" s="82"/>
      <c r="M10001" s="85"/>
    </row>
    <row r="10002" spans="9:13" x14ac:dyDescent="0.3">
      <c r="I10002" s="82"/>
      <c r="M10002" s="85"/>
    </row>
    <row r="10003" spans="9:13" x14ac:dyDescent="0.3">
      <c r="I10003" s="82"/>
      <c r="M10003" s="85"/>
    </row>
    <row r="10004" spans="9:13" x14ac:dyDescent="0.3">
      <c r="I10004" s="82"/>
      <c r="M10004" s="85"/>
    </row>
    <row r="10005" spans="9:13" x14ac:dyDescent="0.3">
      <c r="I10005" s="82"/>
      <c r="M10005" s="85"/>
    </row>
    <row r="10006" spans="9:13" x14ac:dyDescent="0.3">
      <c r="I10006" s="82"/>
      <c r="M10006" s="85"/>
    </row>
    <row r="10007" spans="9:13" x14ac:dyDescent="0.3">
      <c r="I10007" s="82"/>
      <c r="M10007" s="85"/>
    </row>
    <row r="10008" spans="9:13" x14ac:dyDescent="0.3">
      <c r="I10008" s="82"/>
      <c r="M10008" s="85"/>
    </row>
    <row r="10009" spans="9:13" x14ac:dyDescent="0.3">
      <c r="I10009" s="82"/>
      <c r="M10009" s="85"/>
    </row>
    <row r="10010" spans="9:13" x14ac:dyDescent="0.3">
      <c r="I10010" s="82"/>
      <c r="M10010" s="85"/>
    </row>
    <row r="10011" spans="9:13" x14ac:dyDescent="0.3">
      <c r="I10011" s="82"/>
      <c r="M10011" s="85"/>
    </row>
    <row r="10012" spans="9:13" x14ac:dyDescent="0.3">
      <c r="I10012" s="82"/>
      <c r="M10012" s="85"/>
    </row>
    <row r="10013" spans="9:13" x14ac:dyDescent="0.3">
      <c r="I10013" s="82"/>
      <c r="M10013" s="85"/>
    </row>
    <row r="10014" spans="9:13" x14ac:dyDescent="0.3">
      <c r="I10014" s="82"/>
      <c r="M10014" s="85"/>
    </row>
    <row r="10015" spans="9:13" x14ac:dyDescent="0.3">
      <c r="I10015" s="82"/>
      <c r="M10015" s="85"/>
    </row>
    <row r="10016" spans="9:13" x14ac:dyDescent="0.3">
      <c r="I10016" s="82"/>
      <c r="M10016" s="85"/>
    </row>
    <row r="10017" spans="9:13" x14ac:dyDescent="0.3">
      <c r="I10017" s="82"/>
      <c r="M10017" s="85"/>
    </row>
    <row r="10018" spans="9:13" x14ac:dyDescent="0.3">
      <c r="I10018" s="82"/>
      <c r="M10018" s="85"/>
    </row>
    <row r="10019" spans="9:13" x14ac:dyDescent="0.3">
      <c r="I10019" s="82"/>
      <c r="M10019" s="85"/>
    </row>
    <row r="10020" spans="9:13" x14ac:dyDescent="0.3">
      <c r="I10020" s="82"/>
      <c r="M10020" s="85"/>
    </row>
    <row r="10021" spans="9:13" x14ac:dyDescent="0.3">
      <c r="I10021" s="82"/>
      <c r="M10021" s="85"/>
    </row>
    <row r="10022" spans="9:13" x14ac:dyDescent="0.3">
      <c r="I10022" s="82"/>
      <c r="M10022" s="85"/>
    </row>
    <row r="10023" spans="9:13" x14ac:dyDescent="0.3">
      <c r="I10023" s="82"/>
      <c r="M10023" s="85"/>
    </row>
    <row r="10024" spans="9:13" x14ac:dyDescent="0.3">
      <c r="I10024" s="82"/>
      <c r="M10024" s="85"/>
    </row>
    <row r="10025" spans="9:13" x14ac:dyDescent="0.3">
      <c r="I10025" s="82"/>
      <c r="M10025" s="85"/>
    </row>
    <row r="10026" spans="9:13" x14ac:dyDescent="0.3">
      <c r="I10026" s="82"/>
      <c r="M10026" s="85"/>
    </row>
    <row r="10027" spans="9:13" x14ac:dyDescent="0.3">
      <c r="I10027" s="82"/>
      <c r="M10027" s="85"/>
    </row>
    <row r="10028" spans="9:13" x14ac:dyDescent="0.3">
      <c r="I10028" s="82"/>
      <c r="M10028" s="85"/>
    </row>
    <row r="10029" spans="9:13" x14ac:dyDescent="0.3">
      <c r="I10029" s="82"/>
      <c r="M10029" s="85"/>
    </row>
    <row r="10030" spans="9:13" x14ac:dyDescent="0.3">
      <c r="I10030" s="82"/>
      <c r="M10030" s="85"/>
    </row>
    <row r="10031" spans="9:13" x14ac:dyDescent="0.3">
      <c r="I10031" s="82"/>
      <c r="M10031" s="85"/>
    </row>
    <row r="10032" spans="9:13" x14ac:dyDescent="0.3">
      <c r="I10032" s="82"/>
      <c r="M10032" s="85"/>
    </row>
    <row r="10033" spans="9:13" x14ac:dyDescent="0.3">
      <c r="I10033" s="82"/>
      <c r="M10033" s="85"/>
    </row>
    <row r="10034" spans="9:13" x14ac:dyDescent="0.3">
      <c r="I10034" s="82"/>
      <c r="M10034" s="85"/>
    </row>
    <row r="10035" spans="9:13" x14ac:dyDescent="0.3">
      <c r="I10035" s="82"/>
      <c r="M10035" s="85"/>
    </row>
    <row r="10036" spans="9:13" x14ac:dyDescent="0.3">
      <c r="I10036" s="82"/>
      <c r="M10036" s="85"/>
    </row>
    <row r="10037" spans="9:13" x14ac:dyDescent="0.3">
      <c r="I10037" s="82"/>
      <c r="M10037" s="85"/>
    </row>
    <row r="10038" spans="9:13" x14ac:dyDescent="0.3">
      <c r="I10038" s="82"/>
      <c r="M10038" s="85"/>
    </row>
    <row r="10039" spans="9:13" x14ac:dyDescent="0.3">
      <c r="I10039" s="82"/>
      <c r="M10039" s="85"/>
    </row>
    <row r="10040" spans="9:13" x14ac:dyDescent="0.3">
      <c r="I10040" s="82"/>
      <c r="M10040" s="85"/>
    </row>
    <row r="10041" spans="9:13" x14ac:dyDescent="0.3">
      <c r="I10041" s="82"/>
      <c r="M10041" s="85"/>
    </row>
    <row r="10042" spans="9:13" x14ac:dyDescent="0.3">
      <c r="I10042" s="82"/>
      <c r="M10042" s="85"/>
    </row>
    <row r="10043" spans="9:13" x14ac:dyDescent="0.3">
      <c r="I10043" s="82"/>
      <c r="M10043" s="85"/>
    </row>
    <row r="10044" spans="9:13" x14ac:dyDescent="0.3">
      <c r="I10044" s="82"/>
      <c r="M10044" s="85"/>
    </row>
    <row r="10045" spans="9:13" x14ac:dyDescent="0.3">
      <c r="I10045" s="82"/>
      <c r="M10045" s="85"/>
    </row>
    <row r="10046" spans="9:13" x14ac:dyDescent="0.3">
      <c r="I10046" s="82"/>
      <c r="M10046" s="85"/>
    </row>
    <row r="10047" spans="9:13" x14ac:dyDescent="0.3">
      <c r="I10047" s="82"/>
      <c r="M10047" s="85"/>
    </row>
    <row r="10048" spans="9:13" x14ac:dyDescent="0.3">
      <c r="I10048" s="82"/>
      <c r="M10048" s="85"/>
    </row>
    <row r="10049" spans="9:13" x14ac:dyDescent="0.3">
      <c r="I10049" s="82"/>
      <c r="M10049" s="85"/>
    </row>
    <row r="10050" spans="9:13" x14ac:dyDescent="0.3">
      <c r="I10050" s="82"/>
      <c r="M10050" s="85"/>
    </row>
    <row r="10051" spans="9:13" x14ac:dyDescent="0.3">
      <c r="I10051" s="82"/>
      <c r="M10051" s="85"/>
    </row>
    <row r="10052" spans="9:13" x14ac:dyDescent="0.3">
      <c r="I10052" s="82"/>
      <c r="M10052" s="85"/>
    </row>
    <row r="10053" spans="9:13" x14ac:dyDescent="0.3">
      <c r="I10053" s="82"/>
      <c r="M10053" s="85"/>
    </row>
    <row r="10054" spans="9:13" x14ac:dyDescent="0.3">
      <c r="I10054" s="82"/>
      <c r="M10054" s="85"/>
    </row>
    <row r="10055" spans="9:13" x14ac:dyDescent="0.3">
      <c r="I10055" s="82"/>
      <c r="M10055" s="85"/>
    </row>
    <row r="10056" spans="9:13" x14ac:dyDescent="0.3">
      <c r="I10056" s="82"/>
      <c r="M10056" s="85"/>
    </row>
    <row r="10057" spans="9:13" x14ac:dyDescent="0.3">
      <c r="I10057" s="82"/>
      <c r="M10057" s="85"/>
    </row>
    <row r="10058" spans="9:13" x14ac:dyDescent="0.3">
      <c r="I10058" s="82"/>
      <c r="M10058" s="85"/>
    </row>
    <row r="10059" spans="9:13" x14ac:dyDescent="0.3">
      <c r="I10059" s="82"/>
      <c r="M10059" s="85"/>
    </row>
    <row r="10060" spans="9:13" x14ac:dyDescent="0.3">
      <c r="I10060" s="82"/>
      <c r="M10060" s="85"/>
    </row>
    <row r="10061" spans="9:13" x14ac:dyDescent="0.3">
      <c r="I10061" s="82"/>
      <c r="M10061" s="85"/>
    </row>
    <row r="10062" spans="9:13" x14ac:dyDescent="0.3">
      <c r="I10062" s="82"/>
      <c r="M10062" s="85"/>
    </row>
    <row r="10063" spans="9:13" x14ac:dyDescent="0.3">
      <c r="I10063" s="82"/>
      <c r="M10063" s="85"/>
    </row>
    <row r="10064" spans="9:13" x14ac:dyDescent="0.3">
      <c r="I10064" s="82"/>
      <c r="M10064" s="85"/>
    </row>
    <row r="10065" spans="9:13" x14ac:dyDescent="0.3">
      <c r="I10065" s="82"/>
      <c r="M10065" s="85"/>
    </row>
    <row r="10066" spans="9:13" x14ac:dyDescent="0.3">
      <c r="I10066" s="82"/>
      <c r="M10066" s="85"/>
    </row>
    <row r="10067" spans="9:13" x14ac:dyDescent="0.3">
      <c r="I10067" s="82"/>
      <c r="M10067" s="85"/>
    </row>
    <row r="10068" spans="9:13" x14ac:dyDescent="0.3">
      <c r="I10068" s="82"/>
      <c r="M10068" s="85"/>
    </row>
    <row r="10069" spans="9:13" x14ac:dyDescent="0.3">
      <c r="I10069" s="82"/>
      <c r="M10069" s="85"/>
    </row>
    <row r="10070" spans="9:13" x14ac:dyDescent="0.3">
      <c r="I10070" s="82"/>
      <c r="M10070" s="85"/>
    </row>
    <row r="10071" spans="9:13" x14ac:dyDescent="0.3">
      <c r="I10071" s="82"/>
      <c r="M10071" s="85"/>
    </row>
    <row r="10072" spans="9:13" x14ac:dyDescent="0.3">
      <c r="I10072" s="82"/>
      <c r="M10072" s="85"/>
    </row>
    <row r="10073" spans="9:13" x14ac:dyDescent="0.3">
      <c r="I10073" s="82"/>
      <c r="M10073" s="85"/>
    </row>
    <row r="10074" spans="9:13" x14ac:dyDescent="0.3">
      <c r="I10074" s="82"/>
      <c r="M10074" s="85"/>
    </row>
    <row r="10075" spans="9:13" x14ac:dyDescent="0.3">
      <c r="I10075" s="82"/>
      <c r="M10075" s="85"/>
    </row>
    <row r="10076" spans="9:13" x14ac:dyDescent="0.3">
      <c r="I10076" s="82"/>
      <c r="M10076" s="85"/>
    </row>
    <row r="10077" spans="9:13" x14ac:dyDescent="0.3">
      <c r="I10077" s="82"/>
      <c r="M10077" s="85"/>
    </row>
    <row r="10078" spans="9:13" x14ac:dyDescent="0.3">
      <c r="I10078" s="82"/>
      <c r="M10078" s="85"/>
    </row>
    <row r="10079" spans="9:13" x14ac:dyDescent="0.3">
      <c r="I10079" s="82"/>
      <c r="M10079" s="85"/>
    </row>
    <row r="10080" spans="9:13" x14ac:dyDescent="0.3">
      <c r="I10080" s="82"/>
      <c r="M10080" s="85"/>
    </row>
    <row r="10081" spans="9:13" x14ac:dyDescent="0.3">
      <c r="I10081" s="82"/>
      <c r="M10081" s="85"/>
    </row>
    <row r="10082" spans="9:13" x14ac:dyDescent="0.3">
      <c r="I10082" s="82"/>
      <c r="M10082" s="85"/>
    </row>
    <row r="10083" spans="9:13" x14ac:dyDescent="0.3">
      <c r="I10083" s="82"/>
      <c r="M10083" s="85"/>
    </row>
    <row r="10084" spans="9:13" x14ac:dyDescent="0.3">
      <c r="I10084" s="82"/>
      <c r="M10084" s="85"/>
    </row>
    <row r="10085" spans="9:13" x14ac:dyDescent="0.3">
      <c r="I10085" s="82"/>
      <c r="M10085" s="85"/>
    </row>
    <row r="10086" spans="9:13" x14ac:dyDescent="0.3">
      <c r="I10086" s="82"/>
      <c r="M10086" s="85"/>
    </row>
    <row r="10087" spans="9:13" x14ac:dyDescent="0.3">
      <c r="I10087" s="82"/>
      <c r="M10087" s="85"/>
    </row>
    <row r="10088" spans="9:13" x14ac:dyDescent="0.3">
      <c r="I10088" s="82"/>
      <c r="M10088" s="85"/>
    </row>
    <row r="10089" spans="9:13" x14ac:dyDescent="0.3">
      <c r="I10089" s="82"/>
      <c r="M10089" s="85"/>
    </row>
    <row r="10090" spans="9:13" x14ac:dyDescent="0.3">
      <c r="I10090" s="82"/>
      <c r="M10090" s="85"/>
    </row>
    <row r="10091" spans="9:13" x14ac:dyDescent="0.3">
      <c r="I10091" s="82"/>
      <c r="M10091" s="85"/>
    </row>
    <row r="10092" spans="9:13" x14ac:dyDescent="0.3">
      <c r="I10092" s="82"/>
      <c r="M10092" s="85"/>
    </row>
    <row r="10093" spans="9:13" x14ac:dyDescent="0.3">
      <c r="I10093" s="82"/>
      <c r="M10093" s="85"/>
    </row>
    <row r="10094" spans="9:13" x14ac:dyDescent="0.3">
      <c r="I10094" s="82"/>
      <c r="M10094" s="85"/>
    </row>
    <row r="10095" spans="9:13" x14ac:dyDescent="0.3">
      <c r="I10095" s="82"/>
      <c r="M10095" s="85"/>
    </row>
    <row r="10096" spans="9:13" x14ac:dyDescent="0.3">
      <c r="I10096" s="82"/>
      <c r="M10096" s="85"/>
    </row>
    <row r="10097" spans="9:13" x14ac:dyDescent="0.3">
      <c r="I10097" s="82"/>
      <c r="M10097" s="85"/>
    </row>
    <row r="10098" spans="9:13" x14ac:dyDescent="0.3">
      <c r="I10098" s="82"/>
      <c r="M10098" s="85"/>
    </row>
    <row r="10099" spans="9:13" x14ac:dyDescent="0.3">
      <c r="I10099" s="82"/>
      <c r="M10099" s="85"/>
    </row>
    <row r="10100" spans="9:13" x14ac:dyDescent="0.3">
      <c r="I10100" s="82"/>
      <c r="M10100" s="85"/>
    </row>
    <row r="10101" spans="9:13" x14ac:dyDescent="0.3">
      <c r="I10101" s="82"/>
      <c r="M10101" s="85"/>
    </row>
    <row r="10102" spans="9:13" x14ac:dyDescent="0.3">
      <c r="I10102" s="82"/>
      <c r="M10102" s="85"/>
    </row>
    <row r="10103" spans="9:13" x14ac:dyDescent="0.3">
      <c r="I10103" s="82"/>
      <c r="M10103" s="85"/>
    </row>
    <row r="10104" spans="9:13" x14ac:dyDescent="0.3">
      <c r="I10104" s="82"/>
      <c r="M10104" s="85"/>
    </row>
    <row r="10105" spans="9:13" x14ac:dyDescent="0.3">
      <c r="I10105" s="82"/>
      <c r="M10105" s="85"/>
    </row>
    <row r="10106" spans="9:13" x14ac:dyDescent="0.3">
      <c r="I10106" s="82"/>
      <c r="M10106" s="85"/>
    </row>
    <row r="10107" spans="9:13" x14ac:dyDescent="0.3">
      <c r="I10107" s="82"/>
      <c r="M10107" s="85"/>
    </row>
    <row r="10108" spans="9:13" x14ac:dyDescent="0.3">
      <c r="I10108" s="82"/>
      <c r="M10108" s="85"/>
    </row>
    <row r="10109" spans="9:13" x14ac:dyDescent="0.3">
      <c r="I10109" s="82"/>
      <c r="M10109" s="85"/>
    </row>
    <row r="10110" spans="9:13" x14ac:dyDescent="0.3">
      <c r="I10110" s="82"/>
      <c r="M10110" s="85"/>
    </row>
    <row r="10111" spans="9:13" x14ac:dyDescent="0.3">
      <c r="I10111" s="82"/>
      <c r="M10111" s="85"/>
    </row>
    <row r="10112" spans="9:13" x14ac:dyDescent="0.3">
      <c r="I10112" s="82"/>
      <c r="M10112" s="85"/>
    </row>
    <row r="10113" spans="9:13" x14ac:dyDescent="0.3">
      <c r="I10113" s="82"/>
      <c r="M10113" s="85"/>
    </row>
    <row r="10114" spans="9:13" x14ac:dyDescent="0.3">
      <c r="I10114" s="82"/>
      <c r="M10114" s="85"/>
    </row>
    <row r="10115" spans="9:13" x14ac:dyDescent="0.3">
      <c r="I10115" s="82"/>
      <c r="M10115" s="85"/>
    </row>
    <row r="10116" spans="9:13" x14ac:dyDescent="0.3">
      <c r="I10116" s="82"/>
      <c r="M10116" s="85"/>
    </row>
    <row r="10117" spans="9:13" x14ac:dyDescent="0.3">
      <c r="I10117" s="82"/>
      <c r="M10117" s="85"/>
    </row>
    <row r="10118" spans="9:13" x14ac:dyDescent="0.3">
      <c r="I10118" s="82"/>
      <c r="M10118" s="85"/>
    </row>
    <row r="10119" spans="9:13" x14ac:dyDescent="0.3">
      <c r="I10119" s="82"/>
      <c r="M10119" s="85"/>
    </row>
    <row r="10120" spans="9:13" x14ac:dyDescent="0.3">
      <c r="I10120" s="82"/>
      <c r="M10120" s="85"/>
    </row>
    <row r="10121" spans="9:13" x14ac:dyDescent="0.3">
      <c r="I10121" s="82"/>
      <c r="M10121" s="85"/>
    </row>
    <row r="10122" spans="9:13" x14ac:dyDescent="0.3">
      <c r="I10122" s="82"/>
      <c r="M10122" s="85"/>
    </row>
    <row r="10123" spans="9:13" x14ac:dyDescent="0.3">
      <c r="I10123" s="82"/>
      <c r="M10123" s="85"/>
    </row>
    <row r="10124" spans="9:13" x14ac:dyDescent="0.3">
      <c r="I10124" s="82"/>
      <c r="M10124" s="85"/>
    </row>
    <row r="10125" spans="9:13" x14ac:dyDescent="0.3">
      <c r="I10125" s="82"/>
      <c r="M10125" s="85"/>
    </row>
    <row r="10126" spans="9:13" x14ac:dyDescent="0.3">
      <c r="I10126" s="82"/>
      <c r="M10126" s="85"/>
    </row>
    <row r="10127" spans="9:13" x14ac:dyDescent="0.3">
      <c r="I10127" s="82"/>
      <c r="M10127" s="85"/>
    </row>
    <row r="10128" spans="9:13" x14ac:dyDescent="0.3">
      <c r="I10128" s="82"/>
      <c r="M10128" s="85"/>
    </row>
    <row r="10129" spans="9:13" x14ac:dyDescent="0.3">
      <c r="I10129" s="82"/>
      <c r="M10129" s="85"/>
    </row>
    <row r="10130" spans="9:13" x14ac:dyDescent="0.3">
      <c r="I10130" s="82"/>
      <c r="M10130" s="85"/>
    </row>
    <row r="10131" spans="9:13" x14ac:dyDescent="0.3">
      <c r="I10131" s="82"/>
      <c r="M10131" s="85"/>
    </row>
    <row r="10132" spans="9:13" x14ac:dyDescent="0.3">
      <c r="I10132" s="82"/>
      <c r="M10132" s="85"/>
    </row>
    <row r="10133" spans="9:13" x14ac:dyDescent="0.3">
      <c r="I10133" s="82"/>
      <c r="M10133" s="85"/>
    </row>
    <row r="10134" spans="9:13" x14ac:dyDescent="0.3">
      <c r="I10134" s="82"/>
      <c r="M10134" s="85"/>
    </row>
    <row r="10135" spans="9:13" x14ac:dyDescent="0.3">
      <c r="I10135" s="82"/>
      <c r="M10135" s="85"/>
    </row>
    <row r="10136" spans="9:13" x14ac:dyDescent="0.3">
      <c r="I10136" s="82"/>
      <c r="M10136" s="85"/>
    </row>
    <row r="10137" spans="9:13" x14ac:dyDescent="0.3">
      <c r="I10137" s="82"/>
      <c r="M10137" s="85"/>
    </row>
    <row r="10138" spans="9:13" x14ac:dyDescent="0.3">
      <c r="I10138" s="82"/>
      <c r="M10138" s="85"/>
    </row>
    <row r="10139" spans="9:13" x14ac:dyDescent="0.3">
      <c r="I10139" s="82"/>
      <c r="M10139" s="85"/>
    </row>
    <row r="10140" spans="9:13" x14ac:dyDescent="0.3">
      <c r="I10140" s="82"/>
      <c r="M10140" s="85"/>
    </row>
    <row r="10141" spans="9:13" x14ac:dyDescent="0.3">
      <c r="I10141" s="82"/>
      <c r="M10141" s="85"/>
    </row>
    <row r="10142" spans="9:13" x14ac:dyDescent="0.3">
      <c r="I10142" s="82"/>
      <c r="M10142" s="85"/>
    </row>
    <row r="10143" spans="9:13" x14ac:dyDescent="0.3">
      <c r="I10143" s="82"/>
      <c r="M10143" s="85"/>
    </row>
    <row r="10144" spans="9:13" x14ac:dyDescent="0.3">
      <c r="I10144" s="82"/>
      <c r="M10144" s="85"/>
    </row>
    <row r="10145" spans="9:13" x14ac:dyDescent="0.3">
      <c r="I10145" s="82"/>
      <c r="M10145" s="85"/>
    </row>
    <row r="10146" spans="9:13" x14ac:dyDescent="0.3">
      <c r="I10146" s="82"/>
      <c r="M10146" s="85"/>
    </row>
    <row r="10147" spans="9:13" x14ac:dyDescent="0.3">
      <c r="I10147" s="82"/>
      <c r="M10147" s="85"/>
    </row>
    <row r="10148" spans="9:13" x14ac:dyDescent="0.3">
      <c r="I10148" s="82"/>
      <c r="M10148" s="85"/>
    </row>
    <row r="10149" spans="9:13" x14ac:dyDescent="0.3">
      <c r="I10149" s="82"/>
      <c r="M10149" s="85"/>
    </row>
    <row r="10150" spans="9:13" x14ac:dyDescent="0.3">
      <c r="I10150" s="82"/>
      <c r="M10150" s="85"/>
    </row>
    <row r="10151" spans="9:13" x14ac:dyDescent="0.3">
      <c r="I10151" s="82"/>
      <c r="M10151" s="85"/>
    </row>
    <row r="10152" spans="9:13" x14ac:dyDescent="0.3">
      <c r="I10152" s="82"/>
      <c r="M10152" s="85"/>
    </row>
    <row r="10153" spans="9:13" x14ac:dyDescent="0.3">
      <c r="I10153" s="82"/>
      <c r="M10153" s="85"/>
    </row>
    <row r="10154" spans="9:13" x14ac:dyDescent="0.3">
      <c r="I10154" s="82"/>
      <c r="M10154" s="85"/>
    </row>
    <row r="10155" spans="9:13" x14ac:dyDescent="0.3">
      <c r="I10155" s="82"/>
      <c r="M10155" s="85"/>
    </row>
    <row r="10156" spans="9:13" x14ac:dyDescent="0.3">
      <c r="I10156" s="82"/>
      <c r="M10156" s="85"/>
    </row>
    <row r="10157" spans="9:13" x14ac:dyDescent="0.3">
      <c r="I10157" s="82"/>
      <c r="M10157" s="85"/>
    </row>
    <row r="10158" spans="9:13" x14ac:dyDescent="0.3">
      <c r="I10158" s="82"/>
      <c r="M10158" s="85"/>
    </row>
    <row r="10159" spans="9:13" x14ac:dyDescent="0.3">
      <c r="I10159" s="82"/>
      <c r="M10159" s="85"/>
    </row>
    <row r="10160" spans="9:13" x14ac:dyDescent="0.3">
      <c r="I10160" s="82"/>
      <c r="M10160" s="85"/>
    </row>
    <row r="10161" spans="9:13" x14ac:dyDescent="0.3">
      <c r="I10161" s="82"/>
      <c r="M10161" s="85"/>
    </row>
    <row r="10162" spans="9:13" x14ac:dyDescent="0.3">
      <c r="I10162" s="82"/>
      <c r="M10162" s="85"/>
    </row>
    <row r="10163" spans="9:13" x14ac:dyDescent="0.3">
      <c r="I10163" s="82"/>
      <c r="M10163" s="85"/>
    </row>
    <row r="10164" spans="9:13" x14ac:dyDescent="0.3">
      <c r="I10164" s="82"/>
      <c r="M10164" s="85"/>
    </row>
    <row r="10165" spans="9:13" x14ac:dyDescent="0.3">
      <c r="I10165" s="82"/>
      <c r="M10165" s="85"/>
    </row>
    <row r="10166" spans="9:13" x14ac:dyDescent="0.3">
      <c r="I10166" s="82"/>
      <c r="M10166" s="85"/>
    </row>
    <row r="10167" spans="9:13" x14ac:dyDescent="0.3">
      <c r="I10167" s="82"/>
      <c r="M10167" s="85"/>
    </row>
    <row r="10168" spans="9:13" x14ac:dyDescent="0.3">
      <c r="I10168" s="82"/>
      <c r="M10168" s="85"/>
    </row>
    <row r="10169" spans="9:13" x14ac:dyDescent="0.3">
      <c r="I10169" s="82"/>
      <c r="M10169" s="85"/>
    </row>
    <row r="10170" spans="9:13" x14ac:dyDescent="0.3">
      <c r="I10170" s="82"/>
      <c r="M10170" s="85"/>
    </row>
    <row r="10171" spans="9:13" x14ac:dyDescent="0.3">
      <c r="I10171" s="82"/>
      <c r="M10171" s="85"/>
    </row>
    <row r="10172" spans="9:13" x14ac:dyDescent="0.3">
      <c r="I10172" s="82"/>
      <c r="M10172" s="85"/>
    </row>
    <row r="10173" spans="9:13" x14ac:dyDescent="0.3">
      <c r="I10173" s="82"/>
      <c r="M10173" s="85"/>
    </row>
    <row r="10174" spans="9:13" x14ac:dyDescent="0.3">
      <c r="I10174" s="82"/>
      <c r="M10174" s="85"/>
    </row>
    <row r="10175" spans="9:13" x14ac:dyDescent="0.3">
      <c r="I10175" s="82"/>
      <c r="M10175" s="85"/>
    </row>
    <row r="10176" spans="9:13" x14ac:dyDescent="0.3">
      <c r="I10176" s="82"/>
      <c r="M10176" s="85"/>
    </row>
    <row r="10177" spans="9:13" x14ac:dyDescent="0.3">
      <c r="I10177" s="82"/>
      <c r="M10177" s="85"/>
    </row>
    <row r="10178" spans="9:13" x14ac:dyDescent="0.3">
      <c r="I10178" s="82"/>
      <c r="M10178" s="85"/>
    </row>
    <row r="10179" spans="9:13" x14ac:dyDescent="0.3">
      <c r="I10179" s="82"/>
      <c r="M10179" s="85"/>
    </row>
    <row r="10180" spans="9:13" x14ac:dyDescent="0.3">
      <c r="I10180" s="82"/>
      <c r="M10180" s="85"/>
    </row>
    <row r="10181" spans="9:13" x14ac:dyDescent="0.3">
      <c r="I10181" s="82"/>
      <c r="M10181" s="85"/>
    </row>
    <row r="10182" spans="9:13" x14ac:dyDescent="0.3">
      <c r="I10182" s="82"/>
      <c r="M10182" s="85"/>
    </row>
    <row r="10183" spans="9:13" x14ac:dyDescent="0.3">
      <c r="I10183" s="82"/>
      <c r="M10183" s="85"/>
    </row>
    <row r="10184" spans="9:13" x14ac:dyDescent="0.3">
      <c r="I10184" s="82"/>
      <c r="M10184" s="85"/>
    </row>
    <row r="10185" spans="9:13" x14ac:dyDescent="0.3">
      <c r="I10185" s="82"/>
      <c r="M10185" s="85"/>
    </row>
    <row r="10186" spans="9:13" x14ac:dyDescent="0.3">
      <c r="I10186" s="82"/>
      <c r="M10186" s="85"/>
    </row>
    <row r="10187" spans="9:13" x14ac:dyDescent="0.3">
      <c r="I10187" s="82"/>
      <c r="M10187" s="85"/>
    </row>
    <row r="10188" spans="9:13" x14ac:dyDescent="0.3">
      <c r="I10188" s="82"/>
      <c r="M10188" s="85"/>
    </row>
    <row r="10189" spans="9:13" x14ac:dyDescent="0.3">
      <c r="I10189" s="82"/>
      <c r="M10189" s="85"/>
    </row>
    <row r="10190" spans="9:13" x14ac:dyDescent="0.3">
      <c r="I10190" s="82"/>
      <c r="M10190" s="85"/>
    </row>
    <row r="10191" spans="9:13" x14ac:dyDescent="0.3">
      <c r="I10191" s="82"/>
      <c r="M10191" s="85"/>
    </row>
    <row r="10192" spans="9:13" x14ac:dyDescent="0.3">
      <c r="I10192" s="82"/>
      <c r="M10192" s="85"/>
    </row>
    <row r="10193" spans="9:13" x14ac:dyDescent="0.3">
      <c r="I10193" s="82"/>
      <c r="M10193" s="85"/>
    </row>
    <row r="10194" spans="9:13" x14ac:dyDescent="0.3">
      <c r="I10194" s="82"/>
      <c r="M10194" s="85"/>
    </row>
    <row r="10195" spans="9:13" x14ac:dyDescent="0.3">
      <c r="I10195" s="82"/>
      <c r="M10195" s="85"/>
    </row>
    <row r="10196" spans="9:13" x14ac:dyDescent="0.3">
      <c r="I10196" s="82"/>
      <c r="M10196" s="85"/>
    </row>
    <row r="10197" spans="9:13" x14ac:dyDescent="0.3">
      <c r="I10197" s="82"/>
      <c r="M10197" s="85"/>
    </row>
    <row r="10198" spans="9:13" x14ac:dyDescent="0.3">
      <c r="I10198" s="82"/>
      <c r="M10198" s="85"/>
    </row>
    <row r="10199" spans="9:13" x14ac:dyDescent="0.3">
      <c r="I10199" s="82"/>
      <c r="M10199" s="85"/>
    </row>
    <row r="10200" spans="9:13" x14ac:dyDescent="0.3">
      <c r="I10200" s="82"/>
      <c r="M10200" s="85"/>
    </row>
    <row r="10201" spans="9:13" x14ac:dyDescent="0.3">
      <c r="I10201" s="82"/>
      <c r="M10201" s="85"/>
    </row>
    <row r="10202" spans="9:13" x14ac:dyDescent="0.3">
      <c r="I10202" s="82"/>
      <c r="M10202" s="85"/>
    </row>
    <row r="10203" spans="9:13" x14ac:dyDescent="0.3">
      <c r="I10203" s="82"/>
      <c r="M10203" s="85"/>
    </row>
    <row r="10204" spans="9:13" x14ac:dyDescent="0.3">
      <c r="I10204" s="82"/>
      <c r="M10204" s="85"/>
    </row>
    <row r="10205" spans="9:13" x14ac:dyDescent="0.3">
      <c r="I10205" s="82"/>
      <c r="M10205" s="85"/>
    </row>
    <row r="10206" spans="9:13" x14ac:dyDescent="0.3">
      <c r="I10206" s="82"/>
      <c r="M10206" s="85"/>
    </row>
    <row r="10207" spans="9:13" x14ac:dyDescent="0.3">
      <c r="I10207" s="82"/>
      <c r="M10207" s="85"/>
    </row>
    <row r="10208" spans="9:13" x14ac:dyDescent="0.3">
      <c r="I10208" s="82"/>
      <c r="M10208" s="85"/>
    </row>
    <row r="10209" spans="9:13" x14ac:dyDescent="0.3">
      <c r="I10209" s="82"/>
      <c r="M10209" s="85"/>
    </row>
    <row r="10210" spans="9:13" x14ac:dyDescent="0.3">
      <c r="I10210" s="82"/>
      <c r="M10210" s="85"/>
    </row>
    <row r="10211" spans="9:13" x14ac:dyDescent="0.3">
      <c r="I10211" s="82"/>
      <c r="M10211" s="85"/>
    </row>
    <row r="10212" spans="9:13" x14ac:dyDescent="0.3">
      <c r="I10212" s="82"/>
      <c r="M10212" s="85"/>
    </row>
    <row r="10213" spans="9:13" x14ac:dyDescent="0.3">
      <c r="I10213" s="82"/>
      <c r="M10213" s="85"/>
    </row>
    <row r="10214" spans="9:13" x14ac:dyDescent="0.3">
      <c r="I10214" s="82"/>
      <c r="M10214" s="85"/>
    </row>
    <row r="10215" spans="9:13" x14ac:dyDescent="0.3">
      <c r="I10215" s="82"/>
      <c r="M10215" s="85"/>
    </row>
    <row r="10216" spans="9:13" x14ac:dyDescent="0.3">
      <c r="I10216" s="82"/>
      <c r="M10216" s="85"/>
    </row>
    <row r="10217" spans="9:13" x14ac:dyDescent="0.3">
      <c r="I10217" s="82"/>
      <c r="M10217" s="85"/>
    </row>
    <row r="10218" spans="9:13" x14ac:dyDescent="0.3">
      <c r="I10218" s="82"/>
      <c r="M10218" s="85"/>
    </row>
    <row r="10219" spans="9:13" x14ac:dyDescent="0.3">
      <c r="I10219" s="82"/>
      <c r="M10219" s="85"/>
    </row>
    <row r="10220" spans="9:13" x14ac:dyDescent="0.3">
      <c r="I10220" s="82"/>
      <c r="M10220" s="85"/>
    </row>
    <row r="10221" spans="9:13" x14ac:dyDescent="0.3">
      <c r="I10221" s="82"/>
      <c r="M10221" s="85"/>
    </row>
    <row r="10222" spans="9:13" x14ac:dyDescent="0.3">
      <c r="I10222" s="82"/>
      <c r="M10222" s="85"/>
    </row>
    <row r="10223" spans="9:13" x14ac:dyDescent="0.3">
      <c r="I10223" s="82"/>
      <c r="M10223" s="85"/>
    </row>
    <row r="10224" spans="9:13" x14ac:dyDescent="0.3">
      <c r="I10224" s="82"/>
      <c r="M10224" s="85"/>
    </row>
    <row r="10225" spans="9:13" x14ac:dyDescent="0.3">
      <c r="I10225" s="82"/>
      <c r="M10225" s="85"/>
    </row>
    <row r="10226" spans="9:13" x14ac:dyDescent="0.3">
      <c r="I10226" s="82"/>
      <c r="M10226" s="85"/>
    </row>
    <row r="10227" spans="9:13" x14ac:dyDescent="0.3">
      <c r="I10227" s="82"/>
      <c r="M10227" s="85"/>
    </row>
    <row r="10228" spans="9:13" x14ac:dyDescent="0.3">
      <c r="I10228" s="82"/>
      <c r="M10228" s="85"/>
    </row>
    <row r="10229" spans="9:13" x14ac:dyDescent="0.3">
      <c r="I10229" s="82"/>
      <c r="M10229" s="85"/>
    </row>
    <row r="10230" spans="9:13" x14ac:dyDescent="0.3">
      <c r="I10230" s="82"/>
      <c r="M10230" s="85"/>
    </row>
    <row r="10231" spans="9:13" x14ac:dyDescent="0.3">
      <c r="I10231" s="82"/>
      <c r="M10231" s="85"/>
    </row>
    <row r="10232" spans="9:13" x14ac:dyDescent="0.3">
      <c r="I10232" s="82"/>
      <c r="M10232" s="85"/>
    </row>
    <row r="10233" spans="9:13" x14ac:dyDescent="0.3">
      <c r="I10233" s="82"/>
      <c r="M10233" s="85"/>
    </row>
    <row r="10234" spans="9:13" x14ac:dyDescent="0.3">
      <c r="I10234" s="82"/>
      <c r="M10234" s="85"/>
    </row>
    <row r="10235" spans="9:13" x14ac:dyDescent="0.3">
      <c r="I10235" s="82"/>
      <c r="M10235" s="85"/>
    </row>
    <row r="10236" spans="9:13" x14ac:dyDescent="0.3">
      <c r="I10236" s="82"/>
      <c r="M10236" s="85"/>
    </row>
    <row r="10237" spans="9:13" x14ac:dyDescent="0.3">
      <c r="I10237" s="82"/>
      <c r="M10237" s="85"/>
    </row>
    <row r="10238" spans="9:13" x14ac:dyDescent="0.3">
      <c r="I10238" s="82"/>
      <c r="M10238" s="85"/>
    </row>
    <row r="10239" spans="9:13" x14ac:dyDescent="0.3">
      <c r="I10239" s="82"/>
      <c r="M10239" s="85"/>
    </row>
    <row r="10240" spans="9:13" x14ac:dyDescent="0.3">
      <c r="I10240" s="82"/>
      <c r="M10240" s="85"/>
    </row>
    <row r="10241" spans="9:13" x14ac:dyDescent="0.3">
      <c r="I10241" s="82"/>
      <c r="M10241" s="85"/>
    </row>
    <row r="10242" spans="9:13" x14ac:dyDescent="0.3">
      <c r="I10242" s="82"/>
      <c r="M10242" s="85"/>
    </row>
    <row r="10243" spans="9:13" x14ac:dyDescent="0.3">
      <c r="I10243" s="82"/>
      <c r="M10243" s="85"/>
    </row>
    <row r="10244" spans="9:13" x14ac:dyDescent="0.3">
      <c r="I10244" s="82"/>
      <c r="M10244" s="85"/>
    </row>
    <row r="10245" spans="9:13" x14ac:dyDescent="0.3">
      <c r="I10245" s="82"/>
      <c r="M10245" s="85"/>
    </row>
    <row r="10246" spans="9:13" x14ac:dyDescent="0.3">
      <c r="I10246" s="82"/>
      <c r="M10246" s="85"/>
    </row>
    <row r="10247" spans="9:13" x14ac:dyDescent="0.3">
      <c r="I10247" s="82"/>
      <c r="M10247" s="85"/>
    </row>
    <row r="10248" spans="9:13" x14ac:dyDescent="0.3">
      <c r="I10248" s="82"/>
      <c r="M10248" s="85"/>
    </row>
    <row r="10249" spans="9:13" x14ac:dyDescent="0.3">
      <c r="I10249" s="82"/>
      <c r="M10249" s="85"/>
    </row>
    <row r="10250" spans="9:13" x14ac:dyDescent="0.3">
      <c r="I10250" s="82"/>
      <c r="M10250" s="85"/>
    </row>
    <row r="10251" spans="9:13" x14ac:dyDescent="0.3">
      <c r="I10251" s="82"/>
      <c r="M10251" s="85"/>
    </row>
    <row r="10252" spans="9:13" x14ac:dyDescent="0.3">
      <c r="I10252" s="82"/>
      <c r="M10252" s="85"/>
    </row>
    <row r="10253" spans="9:13" x14ac:dyDescent="0.3">
      <c r="I10253" s="82"/>
      <c r="M10253" s="85"/>
    </row>
    <row r="10254" spans="9:13" x14ac:dyDescent="0.3">
      <c r="I10254" s="82"/>
      <c r="M10254" s="85"/>
    </row>
    <row r="10255" spans="9:13" x14ac:dyDescent="0.3">
      <c r="I10255" s="82"/>
      <c r="M10255" s="85"/>
    </row>
    <row r="10256" spans="9:13" x14ac:dyDescent="0.3">
      <c r="I10256" s="82"/>
      <c r="M10256" s="85"/>
    </row>
    <row r="10257" spans="9:13" x14ac:dyDescent="0.3">
      <c r="I10257" s="82"/>
      <c r="M10257" s="85"/>
    </row>
    <row r="10258" spans="9:13" x14ac:dyDescent="0.3">
      <c r="I10258" s="82"/>
      <c r="M10258" s="85"/>
    </row>
    <row r="10259" spans="9:13" x14ac:dyDescent="0.3">
      <c r="I10259" s="82"/>
      <c r="M10259" s="85"/>
    </row>
    <row r="10260" spans="9:13" x14ac:dyDescent="0.3">
      <c r="I10260" s="82"/>
      <c r="M10260" s="85"/>
    </row>
    <row r="10261" spans="9:13" x14ac:dyDescent="0.3">
      <c r="I10261" s="82"/>
      <c r="M10261" s="85"/>
    </row>
    <row r="10262" spans="9:13" x14ac:dyDescent="0.3">
      <c r="I10262" s="82"/>
      <c r="M10262" s="85"/>
    </row>
    <row r="10263" spans="9:13" x14ac:dyDescent="0.3">
      <c r="I10263" s="82"/>
      <c r="M10263" s="85"/>
    </row>
    <row r="10264" spans="9:13" x14ac:dyDescent="0.3">
      <c r="I10264" s="82"/>
      <c r="M10264" s="85"/>
    </row>
    <row r="10265" spans="9:13" x14ac:dyDescent="0.3">
      <c r="I10265" s="82"/>
      <c r="M10265" s="85"/>
    </row>
    <row r="10266" spans="9:13" x14ac:dyDescent="0.3">
      <c r="I10266" s="82"/>
      <c r="M10266" s="85"/>
    </row>
    <row r="10267" spans="9:13" x14ac:dyDescent="0.3">
      <c r="I10267" s="82"/>
      <c r="M10267" s="85"/>
    </row>
    <row r="10268" spans="9:13" x14ac:dyDescent="0.3">
      <c r="I10268" s="82"/>
      <c r="M10268" s="85"/>
    </row>
    <row r="10269" spans="9:13" x14ac:dyDescent="0.3">
      <c r="I10269" s="82"/>
      <c r="M10269" s="85"/>
    </row>
    <row r="10270" spans="9:13" x14ac:dyDescent="0.3">
      <c r="I10270" s="82"/>
      <c r="M10270" s="85"/>
    </row>
    <row r="10271" spans="9:13" x14ac:dyDescent="0.3">
      <c r="I10271" s="82"/>
      <c r="M10271" s="85"/>
    </row>
    <row r="10272" spans="9:13" x14ac:dyDescent="0.3">
      <c r="I10272" s="82"/>
      <c r="M10272" s="85"/>
    </row>
    <row r="10273" spans="9:13" x14ac:dyDescent="0.3">
      <c r="I10273" s="82"/>
      <c r="M10273" s="85"/>
    </row>
    <row r="10274" spans="9:13" x14ac:dyDescent="0.3">
      <c r="I10274" s="82"/>
      <c r="M10274" s="85"/>
    </row>
    <row r="10275" spans="9:13" x14ac:dyDescent="0.3">
      <c r="I10275" s="82"/>
      <c r="M10275" s="85"/>
    </row>
    <row r="10276" spans="9:13" x14ac:dyDescent="0.3">
      <c r="I10276" s="82"/>
      <c r="M10276" s="85"/>
    </row>
    <row r="10277" spans="9:13" x14ac:dyDescent="0.3">
      <c r="I10277" s="82"/>
      <c r="M10277" s="85"/>
    </row>
    <row r="10278" spans="9:13" x14ac:dyDescent="0.3">
      <c r="I10278" s="82"/>
      <c r="M10278" s="85"/>
    </row>
    <row r="10279" spans="9:13" x14ac:dyDescent="0.3">
      <c r="I10279" s="82"/>
      <c r="M10279" s="85"/>
    </row>
    <row r="10280" spans="9:13" x14ac:dyDescent="0.3">
      <c r="I10280" s="82"/>
      <c r="M10280" s="85"/>
    </row>
    <row r="10281" spans="9:13" x14ac:dyDescent="0.3">
      <c r="I10281" s="82"/>
      <c r="M10281" s="85"/>
    </row>
    <row r="10282" spans="9:13" x14ac:dyDescent="0.3">
      <c r="I10282" s="82"/>
      <c r="M10282" s="85"/>
    </row>
    <row r="10283" spans="9:13" x14ac:dyDescent="0.3">
      <c r="I10283" s="82"/>
      <c r="M10283" s="85"/>
    </row>
    <row r="10284" spans="9:13" x14ac:dyDescent="0.3">
      <c r="I10284" s="82"/>
      <c r="M10284" s="85"/>
    </row>
    <row r="10285" spans="9:13" x14ac:dyDescent="0.3">
      <c r="I10285" s="82"/>
      <c r="M10285" s="85"/>
    </row>
    <row r="10286" spans="9:13" x14ac:dyDescent="0.3">
      <c r="I10286" s="82"/>
      <c r="M10286" s="85"/>
    </row>
    <row r="10287" spans="9:13" x14ac:dyDescent="0.3">
      <c r="I10287" s="82"/>
      <c r="M10287" s="85"/>
    </row>
    <row r="10288" spans="9:13" x14ac:dyDescent="0.3">
      <c r="I10288" s="82"/>
      <c r="M10288" s="85"/>
    </row>
    <row r="10289" spans="9:13" x14ac:dyDescent="0.3">
      <c r="I10289" s="82"/>
      <c r="M10289" s="85"/>
    </row>
    <row r="10290" spans="9:13" x14ac:dyDescent="0.3">
      <c r="I10290" s="82"/>
      <c r="M10290" s="85"/>
    </row>
    <row r="10291" spans="9:13" x14ac:dyDescent="0.3">
      <c r="I10291" s="82"/>
      <c r="M10291" s="85"/>
    </row>
    <row r="10292" spans="9:13" x14ac:dyDescent="0.3">
      <c r="I10292" s="82"/>
      <c r="M10292" s="85"/>
    </row>
    <row r="10293" spans="9:13" x14ac:dyDescent="0.3">
      <c r="I10293" s="82"/>
      <c r="M10293" s="85"/>
    </row>
    <row r="10294" spans="9:13" x14ac:dyDescent="0.3">
      <c r="I10294" s="82"/>
      <c r="M10294" s="85"/>
    </row>
    <row r="10295" spans="9:13" x14ac:dyDescent="0.3">
      <c r="I10295" s="82"/>
      <c r="M10295" s="85"/>
    </row>
    <row r="10296" spans="9:13" x14ac:dyDescent="0.3">
      <c r="I10296" s="82"/>
      <c r="M10296" s="85"/>
    </row>
    <row r="10297" spans="9:13" x14ac:dyDescent="0.3">
      <c r="I10297" s="82"/>
      <c r="M10297" s="85"/>
    </row>
    <row r="10298" spans="9:13" x14ac:dyDescent="0.3">
      <c r="I10298" s="82"/>
      <c r="M10298" s="85"/>
    </row>
    <row r="10299" spans="9:13" x14ac:dyDescent="0.3">
      <c r="I10299" s="82"/>
      <c r="M10299" s="85"/>
    </row>
    <row r="10300" spans="9:13" x14ac:dyDescent="0.3">
      <c r="I10300" s="82"/>
      <c r="M10300" s="85"/>
    </row>
    <row r="10301" spans="9:13" x14ac:dyDescent="0.3">
      <c r="I10301" s="82"/>
      <c r="M10301" s="85"/>
    </row>
    <row r="10302" spans="9:13" x14ac:dyDescent="0.3">
      <c r="I10302" s="82"/>
      <c r="M10302" s="85"/>
    </row>
    <row r="10303" spans="9:13" x14ac:dyDescent="0.3">
      <c r="I10303" s="82"/>
      <c r="M10303" s="85"/>
    </row>
    <row r="10304" spans="9:13" x14ac:dyDescent="0.3">
      <c r="I10304" s="82"/>
      <c r="M10304" s="85"/>
    </row>
    <row r="10305" spans="9:13" x14ac:dyDescent="0.3">
      <c r="I10305" s="82"/>
      <c r="M10305" s="85"/>
    </row>
    <row r="10306" spans="9:13" x14ac:dyDescent="0.3">
      <c r="I10306" s="82"/>
      <c r="M10306" s="85"/>
    </row>
    <row r="10307" spans="9:13" x14ac:dyDescent="0.3">
      <c r="I10307" s="82"/>
      <c r="M10307" s="85"/>
    </row>
    <row r="10308" spans="9:13" x14ac:dyDescent="0.3">
      <c r="I10308" s="82"/>
      <c r="M10308" s="85"/>
    </row>
    <row r="10309" spans="9:13" x14ac:dyDescent="0.3">
      <c r="I10309" s="82"/>
      <c r="M10309" s="85"/>
    </row>
    <row r="10310" spans="9:13" x14ac:dyDescent="0.3">
      <c r="I10310" s="82"/>
      <c r="M10310" s="85"/>
    </row>
    <row r="10311" spans="9:13" x14ac:dyDescent="0.3">
      <c r="I10311" s="82"/>
      <c r="M10311" s="85"/>
    </row>
    <row r="10312" spans="9:13" x14ac:dyDescent="0.3">
      <c r="I10312" s="82"/>
      <c r="M10312" s="85"/>
    </row>
    <row r="10313" spans="9:13" x14ac:dyDescent="0.3">
      <c r="I10313" s="82"/>
      <c r="M10313" s="85"/>
    </row>
    <row r="10314" spans="9:13" x14ac:dyDescent="0.3">
      <c r="I10314" s="82"/>
      <c r="M10314" s="85"/>
    </row>
    <row r="10315" spans="9:13" x14ac:dyDescent="0.3">
      <c r="I10315" s="82"/>
      <c r="M10315" s="85"/>
    </row>
    <row r="10316" spans="9:13" x14ac:dyDescent="0.3">
      <c r="I10316" s="82"/>
      <c r="M10316" s="85"/>
    </row>
    <row r="10317" spans="9:13" x14ac:dyDescent="0.3">
      <c r="I10317" s="82"/>
      <c r="M10317" s="85"/>
    </row>
    <row r="10318" spans="9:13" x14ac:dyDescent="0.3">
      <c r="I10318" s="82"/>
      <c r="M10318" s="85"/>
    </row>
    <row r="10319" spans="9:13" x14ac:dyDescent="0.3">
      <c r="I10319" s="82"/>
      <c r="M10319" s="85"/>
    </row>
    <row r="10320" spans="9:13" x14ac:dyDescent="0.3">
      <c r="I10320" s="82"/>
      <c r="M10320" s="85"/>
    </row>
    <row r="10321" spans="9:13" x14ac:dyDescent="0.3">
      <c r="I10321" s="82"/>
      <c r="M10321" s="85"/>
    </row>
    <row r="10322" spans="9:13" x14ac:dyDescent="0.3">
      <c r="I10322" s="82"/>
      <c r="M10322" s="85"/>
    </row>
    <row r="10323" spans="9:13" x14ac:dyDescent="0.3">
      <c r="I10323" s="82"/>
      <c r="M10323" s="85"/>
    </row>
    <row r="10324" spans="9:13" x14ac:dyDescent="0.3">
      <c r="I10324" s="82"/>
      <c r="M10324" s="85"/>
    </row>
    <row r="10325" spans="9:13" x14ac:dyDescent="0.3">
      <c r="I10325" s="82"/>
      <c r="M10325" s="85"/>
    </row>
    <row r="10326" spans="9:13" x14ac:dyDescent="0.3">
      <c r="I10326" s="82"/>
      <c r="M10326" s="85"/>
    </row>
    <row r="10327" spans="9:13" x14ac:dyDescent="0.3">
      <c r="I10327" s="82"/>
      <c r="M10327" s="85"/>
    </row>
    <row r="10328" spans="9:13" x14ac:dyDescent="0.3">
      <c r="I10328" s="82"/>
      <c r="M10328" s="85"/>
    </row>
    <row r="10329" spans="9:13" x14ac:dyDescent="0.3">
      <c r="I10329" s="82"/>
      <c r="M10329" s="85"/>
    </row>
    <row r="10330" spans="9:13" x14ac:dyDescent="0.3">
      <c r="I10330" s="82"/>
      <c r="M10330" s="85"/>
    </row>
    <row r="10331" spans="9:13" x14ac:dyDescent="0.3">
      <c r="I10331" s="82"/>
      <c r="M10331" s="85"/>
    </row>
    <row r="10332" spans="9:13" x14ac:dyDescent="0.3">
      <c r="I10332" s="82"/>
      <c r="M10332" s="85"/>
    </row>
    <row r="10333" spans="9:13" x14ac:dyDescent="0.3">
      <c r="I10333" s="82"/>
      <c r="M10333" s="85"/>
    </row>
    <row r="10334" spans="9:13" x14ac:dyDescent="0.3">
      <c r="I10334" s="82"/>
      <c r="M10334" s="85"/>
    </row>
    <row r="10335" spans="9:13" x14ac:dyDescent="0.3">
      <c r="I10335" s="82"/>
      <c r="M10335" s="85"/>
    </row>
    <row r="10336" spans="9:13" x14ac:dyDescent="0.3">
      <c r="I10336" s="82"/>
      <c r="M10336" s="85"/>
    </row>
    <row r="10337" spans="9:13" x14ac:dyDescent="0.3">
      <c r="I10337" s="82"/>
      <c r="M10337" s="85"/>
    </row>
    <row r="10338" spans="9:13" x14ac:dyDescent="0.3">
      <c r="I10338" s="82"/>
      <c r="M10338" s="85"/>
    </row>
    <row r="10339" spans="9:13" x14ac:dyDescent="0.3">
      <c r="I10339" s="82"/>
      <c r="M10339" s="85"/>
    </row>
    <row r="10340" spans="9:13" x14ac:dyDescent="0.3">
      <c r="I10340" s="82"/>
      <c r="M10340" s="85"/>
    </row>
    <row r="10341" spans="9:13" x14ac:dyDescent="0.3">
      <c r="I10341" s="82"/>
      <c r="M10341" s="85"/>
    </row>
    <row r="10342" spans="9:13" x14ac:dyDescent="0.3">
      <c r="I10342" s="82"/>
      <c r="M10342" s="85"/>
    </row>
    <row r="10343" spans="9:13" x14ac:dyDescent="0.3">
      <c r="I10343" s="82"/>
      <c r="M10343" s="85"/>
    </row>
    <row r="10344" spans="9:13" x14ac:dyDescent="0.3">
      <c r="I10344" s="82"/>
      <c r="M10344" s="85"/>
    </row>
    <row r="10345" spans="9:13" x14ac:dyDescent="0.3">
      <c r="I10345" s="82"/>
      <c r="M10345" s="85"/>
    </row>
    <row r="10346" spans="9:13" x14ac:dyDescent="0.3">
      <c r="I10346" s="82"/>
      <c r="M10346" s="85"/>
    </row>
    <row r="10347" spans="9:13" x14ac:dyDescent="0.3">
      <c r="I10347" s="82"/>
      <c r="M10347" s="85"/>
    </row>
    <row r="10348" spans="9:13" x14ac:dyDescent="0.3">
      <c r="I10348" s="82"/>
      <c r="M10348" s="85"/>
    </row>
    <row r="10349" spans="9:13" x14ac:dyDescent="0.3">
      <c r="I10349" s="82"/>
      <c r="M10349" s="85"/>
    </row>
    <row r="10350" spans="9:13" x14ac:dyDescent="0.3">
      <c r="I10350" s="82"/>
      <c r="M10350" s="85"/>
    </row>
    <row r="10351" spans="9:13" x14ac:dyDescent="0.3">
      <c r="I10351" s="82"/>
      <c r="M10351" s="85"/>
    </row>
    <row r="10352" spans="9:13" x14ac:dyDescent="0.3">
      <c r="I10352" s="82"/>
      <c r="M10352" s="85"/>
    </row>
    <row r="10353" spans="9:13" x14ac:dyDescent="0.3">
      <c r="I10353" s="82"/>
      <c r="M10353" s="85"/>
    </row>
    <row r="10354" spans="9:13" x14ac:dyDescent="0.3">
      <c r="I10354" s="82"/>
      <c r="M10354" s="85"/>
    </row>
    <row r="10355" spans="9:13" x14ac:dyDescent="0.3">
      <c r="I10355" s="82"/>
      <c r="M10355" s="85"/>
    </row>
    <row r="10356" spans="9:13" x14ac:dyDescent="0.3">
      <c r="I10356" s="82"/>
      <c r="M10356" s="85"/>
    </row>
    <row r="10357" spans="9:13" x14ac:dyDescent="0.3">
      <c r="I10357" s="82"/>
      <c r="M10357" s="85"/>
    </row>
    <row r="10358" spans="9:13" x14ac:dyDescent="0.3">
      <c r="I10358" s="82"/>
      <c r="M10358" s="85"/>
    </row>
    <row r="10359" spans="9:13" x14ac:dyDescent="0.3">
      <c r="I10359" s="82"/>
      <c r="M10359" s="85"/>
    </row>
    <row r="10360" spans="9:13" x14ac:dyDescent="0.3">
      <c r="I10360" s="82"/>
      <c r="M10360" s="85"/>
    </row>
    <row r="10361" spans="9:13" x14ac:dyDescent="0.3">
      <c r="I10361" s="82"/>
      <c r="M10361" s="85"/>
    </row>
    <row r="10362" spans="9:13" x14ac:dyDescent="0.3">
      <c r="I10362" s="82"/>
      <c r="M10362" s="85"/>
    </row>
    <row r="10363" spans="9:13" x14ac:dyDescent="0.3">
      <c r="I10363" s="82"/>
      <c r="M10363" s="85"/>
    </row>
    <row r="10364" spans="9:13" x14ac:dyDescent="0.3">
      <c r="I10364" s="82"/>
      <c r="M10364" s="85"/>
    </row>
    <row r="10365" spans="9:13" x14ac:dyDescent="0.3">
      <c r="I10365" s="82"/>
      <c r="M10365" s="85"/>
    </row>
    <row r="10366" spans="9:13" x14ac:dyDescent="0.3">
      <c r="I10366" s="82"/>
      <c r="M10366" s="85"/>
    </row>
    <row r="10367" spans="9:13" x14ac:dyDescent="0.3">
      <c r="I10367" s="82"/>
      <c r="M10367" s="85"/>
    </row>
    <row r="10368" spans="9:13" x14ac:dyDescent="0.3">
      <c r="I10368" s="82"/>
      <c r="M10368" s="85"/>
    </row>
    <row r="10369" spans="9:13" x14ac:dyDescent="0.3">
      <c r="I10369" s="82"/>
      <c r="M10369" s="85"/>
    </row>
    <row r="10370" spans="9:13" x14ac:dyDescent="0.3">
      <c r="I10370" s="82"/>
      <c r="M10370" s="85"/>
    </row>
    <row r="10371" spans="9:13" x14ac:dyDescent="0.3">
      <c r="I10371" s="82"/>
      <c r="M10371" s="85"/>
    </row>
    <row r="10372" spans="9:13" x14ac:dyDescent="0.3">
      <c r="I10372" s="82"/>
      <c r="M10372" s="85"/>
    </row>
    <row r="10373" spans="9:13" x14ac:dyDescent="0.3">
      <c r="I10373" s="82"/>
      <c r="M10373" s="85"/>
    </row>
    <row r="10374" spans="9:13" x14ac:dyDescent="0.3">
      <c r="I10374" s="82"/>
      <c r="M10374" s="85"/>
    </row>
    <row r="10375" spans="9:13" x14ac:dyDescent="0.3">
      <c r="I10375" s="82"/>
      <c r="M10375" s="85"/>
    </row>
    <row r="10376" spans="9:13" x14ac:dyDescent="0.3">
      <c r="I10376" s="82"/>
      <c r="M10376" s="85"/>
    </row>
    <row r="10377" spans="9:13" x14ac:dyDescent="0.3">
      <c r="I10377" s="82"/>
      <c r="M10377" s="85"/>
    </row>
    <row r="10378" spans="9:13" x14ac:dyDescent="0.3">
      <c r="I10378" s="82"/>
      <c r="M10378" s="85"/>
    </row>
    <row r="10379" spans="9:13" x14ac:dyDescent="0.3">
      <c r="I10379" s="82"/>
      <c r="M10379" s="85"/>
    </row>
    <row r="10380" spans="9:13" x14ac:dyDescent="0.3">
      <c r="I10380" s="82"/>
      <c r="M10380" s="85"/>
    </row>
    <row r="10381" spans="9:13" x14ac:dyDescent="0.3">
      <c r="I10381" s="82"/>
      <c r="M10381" s="85"/>
    </row>
    <row r="10382" spans="9:13" x14ac:dyDescent="0.3">
      <c r="I10382" s="82"/>
      <c r="M10382" s="85"/>
    </row>
    <row r="10383" spans="9:13" x14ac:dyDescent="0.3">
      <c r="I10383" s="82"/>
      <c r="M10383" s="85"/>
    </row>
    <row r="10384" spans="9:13" x14ac:dyDescent="0.3">
      <c r="I10384" s="82"/>
      <c r="M10384" s="85"/>
    </row>
    <row r="10385" spans="9:13" x14ac:dyDescent="0.3">
      <c r="I10385" s="82"/>
      <c r="M10385" s="85"/>
    </row>
    <row r="10386" spans="9:13" x14ac:dyDescent="0.3">
      <c r="I10386" s="82"/>
      <c r="M10386" s="85"/>
    </row>
    <row r="10387" spans="9:13" x14ac:dyDescent="0.3">
      <c r="I10387" s="82"/>
      <c r="M10387" s="85"/>
    </row>
    <row r="10388" spans="9:13" x14ac:dyDescent="0.3">
      <c r="I10388" s="82"/>
      <c r="M10388" s="85"/>
    </row>
    <row r="10389" spans="9:13" x14ac:dyDescent="0.3">
      <c r="I10389" s="82"/>
      <c r="M10389" s="85"/>
    </row>
    <row r="10390" spans="9:13" x14ac:dyDescent="0.3">
      <c r="I10390" s="82"/>
      <c r="M10390" s="85"/>
    </row>
    <row r="10391" spans="9:13" x14ac:dyDescent="0.3">
      <c r="I10391" s="82"/>
      <c r="M10391" s="85"/>
    </row>
    <row r="10392" spans="9:13" x14ac:dyDescent="0.3">
      <c r="I10392" s="82"/>
      <c r="M10392" s="85"/>
    </row>
    <row r="10393" spans="9:13" x14ac:dyDescent="0.3">
      <c r="I10393" s="82"/>
      <c r="M10393" s="85"/>
    </row>
    <row r="10394" spans="9:13" x14ac:dyDescent="0.3">
      <c r="I10394" s="82"/>
      <c r="M10394" s="85"/>
    </row>
    <row r="10395" spans="9:13" x14ac:dyDescent="0.3">
      <c r="I10395" s="82"/>
      <c r="M10395" s="85"/>
    </row>
    <row r="10396" spans="9:13" x14ac:dyDescent="0.3">
      <c r="I10396" s="82"/>
      <c r="M10396" s="85"/>
    </row>
    <row r="10397" spans="9:13" x14ac:dyDescent="0.3">
      <c r="I10397" s="82"/>
      <c r="M10397" s="85"/>
    </row>
    <row r="10398" spans="9:13" x14ac:dyDescent="0.3">
      <c r="I10398" s="82"/>
      <c r="M10398" s="85"/>
    </row>
    <row r="10399" spans="9:13" x14ac:dyDescent="0.3">
      <c r="I10399" s="82"/>
      <c r="M10399" s="85"/>
    </row>
    <row r="10400" spans="9:13" x14ac:dyDescent="0.3">
      <c r="I10400" s="82"/>
      <c r="M10400" s="85"/>
    </row>
    <row r="10401" spans="9:13" x14ac:dyDescent="0.3">
      <c r="I10401" s="82"/>
      <c r="M10401" s="85"/>
    </row>
    <row r="10402" spans="9:13" x14ac:dyDescent="0.3">
      <c r="I10402" s="82"/>
      <c r="M10402" s="85"/>
    </row>
    <row r="10403" spans="9:13" x14ac:dyDescent="0.3">
      <c r="I10403" s="82"/>
      <c r="M10403" s="85"/>
    </row>
    <row r="10404" spans="9:13" x14ac:dyDescent="0.3">
      <c r="I10404" s="82"/>
      <c r="M10404" s="85"/>
    </row>
    <row r="10405" spans="9:13" x14ac:dyDescent="0.3">
      <c r="I10405" s="82"/>
      <c r="M10405" s="85"/>
    </row>
    <row r="10406" spans="9:13" x14ac:dyDescent="0.3">
      <c r="I10406" s="82"/>
      <c r="M10406" s="85"/>
    </row>
    <row r="10407" spans="9:13" x14ac:dyDescent="0.3">
      <c r="I10407" s="82"/>
      <c r="M10407" s="85"/>
    </row>
    <row r="10408" spans="9:13" x14ac:dyDescent="0.3">
      <c r="I10408" s="82"/>
      <c r="M10408" s="85"/>
    </row>
    <row r="10409" spans="9:13" x14ac:dyDescent="0.3">
      <c r="I10409" s="82"/>
      <c r="M10409" s="85"/>
    </row>
    <row r="10410" spans="9:13" x14ac:dyDescent="0.3">
      <c r="I10410" s="82"/>
      <c r="M10410" s="85"/>
    </row>
    <row r="10411" spans="9:13" x14ac:dyDescent="0.3">
      <c r="I10411" s="82"/>
      <c r="M10411" s="85"/>
    </row>
    <row r="10412" spans="9:13" x14ac:dyDescent="0.3">
      <c r="I10412" s="82"/>
      <c r="M10412" s="85"/>
    </row>
    <row r="10413" spans="9:13" x14ac:dyDescent="0.3">
      <c r="I10413" s="82"/>
      <c r="M10413" s="85"/>
    </row>
    <row r="10414" spans="9:13" x14ac:dyDescent="0.3">
      <c r="I10414" s="82"/>
      <c r="M10414" s="85"/>
    </row>
    <row r="10415" spans="9:13" x14ac:dyDescent="0.3">
      <c r="I10415" s="82"/>
      <c r="M10415" s="85"/>
    </row>
    <row r="10416" spans="9:13" x14ac:dyDescent="0.3">
      <c r="I10416" s="82"/>
      <c r="M10416" s="85"/>
    </row>
    <row r="10417" spans="9:13" x14ac:dyDescent="0.3">
      <c r="I10417" s="82"/>
      <c r="M10417" s="85"/>
    </row>
    <row r="10418" spans="9:13" x14ac:dyDescent="0.3">
      <c r="I10418" s="82"/>
      <c r="M10418" s="85"/>
    </row>
    <row r="10419" spans="9:13" x14ac:dyDescent="0.3">
      <c r="I10419" s="82"/>
      <c r="M10419" s="85"/>
    </row>
    <row r="10420" spans="9:13" x14ac:dyDescent="0.3">
      <c r="I10420" s="82"/>
      <c r="M10420" s="85"/>
    </row>
    <row r="10421" spans="9:13" x14ac:dyDescent="0.3">
      <c r="I10421" s="82"/>
      <c r="M10421" s="85"/>
    </row>
    <row r="10422" spans="9:13" x14ac:dyDescent="0.3">
      <c r="I10422" s="82"/>
      <c r="M10422" s="85"/>
    </row>
    <row r="10423" spans="9:13" x14ac:dyDescent="0.3">
      <c r="I10423" s="82"/>
      <c r="M10423" s="85"/>
    </row>
    <row r="10424" spans="9:13" x14ac:dyDescent="0.3">
      <c r="I10424" s="82"/>
      <c r="M10424" s="85"/>
    </row>
    <row r="10425" spans="9:13" x14ac:dyDescent="0.3">
      <c r="I10425" s="82"/>
      <c r="M10425" s="85"/>
    </row>
    <row r="10426" spans="9:13" x14ac:dyDescent="0.3">
      <c r="I10426" s="82"/>
      <c r="M10426" s="85"/>
    </row>
    <row r="10427" spans="9:13" x14ac:dyDescent="0.3">
      <c r="I10427" s="82"/>
      <c r="M10427" s="85"/>
    </row>
    <row r="10428" spans="9:13" x14ac:dyDescent="0.3">
      <c r="I10428" s="82"/>
      <c r="M10428" s="85"/>
    </row>
    <row r="10429" spans="9:13" x14ac:dyDescent="0.3">
      <c r="I10429" s="82"/>
      <c r="M10429" s="85"/>
    </row>
    <row r="10430" spans="9:13" x14ac:dyDescent="0.3">
      <c r="I10430" s="82"/>
      <c r="M10430" s="85"/>
    </row>
    <row r="10431" spans="9:13" x14ac:dyDescent="0.3">
      <c r="I10431" s="82"/>
      <c r="M10431" s="85"/>
    </row>
    <row r="10432" spans="9:13" x14ac:dyDescent="0.3">
      <c r="I10432" s="82"/>
      <c r="M10432" s="85"/>
    </row>
    <row r="10433" spans="9:13" x14ac:dyDescent="0.3">
      <c r="I10433" s="82"/>
      <c r="M10433" s="85"/>
    </row>
    <row r="10434" spans="9:13" x14ac:dyDescent="0.3">
      <c r="I10434" s="82"/>
      <c r="M10434" s="85"/>
    </row>
    <row r="10435" spans="9:13" x14ac:dyDescent="0.3">
      <c r="I10435" s="82"/>
      <c r="M10435" s="85"/>
    </row>
    <row r="10436" spans="9:13" x14ac:dyDescent="0.3">
      <c r="I10436" s="82"/>
      <c r="M10436" s="85"/>
    </row>
    <row r="10437" spans="9:13" x14ac:dyDescent="0.3">
      <c r="I10437" s="82"/>
      <c r="M10437" s="85"/>
    </row>
    <row r="10438" spans="9:13" x14ac:dyDescent="0.3">
      <c r="I10438" s="82"/>
      <c r="M10438" s="85"/>
    </row>
    <row r="10439" spans="9:13" x14ac:dyDescent="0.3">
      <c r="I10439" s="82"/>
      <c r="M10439" s="85"/>
    </row>
    <row r="10440" spans="9:13" x14ac:dyDescent="0.3">
      <c r="I10440" s="82"/>
      <c r="M10440" s="85"/>
    </row>
    <row r="10441" spans="9:13" x14ac:dyDescent="0.3">
      <c r="I10441" s="82"/>
      <c r="M10441" s="85"/>
    </row>
    <row r="10442" spans="9:13" x14ac:dyDescent="0.3">
      <c r="I10442" s="82"/>
      <c r="M10442" s="85"/>
    </row>
    <row r="10443" spans="9:13" x14ac:dyDescent="0.3">
      <c r="I10443" s="82"/>
      <c r="M10443" s="85"/>
    </row>
    <row r="10444" spans="9:13" x14ac:dyDescent="0.3">
      <c r="I10444" s="82"/>
      <c r="M10444" s="85"/>
    </row>
    <row r="10445" spans="9:13" x14ac:dyDescent="0.3">
      <c r="I10445" s="82"/>
      <c r="M10445" s="85"/>
    </row>
    <row r="10446" spans="9:13" x14ac:dyDescent="0.3">
      <c r="I10446" s="82"/>
      <c r="M10446" s="85"/>
    </row>
    <row r="10447" spans="9:13" x14ac:dyDescent="0.3">
      <c r="I10447" s="82"/>
      <c r="M10447" s="85"/>
    </row>
    <row r="10448" spans="9:13" x14ac:dyDescent="0.3">
      <c r="I10448" s="82"/>
      <c r="M10448" s="85"/>
    </row>
    <row r="10449" spans="9:13" x14ac:dyDescent="0.3">
      <c r="I10449" s="82"/>
      <c r="M10449" s="85"/>
    </row>
    <row r="10450" spans="9:13" x14ac:dyDescent="0.3">
      <c r="I10450" s="82"/>
      <c r="M10450" s="85"/>
    </row>
    <row r="10451" spans="9:13" x14ac:dyDescent="0.3">
      <c r="I10451" s="82"/>
      <c r="M10451" s="85"/>
    </row>
    <row r="10452" spans="9:13" x14ac:dyDescent="0.3">
      <c r="I10452" s="82"/>
      <c r="M10452" s="85"/>
    </row>
    <row r="10453" spans="9:13" x14ac:dyDescent="0.3">
      <c r="I10453" s="82"/>
      <c r="M10453" s="85"/>
    </row>
    <row r="10454" spans="9:13" x14ac:dyDescent="0.3">
      <c r="I10454" s="82"/>
      <c r="M10454" s="85"/>
    </row>
    <row r="10455" spans="9:13" x14ac:dyDescent="0.3">
      <c r="I10455" s="82"/>
      <c r="M10455" s="85"/>
    </row>
    <row r="10456" spans="9:13" x14ac:dyDescent="0.3">
      <c r="I10456" s="82"/>
      <c r="M10456" s="85"/>
    </row>
    <row r="10457" spans="9:13" x14ac:dyDescent="0.3">
      <c r="I10457" s="82"/>
      <c r="M10457" s="85"/>
    </row>
    <row r="10458" spans="9:13" x14ac:dyDescent="0.3">
      <c r="I10458" s="82"/>
      <c r="M10458" s="85"/>
    </row>
    <row r="10459" spans="9:13" x14ac:dyDescent="0.3">
      <c r="I10459" s="82"/>
      <c r="M10459" s="85"/>
    </row>
    <row r="10460" spans="9:13" x14ac:dyDescent="0.3">
      <c r="I10460" s="82"/>
      <c r="M10460" s="85"/>
    </row>
    <row r="10461" spans="9:13" x14ac:dyDescent="0.3">
      <c r="I10461" s="82"/>
      <c r="M10461" s="85"/>
    </row>
    <row r="10462" spans="9:13" x14ac:dyDescent="0.3">
      <c r="I10462" s="82"/>
      <c r="M10462" s="85"/>
    </row>
    <row r="10463" spans="9:13" x14ac:dyDescent="0.3">
      <c r="I10463" s="82"/>
      <c r="M10463" s="85"/>
    </row>
    <row r="10464" spans="9:13" x14ac:dyDescent="0.3">
      <c r="I10464" s="82"/>
      <c r="M10464" s="85"/>
    </row>
    <row r="10465" spans="9:13" x14ac:dyDescent="0.3">
      <c r="I10465" s="82"/>
      <c r="M10465" s="85"/>
    </row>
    <row r="10466" spans="9:13" x14ac:dyDescent="0.3">
      <c r="I10466" s="82"/>
      <c r="M10466" s="85"/>
    </row>
    <row r="10467" spans="9:13" x14ac:dyDescent="0.3">
      <c r="I10467" s="82"/>
      <c r="M10467" s="85"/>
    </row>
    <row r="10468" spans="9:13" x14ac:dyDescent="0.3">
      <c r="I10468" s="82"/>
      <c r="M10468" s="85"/>
    </row>
    <row r="10469" spans="9:13" x14ac:dyDescent="0.3">
      <c r="I10469" s="82"/>
      <c r="M10469" s="85"/>
    </row>
    <row r="10470" spans="9:13" x14ac:dyDescent="0.3">
      <c r="I10470" s="82"/>
      <c r="M10470" s="85"/>
    </row>
    <row r="10471" spans="9:13" x14ac:dyDescent="0.3">
      <c r="I10471" s="82"/>
      <c r="M10471" s="85"/>
    </row>
    <row r="10472" spans="9:13" x14ac:dyDescent="0.3">
      <c r="I10472" s="82"/>
      <c r="M10472" s="85"/>
    </row>
    <row r="10473" spans="9:13" x14ac:dyDescent="0.3">
      <c r="I10473" s="82"/>
      <c r="M10473" s="85"/>
    </row>
    <row r="10474" spans="9:13" x14ac:dyDescent="0.3">
      <c r="I10474" s="82"/>
      <c r="M10474" s="85"/>
    </row>
    <row r="10475" spans="9:13" x14ac:dyDescent="0.3">
      <c r="I10475" s="82"/>
      <c r="M10475" s="85"/>
    </row>
    <row r="10476" spans="9:13" x14ac:dyDescent="0.3">
      <c r="I10476" s="82"/>
      <c r="M10476" s="85"/>
    </row>
    <row r="10477" spans="9:13" x14ac:dyDescent="0.3">
      <c r="I10477" s="82"/>
      <c r="M10477" s="85"/>
    </row>
    <row r="10478" spans="9:13" x14ac:dyDescent="0.3">
      <c r="I10478" s="82"/>
      <c r="M10478" s="85"/>
    </row>
    <row r="10479" spans="9:13" x14ac:dyDescent="0.3">
      <c r="I10479" s="82"/>
      <c r="M10479" s="85"/>
    </row>
    <row r="10480" spans="9:13" x14ac:dyDescent="0.3">
      <c r="I10480" s="82"/>
      <c r="M10480" s="85"/>
    </row>
    <row r="10481" spans="9:13" x14ac:dyDescent="0.3">
      <c r="I10481" s="82"/>
      <c r="M10481" s="85"/>
    </row>
    <row r="10482" spans="9:13" x14ac:dyDescent="0.3">
      <c r="I10482" s="82"/>
      <c r="M10482" s="85"/>
    </row>
    <row r="10483" spans="9:13" x14ac:dyDescent="0.3">
      <c r="I10483" s="82"/>
      <c r="M10483" s="85"/>
    </row>
    <row r="10484" spans="9:13" x14ac:dyDescent="0.3">
      <c r="I10484" s="82"/>
      <c r="M10484" s="85"/>
    </row>
    <row r="10485" spans="9:13" x14ac:dyDescent="0.3">
      <c r="I10485" s="82"/>
      <c r="M10485" s="85"/>
    </row>
    <row r="10486" spans="9:13" x14ac:dyDescent="0.3">
      <c r="I10486" s="82"/>
      <c r="M10486" s="85"/>
    </row>
    <row r="10487" spans="9:13" x14ac:dyDescent="0.3">
      <c r="I10487" s="82"/>
      <c r="M10487" s="85"/>
    </row>
    <row r="10488" spans="9:13" x14ac:dyDescent="0.3">
      <c r="I10488" s="82"/>
      <c r="M10488" s="85"/>
    </row>
    <row r="10489" spans="9:13" x14ac:dyDescent="0.3">
      <c r="I10489" s="82"/>
      <c r="M10489" s="85"/>
    </row>
    <row r="10490" spans="9:13" x14ac:dyDescent="0.3">
      <c r="I10490" s="82"/>
      <c r="M10490" s="85"/>
    </row>
    <row r="10491" spans="9:13" x14ac:dyDescent="0.3">
      <c r="I10491" s="82"/>
      <c r="M10491" s="85"/>
    </row>
    <row r="10492" spans="9:13" x14ac:dyDescent="0.3">
      <c r="I10492" s="82"/>
      <c r="M10492" s="85"/>
    </row>
    <row r="10493" spans="9:13" x14ac:dyDescent="0.3">
      <c r="I10493" s="82"/>
      <c r="M10493" s="85"/>
    </row>
    <row r="10494" spans="9:13" x14ac:dyDescent="0.3">
      <c r="I10494" s="82"/>
      <c r="M10494" s="85"/>
    </row>
    <row r="10495" spans="9:13" x14ac:dyDescent="0.3">
      <c r="I10495" s="82"/>
      <c r="M10495" s="85"/>
    </row>
    <row r="10496" spans="9:13" x14ac:dyDescent="0.3">
      <c r="I10496" s="82"/>
      <c r="M10496" s="85"/>
    </row>
    <row r="10497" spans="9:13" x14ac:dyDescent="0.3">
      <c r="I10497" s="82"/>
      <c r="M10497" s="85"/>
    </row>
    <row r="10498" spans="9:13" x14ac:dyDescent="0.3">
      <c r="I10498" s="82"/>
      <c r="M10498" s="85"/>
    </row>
    <row r="10499" spans="9:13" x14ac:dyDescent="0.3">
      <c r="I10499" s="82"/>
      <c r="M10499" s="85"/>
    </row>
    <row r="10500" spans="9:13" x14ac:dyDescent="0.3">
      <c r="I10500" s="82"/>
      <c r="M10500" s="85"/>
    </row>
    <row r="10501" spans="9:13" x14ac:dyDescent="0.3">
      <c r="I10501" s="82"/>
      <c r="M10501" s="85"/>
    </row>
    <row r="10502" spans="9:13" x14ac:dyDescent="0.3">
      <c r="I10502" s="82"/>
      <c r="M10502" s="85"/>
    </row>
    <row r="10503" spans="9:13" x14ac:dyDescent="0.3">
      <c r="I10503" s="82"/>
      <c r="M10503" s="85"/>
    </row>
    <row r="10504" spans="9:13" x14ac:dyDescent="0.3">
      <c r="I10504" s="82"/>
      <c r="M10504" s="85"/>
    </row>
    <row r="10505" spans="9:13" x14ac:dyDescent="0.3">
      <c r="I10505" s="82"/>
      <c r="M10505" s="85"/>
    </row>
    <row r="10506" spans="9:13" x14ac:dyDescent="0.3">
      <c r="I10506" s="82"/>
      <c r="M10506" s="85"/>
    </row>
    <row r="10507" spans="9:13" x14ac:dyDescent="0.3">
      <c r="I10507" s="82"/>
      <c r="M10507" s="85"/>
    </row>
    <row r="10508" spans="9:13" x14ac:dyDescent="0.3">
      <c r="I10508" s="82"/>
      <c r="M10508" s="85"/>
    </row>
    <row r="10509" spans="9:13" x14ac:dyDescent="0.3">
      <c r="I10509" s="82"/>
      <c r="M10509" s="85"/>
    </row>
    <row r="10510" spans="9:13" x14ac:dyDescent="0.3">
      <c r="I10510" s="82"/>
      <c r="M10510" s="85"/>
    </row>
    <row r="10511" spans="9:13" x14ac:dyDescent="0.3">
      <c r="I10511" s="82"/>
      <c r="M10511" s="85"/>
    </row>
    <row r="10512" spans="9:13" x14ac:dyDescent="0.3">
      <c r="I10512" s="82"/>
      <c r="M10512" s="85"/>
    </row>
    <row r="10513" spans="9:13" x14ac:dyDescent="0.3">
      <c r="I10513" s="82"/>
      <c r="M10513" s="85"/>
    </row>
    <row r="10514" spans="9:13" x14ac:dyDescent="0.3">
      <c r="I10514" s="82"/>
      <c r="M10514" s="85"/>
    </row>
    <row r="10515" spans="9:13" x14ac:dyDescent="0.3">
      <c r="I10515" s="82"/>
      <c r="M10515" s="85"/>
    </row>
    <row r="10516" spans="9:13" x14ac:dyDescent="0.3">
      <c r="I10516" s="82"/>
      <c r="M10516" s="85"/>
    </row>
    <row r="10517" spans="9:13" x14ac:dyDescent="0.3">
      <c r="I10517" s="82"/>
      <c r="M10517" s="85"/>
    </row>
    <row r="10518" spans="9:13" x14ac:dyDescent="0.3">
      <c r="I10518" s="82"/>
      <c r="M10518" s="85"/>
    </row>
    <row r="10519" spans="9:13" x14ac:dyDescent="0.3">
      <c r="I10519" s="82"/>
      <c r="M10519" s="85"/>
    </row>
    <row r="10520" spans="9:13" x14ac:dyDescent="0.3">
      <c r="I10520" s="82"/>
      <c r="M10520" s="85"/>
    </row>
    <row r="10521" spans="9:13" x14ac:dyDescent="0.3">
      <c r="I10521" s="82"/>
      <c r="M10521" s="85"/>
    </row>
    <row r="10522" spans="9:13" x14ac:dyDescent="0.3">
      <c r="I10522" s="82"/>
      <c r="M10522" s="85"/>
    </row>
    <row r="10523" spans="9:13" x14ac:dyDescent="0.3">
      <c r="I10523" s="82"/>
      <c r="M10523" s="85"/>
    </row>
    <row r="10524" spans="9:13" x14ac:dyDescent="0.3">
      <c r="I10524" s="82"/>
      <c r="M10524" s="85"/>
    </row>
    <row r="10525" spans="9:13" x14ac:dyDescent="0.3">
      <c r="I10525" s="82"/>
      <c r="M10525" s="85"/>
    </row>
    <row r="10526" spans="9:13" x14ac:dyDescent="0.3">
      <c r="I10526" s="82"/>
      <c r="M10526" s="85"/>
    </row>
    <row r="10527" spans="9:13" x14ac:dyDescent="0.3">
      <c r="I10527" s="82"/>
      <c r="M10527" s="85"/>
    </row>
    <row r="10528" spans="9:13" x14ac:dyDescent="0.3">
      <c r="I10528" s="82"/>
      <c r="M10528" s="85"/>
    </row>
    <row r="10529" spans="9:13" x14ac:dyDescent="0.3">
      <c r="I10529" s="82"/>
      <c r="M10529" s="85"/>
    </row>
    <row r="10530" spans="9:13" x14ac:dyDescent="0.3">
      <c r="I10530" s="82"/>
      <c r="M10530" s="85"/>
    </row>
    <row r="10531" spans="9:13" x14ac:dyDescent="0.3">
      <c r="I10531" s="82"/>
      <c r="M10531" s="85"/>
    </row>
    <row r="10532" spans="9:13" x14ac:dyDescent="0.3">
      <c r="I10532" s="82"/>
      <c r="M10532" s="85"/>
    </row>
    <row r="10533" spans="9:13" x14ac:dyDescent="0.3">
      <c r="I10533" s="82"/>
      <c r="M10533" s="85"/>
    </row>
    <row r="10534" spans="9:13" x14ac:dyDescent="0.3">
      <c r="I10534" s="82"/>
      <c r="M10534" s="85"/>
    </row>
    <row r="10535" spans="9:13" x14ac:dyDescent="0.3">
      <c r="I10535" s="82"/>
      <c r="M10535" s="85"/>
    </row>
    <row r="10536" spans="9:13" x14ac:dyDescent="0.3">
      <c r="I10536" s="82"/>
      <c r="M10536" s="85"/>
    </row>
    <row r="10537" spans="9:13" x14ac:dyDescent="0.3">
      <c r="I10537" s="82"/>
      <c r="M10537" s="85"/>
    </row>
    <row r="10538" spans="9:13" x14ac:dyDescent="0.3">
      <c r="I10538" s="82"/>
      <c r="M10538" s="85"/>
    </row>
    <row r="10539" spans="9:13" x14ac:dyDescent="0.3">
      <c r="I10539" s="82"/>
      <c r="M10539" s="85"/>
    </row>
    <row r="10540" spans="9:13" x14ac:dyDescent="0.3">
      <c r="I10540" s="82"/>
      <c r="M10540" s="85"/>
    </row>
    <row r="10541" spans="9:13" x14ac:dyDescent="0.3">
      <c r="I10541" s="82"/>
      <c r="M10541" s="85"/>
    </row>
    <row r="10542" spans="9:13" x14ac:dyDescent="0.3">
      <c r="I10542" s="82"/>
      <c r="M10542" s="85"/>
    </row>
    <row r="10543" spans="9:13" x14ac:dyDescent="0.3">
      <c r="I10543" s="82"/>
      <c r="M10543" s="85"/>
    </row>
    <row r="10544" spans="9:13" x14ac:dyDescent="0.3">
      <c r="I10544" s="82"/>
      <c r="M10544" s="85"/>
    </row>
    <row r="10545" spans="9:13" x14ac:dyDescent="0.3">
      <c r="I10545" s="82"/>
      <c r="M10545" s="85"/>
    </row>
    <row r="10546" spans="9:13" x14ac:dyDescent="0.3">
      <c r="I10546" s="82"/>
      <c r="M10546" s="85"/>
    </row>
    <row r="10547" spans="9:13" x14ac:dyDescent="0.3">
      <c r="I10547" s="82"/>
      <c r="M10547" s="85"/>
    </row>
    <row r="10548" spans="9:13" x14ac:dyDescent="0.3">
      <c r="I10548" s="82"/>
      <c r="M10548" s="85"/>
    </row>
    <row r="10549" spans="9:13" x14ac:dyDescent="0.3">
      <c r="I10549" s="82"/>
      <c r="M10549" s="85"/>
    </row>
    <row r="10550" spans="9:13" x14ac:dyDescent="0.3">
      <c r="I10550" s="82"/>
      <c r="M10550" s="85"/>
    </row>
    <row r="10551" spans="9:13" x14ac:dyDescent="0.3">
      <c r="I10551" s="82"/>
      <c r="M10551" s="85"/>
    </row>
    <row r="10552" spans="9:13" x14ac:dyDescent="0.3">
      <c r="I10552" s="82"/>
      <c r="M10552" s="85"/>
    </row>
    <row r="10553" spans="9:13" x14ac:dyDescent="0.3">
      <c r="I10553" s="82"/>
      <c r="M10553" s="85"/>
    </row>
    <row r="10554" spans="9:13" x14ac:dyDescent="0.3">
      <c r="I10554" s="82"/>
      <c r="M10554" s="85"/>
    </row>
    <row r="10555" spans="9:13" x14ac:dyDescent="0.3">
      <c r="I10555" s="82"/>
      <c r="M10555" s="85"/>
    </row>
    <row r="10556" spans="9:13" x14ac:dyDescent="0.3">
      <c r="I10556" s="82"/>
      <c r="M10556" s="85"/>
    </row>
    <row r="10557" spans="9:13" x14ac:dyDescent="0.3">
      <c r="I10557" s="82"/>
      <c r="M10557" s="85"/>
    </row>
    <row r="10558" spans="9:13" x14ac:dyDescent="0.3">
      <c r="I10558" s="82"/>
      <c r="M10558" s="85"/>
    </row>
    <row r="10559" spans="9:13" x14ac:dyDescent="0.3">
      <c r="I10559" s="82"/>
      <c r="M10559" s="85"/>
    </row>
    <row r="10560" spans="9:13" x14ac:dyDescent="0.3">
      <c r="I10560" s="82"/>
      <c r="M10560" s="85"/>
    </row>
    <row r="10561" spans="9:13" x14ac:dyDescent="0.3">
      <c r="I10561" s="82"/>
      <c r="M10561" s="85"/>
    </row>
    <row r="10562" spans="9:13" x14ac:dyDescent="0.3">
      <c r="I10562" s="82"/>
      <c r="M10562" s="85"/>
    </row>
    <row r="10563" spans="9:13" x14ac:dyDescent="0.3">
      <c r="I10563" s="82"/>
      <c r="M10563" s="85"/>
    </row>
    <row r="10564" spans="9:13" x14ac:dyDescent="0.3">
      <c r="I10564" s="82"/>
      <c r="M10564" s="85"/>
    </row>
    <row r="10565" spans="9:13" x14ac:dyDescent="0.3">
      <c r="I10565" s="82"/>
      <c r="M10565" s="85"/>
    </row>
    <row r="10566" spans="9:13" x14ac:dyDescent="0.3">
      <c r="I10566" s="82"/>
      <c r="M10566" s="85"/>
    </row>
    <row r="10567" spans="9:13" x14ac:dyDescent="0.3">
      <c r="I10567" s="82"/>
      <c r="M10567" s="85"/>
    </row>
    <row r="10568" spans="9:13" x14ac:dyDescent="0.3">
      <c r="I10568" s="82"/>
      <c r="M10568" s="85"/>
    </row>
    <row r="10569" spans="9:13" x14ac:dyDescent="0.3">
      <c r="I10569" s="82"/>
      <c r="M10569" s="85"/>
    </row>
    <row r="10570" spans="9:13" x14ac:dyDescent="0.3">
      <c r="I10570" s="82"/>
      <c r="M10570" s="85"/>
    </row>
    <row r="10571" spans="9:13" x14ac:dyDescent="0.3">
      <c r="I10571" s="82"/>
      <c r="M10571" s="85"/>
    </row>
    <row r="10572" spans="9:13" x14ac:dyDescent="0.3">
      <c r="I10572" s="82"/>
      <c r="M10572" s="85"/>
    </row>
    <row r="10573" spans="9:13" x14ac:dyDescent="0.3">
      <c r="I10573" s="82"/>
      <c r="M10573" s="85"/>
    </row>
    <row r="10574" spans="9:13" x14ac:dyDescent="0.3">
      <c r="I10574" s="82"/>
      <c r="M10574" s="85"/>
    </row>
    <row r="10575" spans="9:13" x14ac:dyDescent="0.3">
      <c r="I10575" s="82"/>
      <c r="M10575" s="85"/>
    </row>
    <row r="10576" spans="9:13" x14ac:dyDescent="0.3">
      <c r="I10576" s="82"/>
      <c r="M10576" s="85"/>
    </row>
    <row r="10577" spans="9:13" x14ac:dyDescent="0.3">
      <c r="I10577" s="82"/>
      <c r="M10577" s="85"/>
    </row>
    <row r="10578" spans="9:13" x14ac:dyDescent="0.3">
      <c r="I10578" s="82"/>
      <c r="M10578" s="85"/>
    </row>
    <row r="10579" spans="9:13" x14ac:dyDescent="0.3">
      <c r="I10579" s="82"/>
      <c r="M10579" s="85"/>
    </row>
    <row r="10580" spans="9:13" x14ac:dyDescent="0.3">
      <c r="I10580" s="82"/>
      <c r="M10580" s="85"/>
    </row>
    <row r="10581" spans="9:13" x14ac:dyDescent="0.3">
      <c r="I10581" s="82"/>
      <c r="M10581" s="85"/>
    </row>
    <row r="10582" spans="9:13" x14ac:dyDescent="0.3">
      <c r="I10582" s="82"/>
      <c r="M10582" s="85"/>
    </row>
    <row r="10583" spans="9:13" x14ac:dyDescent="0.3">
      <c r="I10583" s="82"/>
      <c r="M10583" s="85"/>
    </row>
    <row r="10584" spans="9:13" x14ac:dyDescent="0.3">
      <c r="I10584" s="82"/>
      <c r="M10584" s="85"/>
    </row>
    <row r="10585" spans="9:13" x14ac:dyDescent="0.3">
      <c r="I10585" s="82"/>
      <c r="M10585" s="85"/>
    </row>
    <row r="10586" spans="9:13" x14ac:dyDescent="0.3">
      <c r="I10586" s="82"/>
      <c r="M10586" s="85"/>
    </row>
    <row r="10587" spans="9:13" x14ac:dyDescent="0.3">
      <c r="I10587" s="82"/>
      <c r="M10587" s="85"/>
    </row>
    <row r="10588" spans="9:13" x14ac:dyDescent="0.3">
      <c r="I10588" s="82"/>
      <c r="M10588" s="85"/>
    </row>
    <row r="10589" spans="9:13" x14ac:dyDescent="0.3">
      <c r="I10589" s="82"/>
      <c r="M10589" s="85"/>
    </row>
    <row r="10590" spans="9:13" x14ac:dyDescent="0.3">
      <c r="I10590" s="82"/>
      <c r="M10590" s="85"/>
    </row>
    <row r="10591" spans="9:13" x14ac:dyDescent="0.3">
      <c r="I10591" s="82"/>
      <c r="M10591" s="85"/>
    </row>
    <row r="10592" spans="9:13" x14ac:dyDescent="0.3">
      <c r="I10592" s="82"/>
      <c r="M10592" s="85"/>
    </row>
    <row r="10593" spans="9:13" x14ac:dyDescent="0.3">
      <c r="I10593" s="82"/>
      <c r="M10593" s="85"/>
    </row>
    <row r="10594" spans="9:13" x14ac:dyDescent="0.3">
      <c r="I10594" s="82"/>
      <c r="M10594" s="85"/>
    </row>
    <row r="10595" spans="9:13" x14ac:dyDescent="0.3">
      <c r="I10595" s="82"/>
      <c r="M10595" s="85"/>
    </row>
    <row r="10596" spans="9:13" x14ac:dyDescent="0.3">
      <c r="I10596" s="82"/>
      <c r="M10596" s="85"/>
    </row>
    <row r="10597" spans="9:13" x14ac:dyDescent="0.3">
      <c r="I10597" s="82"/>
      <c r="M10597" s="85"/>
    </row>
    <row r="10598" spans="9:13" x14ac:dyDescent="0.3">
      <c r="I10598" s="82"/>
      <c r="M10598" s="85"/>
    </row>
    <row r="10599" spans="9:13" x14ac:dyDescent="0.3">
      <c r="I10599" s="82"/>
      <c r="M10599" s="85"/>
    </row>
    <row r="10600" spans="9:13" x14ac:dyDescent="0.3">
      <c r="I10600" s="82"/>
      <c r="M10600" s="85"/>
    </row>
    <row r="10601" spans="9:13" x14ac:dyDescent="0.3">
      <c r="I10601" s="82"/>
      <c r="M10601" s="85"/>
    </row>
    <row r="10602" spans="9:13" x14ac:dyDescent="0.3">
      <c r="I10602" s="82"/>
      <c r="M10602" s="85"/>
    </row>
    <row r="10603" spans="9:13" x14ac:dyDescent="0.3">
      <c r="I10603" s="82"/>
      <c r="M10603" s="85"/>
    </row>
    <row r="10604" spans="9:13" x14ac:dyDescent="0.3">
      <c r="I10604" s="82"/>
      <c r="M10604" s="85"/>
    </row>
    <row r="10605" spans="9:13" x14ac:dyDescent="0.3">
      <c r="I10605" s="82"/>
      <c r="M10605" s="85"/>
    </row>
    <row r="10606" spans="9:13" x14ac:dyDescent="0.3">
      <c r="I10606" s="82"/>
      <c r="M10606" s="85"/>
    </row>
    <row r="10607" spans="9:13" x14ac:dyDescent="0.3">
      <c r="I10607" s="82"/>
      <c r="M10607" s="85"/>
    </row>
    <row r="10608" spans="9:13" x14ac:dyDescent="0.3">
      <c r="I10608" s="82"/>
      <c r="M10608" s="85"/>
    </row>
    <row r="10609" spans="9:13" x14ac:dyDescent="0.3">
      <c r="I10609" s="82"/>
      <c r="M10609" s="85"/>
    </row>
    <row r="10610" spans="9:13" x14ac:dyDescent="0.3">
      <c r="I10610" s="82"/>
      <c r="M10610" s="85"/>
    </row>
    <row r="10611" spans="9:13" x14ac:dyDescent="0.3">
      <c r="I10611" s="82"/>
      <c r="M10611" s="85"/>
    </row>
    <row r="10612" spans="9:13" x14ac:dyDescent="0.3">
      <c r="I10612" s="82"/>
      <c r="M10612" s="85"/>
    </row>
    <row r="10613" spans="9:13" x14ac:dyDescent="0.3">
      <c r="I10613" s="82"/>
      <c r="M10613" s="85"/>
    </row>
    <row r="10614" spans="9:13" x14ac:dyDescent="0.3">
      <c r="I10614" s="82"/>
      <c r="M10614" s="85"/>
    </row>
    <row r="10615" spans="9:13" x14ac:dyDescent="0.3">
      <c r="I10615" s="82"/>
      <c r="M10615" s="85"/>
    </row>
    <row r="10616" spans="9:13" x14ac:dyDescent="0.3">
      <c r="I10616" s="82"/>
      <c r="M10616" s="85"/>
    </row>
    <row r="10617" spans="9:13" x14ac:dyDescent="0.3">
      <c r="I10617" s="82"/>
      <c r="M10617" s="85"/>
    </row>
    <row r="10618" spans="9:13" x14ac:dyDescent="0.3">
      <c r="I10618" s="82"/>
      <c r="M10618" s="85"/>
    </row>
    <row r="10619" spans="9:13" x14ac:dyDescent="0.3">
      <c r="I10619" s="82"/>
      <c r="M10619" s="85"/>
    </row>
    <row r="10620" spans="9:13" x14ac:dyDescent="0.3">
      <c r="I10620" s="82"/>
      <c r="M10620" s="85"/>
    </row>
    <row r="10621" spans="9:13" x14ac:dyDescent="0.3">
      <c r="I10621" s="82"/>
      <c r="M10621" s="85"/>
    </row>
    <row r="10622" spans="9:13" x14ac:dyDescent="0.3">
      <c r="I10622" s="82"/>
      <c r="M10622" s="85"/>
    </row>
    <row r="10623" spans="9:13" x14ac:dyDescent="0.3">
      <c r="I10623" s="82"/>
      <c r="M10623" s="85"/>
    </row>
    <row r="10624" spans="9:13" x14ac:dyDescent="0.3">
      <c r="I10624" s="82"/>
      <c r="M10624" s="85"/>
    </row>
    <row r="10625" spans="9:13" x14ac:dyDescent="0.3">
      <c r="I10625" s="82"/>
      <c r="M10625" s="85"/>
    </row>
    <row r="10626" spans="9:13" x14ac:dyDescent="0.3">
      <c r="I10626" s="82"/>
      <c r="M10626" s="85"/>
    </row>
    <row r="10627" spans="9:13" x14ac:dyDescent="0.3">
      <c r="I10627" s="82"/>
      <c r="M10627" s="85"/>
    </row>
    <row r="10628" spans="9:13" x14ac:dyDescent="0.3">
      <c r="I10628" s="82"/>
      <c r="M10628" s="85"/>
    </row>
    <row r="10629" spans="9:13" x14ac:dyDescent="0.3">
      <c r="I10629" s="82"/>
      <c r="M10629" s="85"/>
    </row>
    <row r="10630" spans="9:13" x14ac:dyDescent="0.3">
      <c r="I10630" s="82"/>
      <c r="M10630" s="85"/>
    </row>
    <row r="10631" spans="9:13" x14ac:dyDescent="0.3">
      <c r="I10631" s="82"/>
      <c r="M10631" s="85"/>
    </row>
    <row r="10632" spans="9:13" x14ac:dyDescent="0.3">
      <c r="I10632" s="82"/>
      <c r="M10632" s="85"/>
    </row>
    <row r="10633" spans="9:13" x14ac:dyDescent="0.3">
      <c r="I10633" s="82"/>
      <c r="M10633" s="85"/>
    </row>
    <row r="10634" spans="9:13" x14ac:dyDescent="0.3">
      <c r="I10634" s="82"/>
      <c r="M10634" s="85"/>
    </row>
    <row r="10635" spans="9:13" x14ac:dyDescent="0.3">
      <c r="I10635" s="82"/>
      <c r="M10635" s="85"/>
    </row>
    <row r="10636" spans="9:13" x14ac:dyDescent="0.3">
      <c r="I10636" s="82"/>
      <c r="M10636" s="85"/>
    </row>
    <row r="10637" spans="9:13" x14ac:dyDescent="0.3">
      <c r="I10637" s="82"/>
      <c r="M10637" s="85"/>
    </row>
    <row r="10638" spans="9:13" x14ac:dyDescent="0.3">
      <c r="I10638" s="82"/>
      <c r="M10638" s="85"/>
    </row>
    <row r="10639" spans="9:13" x14ac:dyDescent="0.3">
      <c r="I10639" s="82"/>
      <c r="M10639" s="85"/>
    </row>
    <row r="10640" spans="9:13" x14ac:dyDescent="0.3">
      <c r="I10640" s="82"/>
      <c r="M10640" s="85"/>
    </row>
    <row r="10641" spans="9:13" x14ac:dyDescent="0.3">
      <c r="I10641" s="82"/>
      <c r="M10641" s="85"/>
    </row>
    <row r="10642" spans="9:13" x14ac:dyDescent="0.3">
      <c r="I10642" s="82"/>
      <c r="M10642" s="85"/>
    </row>
    <row r="10643" spans="9:13" x14ac:dyDescent="0.3">
      <c r="I10643" s="82"/>
      <c r="M10643" s="85"/>
    </row>
    <row r="10644" spans="9:13" x14ac:dyDescent="0.3">
      <c r="I10644" s="82"/>
      <c r="M10644" s="85"/>
    </row>
    <row r="10645" spans="9:13" x14ac:dyDescent="0.3">
      <c r="I10645" s="82"/>
      <c r="M10645" s="85"/>
    </row>
    <row r="10646" spans="9:13" x14ac:dyDescent="0.3">
      <c r="I10646" s="82"/>
      <c r="M10646" s="85"/>
    </row>
    <row r="10647" spans="9:13" x14ac:dyDescent="0.3">
      <c r="I10647" s="82"/>
      <c r="M10647" s="85"/>
    </row>
    <row r="10648" spans="9:13" x14ac:dyDescent="0.3">
      <c r="I10648" s="82"/>
      <c r="M10648" s="85"/>
    </row>
    <row r="10649" spans="9:13" x14ac:dyDescent="0.3">
      <c r="I10649" s="82"/>
      <c r="M10649" s="85"/>
    </row>
    <row r="10650" spans="9:13" x14ac:dyDescent="0.3">
      <c r="I10650" s="82"/>
      <c r="M10650" s="85"/>
    </row>
    <row r="10651" spans="9:13" x14ac:dyDescent="0.3">
      <c r="I10651" s="82"/>
      <c r="M10651" s="85"/>
    </row>
    <row r="10652" spans="9:13" x14ac:dyDescent="0.3">
      <c r="I10652" s="82"/>
      <c r="M10652" s="85"/>
    </row>
    <row r="10653" spans="9:13" x14ac:dyDescent="0.3">
      <c r="I10653" s="82"/>
      <c r="M10653" s="85"/>
    </row>
    <row r="10654" spans="9:13" x14ac:dyDescent="0.3">
      <c r="I10654" s="82"/>
      <c r="M10654" s="85"/>
    </row>
    <row r="10655" spans="9:13" x14ac:dyDescent="0.3">
      <c r="I10655" s="82"/>
      <c r="M10655" s="85"/>
    </row>
    <row r="10656" spans="9:13" x14ac:dyDescent="0.3">
      <c r="I10656" s="82"/>
      <c r="M10656" s="85"/>
    </row>
    <row r="10657" spans="9:13" x14ac:dyDescent="0.3">
      <c r="I10657" s="82"/>
      <c r="M10657" s="85"/>
    </row>
    <row r="10658" spans="9:13" x14ac:dyDescent="0.3">
      <c r="I10658" s="82"/>
      <c r="M10658" s="85"/>
    </row>
    <row r="10659" spans="9:13" x14ac:dyDescent="0.3">
      <c r="I10659" s="82"/>
      <c r="M10659" s="85"/>
    </row>
    <row r="10660" spans="9:13" x14ac:dyDescent="0.3">
      <c r="I10660" s="82"/>
      <c r="M10660" s="85"/>
    </row>
    <row r="10661" spans="9:13" x14ac:dyDescent="0.3">
      <c r="I10661" s="82"/>
      <c r="M10661" s="85"/>
    </row>
    <row r="10662" spans="9:13" x14ac:dyDescent="0.3">
      <c r="I10662" s="82"/>
      <c r="M10662" s="85"/>
    </row>
    <row r="10663" spans="9:13" x14ac:dyDescent="0.3">
      <c r="I10663" s="82"/>
      <c r="M10663" s="85"/>
    </row>
    <row r="10664" spans="9:13" x14ac:dyDescent="0.3">
      <c r="I10664" s="82"/>
      <c r="M10664" s="85"/>
    </row>
    <row r="10665" spans="9:13" x14ac:dyDescent="0.3">
      <c r="I10665" s="82"/>
      <c r="M10665" s="85"/>
    </row>
    <row r="10666" spans="9:13" x14ac:dyDescent="0.3">
      <c r="I10666" s="82"/>
      <c r="M10666" s="85"/>
    </row>
    <row r="10667" spans="9:13" x14ac:dyDescent="0.3">
      <c r="I10667" s="82"/>
      <c r="M10667" s="85"/>
    </row>
    <row r="10668" spans="9:13" x14ac:dyDescent="0.3">
      <c r="I10668" s="82"/>
      <c r="M10668" s="85"/>
    </row>
    <row r="10669" spans="9:13" x14ac:dyDescent="0.3">
      <c r="I10669" s="82"/>
      <c r="M10669" s="85"/>
    </row>
    <row r="10670" spans="9:13" x14ac:dyDescent="0.3">
      <c r="I10670" s="82"/>
      <c r="M10670" s="85"/>
    </row>
    <row r="10671" spans="9:13" x14ac:dyDescent="0.3">
      <c r="I10671" s="82"/>
      <c r="M10671" s="85"/>
    </row>
    <row r="10672" spans="9:13" x14ac:dyDescent="0.3">
      <c r="I10672" s="82"/>
      <c r="M10672" s="85"/>
    </row>
    <row r="10673" spans="9:13" x14ac:dyDescent="0.3">
      <c r="I10673" s="82"/>
      <c r="M10673" s="85"/>
    </row>
    <row r="10674" spans="9:13" x14ac:dyDescent="0.3">
      <c r="I10674" s="82"/>
      <c r="M10674" s="85"/>
    </row>
    <row r="10675" spans="9:13" x14ac:dyDescent="0.3">
      <c r="I10675" s="82"/>
      <c r="M10675" s="85"/>
    </row>
    <row r="10676" spans="9:13" x14ac:dyDescent="0.3">
      <c r="I10676" s="82"/>
      <c r="M10676" s="85"/>
    </row>
    <row r="10677" spans="9:13" x14ac:dyDescent="0.3">
      <c r="I10677" s="82"/>
      <c r="M10677" s="85"/>
    </row>
    <row r="10678" spans="9:13" x14ac:dyDescent="0.3">
      <c r="I10678" s="82"/>
      <c r="M10678" s="85"/>
    </row>
    <row r="10679" spans="9:13" x14ac:dyDescent="0.3">
      <c r="I10679" s="82"/>
      <c r="M10679" s="85"/>
    </row>
    <row r="10680" spans="9:13" x14ac:dyDescent="0.3">
      <c r="I10680" s="82"/>
      <c r="M10680" s="85"/>
    </row>
    <row r="10681" spans="9:13" x14ac:dyDescent="0.3">
      <c r="I10681" s="82"/>
      <c r="M10681" s="85"/>
    </row>
    <row r="10682" spans="9:13" x14ac:dyDescent="0.3">
      <c r="I10682" s="82"/>
      <c r="M10682" s="85"/>
    </row>
    <row r="10683" spans="9:13" x14ac:dyDescent="0.3">
      <c r="I10683" s="82"/>
      <c r="M10683" s="85"/>
    </row>
    <row r="10684" spans="9:13" x14ac:dyDescent="0.3">
      <c r="I10684" s="82"/>
      <c r="M10684" s="85"/>
    </row>
    <row r="10685" spans="9:13" x14ac:dyDescent="0.3">
      <c r="I10685" s="82"/>
      <c r="M10685" s="85"/>
    </row>
    <row r="10686" spans="9:13" x14ac:dyDescent="0.3">
      <c r="I10686" s="82"/>
      <c r="M10686" s="85"/>
    </row>
    <row r="10687" spans="9:13" x14ac:dyDescent="0.3">
      <c r="I10687" s="82"/>
      <c r="M10687" s="85"/>
    </row>
    <row r="10688" spans="9:13" x14ac:dyDescent="0.3">
      <c r="I10688" s="82"/>
      <c r="M10688" s="85"/>
    </row>
    <row r="10689" spans="9:13" x14ac:dyDescent="0.3">
      <c r="I10689" s="82"/>
      <c r="M10689" s="85"/>
    </row>
    <row r="10690" spans="9:13" x14ac:dyDescent="0.3">
      <c r="I10690" s="82"/>
      <c r="M10690" s="85"/>
    </row>
    <row r="10691" spans="9:13" x14ac:dyDescent="0.3">
      <c r="I10691" s="82"/>
      <c r="M10691" s="85"/>
    </row>
    <row r="10692" spans="9:13" x14ac:dyDescent="0.3">
      <c r="I10692" s="82"/>
      <c r="M10692" s="85"/>
    </row>
    <row r="10693" spans="9:13" x14ac:dyDescent="0.3">
      <c r="I10693" s="82"/>
      <c r="M10693" s="85"/>
    </row>
    <row r="10694" spans="9:13" x14ac:dyDescent="0.3">
      <c r="I10694" s="82"/>
      <c r="M10694" s="85"/>
    </row>
    <row r="10695" spans="9:13" x14ac:dyDescent="0.3">
      <c r="I10695" s="82"/>
      <c r="M10695" s="85"/>
    </row>
    <row r="10696" spans="9:13" x14ac:dyDescent="0.3">
      <c r="I10696" s="82"/>
      <c r="M10696" s="85"/>
    </row>
    <row r="10697" spans="9:13" x14ac:dyDescent="0.3">
      <c r="I10697" s="82"/>
      <c r="M10697" s="85"/>
    </row>
    <row r="10698" spans="9:13" x14ac:dyDescent="0.3">
      <c r="I10698" s="82"/>
      <c r="M10698" s="85"/>
    </row>
    <row r="10699" spans="9:13" x14ac:dyDescent="0.3">
      <c r="I10699" s="82"/>
      <c r="M10699" s="85"/>
    </row>
    <row r="10700" spans="9:13" x14ac:dyDescent="0.3">
      <c r="I10700" s="82"/>
      <c r="M10700" s="85"/>
    </row>
    <row r="10701" spans="9:13" x14ac:dyDescent="0.3">
      <c r="I10701" s="82"/>
      <c r="M10701" s="85"/>
    </row>
    <row r="10702" spans="9:13" x14ac:dyDescent="0.3">
      <c r="I10702" s="82"/>
      <c r="M10702" s="85"/>
    </row>
    <row r="10703" spans="9:13" x14ac:dyDescent="0.3">
      <c r="I10703" s="82"/>
      <c r="M10703" s="85"/>
    </row>
    <row r="10704" spans="9:13" x14ac:dyDescent="0.3">
      <c r="I10704" s="82"/>
      <c r="M10704" s="85"/>
    </row>
    <row r="10705" spans="9:13" x14ac:dyDescent="0.3">
      <c r="I10705" s="82"/>
      <c r="M10705" s="85"/>
    </row>
    <row r="10706" spans="9:13" x14ac:dyDescent="0.3">
      <c r="I10706" s="82"/>
      <c r="M10706" s="85"/>
    </row>
    <row r="10707" spans="9:13" x14ac:dyDescent="0.3">
      <c r="I10707" s="82"/>
      <c r="M10707" s="85"/>
    </row>
    <row r="10708" spans="9:13" x14ac:dyDescent="0.3">
      <c r="I10708" s="82"/>
      <c r="M10708" s="85"/>
    </row>
    <row r="10709" spans="9:13" x14ac:dyDescent="0.3">
      <c r="I10709" s="82"/>
      <c r="M10709" s="85"/>
    </row>
    <row r="10710" spans="9:13" x14ac:dyDescent="0.3">
      <c r="I10710" s="82"/>
      <c r="M10710" s="85"/>
    </row>
    <row r="10711" spans="9:13" x14ac:dyDescent="0.3">
      <c r="I10711" s="82"/>
      <c r="M10711" s="85"/>
    </row>
    <row r="10712" spans="9:13" x14ac:dyDescent="0.3">
      <c r="I10712" s="82"/>
      <c r="M10712" s="85"/>
    </row>
    <row r="10713" spans="9:13" x14ac:dyDescent="0.3">
      <c r="I10713" s="82"/>
      <c r="M10713" s="85"/>
    </row>
    <row r="10714" spans="9:13" x14ac:dyDescent="0.3">
      <c r="I10714" s="82"/>
      <c r="M10714" s="85"/>
    </row>
    <row r="10715" spans="9:13" x14ac:dyDescent="0.3">
      <c r="I10715" s="82"/>
      <c r="M10715" s="85"/>
    </row>
    <row r="10716" spans="9:13" x14ac:dyDescent="0.3">
      <c r="I10716" s="82"/>
      <c r="M10716" s="85"/>
    </row>
    <row r="10717" spans="9:13" x14ac:dyDescent="0.3">
      <c r="I10717" s="82"/>
      <c r="M10717" s="85"/>
    </row>
    <row r="10718" spans="9:13" x14ac:dyDescent="0.3">
      <c r="I10718" s="82"/>
      <c r="M10718" s="85"/>
    </row>
    <row r="10719" spans="9:13" x14ac:dyDescent="0.3">
      <c r="I10719" s="82"/>
      <c r="M10719" s="85"/>
    </row>
    <row r="10720" spans="9:13" x14ac:dyDescent="0.3">
      <c r="I10720" s="82"/>
      <c r="M10720" s="85"/>
    </row>
    <row r="10721" spans="9:13" x14ac:dyDescent="0.3">
      <c r="I10721" s="82"/>
      <c r="M10721" s="85"/>
    </row>
    <row r="10722" spans="9:13" x14ac:dyDescent="0.3">
      <c r="I10722" s="82"/>
      <c r="M10722" s="85"/>
    </row>
    <row r="10723" spans="9:13" x14ac:dyDescent="0.3">
      <c r="I10723" s="82"/>
      <c r="M10723" s="85"/>
    </row>
    <row r="10724" spans="9:13" x14ac:dyDescent="0.3">
      <c r="I10724" s="82"/>
      <c r="M10724" s="85"/>
    </row>
    <row r="10725" spans="9:13" x14ac:dyDescent="0.3">
      <c r="I10725" s="82"/>
      <c r="M10725" s="85"/>
    </row>
    <row r="10726" spans="9:13" x14ac:dyDescent="0.3">
      <c r="I10726" s="82"/>
      <c r="M10726" s="85"/>
    </row>
    <row r="10727" spans="9:13" x14ac:dyDescent="0.3">
      <c r="I10727" s="82"/>
      <c r="M10727" s="85"/>
    </row>
    <row r="10728" spans="9:13" x14ac:dyDescent="0.3">
      <c r="I10728" s="82"/>
      <c r="M10728" s="85"/>
    </row>
    <row r="10729" spans="9:13" x14ac:dyDescent="0.3">
      <c r="I10729" s="82"/>
      <c r="M10729" s="85"/>
    </row>
    <row r="10730" spans="9:13" x14ac:dyDescent="0.3">
      <c r="I10730" s="82"/>
      <c r="M10730" s="85"/>
    </row>
    <row r="10731" spans="9:13" x14ac:dyDescent="0.3">
      <c r="I10731" s="82"/>
      <c r="M10731" s="85"/>
    </row>
    <row r="10732" spans="9:13" x14ac:dyDescent="0.3">
      <c r="I10732" s="82"/>
      <c r="M10732" s="85"/>
    </row>
    <row r="10733" spans="9:13" x14ac:dyDescent="0.3">
      <c r="I10733" s="82"/>
      <c r="M10733" s="85"/>
    </row>
    <row r="10734" spans="9:13" x14ac:dyDescent="0.3">
      <c r="I10734" s="82"/>
      <c r="M10734" s="85"/>
    </row>
    <row r="10735" spans="9:13" x14ac:dyDescent="0.3">
      <c r="I10735" s="82"/>
      <c r="M10735" s="85"/>
    </row>
    <row r="10736" spans="9:13" x14ac:dyDescent="0.3">
      <c r="I10736" s="82"/>
      <c r="M10736" s="85"/>
    </row>
    <row r="10737" spans="9:13" x14ac:dyDescent="0.3">
      <c r="I10737" s="82"/>
      <c r="M10737" s="85"/>
    </row>
    <row r="10738" spans="9:13" x14ac:dyDescent="0.3">
      <c r="I10738" s="82"/>
      <c r="M10738" s="85"/>
    </row>
    <row r="10739" spans="9:13" x14ac:dyDescent="0.3">
      <c r="I10739" s="82"/>
      <c r="M10739" s="85"/>
    </row>
    <row r="10740" spans="9:13" x14ac:dyDescent="0.3">
      <c r="I10740" s="82"/>
      <c r="M10740" s="85"/>
    </row>
    <row r="10741" spans="9:13" x14ac:dyDescent="0.3">
      <c r="I10741" s="82"/>
      <c r="M10741" s="85"/>
    </row>
    <row r="10742" spans="9:13" x14ac:dyDescent="0.3">
      <c r="I10742" s="82"/>
      <c r="M10742" s="85"/>
    </row>
    <row r="10743" spans="9:13" x14ac:dyDescent="0.3">
      <c r="I10743" s="82"/>
      <c r="M10743" s="85"/>
    </row>
    <row r="10744" spans="9:13" x14ac:dyDescent="0.3">
      <c r="I10744" s="82"/>
      <c r="M10744" s="85"/>
    </row>
    <row r="10745" spans="9:13" x14ac:dyDescent="0.3">
      <c r="I10745" s="82"/>
      <c r="M10745" s="85"/>
    </row>
    <row r="10746" spans="9:13" x14ac:dyDescent="0.3">
      <c r="I10746" s="82"/>
      <c r="M10746" s="85"/>
    </row>
    <row r="10747" spans="9:13" x14ac:dyDescent="0.3">
      <c r="I10747" s="82"/>
      <c r="M10747" s="85"/>
    </row>
    <row r="10748" spans="9:13" x14ac:dyDescent="0.3">
      <c r="I10748" s="82"/>
      <c r="M10748" s="85"/>
    </row>
    <row r="10749" spans="9:13" x14ac:dyDescent="0.3">
      <c r="I10749" s="82"/>
      <c r="M10749" s="85"/>
    </row>
    <row r="10750" spans="9:13" x14ac:dyDescent="0.3">
      <c r="I10750" s="82"/>
      <c r="M10750" s="85"/>
    </row>
    <row r="10751" spans="9:13" x14ac:dyDescent="0.3">
      <c r="I10751" s="82"/>
      <c r="M10751" s="85"/>
    </row>
    <row r="10752" spans="9:13" x14ac:dyDescent="0.3">
      <c r="I10752" s="82"/>
      <c r="M10752" s="85"/>
    </row>
    <row r="10753" spans="9:13" x14ac:dyDescent="0.3">
      <c r="I10753" s="82"/>
      <c r="M10753" s="85"/>
    </row>
    <row r="10754" spans="9:13" x14ac:dyDescent="0.3">
      <c r="I10754" s="82"/>
      <c r="M10754" s="85"/>
    </row>
    <row r="10755" spans="9:13" x14ac:dyDescent="0.3">
      <c r="I10755" s="82"/>
      <c r="M10755" s="85"/>
    </row>
    <row r="10756" spans="9:13" x14ac:dyDescent="0.3">
      <c r="I10756" s="82"/>
      <c r="M10756" s="85"/>
    </row>
    <row r="10757" spans="9:13" x14ac:dyDescent="0.3">
      <c r="I10757" s="82"/>
      <c r="M10757" s="85"/>
    </row>
    <row r="10758" spans="9:13" x14ac:dyDescent="0.3">
      <c r="I10758" s="82"/>
      <c r="M10758" s="85"/>
    </row>
    <row r="10759" spans="9:13" x14ac:dyDescent="0.3">
      <c r="I10759" s="82"/>
      <c r="M10759" s="85"/>
    </row>
    <row r="10760" spans="9:13" x14ac:dyDescent="0.3">
      <c r="I10760" s="82"/>
      <c r="M10760" s="85"/>
    </row>
    <row r="10761" spans="9:13" x14ac:dyDescent="0.3">
      <c r="I10761" s="82"/>
      <c r="M10761" s="85"/>
    </row>
    <row r="10762" spans="9:13" x14ac:dyDescent="0.3">
      <c r="I10762" s="82"/>
      <c r="M10762" s="85"/>
    </row>
    <row r="10763" spans="9:13" x14ac:dyDescent="0.3">
      <c r="I10763" s="82"/>
      <c r="M10763" s="85"/>
    </row>
    <row r="10764" spans="9:13" x14ac:dyDescent="0.3">
      <c r="I10764" s="82"/>
      <c r="M10764" s="85"/>
    </row>
    <row r="10765" spans="9:13" x14ac:dyDescent="0.3">
      <c r="I10765" s="82"/>
      <c r="M10765" s="85"/>
    </row>
    <row r="10766" spans="9:13" x14ac:dyDescent="0.3">
      <c r="I10766" s="82"/>
      <c r="M10766" s="85"/>
    </row>
    <row r="10767" spans="9:13" x14ac:dyDescent="0.3">
      <c r="I10767" s="82"/>
      <c r="M10767" s="85"/>
    </row>
    <row r="10768" spans="9:13" x14ac:dyDescent="0.3">
      <c r="I10768" s="82"/>
      <c r="M10768" s="85"/>
    </row>
    <row r="10769" spans="9:13" x14ac:dyDescent="0.3">
      <c r="I10769" s="82"/>
      <c r="M10769" s="85"/>
    </row>
    <row r="10770" spans="9:13" x14ac:dyDescent="0.3">
      <c r="I10770" s="82"/>
      <c r="M10770" s="85"/>
    </row>
    <row r="10771" spans="9:13" x14ac:dyDescent="0.3">
      <c r="I10771" s="82"/>
      <c r="M10771" s="85"/>
    </row>
    <row r="10772" spans="9:13" x14ac:dyDescent="0.3">
      <c r="I10772" s="82"/>
      <c r="M10772" s="85"/>
    </row>
    <row r="10773" spans="9:13" x14ac:dyDescent="0.3">
      <c r="I10773" s="82"/>
      <c r="M10773" s="85"/>
    </row>
    <row r="10774" spans="9:13" x14ac:dyDescent="0.3">
      <c r="I10774" s="82"/>
      <c r="M10774" s="85"/>
    </row>
    <row r="10775" spans="9:13" x14ac:dyDescent="0.3">
      <c r="I10775" s="82"/>
      <c r="M10775" s="85"/>
    </row>
    <row r="10776" spans="9:13" x14ac:dyDescent="0.3">
      <c r="I10776" s="82"/>
      <c r="M10776" s="85"/>
    </row>
    <row r="10777" spans="9:13" x14ac:dyDescent="0.3">
      <c r="I10777" s="82"/>
      <c r="M10777" s="85"/>
    </row>
    <row r="10778" spans="9:13" x14ac:dyDescent="0.3">
      <c r="I10778" s="82"/>
      <c r="M10778" s="85"/>
    </row>
    <row r="10779" spans="9:13" x14ac:dyDescent="0.3">
      <c r="I10779" s="82"/>
      <c r="M10779" s="85"/>
    </row>
    <row r="10780" spans="9:13" x14ac:dyDescent="0.3">
      <c r="I10780" s="82"/>
      <c r="M10780" s="85"/>
    </row>
    <row r="10781" spans="9:13" x14ac:dyDescent="0.3">
      <c r="I10781" s="82"/>
      <c r="M10781" s="85"/>
    </row>
    <row r="10782" spans="9:13" x14ac:dyDescent="0.3">
      <c r="I10782" s="82"/>
      <c r="M10782" s="85"/>
    </row>
    <row r="10783" spans="9:13" x14ac:dyDescent="0.3">
      <c r="I10783" s="82"/>
      <c r="M10783" s="85"/>
    </row>
    <row r="10784" spans="9:13" x14ac:dyDescent="0.3">
      <c r="I10784" s="82"/>
      <c r="M10784" s="85"/>
    </row>
    <row r="10785" spans="9:13" x14ac:dyDescent="0.3">
      <c r="I10785" s="82"/>
      <c r="M10785" s="85"/>
    </row>
    <row r="10786" spans="9:13" x14ac:dyDescent="0.3">
      <c r="I10786" s="82"/>
      <c r="M10786" s="85"/>
    </row>
    <row r="10787" spans="9:13" x14ac:dyDescent="0.3">
      <c r="I10787" s="82"/>
      <c r="M10787" s="85"/>
    </row>
    <row r="10788" spans="9:13" x14ac:dyDescent="0.3">
      <c r="I10788" s="82"/>
      <c r="M10788" s="85"/>
    </row>
    <row r="10789" spans="9:13" x14ac:dyDescent="0.3">
      <c r="I10789" s="82"/>
      <c r="M10789" s="85"/>
    </row>
    <row r="10790" spans="9:13" x14ac:dyDescent="0.3">
      <c r="I10790" s="82"/>
      <c r="M10790" s="85"/>
    </row>
    <row r="10791" spans="9:13" x14ac:dyDescent="0.3">
      <c r="I10791" s="82"/>
      <c r="M10791" s="85"/>
    </row>
    <row r="10792" spans="9:13" x14ac:dyDescent="0.3">
      <c r="I10792" s="82"/>
      <c r="M10792" s="85"/>
    </row>
    <row r="10793" spans="9:13" x14ac:dyDescent="0.3">
      <c r="I10793" s="82"/>
      <c r="M10793" s="85"/>
    </row>
    <row r="10794" spans="9:13" x14ac:dyDescent="0.3">
      <c r="I10794" s="82"/>
      <c r="M10794" s="85"/>
    </row>
    <row r="10795" spans="9:13" x14ac:dyDescent="0.3">
      <c r="I10795" s="82"/>
      <c r="M10795" s="85"/>
    </row>
    <row r="10796" spans="9:13" x14ac:dyDescent="0.3">
      <c r="I10796" s="82"/>
      <c r="M10796" s="85"/>
    </row>
    <row r="10797" spans="9:13" x14ac:dyDescent="0.3">
      <c r="I10797" s="82"/>
      <c r="M10797" s="85"/>
    </row>
    <row r="10798" spans="9:13" x14ac:dyDescent="0.3">
      <c r="I10798" s="82"/>
      <c r="M10798" s="85"/>
    </row>
    <row r="10799" spans="9:13" x14ac:dyDescent="0.3">
      <c r="I10799" s="82"/>
      <c r="M10799" s="85"/>
    </row>
    <row r="10800" spans="9:13" x14ac:dyDescent="0.3">
      <c r="I10800" s="82"/>
      <c r="M10800" s="85"/>
    </row>
    <row r="10801" spans="9:13" x14ac:dyDescent="0.3">
      <c r="I10801" s="82"/>
      <c r="M10801" s="85"/>
    </row>
    <row r="10802" spans="9:13" x14ac:dyDescent="0.3">
      <c r="I10802" s="82"/>
      <c r="M10802" s="85"/>
    </row>
    <row r="10803" spans="9:13" x14ac:dyDescent="0.3">
      <c r="I10803" s="82"/>
      <c r="M10803" s="85"/>
    </row>
    <row r="10804" spans="9:13" x14ac:dyDescent="0.3">
      <c r="I10804" s="82"/>
      <c r="M10804" s="85"/>
    </row>
    <row r="10805" spans="9:13" x14ac:dyDescent="0.3">
      <c r="I10805" s="82"/>
      <c r="M10805" s="85"/>
    </row>
    <row r="10806" spans="9:13" x14ac:dyDescent="0.3">
      <c r="I10806" s="82"/>
      <c r="M10806" s="85"/>
    </row>
    <row r="10807" spans="9:13" x14ac:dyDescent="0.3">
      <c r="I10807" s="82"/>
      <c r="M10807" s="85"/>
    </row>
    <row r="10808" spans="9:13" x14ac:dyDescent="0.3">
      <c r="I10808" s="82"/>
      <c r="M10808" s="85"/>
    </row>
    <row r="10809" spans="9:13" x14ac:dyDescent="0.3">
      <c r="I10809" s="82"/>
      <c r="M10809" s="85"/>
    </row>
    <row r="10810" spans="9:13" x14ac:dyDescent="0.3">
      <c r="I10810" s="82"/>
      <c r="M10810" s="85"/>
    </row>
    <row r="10811" spans="9:13" x14ac:dyDescent="0.3">
      <c r="I10811" s="82"/>
      <c r="M10811" s="85"/>
    </row>
    <row r="10812" spans="9:13" x14ac:dyDescent="0.3">
      <c r="I10812" s="82"/>
      <c r="M10812" s="85"/>
    </row>
    <row r="10813" spans="9:13" x14ac:dyDescent="0.3">
      <c r="I10813" s="82"/>
      <c r="M10813" s="85"/>
    </row>
    <row r="10814" spans="9:13" x14ac:dyDescent="0.3">
      <c r="I10814" s="82"/>
      <c r="M10814" s="85"/>
    </row>
    <row r="10815" spans="9:13" x14ac:dyDescent="0.3">
      <c r="I10815" s="82"/>
      <c r="M10815" s="85"/>
    </row>
    <row r="10816" spans="9:13" x14ac:dyDescent="0.3">
      <c r="I10816" s="82"/>
      <c r="M10816" s="85"/>
    </row>
    <row r="10817" spans="9:13" x14ac:dyDescent="0.3">
      <c r="I10817" s="82"/>
      <c r="M10817" s="85"/>
    </row>
    <row r="10818" spans="9:13" x14ac:dyDescent="0.3">
      <c r="I10818" s="82"/>
      <c r="M10818" s="85"/>
    </row>
    <row r="10819" spans="9:13" x14ac:dyDescent="0.3">
      <c r="I10819" s="82"/>
      <c r="M10819" s="85"/>
    </row>
    <row r="10820" spans="9:13" x14ac:dyDescent="0.3">
      <c r="I10820" s="82"/>
      <c r="M10820" s="85"/>
    </row>
    <row r="10821" spans="9:13" x14ac:dyDescent="0.3">
      <c r="I10821" s="82"/>
      <c r="M10821" s="85"/>
    </row>
    <row r="10822" spans="9:13" x14ac:dyDescent="0.3">
      <c r="I10822" s="82"/>
      <c r="M10822" s="85"/>
    </row>
    <row r="10823" spans="9:13" x14ac:dyDescent="0.3">
      <c r="I10823" s="82"/>
      <c r="M10823" s="85"/>
    </row>
    <row r="10824" spans="9:13" x14ac:dyDescent="0.3">
      <c r="I10824" s="82"/>
      <c r="M10824" s="85"/>
    </row>
    <row r="10825" spans="9:13" x14ac:dyDescent="0.3">
      <c r="I10825" s="82"/>
      <c r="M10825" s="85"/>
    </row>
    <row r="10826" spans="9:13" x14ac:dyDescent="0.3">
      <c r="I10826" s="82"/>
      <c r="M10826" s="85"/>
    </row>
    <row r="10827" spans="9:13" x14ac:dyDescent="0.3">
      <c r="I10827" s="82"/>
      <c r="M10827" s="85"/>
    </row>
    <row r="10828" spans="9:13" x14ac:dyDescent="0.3">
      <c r="I10828" s="82"/>
      <c r="M10828" s="85"/>
    </row>
    <row r="10829" spans="9:13" x14ac:dyDescent="0.3">
      <c r="I10829" s="82"/>
      <c r="M10829" s="85"/>
    </row>
    <row r="10830" spans="9:13" x14ac:dyDescent="0.3">
      <c r="I10830" s="82"/>
      <c r="M10830" s="85"/>
    </row>
    <row r="10831" spans="9:13" x14ac:dyDescent="0.3">
      <c r="I10831" s="82"/>
      <c r="M10831" s="85"/>
    </row>
    <row r="10832" spans="9:13" x14ac:dyDescent="0.3">
      <c r="I10832" s="82"/>
      <c r="M10832" s="85"/>
    </row>
    <row r="10833" spans="9:13" x14ac:dyDescent="0.3">
      <c r="I10833" s="82"/>
      <c r="M10833" s="85"/>
    </row>
    <row r="10834" spans="9:13" x14ac:dyDescent="0.3">
      <c r="I10834" s="82"/>
      <c r="M10834" s="85"/>
    </row>
    <row r="10835" spans="9:13" x14ac:dyDescent="0.3">
      <c r="I10835" s="82"/>
      <c r="M10835" s="85"/>
    </row>
    <row r="10836" spans="9:13" x14ac:dyDescent="0.3">
      <c r="I10836" s="82"/>
      <c r="M10836" s="85"/>
    </row>
    <row r="10837" spans="9:13" x14ac:dyDescent="0.3">
      <c r="I10837" s="82"/>
      <c r="M10837" s="85"/>
    </row>
    <row r="10838" spans="9:13" x14ac:dyDescent="0.3">
      <c r="I10838" s="82"/>
      <c r="M10838" s="85"/>
    </row>
    <row r="10839" spans="9:13" x14ac:dyDescent="0.3">
      <c r="I10839" s="82"/>
      <c r="M10839" s="85"/>
    </row>
    <row r="10840" spans="9:13" x14ac:dyDescent="0.3">
      <c r="I10840" s="82"/>
      <c r="M10840" s="85"/>
    </row>
    <row r="10841" spans="9:13" x14ac:dyDescent="0.3">
      <c r="I10841" s="82"/>
      <c r="M10841" s="85"/>
    </row>
    <row r="10842" spans="9:13" x14ac:dyDescent="0.3">
      <c r="I10842" s="82"/>
      <c r="M10842" s="85"/>
    </row>
    <row r="10843" spans="9:13" x14ac:dyDescent="0.3">
      <c r="I10843" s="82"/>
      <c r="M10843" s="85"/>
    </row>
    <row r="10844" spans="9:13" x14ac:dyDescent="0.3">
      <c r="I10844" s="82"/>
      <c r="M10844" s="85"/>
    </row>
    <row r="10845" spans="9:13" x14ac:dyDescent="0.3">
      <c r="I10845" s="82"/>
      <c r="M10845" s="85"/>
    </row>
    <row r="10846" spans="9:13" x14ac:dyDescent="0.3">
      <c r="I10846" s="82"/>
      <c r="M10846" s="85"/>
    </row>
    <row r="10847" spans="9:13" x14ac:dyDescent="0.3">
      <c r="I10847" s="82"/>
      <c r="M10847" s="85"/>
    </row>
    <row r="10848" spans="9:13" x14ac:dyDescent="0.3">
      <c r="I10848" s="82"/>
      <c r="M10848" s="85"/>
    </row>
    <row r="10849" spans="9:13" x14ac:dyDescent="0.3">
      <c r="I10849" s="82"/>
      <c r="M10849" s="85"/>
    </row>
    <row r="10850" spans="9:13" x14ac:dyDescent="0.3">
      <c r="I10850" s="82"/>
      <c r="M10850" s="85"/>
    </row>
    <row r="10851" spans="9:13" x14ac:dyDescent="0.3">
      <c r="I10851" s="82"/>
      <c r="M10851" s="85"/>
    </row>
    <row r="10852" spans="9:13" x14ac:dyDescent="0.3">
      <c r="I10852" s="82"/>
      <c r="M10852" s="85"/>
    </row>
    <row r="10853" spans="9:13" x14ac:dyDescent="0.3">
      <c r="I10853" s="82"/>
      <c r="M10853" s="85"/>
    </row>
    <row r="10854" spans="9:13" x14ac:dyDescent="0.3">
      <c r="I10854" s="82"/>
      <c r="M10854" s="85"/>
    </row>
    <row r="10855" spans="9:13" x14ac:dyDescent="0.3">
      <c r="I10855" s="82"/>
      <c r="M10855" s="85"/>
    </row>
    <row r="10856" spans="9:13" x14ac:dyDescent="0.3">
      <c r="I10856" s="82"/>
      <c r="M10856" s="85"/>
    </row>
    <row r="10857" spans="9:13" x14ac:dyDescent="0.3">
      <c r="I10857" s="82"/>
      <c r="M10857" s="85"/>
    </row>
    <row r="10858" spans="9:13" x14ac:dyDescent="0.3">
      <c r="I10858" s="82"/>
      <c r="M10858" s="85"/>
    </row>
    <row r="10859" spans="9:13" x14ac:dyDescent="0.3">
      <c r="I10859" s="82"/>
      <c r="M10859" s="85"/>
    </row>
    <row r="10860" spans="9:13" x14ac:dyDescent="0.3">
      <c r="I10860" s="82"/>
      <c r="M10860" s="85"/>
    </row>
    <row r="10861" spans="9:13" x14ac:dyDescent="0.3">
      <c r="I10861" s="82"/>
      <c r="M10861" s="85"/>
    </row>
    <row r="10862" spans="9:13" x14ac:dyDescent="0.3">
      <c r="I10862" s="82"/>
      <c r="M10862" s="85"/>
    </row>
    <row r="10863" spans="9:13" x14ac:dyDescent="0.3">
      <c r="I10863" s="82"/>
      <c r="M10863" s="85"/>
    </row>
    <row r="10864" spans="9:13" x14ac:dyDescent="0.3">
      <c r="I10864" s="82"/>
      <c r="M10864" s="85"/>
    </row>
    <row r="10865" spans="9:13" x14ac:dyDescent="0.3">
      <c r="I10865" s="82"/>
      <c r="M10865" s="85"/>
    </row>
    <row r="10866" spans="9:13" x14ac:dyDescent="0.3">
      <c r="I10866" s="82"/>
      <c r="M10866" s="85"/>
    </row>
    <row r="10867" spans="9:13" x14ac:dyDescent="0.3">
      <c r="I10867" s="82"/>
      <c r="M10867" s="85"/>
    </row>
    <row r="10868" spans="9:13" x14ac:dyDescent="0.3">
      <c r="I10868" s="82"/>
      <c r="M10868" s="85"/>
    </row>
    <row r="10869" spans="9:13" x14ac:dyDescent="0.3">
      <c r="I10869" s="82"/>
      <c r="M10869" s="85"/>
    </row>
    <row r="10870" spans="9:13" x14ac:dyDescent="0.3">
      <c r="I10870" s="82"/>
      <c r="M10870" s="85"/>
    </row>
    <row r="10871" spans="9:13" x14ac:dyDescent="0.3">
      <c r="I10871" s="82"/>
      <c r="M10871" s="85"/>
    </row>
    <row r="10872" spans="9:13" x14ac:dyDescent="0.3">
      <c r="I10872" s="82"/>
      <c r="M10872" s="85"/>
    </row>
    <row r="10873" spans="9:13" x14ac:dyDescent="0.3">
      <c r="I10873" s="82"/>
      <c r="M10873" s="85"/>
    </row>
    <row r="10874" spans="9:13" x14ac:dyDescent="0.3">
      <c r="I10874" s="82"/>
      <c r="M10874" s="85"/>
    </row>
    <row r="10875" spans="9:13" x14ac:dyDescent="0.3">
      <c r="I10875" s="82"/>
      <c r="M10875" s="85"/>
    </row>
    <row r="10876" spans="9:13" x14ac:dyDescent="0.3">
      <c r="I10876" s="82"/>
      <c r="M10876" s="85"/>
    </row>
    <row r="10877" spans="9:13" x14ac:dyDescent="0.3">
      <c r="I10877" s="82"/>
      <c r="M10877" s="85"/>
    </row>
    <row r="10878" spans="9:13" x14ac:dyDescent="0.3">
      <c r="I10878" s="82"/>
      <c r="M10878" s="85"/>
    </row>
    <row r="10879" spans="9:13" x14ac:dyDescent="0.3">
      <c r="I10879" s="82"/>
      <c r="M10879" s="85"/>
    </row>
    <row r="10880" spans="9:13" x14ac:dyDescent="0.3">
      <c r="I10880" s="82"/>
      <c r="M10880" s="85"/>
    </row>
    <row r="10881" spans="9:13" x14ac:dyDescent="0.3">
      <c r="I10881" s="82"/>
      <c r="M10881" s="85"/>
    </row>
    <row r="10882" spans="9:13" x14ac:dyDescent="0.3">
      <c r="I10882" s="82"/>
      <c r="M10882" s="85"/>
    </row>
    <row r="10883" spans="9:13" x14ac:dyDescent="0.3">
      <c r="I10883" s="82"/>
      <c r="M10883" s="85"/>
    </row>
    <row r="10884" spans="9:13" x14ac:dyDescent="0.3">
      <c r="I10884" s="82"/>
      <c r="M10884" s="85"/>
    </row>
    <row r="10885" spans="9:13" x14ac:dyDescent="0.3">
      <c r="I10885" s="82"/>
      <c r="M10885" s="85"/>
    </row>
    <row r="10886" spans="9:13" x14ac:dyDescent="0.3">
      <c r="I10886" s="82"/>
      <c r="M10886" s="85"/>
    </row>
    <row r="10887" spans="9:13" x14ac:dyDescent="0.3">
      <c r="I10887" s="82"/>
      <c r="M10887" s="85"/>
    </row>
    <row r="10888" spans="9:13" x14ac:dyDescent="0.3">
      <c r="I10888" s="82"/>
      <c r="M10888" s="85"/>
    </row>
    <row r="10889" spans="9:13" x14ac:dyDescent="0.3">
      <c r="I10889" s="82"/>
      <c r="M10889" s="85"/>
    </row>
    <row r="10890" spans="9:13" x14ac:dyDescent="0.3">
      <c r="I10890" s="82"/>
      <c r="M10890" s="85"/>
    </row>
    <row r="10891" spans="9:13" x14ac:dyDescent="0.3">
      <c r="I10891" s="82"/>
      <c r="M10891" s="85"/>
    </row>
    <row r="10892" spans="9:13" x14ac:dyDescent="0.3">
      <c r="I10892" s="82"/>
      <c r="M10892" s="85"/>
    </row>
    <row r="10893" spans="9:13" x14ac:dyDescent="0.3">
      <c r="I10893" s="82"/>
      <c r="M10893" s="85"/>
    </row>
    <row r="10894" spans="9:13" x14ac:dyDescent="0.3">
      <c r="I10894" s="82"/>
      <c r="M10894" s="85"/>
    </row>
    <row r="10895" spans="9:13" x14ac:dyDescent="0.3">
      <c r="I10895" s="82"/>
      <c r="M10895" s="85"/>
    </row>
    <row r="10896" spans="9:13" x14ac:dyDescent="0.3">
      <c r="I10896" s="82"/>
      <c r="M10896" s="85"/>
    </row>
    <row r="10897" spans="9:13" x14ac:dyDescent="0.3">
      <c r="I10897" s="82"/>
      <c r="M10897" s="85"/>
    </row>
    <row r="10898" spans="9:13" x14ac:dyDescent="0.3">
      <c r="I10898" s="82"/>
      <c r="M10898" s="85"/>
    </row>
    <row r="10899" spans="9:13" x14ac:dyDescent="0.3">
      <c r="I10899" s="82"/>
      <c r="M10899" s="85"/>
    </row>
    <row r="10900" spans="9:13" x14ac:dyDescent="0.3">
      <c r="I10900" s="82"/>
      <c r="M10900" s="85"/>
    </row>
    <row r="10901" spans="9:13" x14ac:dyDescent="0.3">
      <c r="I10901" s="82"/>
      <c r="M10901" s="85"/>
    </row>
    <row r="10902" spans="9:13" x14ac:dyDescent="0.3">
      <c r="I10902" s="82"/>
      <c r="M10902" s="85"/>
    </row>
    <row r="10903" spans="9:13" x14ac:dyDescent="0.3">
      <c r="I10903" s="82"/>
      <c r="M10903" s="85"/>
    </row>
    <row r="10904" spans="9:13" x14ac:dyDescent="0.3">
      <c r="I10904" s="82"/>
      <c r="M10904" s="85"/>
    </row>
    <row r="10905" spans="9:13" x14ac:dyDescent="0.3">
      <c r="I10905" s="82"/>
      <c r="M10905" s="85"/>
    </row>
    <row r="10906" spans="9:13" x14ac:dyDescent="0.3">
      <c r="I10906" s="82"/>
      <c r="M10906" s="85"/>
    </row>
    <row r="10907" spans="9:13" x14ac:dyDescent="0.3">
      <c r="I10907" s="82"/>
      <c r="M10907" s="85"/>
    </row>
    <row r="10908" spans="9:13" x14ac:dyDescent="0.3">
      <c r="I10908" s="82"/>
      <c r="M10908" s="85"/>
    </row>
    <row r="10909" spans="9:13" x14ac:dyDescent="0.3">
      <c r="I10909" s="82"/>
      <c r="M10909" s="85"/>
    </row>
    <row r="10910" spans="9:13" x14ac:dyDescent="0.3">
      <c r="I10910" s="82"/>
      <c r="M10910" s="85"/>
    </row>
    <row r="10911" spans="9:13" x14ac:dyDescent="0.3">
      <c r="I10911" s="82"/>
      <c r="M10911" s="85"/>
    </row>
    <row r="10912" spans="9:13" x14ac:dyDescent="0.3">
      <c r="I10912" s="82"/>
      <c r="M10912" s="85"/>
    </row>
    <row r="10913" spans="9:13" x14ac:dyDescent="0.3">
      <c r="I10913" s="82"/>
      <c r="M10913" s="85"/>
    </row>
    <row r="10914" spans="9:13" x14ac:dyDescent="0.3">
      <c r="I10914" s="82"/>
      <c r="M10914" s="85"/>
    </row>
    <row r="10915" spans="9:13" x14ac:dyDescent="0.3">
      <c r="I10915" s="82"/>
      <c r="M10915" s="85"/>
    </row>
    <row r="10916" spans="9:13" x14ac:dyDescent="0.3">
      <c r="I10916" s="82"/>
      <c r="M10916" s="85"/>
    </row>
    <row r="10917" spans="9:13" x14ac:dyDescent="0.3">
      <c r="I10917" s="82"/>
      <c r="M10917" s="85"/>
    </row>
    <row r="10918" spans="9:13" x14ac:dyDescent="0.3">
      <c r="I10918" s="82"/>
      <c r="M10918" s="85"/>
    </row>
    <row r="10919" spans="9:13" x14ac:dyDescent="0.3">
      <c r="I10919" s="82"/>
      <c r="M10919" s="85"/>
    </row>
    <row r="10920" spans="9:13" x14ac:dyDescent="0.3">
      <c r="I10920" s="82"/>
      <c r="M10920" s="85"/>
    </row>
    <row r="10921" spans="9:13" x14ac:dyDescent="0.3">
      <c r="I10921" s="82"/>
      <c r="M10921" s="85"/>
    </row>
    <row r="10922" spans="9:13" x14ac:dyDescent="0.3">
      <c r="I10922" s="82"/>
      <c r="M10922" s="85"/>
    </row>
    <row r="10923" spans="9:13" x14ac:dyDescent="0.3">
      <c r="I10923" s="82"/>
      <c r="M10923" s="85"/>
    </row>
    <row r="10924" spans="9:13" x14ac:dyDescent="0.3">
      <c r="I10924" s="82"/>
      <c r="M10924" s="85"/>
    </row>
    <row r="10925" spans="9:13" x14ac:dyDescent="0.3">
      <c r="I10925" s="82"/>
      <c r="M10925" s="85"/>
    </row>
    <row r="10926" spans="9:13" x14ac:dyDescent="0.3">
      <c r="I10926" s="82"/>
      <c r="M10926" s="85"/>
    </row>
    <row r="10927" spans="9:13" x14ac:dyDescent="0.3">
      <c r="I10927" s="82"/>
      <c r="M10927" s="85"/>
    </row>
    <row r="10928" spans="9:13" x14ac:dyDescent="0.3">
      <c r="I10928" s="82"/>
      <c r="M10928" s="85"/>
    </row>
    <row r="10929" spans="9:13" x14ac:dyDescent="0.3">
      <c r="I10929" s="82"/>
      <c r="M10929" s="85"/>
    </row>
    <row r="10930" spans="9:13" x14ac:dyDescent="0.3">
      <c r="I10930" s="82"/>
      <c r="M10930" s="85"/>
    </row>
    <row r="10931" spans="9:13" x14ac:dyDescent="0.3">
      <c r="I10931" s="82"/>
      <c r="M10931" s="85"/>
    </row>
    <row r="10932" spans="9:13" x14ac:dyDescent="0.3">
      <c r="I10932" s="82"/>
      <c r="M10932" s="85"/>
    </row>
    <row r="10933" spans="9:13" x14ac:dyDescent="0.3">
      <c r="I10933" s="82"/>
      <c r="M10933" s="85"/>
    </row>
    <row r="10934" spans="9:13" x14ac:dyDescent="0.3">
      <c r="I10934" s="82"/>
      <c r="M10934" s="85"/>
    </row>
    <row r="10935" spans="9:13" x14ac:dyDescent="0.3">
      <c r="I10935" s="82"/>
      <c r="M10935" s="85"/>
    </row>
    <row r="10936" spans="9:13" x14ac:dyDescent="0.3">
      <c r="I10936" s="82"/>
      <c r="M10936" s="85"/>
    </row>
    <row r="10937" spans="9:13" x14ac:dyDescent="0.3">
      <c r="I10937" s="82"/>
      <c r="M10937" s="85"/>
    </row>
    <row r="10938" spans="9:13" x14ac:dyDescent="0.3">
      <c r="I10938" s="82"/>
      <c r="M10938" s="85"/>
    </row>
    <row r="10939" spans="9:13" x14ac:dyDescent="0.3">
      <c r="I10939" s="82"/>
      <c r="M10939" s="85"/>
    </row>
    <row r="10940" spans="9:13" x14ac:dyDescent="0.3">
      <c r="I10940" s="82"/>
      <c r="M10940" s="85"/>
    </row>
    <row r="10941" spans="9:13" x14ac:dyDescent="0.3">
      <c r="I10941" s="82"/>
      <c r="M10941" s="85"/>
    </row>
    <row r="10942" spans="9:13" x14ac:dyDescent="0.3">
      <c r="I10942" s="82"/>
      <c r="M10942" s="85"/>
    </row>
    <row r="10943" spans="9:13" x14ac:dyDescent="0.3">
      <c r="I10943" s="82"/>
      <c r="M10943" s="85"/>
    </row>
    <row r="10944" spans="9:13" x14ac:dyDescent="0.3">
      <c r="I10944" s="82"/>
      <c r="M10944" s="85"/>
    </row>
    <row r="10945" spans="9:13" x14ac:dyDescent="0.3">
      <c r="I10945" s="82"/>
      <c r="M10945" s="85"/>
    </row>
    <row r="10946" spans="9:13" x14ac:dyDescent="0.3">
      <c r="I10946" s="82"/>
      <c r="M10946" s="85"/>
    </row>
    <row r="10947" spans="9:13" x14ac:dyDescent="0.3">
      <c r="I10947" s="82"/>
      <c r="M10947" s="85"/>
    </row>
    <row r="10948" spans="9:13" x14ac:dyDescent="0.3">
      <c r="I10948" s="82"/>
      <c r="M10948" s="85"/>
    </row>
    <row r="10949" spans="9:13" x14ac:dyDescent="0.3">
      <c r="I10949" s="82"/>
      <c r="M10949" s="85"/>
    </row>
    <row r="10950" spans="9:13" x14ac:dyDescent="0.3">
      <c r="I10950" s="82"/>
      <c r="M10950" s="85"/>
    </row>
    <row r="10951" spans="9:13" x14ac:dyDescent="0.3">
      <c r="I10951" s="82"/>
      <c r="M10951" s="85"/>
    </row>
    <row r="10952" spans="9:13" x14ac:dyDescent="0.3">
      <c r="I10952" s="82"/>
      <c r="M10952" s="85"/>
    </row>
    <row r="10953" spans="9:13" x14ac:dyDescent="0.3">
      <c r="I10953" s="82"/>
      <c r="M10953" s="85"/>
    </row>
    <row r="10954" spans="9:13" x14ac:dyDescent="0.3">
      <c r="I10954" s="82"/>
      <c r="M10954" s="85"/>
    </row>
    <row r="10955" spans="9:13" x14ac:dyDescent="0.3">
      <c r="I10955" s="82"/>
      <c r="M10955" s="85"/>
    </row>
    <row r="10956" spans="9:13" x14ac:dyDescent="0.3">
      <c r="I10956" s="82"/>
      <c r="M10956" s="85"/>
    </row>
    <row r="10957" spans="9:13" x14ac:dyDescent="0.3">
      <c r="I10957" s="82"/>
      <c r="M10957" s="85"/>
    </row>
    <row r="10958" spans="9:13" x14ac:dyDescent="0.3">
      <c r="I10958" s="82"/>
      <c r="M10958" s="85"/>
    </row>
    <row r="10959" spans="9:13" x14ac:dyDescent="0.3">
      <c r="I10959" s="82"/>
      <c r="M10959" s="85"/>
    </row>
    <row r="10960" spans="9:13" x14ac:dyDescent="0.3">
      <c r="I10960" s="82"/>
      <c r="M10960" s="85"/>
    </row>
    <row r="10961" spans="9:13" x14ac:dyDescent="0.3">
      <c r="I10961" s="82"/>
      <c r="M10961" s="85"/>
    </row>
    <row r="10962" spans="9:13" x14ac:dyDescent="0.3">
      <c r="I10962" s="82"/>
      <c r="M10962" s="85"/>
    </row>
    <row r="10963" spans="9:13" x14ac:dyDescent="0.3">
      <c r="I10963" s="82"/>
      <c r="M10963" s="85"/>
    </row>
    <row r="10964" spans="9:13" x14ac:dyDescent="0.3">
      <c r="I10964" s="82"/>
      <c r="M10964" s="85"/>
    </row>
    <row r="10965" spans="9:13" x14ac:dyDescent="0.3">
      <c r="I10965" s="82"/>
      <c r="M10965" s="85"/>
    </row>
    <row r="10966" spans="9:13" x14ac:dyDescent="0.3">
      <c r="I10966" s="82"/>
      <c r="M10966" s="85"/>
    </row>
    <row r="10967" spans="9:13" x14ac:dyDescent="0.3">
      <c r="I10967" s="82"/>
      <c r="M10967" s="85"/>
    </row>
    <row r="10968" spans="9:13" x14ac:dyDescent="0.3">
      <c r="I10968" s="82"/>
      <c r="M10968" s="85"/>
    </row>
    <row r="10969" spans="9:13" x14ac:dyDescent="0.3">
      <c r="I10969" s="82"/>
      <c r="M10969" s="85"/>
    </row>
    <row r="10970" spans="9:13" x14ac:dyDescent="0.3">
      <c r="I10970" s="82"/>
      <c r="M10970" s="85"/>
    </row>
    <row r="10971" spans="9:13" x14ac:dyDescent="0.3">
      <c r="I10971" s="82"/>
      <c r="M10971" s="85"/>
    </row>
    <row r="10972" spans="9:13" x14ac:dyDescent="0.3">
      <c r="I10972" s="82"/>
      <c r="M10972" s="85"/>
    </row>
    <row r="10973" spans="9:13" x14ac:dyDescent="0.3">
      <c r="I10973" s="82"/>
      <c r="M10973" s="85"/>
    </row>
    <row r="10974" spans="9:13" x14ac:dyDescent="0.3">
      <c r="I10974" s="82"/>
      <c r="M10974" s="85"/>
    </row>
    <row r="10975" spans="9:13" x14ac:dyDescent="0.3">
      <c r="I10975" s="82"/>
      <c r="M10975" s="85"/>
    </row>
    <row r="10976" spans="9:13" x14ac:dyDescent="0.3">
      <c r="I10976" s="82"/>
      <c r="M10976" s="85"/>
    </row>
    <row r="10977" spans="9:13" x14ac:dyDescent="0.3">
      <c r="I10977" s="82"/>
      <c r="M10977" s="85"/>
    </row>
    <row r="10978" spans="9:13" x14ac:dyDescent="0.3">
      <c r="I10978" s="82"/>
      <c r="M10978" s="85"/>
    </row>
    <row r="10979" spans="9:13" x14ac:dyDescent="0.3">
      <c r="I10979" s="82"/>
      <c r="M10979" s="85"/>
    </row>
    <row r="10980" spans="9:13" x14ac:dyDescent="0.3">
      <c r="I10980" s="82"/>
      <c r="M10980" s="85"/>
    </row>
    <row r="10981" spans="9:13" x14ac:dyDescent="0.3">
      <c r="I10981" s="82"/>
      <c r="M10981" s="85"/>
    </row>
    <row r="10982" spans="9:13" x14ac:dyDescent="0.3">
      <c r="I10982" s="82"/>
      <c r="M10982" s="85"/>
    </row>
    <row r="10983" spans="9:13" x14ac:dyDescent="0.3">
      <c r="I10983" s="82"/>
      <c r="M10983" s="85"/>
    </row>
    <row r="10984" spans="9:13" x14ac:dyDescent="0.3">
      <c r="I10984" s="82"/>
      <c r="M10984" s="85"/>
    </row>
    <row r="10985" spans="9:13" x14ac:dyDescent="0.3">
      <c r="I10985" s="82"/>
      <c r="M10985" s="85"/>
    </row>
    <row r="10986" spans="9:13" x14ac:dyDescent="0.3">
      <c r="I10986" s="82"/>
      <c r="M10986" s="85"/>
    </row>
    <row r="10987" spans="9:13" x14ac:dyDescent="0.3">
      <c r="I10987" s="82"/>
      <c r="M10987" s="85"/>
    </row>
    <row r="10988" spans="9:13" x14ac:dyDescent="0.3">
      <c r="I10988" s="82"/>
      <c r="M10988" s="85"/>
    </row>
    <row r="10989" spans="9:13" x14ac:dyDescent="0.3">
      <c r="I10989" s="82"/>
      <c r="M10989" s="85"/>
    </row>
    <row r="10990" spans="9:13" x14ac:dyDescent="0.3">
      <c r="I10990" s="82"/>
      <c r="M10990" s="85"/>
    </row>
    <row r="10991" spans="9:13" x14ac:dyDescent="0.3">
      <c r="I10991" s="82"/>
      <c r="M10991" s="85"/>
    </row>
    <row r="10992" spans="9:13" x14ac:dyDescent="0.3">
      <c r="I10992" s="82"/>
      <c r="M10992" s="85"/>
    </row>
    <row r="10993" spans="9:13" x14ac:dyDescent="0.3">
      <c r="I10993" s="82"/>
      <c r="M10993" s="85"/>
    </row>
    <row r="10994" spans="9:13" x14ac:dyDescent="0.3">
      <c r="I10994" s="82"/>
      <c r="M10994" s="85"/>
    </row>
    <row r="10995" spans="9:13" x14ac:dyDescent="0.3">
      <c r="I10995" s="82"/>
      <c r="M10995" s="85"/>
    </row>
    <row r="10996" spans="9:13" x14ac:dyDescent="0.3">
      <c r="I10996" s="82"/>
      <c r="M10996" s="85"/>
    </row>
    <row r="10997" spans="9:13" x14ac:dyDescent="0.3">
      <c r="I10997" s="82"/>
      <c r="M10997" s="85"/>
    </row>
    <row r="10998" spans="9:13" x14ac:dyDescent="0.3">
      <c r="I10998" s="82"/>
      <c r="M10998" s="85"/>
    </row>
    <row r="10999" spans="9:13" x14ac:dyDescent="0.3">
      <c r="I10999" s="82"/>
      <c r="M10999" s="85"/>
    </row>
    <row r="11000" spans="9:13" x14ac:dyDescent="0.3">
      <c r="I11000" s="82"/>
      <c r="M11000" s="85"/>
    </row>
    <row r="11001" spans="9:13" x14ac:dyDescent="0.3">
      <c r="I11001" s="82"/>
      <c r="M11001" s="85"/>
    </row>
    <row r="11002" spans="9:13" x14ac:dyDescent="0.3">
      <c r="I11002" s="82"/>
      <c r="M11002" s="85"/>
    </row>
    <row r="11003" spans="9:13" x14ac:dyDescent="0.3">
      <c r="I11003" s="82"/>
      <c r="M11003" s="85"/>
    </row>
    <row r="11004" spans="9:13" x14ac:dyDescent="0.3">
      <c r="I11004" s="82"/>
      <c r="M11004" s="85"/>
    </row>
    <row r="11005" spans="9:13" x14ac:dyDescent="0.3">
      <c r="I11005" s="82"/>
      <c r="M11005" s="85"/>
    </row>
    <row r="11006" spans="9:13" x14ac:dyDescent="0.3">
      <c r="I11006" s="82"/>
      <c r="M11006" s="85"/>
    </row>
    <row r="11007" spans="9:13" x14ac:dyDescent="0.3">
      <c r="I11007" s="82"/>
      <c r="M11007" s="85"/>
    </row>
    <row r="11008" spans="9:13" x14ac:dyDescent="0.3">
      <c r="I11008" s="82"/>
      <c r="M11008" s="85"/>
    </row>
    <row r="11009" spans="9:13" x14ac:dyDescent="0.3">
      <c r="I11009" s="82"/>
      <c r="M11009" s="85"/>
    </row>
    <row r="11010" spans="9:13" x14ac:dyDescent="0.3">
      <c r="I11010" s="82"/>
      <c r="M11010" s="85"/>
    </row>
    <row r="11011" spans="9:13" x14ac:dyDescent="0.3">
      <c r="I11011" s="82"/>
      <c r="M11011" s="85"/>
    </row>
    <row r="11012" spans="9:13" x14ac:dyDescent="0.3">
      <c r="I11012" s="82"/>
      <c r="M11012" s="85"/>
    </row>
    <row r="11013" spans="9:13" x14ac:dyDescent="0.3">
      <c r="I11013" s="82"/>
      <c r="M11013" s="85"/>
    </row>
    <row r="11014" spans="9:13" x14ac:dyDescent="0.3">
      <c r="I11014" s="82"/>
      <c r="M11014" s="85"/>
    </row>
    <row r="11015" spans="9:13" x14ac:dyDescent="0.3">
      <c r="I11015" s="82"/>
      <c r="M11015" s="85"/>
    </row>
    <row r="11016" spans="9:13" x14ac:dyDescent="0.3">
      <c r="I11016" s="82"/>
      <c r="M11016" s="85"/>
    </row>
    <row r="11017" spans="9:13" x14ac:dyDescent="0.3">
      <c r="I11017" s="82"/>
      <c r="M11017" s="85"/>
    </row>
    <row r="11018" spans="9:13" x14ac:dyDescent="0.3">
      <c r="I11018" s="82"/>
      <c r="M11018" s="85"/>
    </row>
    <row r="11019" spans="9:13" x14ac:dyDescent="0.3">
      <c r="I11019" s="82"/>
      <c r="M11019" s="85"/>
    </row>
    <row r="11020" spans="9:13" x14ac:dyDescent="0.3">
      <c r="I11020" s="82"/>
      <c r="M11020" s="85"/>
    </row>
    <row r="11021" spans="9:13" x14ac:dyDescent="0.3">
      <c r="I11021" s="82"/>
      <c r="M11021" s="85"/>
    </row>
    <row r="11022" spans="9:13" x14ac:dyDescent="0.3">
      <c r="I11022" s="82"/>
      <c r="M11022" s="85"/>
    </row>
    <row r="11023" spans="9:13" x14ac:dyDescent="0.3">
      <c r="I11023" s="82"/>
      <c r="M11023" s="85"/>
    </row>
    <row r="11024" spans="9:13" x14ac:dyDescent="0.3">
      <c r="I11024" s="82"/>
      <c r="M11024" s="85"/>
    </row>
    <row r="11025" spans="9:13" x14ac:dyDescent="0.3">
      <c r="I11025" s="82"/>
      <c r="M11025" s="85"/>
    </row>
    <row r="11026" spans="9:13" x14ac:dyDescent="0.3">
      <c r="I11026" s="82"/>
      <c r="M11026" s="85"/>
    </row>
    <row r="11027" spans="9:13" x14ac:dyDescent="0.3">
      <c r="I11027" s="82"/>
      <c r="M11027" s="85"/>
    </row>
    <row r="11028" spans="9:13" x14ac:dyDescent="0.3">
      <c r="I11028" s="82"/>
      <c r="M11028" s="85"/>
    </row>
    <row r="11029" spans="9:13" x14ac:dyDescent="0.3">
      <c r="I11029" s="82"/>
      <c r="M11029" s="85"/>
    </row>
    <row r="11030" spans="9:13" x14ac:dyDescent="0.3">
      <c r="I11030" s="82"/>
      <c r="M11030" s="85"/>
    </row>
    <row r="11031" spans="9:13" x14ac:dyDescent="0.3">
      <c r="I11031" s="82"/>
      <c r="M11031" s="85"/>
    </row>
    <row r="11032" spans="9:13" x14ac:dyDescent="0.3">
      <c r="I11032" s="82"/>
      <c r="M11032" s="85"/>
    </row>
    <row r="11033" spans="9:13" x14ac:dyDescent="0.3">
      <c r="I11033" s="82"/>
      <c r="M11033" s="85"/>
    </row>
    <row r="11034" spans="9:13" x14ac:dyDescent="0.3">
      <c r="I11034" s="82"/>
      <c r="M11034" s="85"/>
    </row>
    <row r="11035" spans="9:13" x14ac:dyDescent="0.3">
      <c r="I11035" s="82"/>
      <c r="M11035" s="85"/>
    </row>
    <row r="11036" spans="9:13" x14ac:dyDescent="0.3">
      <c r="I11036" s="82"/>
      <c r="M11036" s="85"/>
    </row>
    <row r="11037" spans="9:13" x14ac:dyDescent="0.3">
      <c r="I11037" s="82"/>
      <c r="M11037" s="85"/>
    </row>
    <row r="11038" spans="9:13" x14ac:dyDescent="0.3">
      <c r="I11038" s="82"/>
      <c r="M11038" s="85"/>
    </row>
    <row r="11039" spans="9:13" x14ac:dyDescent="0.3">
      <c r="I11039" s="82"/>
      <c r="M11039" s="85"/>
    </row>
    <row r="11040" spans="9:13" x14ac:dyDescent="0.3">
      <c r="I11040" s="82"/>
      <c r="M11040" s="85"/>
    </row>
    <row r="11041" spans="9:13" x14ac:dyDescent="0.3">
      <c r="I11041" s="82"/>
      <c r="M11041" s="85"/>
    </row>
    <row r="11042" spans="9:13" x14ac:dyDescent="0.3">
      <c r="I11042" s="82"/>
      <c r="M11042" s="85"/>
    </row>
    <row r="11043" spans="9:13" x14ac:dyDescent="0.3">
      <c r="I11043" s="82"/>
      <c r="M11043" s="85"/>
    </row>
    <row r="11044" spans="9:13" x14ac:dyDescent="0.3">
      <c r="I11044" s="82"/>
      <c r="M11044" s="85"/>
    </row>
    <row r="11045" spans="9:13" x14ac:dyDescent="0.3">
      <c r="I11045" s="82"/>
      <c r="M11045" s="85"/>
    </row>
    <row r="11046" spans="9:13" x14ac:dyDescent="0.3">
      <c r="I11046" s="82"/>
      <c r="M11046" s="85"/>
    </row>
    <row r="11047" spans="9:13" x14ac:dyDescent="0.3">
      <c r="I11047" s="82"/>
      <c r="M11047" s="85"/>
    </row>
    <row r="11048" spans="9:13" x14ac:dyDescent="0.3">
      <c r="I11048" s="82"/>
      <c r="M11048" s="85"/>
    </row>
    <row r="11049" spans="9:13" x14ac:dyDescent="0.3">
      <c r="I11049" s="82"/>
      <c r="M11049" s="85"/>
    </row>
    <row r="11050" spans="9:13" x14ac:dyDescent="0.3">
      <c r="I11050" s="82"/>
      <c r="M11050" s="85"/>
    </row>
    <row r="11051" spans="9:13" x14ac:dyDescent="0.3">
      <c r="I11051" s="82"/>
      <c r="M11051" s="85"/>
    </row>
    <row r="11052" spans="9:13" x14ac:dyDescent="0.3">
      <c r="I11052" s="82"/>
      <c r="M11052" s="85"/>
    </row>
    <row r="11053" spans="9:13" x14ac:dyDescent="0.3">
      <c r="I11053" s="82"/>
      <c r="M11053" s="85"/>
    </row>
    <row r="11054" spans="9:13" x14ac:dyDescent="0.3">
      <c r="I11054" s="82"/>
      <c r="M11054" s="85"/>
    </row>
    <row r="11055" spans="9:13" x14ac:dyDescent="0.3">
      <c r="I11055" s="82"/>
      <c r="M11055" s="85"/>
    </row>
    <row r="11056" spans="9:13" x14ac:dyDescent="0.3">
      <c r="I11056" s="82"/>
      <c r="M11056" s="85"/>
    </row>
    <row r="11057" spans="9:13" x14ac:dyDescent="0.3">
      <c r="I11057" s="82"/>
      <c r="M11057" s="85"/>
    </row>
    <row r="11058" spans="9:13" x14ac:dyDescent="0.3">
      <c r="I11058" s="82"/>
      <c r="M11058" s="85"/>
    </row>
    <row r="11059" spans="9:13" x14ac:dyDescent="0.3">
      <c r="I11059" s="82"/>
      <c r="M11059" s="85"/>
    </row>
    <row r="11060" spans="9:13" x14ac:dyDescent="0.3">
      <c r="I11060" s="82"/>
      <c r="M11060" s="85"/>
    </row>
    <row r="11061" spans="9:13" x14ac:dyDescent="0.3">
      <c r="I11061" s="82"/>
      <c r="M11061" s="85"/>
    </row>
    <row r="11062" spans="9:13" x14ac:dyDescent="0.3">
      <c r="I11062" s="82"/>
      <c r="M11062" s="85"/>
    </row>
    <row r="11063" spans="9:13" x14ac:dyDescent="0.3">
      <c r="I11063" s="82"/>
      <c r="M11063" s="85"/>
    </row>
    <row r="11064" spans="9:13" x14ac:dyDescent="0.3">
      <c r="I11064" s="82"/>
      <c r="M11064" s="85"/>
    </row>
    <row r="11065" spans="9:13" x14ac:dyDescent="0.3">
      <c r="I11065" s="82"/>
      <c r="M11065" s="85"/>
    </row>
    <row r="11066" spans="9:13" x14ac:dyDescent="0.3">
      <c r="I11066" s="82"/>
      <c r="M11066" s="85"/>
    </row>
    <row r="11067" spans="9:13" x14ac:dyDescent="0.3">
      <c r="I11067" s="82"/>
      <c r="M11067" s="85"/>
    </row>
    <row r="11068" spans="9:13" x14ac:dyDescent="0.3">
      <c r="I11068" s="82"/>
      <c r="M11068" s="85"/>
    </row>
    <row r="11069" spans="9:13" x14ac:dyDescent="0.3">
      <c r="I11069" s="82"/>
      <c r="M11069" s="85"/>
    </row>
    <row r="11070" spans="9:13" x14ac:dyDescent="0.3">
      <c r="I11070" s="82"/>
      <c r="M11070" s="85"/>
    </row>
    <row r="11071" spans="9:13" x14ac:dyDescent="0.3">
      <c r="I11071" s="82"/>
      <c r="M11071" s="85"/>
    </row>
    <row r="11072" spans="9:13" x14ac:dyDescent="0.3">
      <c r="I11072" s="82"/>
      <c r="M11072" s="85"/>
    </row>
    <row r="11073" spans="9:13" x14ac:dyDescent="0.3">
      <c r="I11073" s="82"/>
      <c r="M11073" s="85"/>
    </row>
    <row r="11074" spans="9:13" x14ac:dyDescent="0.3">
      <c r="I11074" s="82"/>
      <c r="M11074" s="85"/>
    </row>
    <row r="11075" spans="9:13" x14ac:dyDescent="0.3">
      <c r="I11075" s="82"/>
      <c r="M11075" s="85"/>
    </row>
    <row r="11076" spans="9:13" x14ac:dyDescent="0.3">
      <c r="I11076" s="82"/>
      <c r="M11076" s="85"/>
    </row>
    <row r="11077" spans="9:13" x14ac:dyDescent="0.3">
      <c r="I11077" s="82"/>
      <c r="M11077" s="85"/>
    </row>
    <row r="11078" spans="9:13" x14ac:dyDescent="0.3">
      <c r="I11078" s="82"/>
      <c r="M11078" s="85"/>
    </row>
    <row r="11079" spans="9:13" x14ac:dyDescent="0.3">
      <c r="I11079" s="82"/>
      <c r="M11079" s="85"/>
    </row>
    <row r="11080" spans="9:13" x14ac:dyDescent="0.3">
      <c r="I11080" s="82"/>
      <c r="M11080" s="85"/>
    </row>
    <row r="11081" spans="9:13" x14ac:dyDescent="0.3">
      <c r="I11081" s="82"/>
      <c r="M11081" s="85"/>
    </row>
    <row r="11082" spans="9:13" x14ac:dyDescent="0.3">
      <c r="I11082" s="82"/>
      <c r="M11082" s="85"/>
    </row>
    <row r="11083" spans="9:13" x14ac:dyDescent="0.3">
      <c r="I11083" s="82"/>
      <c r="M11083" s="85"/>
    </row>
    <row r="11084" spans="9:13" x14ac:dyDescent="0.3">
      <c r="I11084" s="82"/>
      <c r="M11084" s="85"/>
    </row>
    <row r="11085" spans="9:13" x14ac:dyDescent="0.3">
      <c r="I11085" s="82"/>
      <c r="M11085" s="85"/>
    </row>
    <row r="11086" spans="9:13" x14ac:dyDescent="0.3">
      <c r="I11086" s="82"/>
      <c r="M11086" s="85"/>
    </row>
    <row r="11087" spans="9:13" x14ac:dyDescent="0.3">
      <c r="I11087" s="82"/>
      <c r="M11087" s="85"/>
    </row>
    <row r="11088" spans="9:13" x14ac:dyDescent="0.3">
      <c r="I11088" s="82"/>
      <c r="M11088" s="85"/>
    </row>
    <row r="11089" spans="9:13" x14ac:dyDescent="0.3">
      <c r="I11089" s="82"/>
      <c r="M11089" s="85"/>
    </row>
    <row r="11090" spans="9:13" x14ac:dyDescent="0.3">
      <c r="I11090" s="82"/>
      <c r="M11090" s="85"/>
    </row>
    <row r="11091" spans="9:13" x14ac:dyDescent="0.3">
      <c r="I11091" s="82"/>
      <c r="M11091" s="85"/>
    </row>
    <row r="11092" spans="9:13" x14ac:dyDescent="0.3">
      <c r="I11092" s="82"/>
      <c r="M11092" s="85"/>
    </row>
    <row r="11093" spans="9:13" x14ac:dyDescent="0.3">
      <c r="I11093" s="82"/>
      <c r="M11093" s="85"/>
    </row>
    <row r="11094" spans="9:13" x14ac:dyDescent="0.3">
      <c r="I11094" s="82"/>
      <c r="M11094" s="85"/>
    </row>
    <row r="11095" spans="9:13" x14ac:dyDescent="0.3">
      <c r="I11095" s="82"/>
      <c r="M11095" s="85"/>
    </row>
    <row r="11096" spans="9:13" x14ac:dyDescent="0.3">
      <c r="I11096" s="82"/>
      <c r="M11096" s="85"/>
    </row>
    <row r="11097" spans="9:13" x14ac:dyDescent="0.3">
      <c r="I11097" s="82"/>
      <c r="M11097" s="85"/>
    </row>
    <row r="11098" spans="9:13" x14ac:dyDescent="0.3">
      <c r="I11098" s="82"/>
      <c r="M11098" s="85"/>
    </row>
    <row r="11099" spans="9:13" x14ac:dyDescent="0.3">
      <c r="I11099" s="82"/>
      <c r="M11099" s="85"/>
    </row>
    <row r="11100" spans="9:13" x14ac:dyDescent="0.3">
      <c r="I11100" s="82"/>
      <c r="M11100" s="85"/>
    </row>
    <row r="11101" spans="9:13" x14ac:dyDescent="0.3">
      <c r="I11101" s="82"/>
      <c r="M11101" s="85"/>
    </row>
    <row r="11102" spans="9:13" x14ac:dyDescent="0.3">
      <c r="I11102" s="82"/>
      <c r="M11102" s="85"/>
    </row>
    <row r="11103" spans="9:13" x14ac:dyDescent="0.3">
      <c r="I11103" s="82"/>
      <c r="M11103" s="85"/>
    </row>
    <row r="11104" spans="9:13" x14ac:dyDescent="0.3">
      <c r="I11104" s="82"/>
      <c r="M11104" s="85"/>
    </row>
    <row r="11105" spans="9:13" x14ac:dyDescent="0.3">
      <c r="I11105" s="82"/>
      <c r="M11105" s="85"/>
    </row>
    <row r="11106" spans="9:13" x14ac:dyDescent="0.3">
      <c r="I11106" s="82"/>
      <c r="M11106" s="85"/>
    </row>
    <row r="11107" spans="9:13" x14ac:dyDescent="0.3">
      <c r="I11107" s="82"/>
      <c r="M11107" s="85"/>
    </row>
    <row r="11108" spans="9:13" x14ac:dyDescent="0.3">
      <c r="I11108" s="82"/>
      <c r="M11108" s="85"/>
    </row>
    <row r="11109" spans="9:13" x14ac:dyDescent="0.3">
      <c r="I11109" s="82"/>
      <c r="M11109" s="85"/>
    </row>
    <row r="11110" spans="9:13" x14ac:dyDescent="0.3">
      <c r="I11110" s="82"/>
      <c r="M11110" s="85"/>
    </row>
    <row r="11111" spans="9:13" x14ac:dyDescent="0.3">
      <c r="I11111" s="82"/>
      <c r="M11111" s="85"/>
    </row>
    <row r="11112" spans="9:13" x14ac:dyDescent="0.3">
      <c r="I11112" s="82"/>
      <c r="M11112" s="85"/>
    </row>
    <row r="11113" spans="9:13" x14ac:dyDescent="0.3">
      <c r="I11113" s="82"/>
      <c r="M11113" s="85"/>
    </row>
    <row r="11114" spans="9:13" x14ac:dyDescent="0.3">
      <c r="I11114" s="82"/>
      <c r="M11114" s="85"/>
    </row>
    <row r="11115" spans="9:13" x14ac:dyDescent="0.3">
      <c r="I11115" s="82"/>
      <c r="M11115" s="85"/>
    </row>
    <row r="11116" spans="9:13" x14ac:dyDescent="0.3">
      <c r="I11116" s="82"/>
      <c r="M11116" s="85"/>
    </row>
    <row r="11117" spans="9:13" x14ac:dyDescent="0.3">
      <c r="I11117" s="82"/>
      <c r="M11117" s="85"/>
    </row>
    <row r="11118" spans="9:13" x14ac:dyDescent="0.3">
      <c r="I11118" s="82"/>
      <c r="M11118" s="85"/>
    </row>
    <row r="11119" spans="9:13" x14ac:dyDescent="0.3">
      <c r="I11119" s="82"/>
      <c r="M11119" s="85"/>
    </row>
    <row r="11120" spans="9:13" x14ac:dyDescent="0.3">
      <c r="I11120" s="82"/>
      <c r="M11120" s="85"/>
    </row>
    <row r="11121" spans="9:13" x14ac:dyDescent="0.3">
      <c r="I11121" s="82"/>
      <c r="M11121" s="85"/>
    </row>
    <row r="11122" spans="9:13" x14ac:dyDescent="0.3">
      <c r="I11122" s="82"/>
      <c r="M11122" s="85"/>
    </row>
    <row r="11123" spans="9:13" x14ac:dyDescent="0.3">
      <c r="I11123" s="82"/>
      <c r="M11123" s="85"/>
    </row>
    <row r="11124" spans="9:13" x14ac:dyDescent="0.3">
      <c r="I11124" s="82"/>
      <c r="M11124" s="85"/>
    </row>
    <row r="11125" spans="9:13" x14ac:dyDescent="0.3">
      <c r="I11125" s="82"/>
      <c r="M11125" s="85"/>
    </row>
    <row r="11126" spans="9:13" x14ac:dyDescent="0.3">
      <c r="I11126" s="82"/>
      <c r="M11126" s="85"/>
    </row>
    <row r="11127" spans="9:13" x14ac:dyDescent="0.3">
      <c r="I11127" s="82"/>
      <c r="M11127" s="85"/>
    </row>
    <row r="11128" spans="9:13" x14ac:dyDescent="0.3">
      <c r="I11128" s="82"/>
      <c r="M11128" s="85"/>
    </row>
    <row r="11129" spans="9:13" x14ac:dyDescent="0.3">
      <c r="I11129" s="82"/>
      <c r="M11129" s="85"/>
    </row>
    <row r="11130" spans="9:13" x14ac:dyDescent="0.3">
      <c r="I11130" s="82"/>
      <c r="M11130" s="85"/>
    </row>
    <row r="11131" spans="9:13" x14ac:dyDescent="0.3">
      <c r="I11131" s="82"/>
      <c r="M11131" s="85"/>
    </row>
    <row r="11132" spans="9:13" x14ac:dyDescent="0.3">
      <c r="I11132" s="82"/>
      <c r="M11132" s="85"/>
    </row>
    <row r="11133" spans="9:13" x14ac:dyDescent="0.3">
      <c r="I11133" s="82"/>
      <c r="M11133" s="85"/>
    </row>
    <row r="11134" spans="9:13" x14ac:dyDescent="0.3">
      <c r="I11134" s="82"/>
      <c r="M11134" s="85"/>
    </row>
    <row r="11135" spans="9:13" x14ac:dyDescent="0.3">
      <c r="I11135" s="82"/>
      <c r="M11135" s="85"/>
    </row>
    <row r="11136" spans="9:13" x14ac:dyDescent="0.3">
      <c r="I11136" s="82"/>
      <c r="M11136" s="85"/>
    </row>
    <row r="11137" spans="9:13" x14ac:dyDescent="0.3">
      <c r="I11137" s="82"/>
      <c r="M11137" s="85"/>
    </row>
    <row r="11138" spans="9:13" x14ac:dyDescent="0.3">
      <c r="I11138" s="82"/>
      <c r="M11138" s="85"/>
    </row>
    <row r="11139" spans="9:13" x14ac:dyDescent="0.3">
      <c r="I11139" s="82"/>
      <c r="M11139" s="85"/>
    </row>
    <row r="11140" spans="9:13" x14ac:dyDescent="0.3">
      <c r="I11140" s="82"/>
      <c r="M11140" s="85"/>
    </row>
    <row r="11141" spans="9:13" x14ac:dyDescent="0.3">
      <c r="I11141" s="82"/>
      <c r="M11141" s="85"/>
    </row>
    <row r="11142" spans="9:13" x14ac:dyDescent="0.3">
      <c r="I11142" s="82"/>
      <c r="M11142" s="85"/>
    </row>
    <row r="11143" spans="9:13" x14ac:dyDescent="0.3">
      <c r="I11143" s="82"/>
      <c r="M11143" s="85"/>
    </row>
    <row r="11144" spans="9:13" x14ac:dyDescent="0.3">
      <c r="I11144" s="82"/>
      <c r="M11144" s="85"/>
    </row>
    <row r="11145" spans="9:13" x14ac:dyDescent="0.3">
      <c r="I11145" s="82"/>
      <c r="M11145" s="85"/>
    </row>
    <row r="11146" spans="9:13" x14ac:dyDescent="0.3">
      <c r="I11146" s="82"/>
      <c r="M11146" s="85"/>
    </row>
    <row r="11147" spans="9:13" x14ac:dyDescent="0.3">
      <c r="I11147" s="82"/>
      <c r="M11147" s="85"/>
    </row>
    <row r="11148" spans="9:13" x14ac:dyDescent="0.3">
      <c r="I11148" s="82"/>
      <c r="M11148" s="85"/>
    </row>
    <row r="11149" spans="9:13" x14ac:dyDescent="0.3">
      <c r="I11149" s="82"/>
      <c r="M11149" s="85"/>
    </row>
    <row r="11150" spans="9:13" x14ac:dyDescent="0.3">
      <c r="I11150" s="82"/>
      <c r="M11150" s="85"/>
    </row>
    <row r="11151" spans="9:13" x14ac:dyDescent="0.3">
      <c r="I11151" s="82"/>
      <c r="M11151" s="85"/>
    </row>
    <row r="11152" spans="9:13" x14ac:dyDescent="0.3">
      <c r="I11152" s="82"/>
      <c r="M11152" s="85"/>
    </row>
    <row r="11153" spans="9:13" x14ac:dyDescent="0.3">
      <c r="I11153" s="82"/>
      <c r="M11153" s="85"/>
    </row>
    <row r="11154" spans="9:13" x14ac:dyDescent="0.3">
      <c r="I11154" s="82"/>
      <c r="M11154" s="85"/>
    </row>
    <row r="11155" spans="9:13" x14ac:dyDescent="0.3">
      <c r="I11155" s="82"/>
      <c r="M11155" s="85"/>
    </row>
    <row r="11156" spans="9:13" x14ac:dyDescent="0.3">
      <c r="I11156" s="82"/>
      <c r="M11156" s="85"/>
    </row>
    <row r="11157" spans="9:13" x14ac:dyDescent="0.3">
      <c r="I11157" s="82"/>
      <c r="M11157" s="85"/>
    </row>
    <row r="11158" spans="9:13" x14ac:dyDescent="0.3">
      <c r="I11158" s="82"/>
      <c r="M11158" s="85"/>
    </row>
    <row r="11159" spans="9:13" x14ac:dyDescent="0.3">
      <c r="I11159" s="82"/>
      <c r="M11159" s="85"/>
    </row>
    <row r="11160" spans="9:13" x14ac:dyDescent="0.3">
      <c r="I11160" s="82"/>
      <c r="M11160" s="85"/>
    </row>
    <row r="11161" spans="9:13" x14ac:dyDescent="0.3">
      <c r="I11161" s="82"/>
      <c r="M11161" s="85"/>
    </row>
    <row r="11162" spans="9:13" x14ac:dyDescent="0.3">
      <c r="I11162" s="82"/>
      <c r="M11162" s="85"/>
    </row>
    <row r="11163" spans="9:13" x14ac:dyDescent="0.3">
      <c r="I11163" s="82"/>
      <c r="M11163" s="85"/>
    </row>
    <row r="11164" spans="9:13" x14ac:dyDescent="0.3">
      <c r="I11164" s="82"/>
      <c r="M11164" s="85"/>
    </row>
    <row r="11165" spans="9:13" x14ac:dyDescent="0.3">
      <c r="I11165" s="82"/>
      <c r="M11165" s="85"/>
    </row>
    <row r="11166" spans="9:13" x14ac:dyDescent="0.3">
      <c r="I11166" s="82"/>
      <c r="M11166" s="85"/>
    </row>
    <row r="11167" spans="9:13" x14ac:dyDescent="0.3">
      <c r="I11167" s="82"/>
      <c r="M11167" s="85"/>
    </row>
    <row r="11168" spans="9:13" x14ac:dyDescent="0.3">
      <c r="I11168" s="82"/>
      <c r="M11168" s="85"/>
    </row>
    <row r="11169" spans="9:13" x14ac:dyDescent="0.3">
      <c r="I11169" s="82"/>
      <c r="M11169" s="85"/>
    </row>
    <row r="11170" spans="9:13" x14ac:dyDescent="0.3">
      <c r="I11170" s="82"/>
      <c r="M11170" s="85"/>
    </row>
    <row r="11171" spans="9:13" x14ac:dyDescent="0.3">
      <c r="I11171" s="82"/>
      <c r="M11171" s="85"/>
    </row>
    <row r="11172" spans="9:13" x14ac:dyDescent="0.3">
      <c r="I11172" s="82"/>
      <c r="M11172" s="85"/>
    </row>
    <row r="11173" spans="9:13" x14ac:dyDescent="0.3">
      <c r="I11173" s="82"/>
      <c r="M11173" s="85"/>
    </row>
    <row r="11174" spans="9:13" x14ac:dyDescent="0.3">
      <c r="I11174" s="82"/>
      <c r="M11174" s="85"/>
    </row>
    <row r="11175" spans="9:13" x14ac:dyDescent="0.3">
      <c r="I11175" s="82"/>
      <c r="M11175" s="85"/>
    </row>
    <row r="11176" spans="9:13" x14ac:dyDescent="0.3">
      <c r="I11176" s="82"/>
      <c r="M11176" s="85"/>
    </row>
    <row r="11177" spans="9:13" x14ac:dyDescent="0.3">
      <c r="I11177" s="82"/>
      <c r="M11177" s="85"/>
    </row>
    <row r="11178" spans="9:13" x14ac:dyDescent="0.3">
      <c r="I11178" s="82"/>
      <c r="M11178" s="85"/>
    </row>
    <row r="11179" spans="9:13" x14ac:dyDescent="0.3">
      <c r="I11179" s="82"/>
      <c r="M11179" s="85"/>
    </row>
    <row r="11180" spans="9:13" x14ac:dyDescent="0.3">
      <c r="I11180" s="82"/>
      <c r="M11180" s="85"/>
    </row>
    <row r="11181" spans="9:13" x14ac:dyDescent="0.3">
      <c r="I11181" s="82"/>
      <c r="M11181" s="85"/>
    </row>
    <row r="11182" spans="9:13" x14ac:dyDescent="0.3">
      <c r="I11182" s="82"/>
      <c r="M11182" s="85"/>
    </row>
    <row r="11183" spans="9:13" x14ac:dyDescent="0.3">
      <c r="I11183" s="82"/>
      <c r="M11183" s="85"/>
    </row>
    <row r="11184" spans="9:13" x14ac:dyDescent="0.3">
      <c r="I11184" s="82"/>
      <c r="M11184" s="85"/>
    </row>
    <row r="11185" spans="9:13" x14ac:dyDescent="0.3">
      <c r="I11185" s="82"/>
      <c r="M11185" s="85"/>
    </row>
    <row r="11186" spans="9:13" x14ac:dyDescent="0.3">
      <c r="I11186" s="82"/>
      <c r="M11186" s="85"/>
    </row>
    <row r="11187" spans="9:13" x14ac:dyDescent="0.3">
      <c r="I11187" s="82"/>
      <c r="M11187" s="85"/>
    </row>
    <row r="11188" spans="9:13" x14ac:dyDescent="0.3">
      <c r="I11188" s="82"/>
      <c r="M11188" s="85"/>
    </row>
    <row r="11189" spans="9:13" x14ac:dyDescent="0.3">
      <c r="I11189" s="82"/>
      <c r="M11189" s="85"/>
    </row>
    <row r="11190" spans="9:13" x14ac:dyDescent="0.3">
      <c r="I11190" s="82"/>
      <c r="M11190" s="85"/>
    </row>
    <row r="11191" spans="9:13" x14ac:dyDescent="0.3">
      <c r="I11191" s="82"/>
      <c r="M11191" s="85"/>
    </row>
    <row r="11192" spans="9:13" x14ac:dyDescent="0.3">
      <c r="I11192" s="82"/>
      <c r="M11192" s="85"/>
    </row>
    <row r="11193" spans="9:13" x14ac:dyDescent="0.3">
      <c r="I11193" s="82"/>
      <c r="M11193" s="85"/>
    </row>
    <row r="11194" spans="9:13" x14ac:dyDescent="0.3">
      <c r="I11194" s="82"/>
      <c r="M11194" s="85"/>
    </row>
    <row r="11195" spans="9:13" x14ac:dyDescent="0.3">
      <c r="I11195" s="82"/>
      <c r="M11195" s="85"/>
    </row>
    <row r="11196" spans="9:13" x14ac:dyDescent="0.3">
      <c r="I11196" s="82"/>
      <c r="M11196" s="85"/>
    </row>
    <row r="11197" spans="9:13" x14ac:dyDescent="0.3">
      <c r="I11197" s="82"/>
      <c r="M11197" s="85"/>
    </row>
    <row r="11198" spans="9:13" x14ac:dyDescent="0.3">
      <c r="I11198" s="82"/>
      <c r="M11198" s="85"/>
    </row>
    <row r="11199" spans="9:13" x14ac:dyDescent="0.3">
      <c r="I11199" s="82"/>
      <c r="M11199" s="85"/>
    </row>
    <row r="11200" spans="9:13" x14ac:dyDescent="0.3">
      <c r="I11200" s="82"/>
      <c r="M11200" s="85"/>
    </row>
    <row r="11201" spans="9:13" x14ac:dyDescent="0.3">
      <c r="I11201" s="82"/>
      <c r="M11201" s="85"/>
    </row>
    <row r="11202" spans="9:13" x14ac:dyDescent="0.3">
      <c r="I11202" s="82"/>
      <c r="M11202" s="85"/>
    </row>
    <row r="11203" spans="9:13" x14ac:dyDescent="0.3">
      <c r="I11203" s="82"/>
      <c r="M11203" s="85"/>
    </row>
    <row r="11204" spans="9:13" x14ac:dyDescent="0.3">
      <c r="I11204" s="82"/>
      <c r="M11204" s="85"/>
    </row>
    <row r="11205" spans="9:13" x14ac:dyDescent="0.3">
      <c r="I11205" s="82"/>
      <c r="M11205" s="85"/>
    </row>
    <row r="11206" spans="9:13" x14ac:dyDescent="0.3">
      <c r="I11206" s="82"/>
      <c r="M11206" s="85"/>
    </row>
    <row r="11207" spans="9:13" x14ac:dyDescent="0.3">
      <c r="I11207" s="82"/>
      <c r="M11207" s="85"/>
    </row>
    <row r="11208" spans="9:13" x14ac:dyDescent="0.3">
      <c r="I11208" s="82"/>
      <c r="M11208" s="85"/>
    </row>
    <row r="11209" spans="9:13" x14ac:dyDescent="0.3">
      <c r="I11209" s="82"/>
      <c r="M11209" s="85"/>
    </row>
    <row r="11210" spans="9:13" x14ac:dyDescent="0.3">
      <c r="I11210" s="82"/>
      <c r="M11210" s="85"/>
    </row>
    <row r="11211" spans="9:13" x14ac:dyDescent="0.3">
      <c r="I11211" s="82"/>
      <c r="M11211" s="85"/>
    </row>
    <row r="11212" spans="9:13" x14ac:dyDescent="0.3">
      <c r="I11212" s="82"/>
      <c r="M11212" s="85"/>
    </row>
    <row r="11213" spans="9:13" x14ac:dyDescent="0.3">
      <c r="I11213" s="82"/>
      <c r="M11213" s="85"/>
    </row>
    <row r="11214" spans="9:13" x14ac:dyDescent="0.3">
      <c r="I11214" s="82"/>
      <c r="M11214" s="85"/>
    </row>
    <row r="11215" spans="9:13" x14ac:dyDescent="0.3">
      <c r="I11215" s="82"/>
      <c r="M11215" s="85"/>
    </row>
    <row r="11216" spans="9:13" x14ac:dyDescent="0.3">
      <c r="I11216" s="82"/>
      <c r="M11216" s="85"/>
    </row>
    <row r="11217" spans="9:13" x14ac:dyDescent="0.3">
      <c r="I11217" s="82"/>
      <c r="M11217" s="85"/>
    </row>
    <row r="11218" spans="9:13" x14ac:dyDescent="0.3">
      <c r="I11218" s="82"/>
      <c r="M11218" s="85"/>
    </row>
    <row r="11219" spans="9:13" x14ac:dyDescent="0.3">
      <c r="I11219" s="82"/>
      <c r="M11219" s="85"/>
    </row>
    <row r="11220" spans="9:13" x14ac:dyDescent="0.3">
      <c r="I11220" s="82"/>
      <c r="M11220" s="85"/>
    </row>
    <row r="11221" spans="9:13" x14ac:dyDescent="0.3">
      <c r="I11221" s="82"/>
      <c r="M11221" s="85"/>
    </row>
    <row r="11222" spans="9:13" x14ac:dyDescent="0.3">
      <c r="I11222" s="82"/>
      <c r="M11222" s="85"/>
    </row>
    <row r="11223" spans="9:13" x14ac:dyDescent="0.3">
      <c r="I11223" s="82"/>
      <c r="M11223" s="85"/>
    </row>
    <row r="11224" spans="9:13" x14ac:dyDescent="0.3">
      <c r="I11224" s="82"/>
      <c r="M11224" s="85"/>
    </row>
    <row r="11225" spans="9:13" x14ac:dyDescent="0.3">
      <c r="I11225" s="82"/>
      <c r="M11225" s="85"/>
    </row>
    <row r="11226" spans="9:13" x14ac:dyDescent="0.3">
      <c r="I11226" s="82"/>
      <c r="M11226" s="85"/>
    </row>
    <row r="11227" spans="9:13" x14ac:dyDescent="0.3">
      <c r="I11227" s="82"/>
      <c r="M11227" s="85"/>
    </row>
    <row r="11228" spans="9:13" x14ac:dyDescent="0.3">
      <c r="I11228" s="82"/>
      <c r="M11228" s="85"/>
    </row>
    <row r="11229" spans="9:13" x14ac:dyDescent="0.3">
      <c r="I11229" s="82"/>
      <c r="M11229" s="85"/>
    </row>
    <row r="11230" spans="9:13" x14ac:dyDescent="0.3">
      <c r="I11230" s="82"/>
      <c r="M11230" s="85"/>
    </row>
    <row r="11231" spans="9:13" x14ac:dyDescent="0.3">
      <c r="I11231" s="82"/>
      <c r="M11231" s="85"/>
    </row>
    <row r="11232" spans="9:13" x14ac:dyDescent="0.3">
      <c r="I11232" s="82"/>
      <c r="M11232" s="85"/>
    </row>
    <row r="11233" spans="9:13" x14ac:dyDescent="0.3">
      <c r="I11233" s="82"/>
      <c r="M11233" s="85"/>
    </row>
    <row r="11234" spans="9:13" x14ac:dyDescent="0.3">
      <c r="I11234" s="82"/>
      <c r="M11234" s="85"/>
    </row>
    <row r="11235" spans="9:13" x14ac:dyDescent="0.3">
      <c r="I11235" s="82"/>
      <c r="M11235" s="85"/>
    </row>
    <row r="11236" spans="9:13" x14ac:dyDescent="0.3">
      <c r="I11236" s="82"/>
      <c r="M11236" s="85"/>
    </row>
    <row r="11237" spans="9:13" x14ac:dyDescent="0.3">
      <c r="I11237" s="82"/>
      <c r="M11237" s="85"/>
    </row>
    <row r="11238" spans="9:13" x14ac:dyDescent="0.3">
      <c r="I11238" s="82"/>
      <c r="M11238" s="85"/>
    </row>
    <row r="11239" spans="9:13" x14ac:dyDescent="0.3">
      <c r="I11239" s="82"/>
      <c r="M11239" s="85"/>
    </row>
    <row r="11240" spans="9:13" x14ac:dyDescent="0.3">
      <c r="I11240" s="82"/>
      <c r="M11240" s="85"/>
    </row>
    <row r="11241" spans="9:13" x14ac:dyDescent="0.3">
      <c r="I11241" s="82"/>
      <c r="M11241" s="85"/>
    </row>
    <row r="11242" spans="9:13" x14ac:dyDescent="0.3">
      <c r="I11242" s="82"/>
      <c r="M11242" s="85"/>
    </row>
    <row r="11243" spans="9:13" x14ac:dyDescent="0.3">
      <c r="I11243" s="82"/>
      <c r="M11243" s="85"/>
    </row>
    <row r="11244" spans="9:13" x14ac:dyDescent="0.3">
      <c r="I11244" s="82"/>
      <c r="M11244" s="85"/>
    </row>
    <row r="11245" spans="9:13" x14ac:dyDescent="0.3">
      <c r="I11245" s="82"/>
      <c r="M11245" s="85"/>
    </row>
    <row r="11246" spans="9:13" x14ac:dyDescent="0.3">
      <c r="I11246" s="82"/>
      <c r="M11246" s="85"/>
    </row>
    <row r="11247" spans="9:13" x14ac:dyDescent="0.3">
      <c r="I11247" s="82"/>
      <c r="M11247" s="85"/>
    </row>
    <row r="11248" spans="9:13" x14ac:dyDescent="0.3">
      <c r="I11248" s="82"/>
      <c r="M11248" s="85"/>
    </row>
    <row r="11249" spans="9:13" x14ac:dyDescent="0.3">
      <c r="I11249" s="82"/>
      <c r="M11249" s="85"/>
    </row>
    <row r="11250" spans="9:13" x14ac:dyDescent="0.3">
      <c r="I11250" s="82"/>
      <c r="M11250" s="85"/>
    </row>
    <row r="11251" spans="9:13" x14ac:dyDescent="0.3">
      <c r="I11251" s="82"/>
      <c r="M11251" s="85"/>
    </row>
    <row r="11252" spans="9:13" x14ac:dyDescent="0.3">
      <c r="I11252" s="82"/>
      <c r="M11252" s="85"/>
    </row>
    <row r="11253" spans="9:13" x14ac:dyDescent="0.3">
      <c r="I11253" s="82"/>
      <c r="M11253" s="85"/>
    </row>
    <row r="11254" spans="9:13" x14ac:dyDescent="0.3">
      <c r="I11254" s="82"/>
      <c r="M11254" s="85"/>
    </row>
    <row r="11255" spans="9:13" x14ac:dyDescent="0.3">
      <c r="I11255" s="82"/>
      <c r="M11255" s="85"/>
    </row>
    <row r="11256" spans="9:13" x14ac:dyDescent="0.3">
      <c r="I11256" s="82"/>
      <c r="M11256" s="85"/>
    </row>
    <row r="11257" spans="9:13" x14ac:dyDescent="0.3">
      <c r="I11257" s="82"/>
      <c r="M11257" s="85"/>
    </row>
    <row r="11258" spans="9:13" x14ac:dyDescent="0.3">
      <c r="I11258" s="82"/>
      <c r="M11258" s="85"/>
    </row>
    <row r="11259" spans="9:13" x14ac:dyDescent="0.3">
      <c r="I11259" s="82"/>
      <c r="M11259" s="85"/>
    </row>
    <row r="11260" spans="9:13" x14ac:dyDescent="0.3">
      <c r="I11260" s="82"/>
      <c r="M11260" s="85"/>
    </row>
    <row r="11261" spans="9:13" x14ac:dyDescent="0.3">
      <c r="I11261" s="82"/>
      <c r="M11261" s="85"/>
    </row>
    <row r="11262" spans="9:13" x14ac:dyDescent="0.3">
      <c r="I11262" s="82"/>
      <c r="M11262" s="85"/>
    </row>
    <row r="11263" spans="9:13" x14ac:dyDescent="0.3">
      <c r="I11263" s="82"/>
      <c r="M11263" s="85"/>
    </row>
    <row r="11264" spans="9:13" x14ac:dyDescent="0.3">
      <c r="I11264" s="82"/>
      <c r="M11264" s="85"/>
    </row>
    <row r="11265" spans="9:13" x14ac:dyDescent="0.3">
      <c r="I11265" s="82"/>
      <c r="M11265" s="85"/>
    </row>
    <row r="11266" spans="9:13" x14ac:dyDescent="0.3">
      <c r="I11266" s="82"/>
      <c r="M11266" s="85"/>
    </row>
    <row r="11267" spans="9:13" x14ac:dyDescent="0.3">
      <c r="I11267" s="82"/>
      <c r="M11267" s="85"/>
    </row>
    <row r="11268" spans="9:13" x14ac:dyDescent="0.3">
      <c r="I11268" s="82"/>
      <c r="M11268" s="85"/>
    </row>
    <row r="11269" spans="9:13" x14ac:dyDescent="0.3">
      <c r="I11269" s="82"/>
      <c r="M11269" s="85"/>
    </row>
    <row r="11270" spans="9:13" x14ac:dyDescent="0.3">
      <c r="I11270" s="82"/>
      <c r="M11270" s="85"/>
    </row>
    <row r="11271" spans="9:13" x14ac:dyDescent="0.3">
      <c r="I11271" s="82"/>
      <c r="M11271" s="85"/>
    </row>
    <row r="11272" spans="9:13" x14ac:dyDescent="0.3">
      <c r="I11272" s="82"/>
      <c r="M11272" s="85"/>
    </row>
    <row r="11273" spans="9:13" x14ac:dyDescent="0.3">
      <c r="I11273" s="82"/>
      <c r="M11273" s="85"/>
    </row>
    <row r="11274" spans="9:13" x14ac:dyDescent="0.3">
      <c r="I11274" s="82"/>
      <c r="M11274" s="85"/>
    </row>
    <row r="11275" spans="9:13" x14ac:dyDescent="0.3">
      <c r="I11275" s="82"/>
      <c r="M11275" s="85"/>
    </row>
    <row r="11276" spans="9:13" x14ac:dyDescent="0.3">
      <c r="I11276" s="82"/>
      <c r="M11276" s="85"/>
    </row>
    <row r="11277" spans="9:13" x14ac:dyDescent="0.3">
      <c r="I11277" s="82"/>
      <c r="M11277" s="85"/>
    </row>
    <row r="11278" spans="9:13" x14ac:dyDescent="0.3">
      <c r="I11278" s="82"/>
      <c r="M11278" s="85"/>
    </row>
    <row r="11279" spans="9:13" x14ac:dyDescent="0.3">
      <c r="I11279" s="82"/>
      <c r="M11279" s="85"/>
    </row>
    <row r="11280" spans="9:13" x14ac:dyDescent="0.3">
      <c r="I11280" s="82"/>
      <c r="M11280" s="85"/>
    </row>
    <row r="11281" spans="9:13" x14ac:dyDescent="0.3">
      <c r="I11281" s="82"/>
      <c r="M11281" s="85"/>
    </row>
    <row r="11282" spans="9:13" x14ac:dyDescent="0.3">
      <c r="I11282" s="82"/>
      <c r="M11282" s="85"/>
    </row>
    <row r="11283" spans="9:13" x14ac:dyDescent="0.3">
      <c r="I11283" s="82"/>
      <c r="M11283" s="85"/>
    </row>
    <row r="11284" spans="9:13" x14ac:dyDescent="0.3">
      <c r="I11284" s="82"/>
      <c r="M11284" s="85"/>
    </row>
    <row r="11285" spans="9:13" x14ac:dyDescent="0.3">
      <c r="I11285" s="82"/>
      <c r="M11285" s="85"/>
    </row>
    <row r="11286" spans="9:13" x14ac:dyDescent="0.3">
      <c r="I11286" s="82"/>
      <c r="M11286" s="85"/>
    </row>
    <row r="11287" spans="9:13" x14ac:dyDescent="0.3">
      <c r="I11287" s="82"/>
      <c r="M11287" s="85"/>
    </row>
    <row r="11288" spans="9:13" x14ac:dyDescent="0.3">
      <c r="I11288" s="82"/>
      <c r="M11288" s="85"/>
    </row>
    <row r="11289" spans="9:13" x14ac:dyDescent="0.3">
      <c r="I11289" s="82"/>
      <c r="M11289" s="85"/>
    </row>
    <row r="11290" spans="9:13" x14ac:dyDescent="0.3">
      <c r="I11290" s="82"/>
      <c r="M11290" s="85"/>
    </row>
    <row r="11291" spans="9:13" x14ac:dyDescent="0.3">
      <c r="I11291" s="82"/>
      <c r="M11291" s="85"/>
    </row>
    <row r="11292" spans="9:13" x14ac:dyDescent="0.3">
      <c r="I11292" s="82"/>
      <c r="M11292" s="85"/>
    </row>
    <row r="11293" spans="9:13" x14ac:dyDescent="0.3">
      <c r="I11293" s="82"/>
      <c r="M11293" s="85"/>
    </row>
    <row r="11294" spans="9:13" x14ac:dyDescent="0.3">
      <c r="I11294" s="82"/>
      <c r="M11294" s="85"/>
    </row>
    <row r="11295" spans="9:13" x14ac:dyDescent="0.3">
      <c r="I11295" s="82"/>
      <c r="M11295" s="85"/>
    </row>
    <row r="11296" spans="9:13" x14ac:dyDescent="0.3">
      <c r="I11296" s="82"/>
      <c r="M11296" s="85"/>
    </row>
    <row r="11297" spans="9:13" x14ac:dyDescent="0.3">
      <c r="I11297" s="82"/>
      <c r="M11297" s="85"/>
    </row>
    <row r="11298" spans="9:13" x14ac:dyDescent="0.3">
      <c r="I11298" s="82"/>
      <c r="M11298" s="85"/>
    </row>
    <row r="11299" spans="9:13" x14ac:dyDescent="0.3">
      <c r="I11299" s="82"/>
      <c r="M11299" s="85"/>
    </row>
    <row r="11300" spans="9:13" x14ac:dyDescent="0.3">
      <c r="I11300" s="82"/>
      <c r="M11300" s="85"/>
    </row>
    <row r="11301" spans="9:13" x14ac:dyDescent="0.3">
      <c r="I11301" s="82"/>
      <c r="M11301" s="85"/>
    </row>
    <row r="11302" spans="9:13" x14ac:dyDescent="0.3">
      <c r="I11302" s="82"/>
      <c r="M11302" s="85"/>
    </row>
    <row r="11303" spans="9:13" x14ac:dyDescent="0.3">
      <c r="I11303" s="82"/>
      <c r="M11303" s="85"/>
    </row>
    <row r="11304" spans="9:13" x14ac:dyDescent="0.3">
      <c r="I11304" s="82"/>
      <c r="M11304" s="85"/>
    </row>
    <row r="11305" spans="9:13" x14ac:dyDescent="0.3">
      <c r="I11305" s="82"/>
      <c r="M11305" s="85"/>
    </row>
    <row r="11306" spans="9:13" x14ac:dyDescent="0.3">
      <c r="I11306" s="82"/>
      <c r="M11306" s="85"/>
    </row>
    <row r="11307" spans="9:13" x14ac:dyDescent="0.3">
      <c r="I11307" s="82"/>
      <c r="M11307" s="85"/>
    </row>
    <row r="11308" spans="9:13" x14ac:dyDescent="0.3">
      <c r="I11308" s="82"/>
      <c r="M11308" s="85"/>
    </row>
    <row r="11309" spans="9:13" x14ac:dyDescent="0.3">
      <c r="I11309" s="82"/>
      <c r="M11309" s="85"/>
    </row>
    <row r="11310" spans="9:13" x14ac:dyDescent="0.3">
      <c r="I11310" s="82"/>
      <c r="M11310" s="85"/>
    </row>
    <row r="11311" spans="9:13" x14ac:dyDescent="0.3">
      <c r="I11311" s="82"/>
      <c r="M11311" s="85"/>
    </row>
    <row r="11312" spans="9:13" x14ac:dyDescent="0.3">
      <c r="I11312" s="82"/>
      <c r="M11312" s="85"/>
    </row>
    <row r="11313" spans="9:13" x14ac:dyDescent="0.3">
      <c r="I11313" s="82"/>
      <c r="M11313" s="85"/>
    </row>
    <row r="11314" spans="9:13" x14ac:dyDescent="0.3">
      <c r="I11314" s="82"/>
      <c r="M11314" s="85"/>
    </row>
    <row r="11315" spans="9:13" x14ac:dyDescent="0.3">
      <c r="I11315" s="82"/>
      <c r="M11315" s="85"/>
    </row>
    <row r="11316" spans="9:13" x14ac:dyDescent="0.3">
      <c r="I11316" s="82"/>
      <c r="M11316" s="85"/>
    </row>
    <row r="11317" spans="9:13" x14ac:dyDescent="0.3">
      <c r="I11317" s="82"/>
      <c r="M11317" s="85"/>
    </row>
    <row r="11318" spans="9:13" x14ac:dyDescent="0.3">
      <c r="I11318" s="82"/>
      <c r="M11318" s="85"/>
    </row>
    <row r="11319" spans="9:13" x14ac:dyDescent="0.3">
      <c r="I11319" s="82"/>
      <c r="M11319" s="85"/>
    </row>
    <row r="11320" spans="9:13" x14ac:dyDescent="0.3">
      <c r="I11320" s="82"/>
      <c r="M11320" s="85"/>
    </row>
    <row r="11321" spans="9:13" x14ac:dyDescent="0.3">
      <c r="I11321" s="82"/>
      <c r="M11321" s="85"/>
    </row>
    <row r="11322" spans="9:13" x14ac:dyDescent="0.3">
      <c r="I11322" s="82"/>
      <c r="M11322" s="85"/>
    </row>
    <row r="11323" spans="9:13" x14ac:dyDescent="0.3">
      <c r="I11323" s="82"/>
      <c r="M11323" s="85"/>
    </row>
    <row r="11324" spans="9:13" x14ac:dyDescent="0.3">
      <c r="I11324" s="82"/>
      <c r="M11324" s="85"/>
    </row>
    <row r="11325" spans="9:13" x14ac:dyDescent="0.3">
      <c r="I11325" s="82"/>
      <c r="M11325" s="85"/>
    </row>
    <row r="11326" spans="9:13" x14ac:dyDescent="0.3">
      <c r="I11326" s="82"/>
      <c r="M11326" s="85"/>
    </row>
    <row r="11327" spans="9:13" x14ac:dyDescent="0.3">
      <c r="I11327" s="82"/>
      <c r="M11327" s="85"/>
    </row>
    <row r="11328" spans="9:13" x14ac:dyDescent="0.3">
      <c r="I11328" s="82"/>
      <c r="M11328" s="85"/>
    </row>
    <row r="11329" spans="9:13" x14ac:dyDescent="0.3">
      <c r="I11329" s="82"/>
      <c r="M11329" s="85"/>
    </row>
    <row r="11330" spans="9:13" x14ac:dyDescent="0.3">
      <c r="I11330" s="82"/>
      <c r="M11330" s="85"/>
    </row>
    <row r="11331" spans="9:13" x14ac:dyDescent="0.3">
      <c r="I11331" s="82"/>
      <c r="M11331" s="85"/>
    </row>
    <row r="11332" spans="9:13" x14ac:dyDescent="0.3">
      <c r="I11332" s="82"/>
      <c r="M11332" s="85"/>
    </row>
    <row r="11333" spans="9:13" x14ac:dyDescent="0.3">
      <c r="I11333" s="82"/>
      <c r="M11333" s="85"/>
    </row>
    <row r="11334" spans="9:13" x14ac:dyDescent="0.3">
      <c r="I11334" s="82"/>
      <c r="M11334" s="85"/>
    </row>
    <row r="11335" spans="9:13" x14ac:dyDescent="0.3">
      <c r="I11335" s="82"/>
      <c r="M11335" s="85"/>
    </row>
    <row r="11336" spans="9:13" x14ac:dyDescent="0.3">
      <c r="I11336" s="82"/>
      <c r="M11336" s="85"/>
    </row>
    <row r="11337" spans="9:13" x14ac:dyDescent="0.3">
      <c r="I11337" s="82"/>
      <c r="M11337" s="85"/>
    </row>
    <row r="11338" spans="9:13" x14ac:dyDescent="0.3">
      <c r="I11338" s="82"/>
      <c r="M11338" s="85"/>
    </row>
    <row r="11339" spans="9:13" x14ac:dyDescent="0.3">
      <c r="I11339" s="82"/>
      <c r="M11339" s="85"/>
    </row>
    <row r="11340" spans="9:13" x14ac:dyDescent="0.3">
      <c r="I11340" s="82"/>
      <c r="M11340" s="85"/>
    </row>
    <row r="11341" spans="9:13" x14ac:dyDescent="0.3">
      <c r="I11341" s="82"/>
      <c r="M11341" s="85"/>
    </row>
    <row r="11342" spans="9:13" x14ac:dyDescent="0.3">
      <c r="I11342" s="82"/>
      <c r="M11342" s="85"/>
    </row>
    <row r="11343" spans="9:13" x14ac:dyDescent="0.3">
      <c r="I11343" s="82"/>
      <c r="M11343" s="85"/>
    </row>
    <row r="11344" spans="9:13" x14ac:dyDescent="0.3">
      <c r="I11344" s="82"/>
      <c r="M11344" s="85"/>
    </row>
    <row r="11345" spans="9:13" x14ac:dyDescent="0.3">
      <c r="I11345" s="82"/>
      <c r="M11345" s="85"/>
    </row>
    <row r="11346" spans="9:13" x14ac:dyDescent="0.3">
      <c r="I11346" s="82"/>
      <c r="M11346" s="85"/>
    </row>
    <row r="11347" spans="9:13" x14ac:dyDescent="0.3">
      <c r="I11347" s="82"/>
      <c r="M11347" s="85"/>
    </row>
    <row r="11348" spans="9:13" x14ac:dyDescent="0.3">
      <c r="I11348" s="82"/>
      <c r="M11348" s="85"/>
    </row>
    <row r="11349" spans="9:13" x14ac:dyDescent="0.3">
      <c r="I11349" s="82"/>
      <c r="M11349" s="85"/>
    </row>
    <row r="11350" spans="9:13" x14ac:dyDescent="0.3">
      <c r="I11350" s="82"/>
      <c r="M11350" s="85"/>
    </row>
    <row r="11351" spans="9:13" x14ac:dyDescent="0.3">
      <c r="I11351" s="82"/>
      <c r="M11351" s="85"/>
    </row>
    <row r="11352" spans="9:13" x14ac:dyDescent="0.3">
      <c r="I11352" s="82"/>
      <c r="M11352" s="85"/>
    </row>
    <row r="11353" spans="9:13" x14ac:dyDescent="0.3">
      <c r="I11353" s="82"/>
      <c r="M11353" s="85"/>
    </row>
    <row r="11354" spans="9:13" x14ac:dyDescent="0.3">
      <c r="I11354" s="82"/>
      <c r="M11354" s="85"/>
    </row>
    <row r="11355" spans="9:13" x14ac:dyDescent="0.3">
      <c r="I11355" s="82"/>
      <c r="M11355" s="85"/>
    </row>
    <row r="11356" spans="9:13" x14ac:dyDescent="0.3">
      <c r="I11356" s="82"/>
      <c r="M11356" s="85"/>
    </row>
    <row r="11357" spans="9:13" x14ac:dyDescent="0.3">
      <c r="I11357" s="82"/>
      <c r="M11357" s="85"/>
    </row>
    <row r="11358" spans="9:13" x14ac:dyDescent="0.3">
      <c r="I11358" s="82"/>
      <c r="M11358" s="85"/>
    </row>
    <row r="11359" spans="9:13" x14ac:dyDescent="0.3">
      <c r="I11359" s="82"/>
      <c r="M11359" s="85"/>
    </row>
    <row r="11360" spans="9:13" x14ac:dyDescent="0.3">
      <c r="I11360" s="82"/>
      <c r="M11360" s="85"/>
    </row>
    <row r="11361" spans="9:13" x14ac:dyDescent="0.3">
      <c r="I11361" s="82"/>
      <c r="M11361" s="85"/>
    </row>
    <row r="11362" spans="9:13" x14ac:dyDescent="0.3">
      <c r="I11362" s="82"/>
      <c r="M11362" s="85"/>
    </row>
    <row r="11363" spans="9:13" x14ac:dyDescent="0.3">
      <c r="I11363" s="82"/>
      <c r="M11363" s="85"/>
    </row>
    <row r="11364" spans="9:13" x14ac:dyDescent="0.3">
      <c r="I11364" s="82"/>
      <c r="M11364" s="85"/>
    </row>
    <row r="11365" spans="9:13" x14ac:dyDescent="0.3">
      <c r="I11365" s="82"/>
      <c r="M11365" s="85"/>
    </row>
    <row r="11366" spans="9:13" x14ac:dyDescent="0.3">
      <c r="I11366" s="82"/>
      <c r="M11366" s="85"/>
    </row>
    <row r="11367" spans="9:13" x14ac:dyDescent="0.3">
      <c r="I11367" s="82"/>
      <c r="M11367" s="85"/>
    </row>
    <row r="11368" spans="9:13" x14ac:dyDescent="0.3">
      <c r="I11368" s="82"/>
      <c r="M11368" s="85"/>
    </row>
    <row r="11369" spans="9:13" x14ac:dyDescent="0.3">
      <c r="I11369" s="82"/>
      <c r="M11369" s="85"/>
    </row>
    <row r="11370" spans="9:13" x14ac:dyDescent="0.3">
      <c r="I11370" s="82"/>
      <c r="M11370" s="85"/>
    </row>
    <row r="11371" spans="9:13" x14ac:dyDescent="0.3">
      <c r="I11371" s="82"/>
      <c r="M11371" s="85"/>
    </row>
    <row r="11372" spans="9:13" x14ac:dyDescent="0.3">
      <c r="I11372" s="82"/>
      <c r="M11372" s="85"/>
    </row>
    <row r="11373" spans="9:13" x14ac:dyDescent="0.3">
      <c r="I11373" s="82"/>
      <c r="M11373" s="85"/>
    </row>
    <row r="11374" spans="9:13" x14ac:dyDescent="0.3">
      <c r="I11374" s="82"/>
      <c r="M11374" s="85"/>
    </row>
    <row r="11375" spans="9:13" x14ac:dyDescent="0.3">
      <c r="I11375" s="82"/>
      <c r="M11375" s="85"/>
    </row>
    <row r="11376" spans="9:13" x14ac:dyDescent="0.3">
      <c r="I11376" s="82"/>
      <c r="M11376" s="85"/>
    </row>
    <row r="11377" spans="9:13" x14ac:dyDescent="0.3">
      <c r="I11377" s="82"/>
      <c r="M11377" s="85"/>
    </row>
    <row r="11378" spans="9:13" x14ac:dyDescent="0.3">
      <c r="I11378" s="82"/>
      <c r="M11378" s="85"/>
    </row>
    <row r="11379" spans="9:13" x14ac:dyDescent="0.3">
      <c r="I11379" s="82"/>
      <c r="M11379" s="85"/>
    </row>
    <row r="11380" spans="9:13" x14ac:dyDescent="0.3">
      <c r="I11380" s="82"/>
      <c r="M11380" s="85"/>
    </row>
    <row r="11381" spans="9:13" x14ac:dyDescent="0.3">
      <c r="I11381" s="82"/>
      <c r="M11381" s="85"/>
    </row>
    <row r="11382" spans="9:13" x14ac:dyDescent="0.3">
      <c r="I11382" s="82"/>
      <c r="M11382" s="85"/>
    </row>
    <row r="11383" spans="9:13" x14ac:dyDescent="0.3">
      <c r="I11383" s="82"/>
      <c r="M11383" s="85"/>
    </row>
    <row r="11384" spans="9:13" x14ac:dyDescent="0.3">
      <c r="I11384" s="82"/>
      <c r="M11384" s="85"/>
    </row>
    <row r="11385" spans="9:13" x14ac:dyDescent="0.3">
      <c r="I11385" s="82"/>
      <c r="M11385" s="85"/>
    </row>
    <row r="11386" spans="9:13" x14ac:dyDescent="0.3">
      <c r="I11386" s="82"/>
      <c r="M11386" s="85"/>
    </row>
    <row r="11387" spans="9:13" x14ac:dyDescent="0.3">
      <c r="I11387" s="82"/>
      <c r="M11387" s="85"/>
    </row>
    <row r="11388" spans="9:13" x14ac:dyDescent="0.3">
      <c r="I11388" s="82"/>
      <c r="M11388" s="85"/>
    </row>
    <row r="11389" spans="9:13" x14ac:dyDescent="0.3">
      <c r="I11389" s="82"/>
      <c r="M11389" s="85"/>
    </row>
    <row r="11390" spans="9:13" x14ac:dyDescent="0.3">
      <c r="I11390" s="82"/>
      <c r="M11390" s="85"/>
    </row>
    <row r="11391" spans="9:13" x14ac:dyDescent="0.3">
      <c r="I11391" s="82"/>
      <c r="M11391" s="85"/>
    </row>
    <row r="11392" spans="9:13" x14ac:dyDescent="0.3">
      <c r="I11392" s="82"/>
      <c r="M11392" s="85"/>
    </row>
    <row r="11393" spans="9:13" x14ac:dyDescent="0.3">
      <c r="I11393" s="82"/>
      <c r="M11393" s="85"/>
    </row>
    <row r="11394" spans="9:13" x14ac:dyDescent="0.3">
      <c r="I11394" s="82"/>
      <c r="M11394" s="85"/>
    </row>
    <row r="11395" spans="9:13" x14ac:dyDescent="0.3">
      <c r="I11395" s="82"/>
      <c r="M11395" s="85"/>
    </row>
    <row r="11396" spans="9:13" x14ac:dyDescent="0.3">
      <c r="I11396" s="82"/>
      <c r="M11396" s="85"/>
    </row>
    <row r="11397" spans="9:13" x14ac:dyDescent="0.3">
      <c r="I11397" s="82"/>
      <c r="M11397" s="85"/>
    </row>
    <row r="11398" spans="9:13" x14ac:dyDescent="0.3">
      <c r="I11398" s="82"/>
      <c r="M11398" s="85"/>
    </row>
    <row r="11399" spans="9:13" x14ac:dyDescent="0.3">
      <c r="I11399" s="82"/>
      <c r="M11399" s="85"/>
    </row>
    <row r="11400" spans="9:13" x14ac:dyDescent="0.3">
      <c r="I11400" s="82"/>
      <c r="M11400" s="85"/>
    </row>
    <row r="11401" spans="9:13" x14ac:dyDescent="0.3">
      <c r="I11401" s="82"/>
      <c r="M11401" s="85"/>
    </row>
    <row r="11402" spans="9:13" x14ac:dyDescent="0.3">
      <c r="I11402" s="82"/>
      <c r="M11402" s="85"/>
    </row>
    <row r="11403" spans="9:13" x14ac:dyDescent="0.3">
      <c r="I11403" s="82"/>
      <c r="M11403" s="85"/>
    </row>
    <row r="11404" spans="9:13" x14ac:dyDescent="0.3">
      <c r="I11404" s="82"/>
      <c r="M11404" s="85"/>
    </row>
    <row r="11405" spans="9:13" x14ac:dyDescent="0.3">
      <c r="I11405" s="82"/>
      <c r="M11405" s="85"/>
    </row>
    <row r="11406" spans="9:13" x14ac:dyDescent="0.3">
      <c r="I11406" s="82"/>
      <c r="M11406" s="85"/>
    </row>
    <row r="11407" spans="9:13" x14ac:dyDescent="0.3">
      <c r="I11407" s="82"/>
      <c r="M11407" s="85"/>
    </row>
    <row r="11408" spans="9:13" x14ac:dyDescent="0.3">
      <c r="I11408" s="82"/>
      <c r="M11408" s="85"/>
    </row>
    <row r="11409" spans="9:13" x14ac:dyDescent="0.3">
      <c r="I11409" s="82"/>
      <c r="M11409" s="85"/>
    </row>
    <row r="11410" spans="9:13" x14ac:dyDescent="0.3">
      <c r="I11410" s="82"/>
      <c r="M11410" s="85"/>
    </row>
    <row r="11411" spans="9:13" x14ac:dyDescent="0.3">
      <c r="I11411" s="82"/>
      <c r="M11411" s="85"/>
    </row>
    <row r="11412" spans="9:13" x14ac:dyDescent="0.3">
      <c r="I11412" s="82"/>
      <c r="M11412" s="85"/>
    </row>
    <row r="11413" spans="9:13" x14ac:dyDescent="0.3">
      <c r="I11413" s="82"/>
      <c r="M11413" s="85"/>
    </row>
    <row r="11414" spans="9:13" x14ac:dyDescent="0.3">
      <c r="I11414" s="82"/>
      <c r="M11414" s="85"/>
    </row>
    <row r="11415" spans="9:13" x14ac:dyDescent="0.3">
      <c r="I11415" s="82"/>
      <c r="M11415" s="85"/>
    </row>
    <row r="11416" spans="9:13" x14ac:dyDescent="0.3">
      <c r="I11416" s="82"/>
      <c r="M11416" s="85"/>
    </row>
    <row r="11417" spans="9:13" x14ac:dyDescent="0.3">
      <c r="I11417" s="82"/>
      <c r="M11417" s="85"/>
    </row>
    <row r="11418" spans="9:13" x14ac:dyDescent="0.3">
      <c r="I11418" s="82"/>
      <c r="M11418" s="85"/>
    </row>
    <row r="11419" spans="9:13" x14ac:dyDescent="0.3">
      <c r="I11419" s="82"/>
      <c r="M11419" s="85"/>
    </row>
    <row r="11420" spans="9:13" x14ac:dyDescent="0.3">
      <c r="I11420" s="82"/>
      <c r="M11420" s="85"/>
    </row>
    <row r="11421" spans="9:13" x14ac:dyDescent="0.3">
      <c r="I11421" s="82"/>
      <c r="M11421" s="85"/>
    </row>
    <row r="11422" spans="9:13" x14ac:dyDescent="0.3">
      <c r="I11422" s="82"/>
      <c r="M11422" s="85"/>
    </row>
    <row r="11423" spans="9:13" x14ac:dyDescent="0.3">
      <c r="I11423" s="82"/>
      <c r="M11423" s="85"/>
    </row>
    <row r="11424" spans="9:13" x14ac:dyDescent="0.3">
      <c r="I11424" s="82"/>
      <c r="M11424" s="85"/>
    </row>
    <row r="11425" spans="9:13" x14ac:dyDescent="0.3">
      <c r="I11425" s="82"/>
      <c r="M11425" s="85"/>
    </row>
    <row r="11426" spans="9:13" x14ac:dyDescent="0.3">
      <c r="I11426" s="82"/>
      <c r="M11426" s="85"/>
    </row>
    <row r="11427" spans="9:13" x14ac:dyDescent="0.3">
      <c r="I11427" s="82"/>
      <c r="M11427" s="85"/>
    </row>
    <row r="11428" spans="9:13" x14ac:dyDescent="0.3">
      <c r="I11428" s="82"/>
      <c r="M11428" s="85"/>
    </row>
    <row r="11429" spans="9:13" x14ac:dyDescent="0.3">
      <c r="I11429" s="82"/>
      <c r="M11429" s="85"/>
    </row>
    <row r="11430" spans="9:13" x14ac:dyDescent="0.3">
      <c r="I11430" s="82"/>
      <c r="M11430" s="85"/>
    </row>
    <row r="11431" spans="9:13" x14ac:dyDescent="0.3">
      <c r="I11431" s="82"/>
      <c r="M11431" s="85"/>
    </row>
    <row r="11432" spans="9:13" x14ac:dyDescent="0.3">
      <c r="I11432" s="82"/>
      <c r="M11432" s="85"/>
    </row>
    <row r="11433" spans="9:13" x14ac:dyDescent="0.3">
      <c r="I11433" s="82"/>
      <c r="M11433" s="85"/>
    </row>
    <row r="11434" spans="9:13" x14ac:dyDescent="0.3">
      <c r="I11434" s="82"/>
      <c r="M11434" s="85"/>
    </row>
    <row r="11435" spans="9:13" x14ac:dyDescent="0.3">
      <c r="I11435" s="82"/>
      <c r="M11435" s="85"/>
    </row>
    <row r="11436" spans="9:13" x14ac:dyDescent="0.3">
      <c r="I11436" s="82"/>
      <c r="M11436" s="85"/>
    </row>
    <row r="11437" spans="9:13" x14ac:dyDescent="0.3">
      <c r="I11437" s="82"/>
      <c r="M11437" s="85"/>
    </row>
    <row r="11438" spans="9:13" x14ac:dyDescent="0.3">
      <c r="I11438" s="82"/>
      <c r="M11438" s="85"/>
    </row>
    <row r="11439" spans="9:13" x14ac:dyDescent="0.3">
      <c r="I11439" s="82"/>
      <c r="M11439" s="85"/>
    </row>
    <row r="11440" spans="9:13" x14ac:dyDescent="0.3">
      <c r="I11440" s="82"/>
      <c r="M11440" s="85"/>
    </row>
    <row r="11441" spans="9:13" x14ac:dyDescent="0.3">
      <c r="I11441" s="82"/>
      <c r="M11441" s="85"/>
    </row>
    <row r="11442" spans="9:13" x14ac:dyDescent="0.3">
      <c r="I11442" s="82"/>
      <c r="M11442" s="85"/>
    </row>
    <row r="11443" spans="9:13" x14ac:dyDescent="0.3">
      <c r="I11443" s="82"/>
      <c r="M11443" s="85"/>
    </row>
    <row r="11444" spans="9:13" x14ac:dyDescent="0.3">
      <c r="I11444" s="82"/>
      <c r="M11444" s="85"/>
    </row>
    <row r="11445" spans="9:13" x14ac:dyDescent="0.3">
      <c r="I11445" s="82"/>
      <c r="M11445" s="85"/>
    </row>
    <row r="11446" spans="9:13" x14ac:dyDescent="0.3">
      <c r="I11446" s="82"/>
      <c r="M11446" s="85"/>
    </row>
    <row r="11447" spans="9:13" x14ac:dyDescent="0.3">
      <c r="I11447" s="82"/>
      <c r="M11447" s="85"/>
    </row>
    <row r="11448" spans="9:13" x14ac:dyDescent="0.3">
      <c r="I11448" s="82"/>
      <c r="M11448" s="85"/>
    </row>
    <row r="11449" spans="9:13" x14ac:dyDescent="0.3">
      <c r="I11449" s="82"/>
      <c r="M11449" s="85"/>
    </row>
    <row r="11450" spans="9:13" x14ac:dyDescent="0.3">
      <c r="I11450" s="82"/>
      <c r="M11450" s="85"/>
    </row>
    <row r="11451" spans="9:13" x14ac:dyDescent="0.3">
      <c r="I11451" s="82"/>
      <c r="M11451" s="85"/>
    </row>
    <row r="11452" spans="9:13" x14ac:dyDescent="0.3">
      <c r="I11452" s="82"/>
      <c r="M11452" s="85"/>
    </row>
    <row r="11453" spans="9:13" x14ac:dyDescent="0.3">
      <c r="I11453" s="82"/>
      <c r="M11453" s="85"/>
    </row>
    <row r="11454" spans="9:13" x14ac:dyDescent="0.3">
      <c r="I11454" s="82"/>
      <c r="M11454" s="85"/>
    </row>
    <row r="11455" spans="9:13" x14ac:dyDescent="0.3">
      <c r="I11455" s="82"/>
      <c r="M11455" s="85"/>
    </row>
    <row r="11456" spans="9:13" x14ac:dyDescent="0.3">
      <c r="I11456" s="82"/>
      <c r="M11456" s="85"/>
    </row>
    <row r="11457" spans="9:13" x14ac:dyDescent="0.3">
      <c r="I11457" s="82"/>
      <c r="M11457" s="85"/>
    </row>
    <row r="11458" spans="9:13" x14ac:dyDescent="0.3">
      <c r="I11458" s="82"/>
      <c r="M11458" s="85"/>
    </row>
    <row r="11459" spans="9:13" x14ac:dyDescent="0.3">
      <c r="I11459" s="82"/>
      <c r="M11459" s="85"/>
    </row>
    <row r="11460" spans="9:13" x14ac:dyDescent="0.3">
      <c r="I11460" s="82"/>
      <c r="M11460" s="85"/>
    </row>
    <row r="11461" spans="9:13" x14ac:dyDescent="0.3">
      <c r="I11461" s="82"/>
      <c r="M11461" s="85"/>
    </row>
    <row r="11462" spans="9:13" x14ac:dyDescent="0.3">
      <c r="I11462" s="82"/>
      <c r="M11462" s="85"/>
    </row>
    <row r="11463" spans="9:13" x14ac:dyDescent="0.3">
      <c r="I11463" s="82"/>
      <c r="M11463" s="85"/>
    </row>
    <row r="11464" spans="9:13" x14ac:dyDescent="0.3">
      <c r="I11464" s="82"/>
      <c r="M11464" s="85"/>
    </row>
    <row r="11465" spans="9:13" x14ac:dyDescent="0.3">
      <c r="I11465" s="82"/>
      <c r="M11465" s="85"/>
    </row>
    <row r="11466" spans="9:13" x14ac:dyDescent="0.3">
      <c r="I11466" s="82"/>
      <c r="M11466" s="85"/>
    </row>
    <row r="11467" spans="9:13" x14ac:dyDescent="0.3">
      <c r="I11467" s="82"/>
      <c r="M11467" s="85"/>
    </row>
    <row r="11468" spans="9:13" x14ac:dyDescent="0.3">
      <c r="I11468" s="82"/>
      <c r="M11468" s="85"/>
    </row>
    <row r="11469" spans="9:13" x14ac:dyDescent="0.3">
      <c r="I11469" s="82"/>
      <c r="M11469" s="85"/>
    </row>
    <row r="11470" spans="9:13" x14ac:dyDescent="0.3">
      <c r="I11470" s="82"/>
      <c r="M11470" s="85"/>
    </row>
    <row r="11471" spans="9:13" x14ac:dyDescent="0.3">
      <c r="I11471" s="82"/>
      <c r="M11471" s="85"/>
    </row>
    <row r="11472" spans="9:13" x14ac:dyDescent="0.3">
      <c r="I11472" s="82"/>
      <c r="M11472" s="85"/>
    </row>
    <row r="11473" spans="9:13" x14ac:dyDescent="0.3">
      <c r="I11473" s="82"/>
      <c r="M11473" s="85"/>
    </row>
    <row r="11474" spans="9:13" x14ac:dyDescent="0.3">
      <c r="I11474" s="82"/>
      <c r="M11474" s="85"/>
    </row>
    <row r="11475" spans="9:13" x14ac:dyDescent="0.3">
      <c r="I11475" s="82"/>
      <c r="M11475" s="85"/>
    </row>
    <row r="11476" spans="9:13" x14ac:dyDescent="0.3">
      <c r="I11476" s="82"/>
      <c r="M11476" s="85"/>
    </row>
    <row r="11477" spans="9:13" x14ac:dyDescent="0.3">
      <c r="I11477" s="82"/>
      <c r="M11477" s="85"/>
    </row>
    <row r="11478" spans="9:13" x14ac:dyDescent="0.3">
      <c r="I11478" s="82"/>
      <c r="M11478" s="85"/>
    </row>
    <row r="11479" spans="9:13" x14ac:dyDescent="0.3">
      <c r="I11479" s="82"/>
      <c r="M11479" s="85"/>
    </row>
    <row r="11480" spans="9:13" x14ac:dyDescent="0.3">
      <c r="I11480" s="82"/>
      <c r="M11480" s="85"/>
    </row>
    <row r="11481" spans="9:13" x14ac:dyDescent="0.3">
      <c r="I11481" s="82"/>
      <c r="M11481" s="85"/>
    </row>
    <row r="11482" spans="9:13" x14ac:dyDescent="0.3">
      <c r="I11482" s="82"/>
      <c r="M11482" s="85"/>
    </row>
    <row r="11483" spans="9:13" x14ac:dyDescent="0.3">
      <c r="I11483" s="82"/>
      <c r="M11483" s="85"/>
    </row>
    <row r="11484" spans="9:13" x14ac:dyDescent="0.3">
      <c r="I11484" s="82"/>
      <c r="M11484" s="85"/>
    </row>
    <row r="11485" spans="9:13" x14ac:dyDescent="0.3">
      <c r="I11485" s="82"/>
      <c r="M11485" s="85"/>
    </row>
    <row r="11486" spans="9:13" x14ac:dyDescent="0.3">
      <c r="I11486" s="82"/>
      <c r="M11486" s="85"/>
    </row>
    <row r="11487" spans="9:13" x14ac:dyDescent="0.3">
      <c r="I11487" s="82"/>
      <c r="M11487" s="85"/>
    </row>
    <row r="11488" spans="9:13" x14ac:dyDescent="0.3">
      <c r="I11488" s="82"/>
      <c r="M11488" s="85"/>
    </row>
    <row r="11489" spans="9:13" x14ac:dyDescent="0.3">
      <c r="I11489" s="82"/>
      <c r="M11489" s="85"/>
    </row>
    <row r="11490" spans="9:13" x14ac:dyDescent="0.3">
      <c r="I11490" s="82"/>
      <c r="M11490" s="85"/>
    </row>
    <row r="11491" spans="9:13" x14ac:dyDescent="0.3">
      <c r="I11491" s="82"/>
      <c r="M11491" s="85"/>
    </row>
    <row r="11492" spans="9:13" x14ac:dyDescent="0.3">
      <c r="I11492" s="82"/>
      <c r="M11492" s="85"/>
    </row>
    <row r="11493" spans="9:13" x14ac:dyDescent="0.3">
      <c r="I11493" s="82"/>
      <c r="M11493" s="85"/>
    </row>
    <row r="11494" spans="9:13" x14ac:dyDescent="0.3">
      <c r="I11494" s="82"/>
      <c r="M11494" s="85"/>
    </row>
    <row r="11495" spans="9:13" x14ac:dyDescent="0.3">
      <c r="I11495" s="82"/>
      <c r="M11495" s="85"/>
    </row>
    <row r="11496" spans="9:13" x14ac:dyDescent="0.3">
      <c r="I11496" s="82"/>
      <c r="M11496" s="85"/>
    </row>
    <row r="11497" spans="9:13" x14ac:dyDescent="0.3">
      <c r="I11497" s="82"/>
      <c r="M11497" s="85"/>
    </row>
    <row r="11498" spans="9:13" x14ac:dyDescent="0.3">
      <c r="I11498" s="82"/>
      <c r="M11498" s="85"/>
    </row>
    <row r="11499" spans="9:13" x14ac:dyDescent="0.3">
      <c r="I11499" s="82"/>
      <c r="M11499" s="85"/>
    </row>
    <row r="11500" spans="9:13" x14ac:dyDescent="0.3">
      <c r="I11500" s="82"/>
      <c r="M11500" s="85"/>
    </row>
    <row r="11501" spans="9:13" x14ac:dyDescent="0.3">
      <c r="I11501" s="82"/>
      <c r="M11501" s="85"/>
    </row>
    <row r="11502" spans="9:13" x14ac:dyDescent="0.3">
      <c r="I11502" s="82"/>
      <c r="M11502" s="85"/>
    </row>
    <row r="11503" spans="9:13" x14ac:dyDescent="0.3">
      <c r="I11503" s="82"/>
      <c r="M11503" s="85"/>
    </row>
    <row r="11504" spans="9:13" x14ac:dyDescent="0.3">
      <c r="I11504" s="82"/>
      <c r="M11504" s="85"/>
    </row>
    <row r="11505" spans="9:13" x14ac:dyDescent="0.3">
      <c r="I11505" s="82"/>
      <c r="M11505" s="85"/>
    </row>
    <row r="11506" spans="9:13" x14ac:dyDescent="0.3">
      <c r="I11506" s="82"/>
      <c r="M11506" s="85"/>
    </row>
    <row r="11507" spans="9:13" x14ac:dyDescent="0.3">
      <c r="I11507" s="82"/>
      <c r="M11507" s="85"/>
    </row>
    <row r="11508" spans="9:13" x14ac:dyDescent="0.3">
      <c r="I11508" s="82"/>
      <c r="M11508" s="85"/>
    </row>
    <row r="11509" spans="9:13" x14ac:dyDescent="0.3">
      <c r="I11509" s="82"/>
      <c r="M11509" s="85"/>
    </row>
    <row r="11510" spans="9:13" x14ac:dyDescent="0.3">
      <c r="I11510" s="82"/>
      <c r="M11510" s="85"/>
    </row>
    <row r="11511" spans="9:13" x14ac:dyDescent="0.3">
      <c r="I11511" s="82"/>
      <c r="M11511" s="85"/>
    </row>
    <row r="11512" spans="9:13" x14ac:dyDescent="0.3">
      <c r="I11512" s="82"/>
      <c r="M11512" s="85"/>
    </row>
    <row r="11513" spans="9:13" x14ac:dyDescent="0.3">
      <c r="I11513" s="82"/>
      <c r="M11513" s="85"/>
    </row>
    <row r="11514" spans="9:13" x14ac:dyDescent="0.3">
      <c r="I11514" s="82"/>
      <c r="M11514" s="85"/>
    </row>
    <row r="11515" spans="9:13" x14ac:dyDescent="0.3">
      <c r="I11515" s="82"/>
      <c r="M11515" s="85"/>
    </row>
    <row r="11516" spans="9:13" x14ac:dyDescent="0.3">
      <c r="I11516" s="82"/>
      <c r="M11516" s="85"/>
    </row>
    <row r="11517" spans="9:13" x14ac:dyDescent="0.3">
      <c r="I11517" s="82"/>
      <c r="M11517" s="85"/>
    </row>
    <row r="11518" spans="9:13" x14ac:dyDescent="0.3">
      <c r="I11518" s="82"/>
      <c r="M11518" s="85"/>
    </row>
    <row r="11519" spans="9:13" x14ac:dyDescent="0.3">
      <c r="I11519" s="82"/>
      <c r="M11519" s="85"/>
    </row>
    <row r="11520" spans="9:13" x14ac:dyDescent="0.3">
      <c r="I11520" s="82"/>
      <c r="M11520" s="85"/>
    </row>
    <row r="11521" spans="9:13" x14ac:dyDescent="0.3">
      <c r="I11521" s="82"/>
      <c r="M11521" s="85"/>
    </row>
    <row r="11522" spans="9:13" x14ac:dyDescent="0.3">
      <c r="I11522" s="82"/>
      <c r="M11522" s="85"/>
    </row>
    <row r="11523" spans="9:13" x14ac:dyDescent="0.3">
      <c r="I11523" s="82"/>
      <c r="M11523" s="85"/>
    </row>
    <row r="11524" spans="9:13" x14ac:dyDescent="0.3">
      <c r="I11524" s="82"/>
      <c r="M11524" s="85"/>
    </row>
    <row r="11525" spans="9:13" x14ac:dyDescent="0.3">
      <c r="I11525" s="82"/>
      <c r="M11525" s="85"/>
    </row>
    <row r="11526" spans="9:13" x14ac:dyDescent="0.3">
      <c r="I11526" s="82"/>
      <c r="M11526" s="85"/>
    </row>
    <row r="11527" spans="9:13" x14ac:dyDescent="0.3">
      <c r="I11527" s="82"/>
      <c r="M11527" s="85"/>
    </row>
    <row r="11528" spans="9:13" x14ac:dyDescent="0.3">
      <c r="I11528" s="82"/>
      <c r="M11528" s="85"/>
    </row>
    <row r="11529" spans="9:13" x14ac:dyDescent="0.3">
      <c r="I11529" s="82"/>
      <c r="M11529" s="85"/>
    </row>
    <row r="11530" spans="9:13" x14ac:dyDescent="0.3">
      <c r="I11530" s="82"/>
      <c r="M11530" s="85"/>
    </row>
    <row r="11531" spans="9:13" x14ac:dyDescent="0.3">
      <c r="I11531" s="82"/>
      <c r="M11531" s="85"/>
    </row>
    <row r="11532" spans="9:13" x14ac:dyDescent="0.3">
      <c r="I11532" s="82"/>
      <c r="M11532" s="85"/>
    </row>
    <row r="11533" spans="9:13" x14ac:dyDescent="0.3">
      <c r="I11533" s="82"/>
      <c r="M11533" s="85"/>
    </row>
    <row r="11534" spans="9:13" x14ac:dyDescent="0.3">
      <c r="I11534" s="82"/>
      <c r="M11534" s="85"/>
    </row>
    <row r="11535" spans="9:13" x14ac:dyDescent="0.3">
      <c r="I11535" s="82"/>
      <c r="M11535" s="85"/>
    </row>
    <row r="11536" spans="9:13" x14ac:dyDescent="0.3">
      <c r="I11536" s="82"/>
      <c r="M11536" s="85"/>
    </row>
    <row r="11537" spans="9:13" x14ac:dyDescent="0.3">
      <c r="I11537" s="82"/>
      <c r="M11537" s="85"/>
    </row>
    <row r="11538" spans="9:13" x14ac:dyDescent="0.3">
      <c r="I11538" s="82"/>
      <c r="M11538" s="85"/>
    </row>
    <row r="11539" spans="9:13" x14ac:dyDescent="0.3">
      <c r="I11539" s="82"/>
      <c r="M11539" s="85"/>
    </row>
    <row r="11540" spans="9:13" x14ac:dyDescent="0.3">
      <c r="I11540" s="82"/>
      <c r="M11540" s="85"/>
    </row>
    <row r="11541" spans="9:13" x14ac:dyDescent="0.3">
      <c r="I11541" s="82"/>
      <c r="M11541" s="85"/>
    </row>
    <row r="11542" spans="9:13" x14ac:dyDescent="0.3">
      <c r="I11542" s="82"/>
      <c r="M11542" s="85"/>
    </row>
    <row r="11543" spans="9:13" x14ac:dyDescent="0.3">
      <c r="I11543" s="82"/>
      <c r="M11543" s="85"/>
    </row>
    <row r="11544" spans="9:13" x14ac:dyDescent="0.3">
      <c r="I11544" s="82"/>
      <c r="M11544" s="85"/>
    </row>
    <row r="11545" spans="9:13" x14ac:dyDescent="0.3">
      <c r="I11545" s="82"/>
      <c r="M11545" s="85"/>
    </row>
    <row r="11546" spans="9:13" x14ac:dyDescent="0.3">
      <c r="I11546" s="82"/>
      <c r="M11546" s="85"/>
    </row>
    <row r="11547" spans="9:13" x14ac:dyDescent="0.3">
      <c r="I11547" s="82"/>
      <c r="M11547" s="85"/>
    </row>
    <row r="11548" spans="9:13" x14ac:dyDescent="0.3">
      <c r="I11548" s="82"/>
      <c r="M11548" s="85"/>
    </row>
    <row r="11549" spans="9:13" x14ac:dyDescent="0.3">
      <c r="I11549" s="82"/>
      <c r="M11549" s="85"/>
    </row>
    <row r="11550" spans="9:13" x14ac:dyDescent="0.3">
      <c r="I11550" s="82"/>
      <c r="M11550" s="85"/>
    </row>
    <row r="11551" spans="9:13" x14ac:dyDescent="0.3">
      <c r="I11551" s="82"/>
      <c r="M11551" s="85"/>
    </row>
    <row r="11552" spans="9:13" x14ac:dyDescent="0.3">
      <c r="I11552" s="82"/>
      <c r="M11552" s="85"/>
    </row>
    <row r="11553" spans="9:13" x14ac:dyDescent="0.3">
      <c r="I11553" s="82"/>
      <c r="M11553" s="85"/>
    </row>
    <row r="11554" spans="9:13" x14ac:dyDescent="0.3">
      <c r="I11554" s="82"/>
      <c r="M11554" s="85"/>
    </row>
    <row r="11555" spans="9:13" x14ac:dyDescent="0.3">
      <c r="I11555" s="82"/>
      <c r="M11555" s="85"/>
    </row>
    <row r="11556" spans="9:13" x14ac:dyDescent="0.3">
      <c r="I11556" s="82"/>
      <c r="M11556" s="85"/>
    </row>
    <row r="11557" spans="9:13" x14ac:dyDescent="0.3">
      <c r="I11557" s="82"/>
      <c r="M11557" s="85"/>
    </row>
    <row r="11558" spans="9:13" x14ac:dyDescent="0.3">
      <c r="I11558" s="82"/>
      <c r="M11558" s="85"/>
    </row>
    <row r="11559" spans="9:13" x14ac:dyDescent="0.3">
      <c r="I11559" s="82"/>
      <c r="M11559" s="85"/>
    </row>
    <row r="11560" spans="9:13" x14ac:dyDescent="0.3">
      <c r="I11560" s="82"/>
      <c r="M11560" s="85"/>
    </row>
    <row r="11561" spans="9:13" x14ac:dyDescent="0.3">
      <c r="I11561" s="82"/>
      <c r="M11561" s="85"/>
    </row>
    <row r="11562" spans="9:13" x14ac:dyDescent="0.3">
      <c r="I11562" s="82"/>
      <c r="M11562" s="85"/>
    </row>
    <row r="11563" spans="9:13" x14ac:dyDescent="0.3">
      <c r="I11563" s="82"/>
      <c r="M11563" s="85"/>
    </row>
    <row r="11564" spans="9:13" x14ac:dyDescent="0.3">
      <c r="I11564" s="82"/>
      <c r="M11564" s="85"/>
    </row>
    <row r="11565" spans="9:13" x14ac:dyDescent="0.3">
      <c r="I11565" s="82"/>
      <c r="M11565" s="85"/>
    </row>
    <row r="11566" spans="9:13" x14ac:dyDescent="0.3">
      <c r="I11566" s="82"/>
      <c r="M11566" s="85"/>
    </row>
    <row r="11567" spans="9:13" x14ac:dyDescent="0.3">
      <c r="I11567" s="82"/>
      <c r="M11567" s="85"/>
    </row>
    <row r="11568" spans="9:13" x14ac:dyDescent="0.3">
      <c r="I11568" s="82"/>
      <c r="M11568" s="85"/>
    </row>
    <row r="11569" spans="9:13" x14ac:dyDescent="0.3">
      <c r="I11569" s="82"/>
      <c r="M11569" s="85"/>
    </row>
    <row r="11570" spans="9:13" x14ac:dyDescent="0.3">
      <c r="I11570" s="82"/>
      <c r="M11570" s="85"/>
    </row>
    <row r="11571" spans="9:13" x14ac:dyDescent="0.3">
      <c r="I11571" s="82"/>
      <c r="M11571" s="85"/>
    </row>
    <row r="11572" spans="9:13" x14ac:dyDescent="0.3">
      <c r="I11572" s="82"/>
      <c r="M11572" s="85"/>
    </row>
    <row r="11573" spans="9:13" x14ac:dyDescent="0.3">
      <c r="I11573" s="82"/>
      <c r="M11573" s="85"/>
    </row>
    <row r="11574" spans="9:13" x14ac:dyDescent="0.3">
      <c r="I11574" s="82"/>
      <c r="M11574" s="85"/>
    </row>
    <row r="11575" spans="9:13" x14ac:dyDescent="0.3">
      <c r="I11575" s="82"/>
      <c r="M11575" s="85"/>
    </row>
    <row r="11576" spans="9:13" x14ac:dyDescent="0.3">
      <c r="I11576" s="82"/>
      <c r="M11576" s="85"/>
    </row>
    <row r="11577" spans="9:13" x14ac:dyDescent="0.3">
      <c r="I11577" s="82"/>
      <c r="M11577" s="85"/>
    </row>
    <row r="11578" spans="9:13" x14ac:dyDescent="0.3">
      <c r="I11578" s="82"/>
      <c r="M11578" s="85"/>
    </row>
    <row r="11579" spans="9:13" x14ac:dyDescent="0.3">
      <c r="I11579" s="82"/>
      <c r="M11579" s="85"/>
    </row>
    <row r="11580" spans="9:13" x14ac:dyDescent="0.3">
      <c r="I11580" s="82"/>
      <c r="M11580" s="85"/>
    </row>
    <row r="11581" spans="9:13" x14ac:dyDescent="0.3">
      <c r="I11581" s="82"/>
      <c r="M11581" s="85"/>
    </row>
    <row r="11582" spans="9:13" x14ac:dyDescent="0.3">
      <c r="I11582" s="82"/>
      <c r="M11582" s="85"/>
    </row>
    <row r="11583" spans="9:13" x14ac:dyDescent="0.3">
      <c r="I11583" s="82"/>
      <c r="M11583" s="85"/>
    </row>
    <row r="11584" spans="9:13" x14ac:dyDescent="0.3">
      <c r="I11584" s="82"/>
      <c r="M11584" s="85"/>
    </row>
    <row r="11585" spans="9:13" x14ac:dyDescent="0.3">
      <c r="I11585" s="82"/>
      <c r="M11585" s="85"/>
    </row>
    <row r="11586" spans="9:13" x14ac:dyDescent="0.3">
      <c r="I11586" s="82"/>
      <c r="M11586" s="85"/>
    </row>
    <row r="11587" spans="9:13" x14ac:dyDescent="0.3">
      <c r="I11587" s="82"/>
      <c r="M11587" s="85"/>
    </row>
    <row r="11588" spans="9:13" x14ac:dyDescent="0.3">
      <c r="I11588" s="82"/>
      <c r="M11588" s="85"/>
    </row>
    <row r="11589" spans="9:13" x14ac:dyDescent="0.3">
      <c r="I11589" s="82"/>
      <c r="M11589" s="85"/>
    </row>
    <row r="11590" spans="9:13" x14ac:dyDescent="0.3">
      <c r="I11590" s="82"/>
      <c r="M11590" s="85"/>
    </row>
    <row r="11591" spans="9:13" x14ac:dyDescent="0.3">
      <c r="I11591" s="82"/>
      <c r="M11591" s="85"/>
    </row>
    <row r="11592" spans="9:13" x14ac:dyDescent="0.3">
      <c r="I11592" s="82"/>
      <c r="M11592" s="85"/>
    </row>
    <row r="11593" spans="9:13" x14ac:dyDescent="0.3">
      <c r="I11593" s="82"/>
      <c r="M11593" s="85"/>
    </row>
    <row r="11594" spans="9:13" x14ac:dyDescent="0.3">
      <c r="I11594" s="82"/>
      <c r="M11594" s="85"/>
    </row>
    <row r="11595" spans="9:13" x14ac:dyDescent="0.3">
      <c r="I11595" s="82"/>
      <c r="M11595" s="85"/>
    </row>
    <row r="11596" spans="9:13" x14ac:dyDescent="0.3">
      <c r="I11596" s="82"/>
      <c r="M11596" s="85"/>
    </row>
    <row r="11597" spans="9:13" x14ac:dyDescent="0.3">
      <c r="I11597" s="82"/>
      <c r="M11597" s="85"/>
    </row>
    <row r="11598" spans="9:13" x14ac:dyDescent="0.3">
      <c r="I11598" s="82"/>
      <c r="M11598" s="85"/>
    </row>
    <row r="11599" spans="9:13" x14ac:dyDescent="0.3">
      <c r="I11599" s="82"/>
      <c r="M11599" s="85"/>
    </row>
    <row r="11600" spans="9:13" x14ac:dyDescent="0.3">
      <c r="I11600" s="82"/>
      <c r="M11600" s="85"/>
    </row>
    <row r="11601" spans="9:13" x14ac:dyDescent="0.3">
      <c r="I11601" s="82"/>
      <c r="M11601" s="85"/>
    </row>
    <row r="11602" spans="9:13" x14ac:dyDescent="0.3">
      <c r="I11602" s="82"/>
      <c r="M11602" s="85"/>
    </row>
    <row r="11603" spans="9:13" x14ac:dyDescent="0.3">
      <c r="I11603" s="82"/>
      <c r="M11603" s="85"/>
    </row>
    <row r="11604" spans="9:13" x14ac:dyDescent="0.3">
      <c r="I11604" s="82"/>
      <c r="M11604" s="85"/>
    </row>
    <row r="11605" spans="9:13" x14ac:dyDescent="0.3">
      <c r="I11605" s="82"/>
      <c r="M11605" s="85"/>
    </row>
    <row r="11606" spans="9:13" x14ac:dyDescent="0.3">
      <c r="I11606" s="82"/>
      <c r="M11606" s="85"/>
    </row>
    <row r="11607" spans="9:13" x14ac:dyDescent="0.3">
      <c r="I11607" s="82"/>
      <c r="M11607" s="85"/>
    </row>
    <row r="11608" spans="9:13" x14ac:dyDescent="0.3">
      <c r="I11608" s="82"/>
      <c r="M11608" s="85"/>
    </row>
    <row r="11609" spans="9:13" x14ac:dyDescent="0.3">
      <c r="I11609" s="82"/>
      <c r="M11609" s="85"/>
    </row>
    <row r="11610" spans="9:13" x14ac:dyDescent="0.3">
      <c r="I11610" s="82"/>
      <c r="M11610" s="85"/>
    </row>
    <row r="11611" spans="9:13" x14ac:dyDescent="0.3">
      <c r="I11611" s="82"/>
      <c r="M11611" s="85"/>
    </row>
    <row r="11612" spans="9:13" x14ac:dyDescent="0.3">
      <c r="I11612" s="82"/>
      <c r="M11612" s="85"/>
    </row>
    <row r="11613" spans="9:13" x14ac:dyDescent="0.3">
      <c r="I11613" s="82"/>
      <c r="M11613" s="85"/>
    </row>
    <row r="11614" spans="9:13" x14ac:dyDescent="0.3">
      <c r="I11614" s="82"/>
      <c r="M11614" s="85"/>
    </row>
    <row r="11615" spans="9:13" x14ac:dyDescent="0.3">
      <c r="I11615" s="82"/>
      <c r="M11615" s="85"/>
    </row>
    <row r="11616" spans="9:13" x14ac:dyDescent="0.3">
      <c r="I11616" s="82"/>
      <c r="M11616" s="85"/>
    </row>
    <row r="11617" spans="9:13" x14ac:dyDescent="0.3">
      <c r="I11617" s="82"/>
      <c r="M11617" s="85"/>
    </row>
    <row r="11618" spans="9:13" x14ac:dyDescent="0.3">
      <c r="I11618" s="82"/>
      <c r="M11618" s="85"/>
    </row>
    <row r="11619" spans="9:13" x14ac:dyDescent="0.3">
      <c r="I11619" s="82"/>
      <c r="M11619" s="85"/>
    </row>
    <row r="11620" spans="9:13" x14ac:dyDescent="0.3">
      <c r="I11620" s="82"/>
      <c r="M11620" s="85"/>
    </row>
    <row r="11621" spans="9:13" x14ac:dyDescent="0.3">
      <c r="I11621" s="82"/>
      <c r="M11621" s="85"/>
    </row>
    <row r="11622" spans="9:13" x14ac:dyDescent="0.3">
      <c r="I11622" s="82"/>
      <c r="M11622" s="85"/>
    </row>
    <row r="11623" spans="9:13" x14ac:dyDescent="0.3">
      <c r="I11623" s="82"/>
      <c r="M11623" s="85"/>
    </row>
    <row r="11624" spans="9:13" x14ac:dyDescent="0.3">
      <c r="I11624" s="82"/>
      <c r="M11624" s="85"/>
    </row>
    <row r="11625" spans="9:13" x14ac:dyDescent="0.3">
      <c r="I11625" s="82"/>
      <c r="M11625" s="85"/>
    </row>
    <row r="11626" spans="9:13" x14ac:dyDescent="0.3">
      <c r="I11626" s="82"/>
      <c r="M11626" s="85"/>
    </row>
    <row r="11627" spans="9:13" x14ac:dyDescent="0.3">
      <c r="I11627" s="82"/>
      <c r="M11627" s="85"/>
    </row>
    <row r="11628" spans="9:13" x14ac:dyDescent="0.3">
      <c r="I11628" s="82"/>
      <c r="M11628" s="85"/>
    </row>
    <row r="11629" spans="9:13" x14ac:dyDescent="0.3">
      <c r="I11629" s="82"/>
      <c r="M11629" s="85"/>
    </row>
    <row r="11630" spans="9:13" x14ac:dyDescent="0.3">
      <c r="I11630" s="82"/>
      <c r="M11630" s="85"/>
    </row>
    <row r="11631" spans="9:13" x14ac:dyDescent="0.3">
      <c r="I11631" s="82"/>
      <c r="M11631" s="85"/>
    </row>
    <row r="11632" spans="9:13" x14ac:dyDescent="0.3">
      <c r="I11632" s="82"/>
      <c r="M11632" s="85"/>
    </row>
    <row r="11633" spans="9:13" x14ac:dyDescent="0.3">
      <c r="I11633" s="82"/>
      <c r="M11633" s="85"/>
    </row>
    <row r="11634" spans="9:13" x14ac:dyDescent="0.3">
      <c r="I11634" s="82"/>
      <c r="M11634" s="85"/>
    </row>
    <row r="11635" spans="9:13" x14ac:dyDescent="0.3">
      <c r="I11635" s="82"/>
      <c r="M11635" s="85"/>
    </row>
    <row r="11636" spans="9:13" x14ac:dyDescent="0.3">
      <c r="I11636" s="82"/>
      <c r="M11636" s="85"/>
    </row>
    <row r="11637" spans="9:13" x14ac:dyDescent="0.3">
      <c r="I11637" s="82"/>
      <c r="M11637" s="85"/>
    </row>
    <row r="11638" spans="9:13" x14ac:dyDescent="0.3">
      <c r="I11638" s="82"/>
      <c r="M11638" s="85"/>
    </row>
    <row r="11639" spans="9:13" x14ac:dyDescent="0.3">
      <c r="I11639" s="82"/>
      <c r="M11639" s="85"/>
    </row>
    <row r="11640" spans="9:13" x14ac:dyDescent="0.3">
      <c r="I11640" s="82"/>
      <c r="M11640" s="85"/>
    </row>
    <row r="11641" spans="9:13" x14ac:dyDescent="0.3">
      <c r="I11641" s="82"/>
      <c r="M11641" s="85"/>
    </row>
    <row r="11642" spans="9:13" x14ac:dyDescent="0.3">
      <c r="I11642" s="82"/>
      <c r="M11642" s="85"/>
    </row>
    <row r="11643" spans="9:13" x14ac:dyDescent="0.3">
      <c r="I11643" s="82"/>
      <c r="M11643" s="85"/>
    </row>
    <row r="11644" spans="9:13" x14ac:dyDescent="0.3">
      <c r="I11644" s="82"/>
      <c r="M11644" s="85"/>
    </row>
    <row r="11645" spans="9:13" x14ac:dyDescent="0.3">
      <c r="I11645" s="82"/>
      <c r="M11645" s="85"/>
    </row>
    <row r="11646" spans="9:13" x14ac:dyDescent="0.3">
      <c r="I11646" s="82"/>
      <c r="M11646" s="85"/>
    </row>
    <row r="11647" spans="9:13" x14ac:dyDescent="0.3">
      <c r="I11647" s="82"/>
      <c r="M11647" s="85"/>
    </row>
    <row r="11648" spans="9:13" x14ac:dyDescent="0.3">
      <c r="I11648" s="82"/>
      <c r="M11648" s="85"/>
    </row>
    <row r="11649" spans="9:13" x14ac:dyDescent="0.3">
      <c r="I11649" s="82"/>
      <c r="M11649" s="85"/>
    </row>
    <row r="11650" spans="9:13" x14ac:dyDescent="0.3">
      <c r="I11650" s="82"/>
      <c r="M11650" s="85"/>
    </row>
    <row r="11651" spans="9:13" x14ac:dyDescent="0.3">
      <c r="I11651" s="82"/>
      <c r="M11651" s="85"/>
    </row>
    <row r="11652" spans="9:13" x14ac:dyDescent="0.3">
      <c r="I11652" s="82"/>
      <c r="M11652" s="85"/>
    </row>
    <row r="11653" spans="9:13" x14ac:dyDescent="0.3">
      <c r="I11653" s="82"/>
      <c r="M11653" s="85"/>
    </row>
    <row r="11654" spans="9:13" x14ac:dyDescent="0.3">
      <c r="I11654" s="82"/>
      <c r="M11654" s="85"/>
    </row>
    <row r="11655" spans="9:13" x14ac:dyDescent="0.3">
      <c r="I11655" s="82"/>
      <c r="M11655" s="85"/>
    </row>
    <row r="11656" spans="9:13" x14ac:dyDescent="0.3">
      <c r="I11656" s="82"/>
      <c r="M11656" s="85"/>
    </row>
    <row r="11657" spans="9:13" x14ac:dyDescent="0.3">
      <c r="I11657" s="82"/>
      <c r="M11657" s="85"/>
    </row>
    <row r="11658" spans="9:13" x14ac:dyDescent="0.3">
      <c r="I11658" s="82"/>
      <c r="M11658" s="85"/>
    </row>
    <row r="11659" spans="9:13" x14ac:dyDescent="0.3">
      <c r="I11659" s="82"/>
      <c r="M11659" s="85"/>
    </row>
    <row r="11660" spans="9:13" x14ac:dyDescent="0.3">
      <c r="I11660" s="82"/>
      <c r="M11660" s="85"/>
    </row>
    <row r="11661" spans="9:13" x14ac:dyDescent="0.3">
      <c r="I11661" s="82"/>
      <c r="M11661" s="85"/>
    </row>
    <row r="11662" spans="9:13" x14ac:dyDescent="0.3">
      <c r="I11662" s="82"/>
      <c r="M11662" s="85"/>
    </row>
    <row r="11663" spans="9:13" x14ac:dyDescent="0.3">
      <c r="I11663" s="82"/>
      <c r="M11663" s="85"/>
    </row>
    <row r="11664" spans="9:13" x14ac:dyDescent="0.3">
      <c r="I11664" s="82"/>
      <c r="M11664" s="85"/>
    </row>
    <row r="11665" spans="9:13" x14ac:dyDescent="0.3">
      <c r="I11665" s="82"/>
      <c r="M11665" s="85"/>
    </row>
    <row r="11666" spans="9:13" x14ac:dyDescent="0.3">
      <c r="I11666" s="82"/>
      <c r="M11666" s="85"/>
    </row>
    <row r="11667" spans="9:13" x14ac:dyDescent="0.3">
      <c r="I11667" s="82"/>
      <c r="M11667" s="85"/>
    </row>
    <row r="11668" spans="9:13" x14ac:dyDescent="0.3">
      <c r="I11668" s="82"/>
      <c r="M11668" s="85"/>
    </row>
    <row r="11669" spans="9:13" x14ac:dyDescent="0.3">
      <c r="I11669" s="82"/>
      <c r="M11669" s="85"/>
    </row>
    <row r="11670" spans="9:13" x14ac:dyDescent="0.3">
      <c r="I11670" s="82"/>
      <c r="M11670" s="85"/>
    </row>
    <row r="11671" spans="9:13" x14ac:dyDescent="0.3">
      <c r="I11671" s="82"/>
      <c r="M11671" s="85"/>
    </row>
    <row r="11672" spans="9:13" x14ac:dyDescent="0.3">
      <c r="I11672" s="82"/>
      <c r="M11672" s="85"/>
    </row>
    <row r="11673" spans="9:13" x14ac:dyDescent="0.3">
      <c r="I11673" s="82"/>
      <c r="M11673" s="85"/>
    </row>
    <row r="11674" spans="9:13" x14ac:dyDescent="0.3">
      <c r="I11674" s="82"/>
      <c r="M11674" s="85"/>
    </row>
    <row r="11675" spans="9:13" x14ac:dyDescent="0.3">
      <c r="I11675" s="82"/>
      <c r="M11675" s="85"/>
    </row>
    <row r="11676" spans="9:13" x14ac:dyDescent="0.3">
      <c r="I11676" s="82"/>
      <c r="M11676" s="85"/>
    </row>
    <row r="11677" spans="9:13" x14ac:dyDescent="0.3">
      <c r="I11677" s="82"/>
      <c r="M11677" s="85"/>
    </row>
    <row r="11678" spans="9:13" x14ac:dyDescent="0.3">
      <c r="I11678" s="82"/>
      <c r="M11678" s="85"/>
    </row>
    <row r="11679" spans="9:13" x14ac:dyDescent="0.3">
      <c r="I11679" s="82"/>
      <c r="M11679" s="85"/>
    </row>
    <row r="11680" spans="9:13" x14ac:dyDescent="0.3">
      <c r="I11680" s="82"/>
      <c r="M11680" s="85"/>
    </row>
    <row r="11681" spans="9:13" x14ac:dyDescent="0.3">
      <c r="I11681" s="82"/>
      <c r="M11681" s="85"/>
    </row>
    <row r="11682" spans="9:13" x14ac:dyDescent="0.3">
      <c r="I11682" s="82"/>
      <c r="M11682" s="85"/>
    </row>
    <row r="11683" spans="9:13" x14ac:dyDescent="0.3">
      <c r="I11683" s="82"/>
      <c r="M11683" s="85"/>
    </row>
    <row r="11684" spans="9:13" x14ac:dyDescent="0.3">
      <c r="I11684" s="82"/>
      <c r="M11684" s="85"/>
    </row>
    <row r="11685" spans="9:13" x14ac:dyDescent="0.3">
      <c r="I11685" s="82"/>
      <c r="M11685" s="85"/>
    </row>
    <row r="11686" spans="9:13" x14ac:dyDescent="0.3">
      <c r="I11686" s="82"/>
      <c r="M11686" s="85"/>
    </row>
    <row r="11687" spans="9:13" x14ac:dyDescent="0.3">
      <c r="I11687" s="82"/>
      <c r="M11687" s="85"/>
    </row>
    <row r="11688" spans="9:13" x14ac:dyDescent="0.3">
      <c r="I11688" s="82"/>
      <c r="M11688" s="85"/>
    </row>
    <row r="11689" spans="9:13" x14ac:dyDescent="0.3">
      <c r="I11689" s="82"/>
      <c r="M11689" s="85"/>
    </row>
    <row r="11690" spans="9:13" x14ac:dyDescent="0.3">
      <c r="I11690" s="82"/>
      <c r="M11690" s="85"/>
    </row>
    <row r="11691" spans="9:13" x14ac:dyDescent="0.3">
      <c r="I11691" s="82"/>
      <c r="M11691" s="85"/>
    </row>
    <row r="11692" spans="9:13" x14ac:dyDescent="0.3">
      <c r="I11692" s="82"/>
      <c r="M11692" s="85"/>
    </row>
    <row r="11693" spans="9:13" x14ac:dyDescent="0.3">
      <c r="I11693" s="82"/>
      <c r="M11693" s="85"/>
    </row>
    <row r="11694" spans="9:13" x14ac:dyDescent="0.3">
      <c r="I11694" s="82"/>
      <c r="M11694" s="85"/>
    </row>
    <row r="11695" spans="9:13" x14ac:dyDescent="0.3">
      <c r="I11695" s="82"/>
      <c r="M11695" s="85"/>
    </row>
    <row r="11696" spans="9:13" x14ac:dyDescent="0.3">
      <c r="I11696" s="82"/>
      <c r="M11696" s="85"/>
    </row>
    <row r="11697" spans="9:13" x14ac:dyDescent="0.3">
      <c r="I11697" s="82"/>
      <c r="M11697" s="85"/>
    </row>
    <row r="11698" spans="9:13" x14ac:dyDescent="0.3">
      <c r="I11698" s="82"/>
      <c r="M11698" s="85"/>
    </row>
    <row r="11699" spans="9:13" x14ac:dyDescent="0.3">
      <c r="I11699" s="82"/>
      <c r="M11699" s="85"/>
    </row>
    <row r="11700" spans="9:13" x14ac:dyDescent="0.3">
      <c r="I11700" s="82"/>
      <c r="M11700" s="85"/>
    </row>
    <row r="11701" spans="9:13" x14ac:dyDescent="0.3">
      <c r="I11701" s="82"/>
      <c r="M11701" s="85"/>
    </row>
    <row r="11702" spans="9:13" x14ac:dyDescent="0.3">
      <c r="I11702" s="82"/>
      <c r="M11702" s="85"/>
    </row>
    <row r="11703" spans="9:13" x14ac:dyDescent="0.3">
      <c r="I11703" s="82"/>
      <c r="M11703" s="85"/>
    </row>
    <row r="11704" spans="9:13" x14ac:dyDescent="0.3">
      <c r="I11704" s="82"/>
      <c r="M11704" s="85"/>
    </row>
    <row r="11705" spans="9:13" x14ac:dyDescent="0.3">
      <c r="I11705" s="82"/>
      <c r="M11705" s="85"/>
    </row>
    <row r="11706" spans="9:13" x14ac:dyDescent="0.3">
      <c r="I11706" s="82"/>
      <c r="M11706" s="85"/>
    </row>
    <row r="11707" spans="9:13" x14ac:dyDescent="0.3">
      <c r="I11707" s="82"/>
      <c r="M11707" s="85"/>
    </row>
    <row r="11708" spans="9:13" x14ac:dyDescent="0.3">
      <c r="I11708" s="82"/>
      <c r="M11708" s="85"/>
    </row>
    <row r="11709" spans="9:13" x14ac:dyDescent="0.3">
      <c r="I11709" s="82"/>
      <c r="M11709" s="85"/>
    </row>
    <row r="11710" spans="9:13" x14ac:dyDescent="0.3">
      <c r="I11710" s="82"/>
      <c r="M11710" s="85"/>
    </row>
    <row r="11711" spans="9:13" x14ac:dyDescent="0.3">
      <c r="I11711" s="82"/>
      <c r="M11711" s="85"/>
    </row>
    <row r="11712" spans="9:13" x14ac:dyDescent="0.3">
      <c r="I11712" s="82"/>
      <c r="M11712" s="85"/>
    </row>
    <row r="11713" spans="9:13" x14ac:dyDescent="0.3">
      <c r="I11713" s="82"/>
      <c r="M11713" s="85"/>
    </row>
    <row r="11714" spans="9:13" x14ac:dyDescent="0.3">
      <c r="I11714" s="82"/>
      <c r="M11714" s="85"/>
    </row>
    <row r="11715" spans="9:13" x14ac:dyDescent="0.3">
      <c r="I11715" s="82"/>
      <c r="M11715" s="85"/>
    </row>
    <row r="11716" spans="9:13" x14ac:dyDescent="0.3">
      <c r="I11716" s="82"/>
      <c r="M11716" s="85"/>
    </row>
    <row r="11717" spans="9:13" x14ac:dyDescent="0.3">
      <c r="I11717" s="82"/>
      <c r="M11717" s="85"/>
    </row>
    <row r="11718" spans="9:13" x14ac:dyDescent="0.3">
      <c r="I11718" s="82"/>
      <c r="M11718" s="85"/>
    </row>
    <row r="11719" spans="9:13" x14ac:dyDescent="0.3">
      <c r="I11719" s="82"/>
      <c r="M11719" s="85"/>
    </row>
    <row r="11720" spans="9:13" x14ac:dyDescent="0.3">
      <c r="I11720" s="82"/>
      <c r="M11720" s="85"/>
    </row>
    <row r="11721" spans="9:13" x14ac:dyDescent="0.3">
      <c r="I11721" s="82"/>
      <c r="M11721" s="85"/>
    </row>
    <row r="11722" spans="9:13" x14ac:dyDescent="0.3">
      <c r="I11722" s="82"/>
      <c r="M11722" s="85"/>
    </row>
    <row r="11723" spans="9:13" x14ac:dyDescent="0.3">
      <c r="I11723" s="82"/>
      <c r="M11723" s="85"/>
    </row>
    <row r="11724" spans="9:13" x14ac:dyDescent="0.3">
      <c r="I11724" s="82"/>
      <c r="M11724" s="85"/>
    </row>
    <row r="11725" spans="9:13" x14ac:dyDescent="0.3">
      <c r="I11725" s="82"/>
      <c r="M11725" s="85"/>
    </row>
    <row r="11726" spans="9:13" x14ac:dyDescent="0.3">
      <c r="I11726" s="82"/>
      <c r="M11726" s="85"/>
    </row>
    <row r="11727" spans="9:13" x14ac:dyDescent="0.3">
      <c r="I11727" s="82"/>
      <c r="M11727" s="85"/>
    </row>
    <row r="11728" spans="9:13" x14ac:dyDescent="0.3">
      <c r="I11728" s="82"/>
      <c r="M11728" s="85"/>
    </row>
    <row r="11729" spans="9:13" x14ac:dyDescent="0.3">
      <c r="I11729" s="82"/>
      <c r="M11729" s="85"/>
    </row>
    <row r="11730" spans="9:13" x14ac:dyDescent="0.3">
      <c r="I11730" s="82"/>
      <c r="M11730" s="85"/>
    </row>
    <row r="11731" spans="9:13" x14ac:dyDescent="0.3">
      <c r="I11731" s="82"/>
      <c r="M11731" s="85"/>
    </row>
    <row r="11732" spans="9:13" x14ac:dyDescent="0.3">
      <c r="I11732" s="82"/>
      <c r="M11732" s="85"/>
    </row>
    <row r="11733" spans="9:13" x14ac:dyDescent="0.3">
      <c r="I11733" s="82"/>
      <c r="M11733" s="85"/>
    </row>
    <row r="11734" spans="9:13" x14ac:dyDescent="0.3">
      <c r="I11734" s="82"/>
      <c r="M11734" s="85"/>
    </row>
    <row r="11735" spans="9:13" x14ac:dyDescent="0.3">
      <c r="I11735" s="82"/>
      <c r="M11735" s="85"/>
    </row>
    <row r="11736" spans="9:13" x14ac:dyDescent="0.3">
      <c r="I11736" s="82"/>
      <c r="M11736" s="85"/>
    </row>
    <row r="11737" spans="9:13" x14ac:dyDescent="0.3">
      <c r="I11737" s="82"/>
      <c r="M11737" s="85"/>
    </row>
    <row r="11738" spans="9:13" x14ac:dyDescent="0.3">
      <c r="I11738" s="82"/>
      <c r="M11738" s="85"/>
    </row>
    <row r="11739" spans="9:13" x14ac:dyDescent="0.3">
      <c r="I11739" s="82"/>
      <c r="M11739" s="85"/>
    </row>
    <row r="11740" spans="9:13" x14ac:dyDescent="0.3">
      <c r="I11740" s="82"/>
      <c r="M11740" s="85"/>
    </row>
    <row r="11741" spans="9:13" x14ac:dyDescent="0.3">
      <c r="I11741" s="82"/>
      <c r="M11741" s="85"/>
    </row>
    <row r="11742" spans="9:13" x14ac:dyDescent="0.3">
      <c r="I11742" s="82"/>
      <c r="M11742" s="85"/>
    </row>
    <row r="11743" spans="9:13" x14ac:dyDescent="0.3">
      <c r="I11743" s="82"/>
      <c r="M11743" s="85"/>
    </row>
    <row r="11744" spans="9:13" x14ac:dyDescent="0.3">
      <c r="I11744" s="82"/>
      <c r="M11744" s="85"/>
    </row>
    <row r="11745" spans="9:13" x14ac:dyDescent="0.3">
      <c r="I11745" s="82"/>
      <c r="M11745" s="85"/>
    </row>
    <row r="11746" spans="9:13" x14ac:dyDescent="0.3">
      <c r="I11746" s="82"/>
      <c r="M11746" s="85"/>
    </row>
    <row r="11747" spans="9:13" x14ac:dyDescent="0.3">
      <c r="I11747" s="82"/>
      <c r="M11747" s="85"/>
    </row>
    <row r="11748" spans="9:13" x14ac:dyDescent="0.3">
      <c r="I11748" s="82"/>
      <c r="M11748" s="85"/>
    </row>
    <row r="11749" spans="9:13" x14ac:dyDescent="0.3">
      <c r="I11749" s="82"/>
      <c r="M11749" s="85"/>
    </row>
    <row r="11750" spans="9:13" x14ac:dyDescent="0.3">
      <c r="I11750" s="82"/>
      <c r="M11750" s="85"/>
    </row>
    <row r="11751" spans="9:13" x14ac:dyDescent="0.3">
      <c r="I11751" s="82"/>
      <c r="M11751" s="85"/>
    </row>
    <row r="11752" spans="9:13" x14ac:dyDescent="0.3">
      <c r="I11752" s="82"/>
      <c r="M11752" s="85"/>
    </row>
    <row r="11753" spans="9:13" x14ac:dyDescent="0.3">
      <c r="I11753" s="82"/>
      <c r="M11753" s="85"/>
    </row>
    <row r="11754" spans="9:13" x14ac:dyDescent="0.3">
      <c r="I11754" s="82"/>
      <c r="M11754" s="85"/>
    </row>
    <row r="11755" spans="9:13" x14ac:dyDescent="0.3">
      <c r="I11755" s="82"/>
      <c r="M11755" s="85"/>
    </row>
    <row r="11756" spans="9:13" x14ac:dyDescent="0.3">
      <c r="I11756" s="82"/>
      <c r="M11756" s="85"/>
    </row>
    <row r="11757" spans="9:13" x14ac:dyDescent="0.3">
      <c r="I11757" s="82"/>
      <c r="M11757" s="85"/>
    </row>
    <row r="11758" spans="9:13" x14ac:dyDescent="0.3">
      <c r="I11758" s="82"/>
      <c r="M11758" s="85"/>
    </row>
    <row r="11759" spans="9:13" x14ac:dyDescent="0.3">
      <c r="I11759" s="82"/>
      <c r="M11759" s="85"/>
    </row>
    <row r="11760" spans="9:13" x14ac:dyDescent="0.3">
      <c r="I11760" s="82"/>
      <c r="M11760" s="85"/>
    </row>
    <row r="11761" spans="9:13" x14ac:dyDescent="0.3">
      <c r="I11761" s="82"/>
      <c r="M11761" s="85"/>
    </row>
    <row r="11762" spans="9:13" x14ac:dyDescent="0.3">
      <c r="I11762" s="82"/>
      <c r="M11762" s="85"/>
    </row>
    <row r="11763" spans="9:13" x14ac:dyDescent="0.3">
      <c r="I11763" s="82"/>
      <c r="M11763" s="85"/>
    </row>
    <row r="11764" spans="9:13" x14ac:dyDescent="0.3">
      <c r="I11764" s="82"/>
      <c r="M11764" s="85"/>
    </row>
    <row r="11765" spans="9:13" x14ac:dyDescent="0.3">
      <c r="I11765" s="82"/>
      <c r="M11765" s="85"/>
    </row>
    <row r="11766" spans="9:13" x14ac:dyDescent="0.3">
      <c r="I11766" s="82"/>
      <c r="M11766" s="85"/>
    </row>
    <row r="11767" spans="9:13" x14ac:dyDescent="0.3">
      <c r="I11767" s="82"/>
      <c r="M11767" s="85"/>
    </row>
    <row r="11768" spans="9:13" x14ac:dyDescent="0.3">
      <c r="I11768" s="82"/>
      <c r="M11768" s="85"/>
    </row>
    <row r="11769" spans="9:13" x14ac:dyDescent="0.3">
      <c r="I11769" s="82"/>
      <c r="M11769" s="85"/>
    </row>
    <row r="11770" spans="9:13" x14ac:dyDescent="0.3">
      <c r="I11770" s="82"/>
      <c r="M11770" s="85"/>
    </row>
    <row r="11771" spans="9:13" x14ac:dyDescent="0.3">
      <c r="I11771" s="82"/>
      <c r="M11771" s="85"/>
    </row>
    <row r="11772" spans="9:13" x14ac:dyDescent="0.3">
      <c r="I11772" s="82"/>
      <c r="M11772" s="85"/>
    </row>
    <row r="11773" spans="9:13" x14ac:dyDescent="0.3">
      <c r="I11773" s="82"/>
      <c r="M11773" s="85"/>
    </row>
    <row r="11774" spans="9:13" x14ac:dyDescent="0.3">
      <c r="I11774" s="82"/>
      <c r="M11774" s="85"/>
    </row>
    <row r="11775" spans="9:13" x14ac:dyDescent="0.3">
      <c r="I11775" s="82"/>
      <c r="M11775" s="85"/>
    </row>
    <row r="11776" spans="9:13" x14ac:dyDescent="0.3">
      <c r="I11776" s="82"/>
      <c r="M11776" s="85"/>
    </row>
    <row r="11777" spans="9:13" x14ac:dyDescent="0.3">
      <c r="I11777" s="82"/>
      <c r="M11777" s="85"/>
    </row>
    <row r="11778" spans="9:13" x14ac:dyDescent="0.3">
      <c r="I11778" s="82"/>
      <c r="M11778" s="85"/>
    </row>
    <row r="11779" spans="9:13" x14ac:dyDescent="0.3">
      <c r="I11779" s="82"/>
      <c r="M11779" s="85"/>
    </row>
    <row r="11780" spans="9:13" x14ac:dyDescent="0.3">
      <c r="I11780" s="82"/>
      <c r="M11780" s="85"/>
    </row>
    <row r="11781" spans="9:13" x14ac:dyDescent="0.3">
      <c r="I11781" s="82"/>
      <c r="M11781" s="85"/>
    </row>
    <row r="11782" spans="9:13" x14ac:dyDescent="0.3">
      <c r="I11782" s="82"/>
      <c r="M11782" s="85"/>
    </row>
    <row r="11783" spans="9:13" x14ac:dyDescent="0.3">
      <c r="I11783" s="82"/>
      <c r="M11783" s="85"/>
    </row>
    <row r="11784" spans="9:13" x14ac:dyDescent="0.3">
      <c r="I11784" s="82"/>
      <c r="M11784" s="85"/>
    </row>
    <row r="11785" spans="9:13" x14ac:dyDescent="0.3">
      <c r="I11785" s="82"/>
      <c r="M11785" s="85"/>
    </row>
    <row r="11786" spans="9:13" x14ac:dyDescent="0.3">
      <c r="I11786" s="82"/>
      <c r="M11786" s="85"/>
    </row>
    <row r="11787" spans="9:13" x14ac:dyDescent="0.3">
      <c r="I11787" s="82"/>
      <c r="M11787" s="85"/>
    </row>
    <row r="11788" spans="9:13" x14ac:dyDescent="0.3">
      <c r="I11788" s="82"/>
      <c r="M11788" s="85"/>
    </row>
    <row r="11789" spans="9:13" x14ac:dyDescent="0.3">
      <c r="I11789" s="82"/>
      <c r="M11789" s="85"/>
    </row>
    <row r="11790" spans="9:13" x14ac:dyDescent="0.3">
      <c r="I11790" s="82"/>
      <c r="M11790" s="85"/>
    </row>
    <row r="11791" spans="9:13" x14ac:dyDescent="0.3">
      <c r="I11791" s="82"/>
      <c r="M11791" s="85"/>
    </row>
    <row r="11792" spans="9:13" x14ac:dyDescent="0.3">
      <c r="I11792" s="82"/>
      <c r="M11792" s="85"/>
    </row>
    <row r="11793" spans="9:13" x14ac:dyDescent="0.3">
      <c r="I11793" s="82"/>
      <c r="M11793" s="85"/>
    </row>
    <row r="11794" spans="9:13" x14ac:dyDescent="0.3">
      <c r="I11794" s="82"/>
      <c r="M11794" s="85"/>
    </row>
    <row r="11795" spans="9:13" x14ac:dyDescent="0.3">
      <c r="I11795" s="82"/>
      <c r="M11795" s="85"/>
    </row>
    <row r="11796" spans="9:13" x14ac:dyDescent="0.3">
      <c r="I11796" s="82"/>
      <c r="M11796" s="85"/>
    </row>
    <row r="11797" spans="9:13" x14ac:dyDescent="0.3">
      <c r="I11797" s="82"/>
      <c r="M11797" s="85"/>
    </row>
    <row r="11798" spans="9:13" x14ac:dyDescent="0.3">
      <c r="I11798" s="82"/>
      <c r="M11798" s="85"/>
    </row>
    <row r="11799" spans="9:13" x14ac:dyDescent="0.3">
      <c r="I11799" s="82"/>
      <c r="M11799" s="85"/>
    </row>
    <row r="11800" spans="9:13" x14ac:dyDescent="0.3">
      <c r="I11800" s="82"/>
      <c r="M11800" s="85"/>
    </row>
    <row r="11801" spans="9:13" x14ac:dyDescent="0.3">
      <c r="I11801" s="82"/>
      <c r="M11801" s="85"/>
    </row>
    <row r="11802" spans="9:13" x14ac:dyDescent="0.3">
      <c r="I11802" s="82"/>
      <c r="M11802" s="85"/>
    </row>
    <row r="11803" spans="9:13" x14ac:dyDescent="0.3">
      <c r="I11803" s="82"/>
      <c r="M11803" s="85"/>
    </row>
    <row r="11804" spans="9:13" x14ac:dyDescent="0.3">
      <c r="I11804" s="82"/>
      <c r="M11804" s="85"/>
    </row>
    <row r="11805" spans="9:13" x14ac:dyDescent="0.3">
      <c r="I11805" s="82"/>
      <c r="M11805" s="85"/>
    </row>
    <row r="11806" spans="9:13" x14ac:dyDescent="0.3">
      <c r="I11806" s="82"/>
      <c r="M11806" s="85"/>
    </row>
    <row r="11807" spans="9:13" x14ac:dyDescent="0.3">
      <c r="I11807" s="82"/>
      <c r="M11807" s="85"/>
    </row>
    <row r="11808" spans="9:13" x14ac:dyDescent="0.3">
      <c r="I11808" s="82"/>
      <c r="M11808" s="85"/>
    </row>
    <row r="11809" spans="9:13" x14ac:dyDescent="0.3">
      <c r="I11809" s="82"/>
      <c r="M11809" s="85"/>
    </row>
    <row r="11810" spans="9:13" x14ac:dyDescent="0.3">
      <c r="I11810" s="82"/>
      <c r="M11810" s="85"/>
    </row>
    <row r="11811" spans="9:13" x14ac:dyDescent="0.3">
      <c r="I11811" s="82"/>
      <c r="M11811" s="85"/>
    </row>
    <row r="11812" spans="9:13" x14ac:dyDescent="0.3">
      <c r="I11812" s="82"/>
      <c r="M11812" s="85"/>
    </row>
    <row r="11813" spans="9:13" x14ac:dyDescent="0.3">
      <c r="I11813" s="82"/>
      <c r="M11813" s="85"/>
    </row>
    <row r="11814" spans="9:13" x14ac:dyDescent="0.3">
      <c r="I11814" s="82"/>
      <c r="M11814" s="85"/>
    </row>
    <row r="11815" spans="9:13" x14ac:dyDescent="0.3">
      <c r="I11815" s="82"/>
      <c r="M11815" s="85"/>
    </row>
    <row r="11816" spans="9:13" x14ac:dyDescent="0.3">
      <c r="I11816" s="82"/>
      <c r="M11816" s="85"/>
    </row>
    <row r="11817" spans="9:13" x14ac:dyDescent="0.3">
      <c r="I11817" s="82"/>
      <c r="M11817" s="85"/>
    </row>
    <row r="11818" spans="9:13" x14ac:dyDescent="0.3">
      <c r="I11818" s="82"/>
      <c r="M11818" s="85"/>
    </row>
    <row r="11819" spans="9:13" x14ac:dyDescent="0.3">
      <c r="I11819" s="82"/>
      <c r="M11819" s="85"/>
    </row>
    <row r="11820" spans="9:13" x14ac:dyDescent="0.3">
      <c r="I11820" s="82"/>
      <c r="M11820" s="85"/>
    </row>
    <row r="11821" spans="9:13" x14ac:dyDescent="0.3">
      <c r="I11821" s="82"/>
      <c r="M11821" s="85"/>
    </row>
    <row r="11822" spans="9:13" x14ac:dyDescent="0.3">
      <c r="I11822" s="82"/>
      <c r="M11822" s="85"/>
    </row>
    <row r="11823" spans="9:13" x14ac:dyDescent="0.3">
      <c r="I11823" s="82"/>
      <c r="M11823" s="85"/>
    </row>
    <row r="11824" spans="9:13" x14ac:dyDescent="0.3">
      <c r="I11824" s="82"/>
      <c r="M11824" s="85"/>
    </row>
    <row r="11825" spans="9:13" x14ac:dyDescent="0.3">
      <c r="I11825" s="82"/>
      <c r="M11825" s="85"/>
    </row>
    <row r="11826" spans="9:13" x14ac:dyDescent="0.3">
      <c r="I11826" s="82"/>
      <c r="M11826" s="85"/>
    </row>
    <row r="11827" spans="9:13" x14ac:dyDescent="0.3">
      <c r="I11827" s="82"/>
      <c r="M11827" s="85"/>
    </row>
    <row r="11828" spans="9:13" x14ac:dyDescent="0.3">
      <c r="I11828" s="82"/>
      <c r="M11828" s="85"/>
    </row>
    <row r="11829" spans="9:13" x14ac:dyDescent="0.3">
      <c r="I11829" s="82"/>
      <c r="M11829" s="85"/>
    </row>
    <row r="11830" spans="9:13" x14ac:dyDescent="0.3">
      <c r="I11830" s="82"/>
      <c r="M11830" s="85"/>
    </row>
    <row r="11831" spans="9:13" x14ac:dyDescent="0.3">
      <c r="I11831" s="82"/>
      <c r="M11831" s="85"/>
    </row>
    <row r="11832" spans="9:13" x14ac:dyDescent="0.3">
      <c r="I11832" s="82"/>
      <c r="M11832" s="85"/>
    </row>
    <row r="11833" spans="9:13" x14ac:dyDescent="0.3">
      <c r="I11833" s="82"/>
      <c r="M11833" s="85"/>
    </row>
    <row r="11834" spans="9:13" x14ac:dyDescent="0.3">
      <c r="I11834" s="82"/>
      <c r="M11834" s="85"/>
    </row>
    <row r="11835" spans="9:13" x14ac:dyDescent="0.3">
      <c r="I11835" s="82"/>
      <c r="M11835" s="85"/>
    </row>
    <row r="11836" spans="9:13" x14ac:dyDescent="0.3">
      <c r="I11836" s="82"/>
      <c r="M11836" s="85"/>
    </row>
    <row r="11837" spans="9:13" x14ac:dyDescent="0.3">
      <c r="I11837" s="82"/>
      <c r="M11837" s="85"/>
    </row>
    <row r="11838" spans="9:13" x14ac:dyDescent="0.3">
      <c r="I11838" s="82"/>
      <c r="M11838" s="85"/>
    </row>
    <row r="11839" spans="9:13" x14ac:dyDescent="0.3">
      <c r="I11839" s="82"/>
      <c r="M11839" s="85"/>
    </row>
    <row r="11840" spans="9:13" x14ac:dyDescent="0.3">
      <c r="I11840" s="82"/>
      <c r="M11840" s="85"/>
    </row>
    <row r="11841" spans="9:13" x14ac:dyDescent="0.3">
      <c r="I11841" s="82"/>
      <c r="M11841" s="85"/>
    </row>
    <row r="11842" spans="9:13" x14ac:dyDescent="0.3">
      <c r="I11842" s="82"/>
      <c r="M11842" s="85"/>
    </row>
    <row r="11843" spans="9:13" x14ac:dyDescent="0.3">
      <c r="I11843" s="82"/>
      <c r="M11843" s="85"/>
    </row>
    <row r="11844" spans="9:13" x14ac:dyDescent="0.3">
      <c r="I11844" s="82"/>
      <c r="M11844" s="85"/>
    </row>
    <row r="11845" spans="9:13" x14ac:dyDescent="0.3">
      <c r="I11845" s="82"/>
      <c r="M11845" s="85"/>
    </row>
    <row r="11846" spans="9:13" x14ac:dyDescent="0.3">
      <c r="I11846" s="82"/>
      <c r="M11846" s="85"/>
    </row>
    <row r="11847" spans="9:13" x14ac:dyDescent="0.3">
      <c r="I11847" s="82"/>
      <c r="M11847" s="85"/>
    </row>
    <row r="11848" spans="9:13" x14ac:dyDescent="0.3">
      <c r="I11848" s="82"/>
      <c r="M11848" s="85"/>
    </row>
    <row r="11849" spans="9:13" x14ac:dyDescent="0.3">
      <c r="I11849" s="82"/>
      <c r="M11849" s="85"/>
    </row>
    <row r="11850" spans="9:13" x14ac:dyDescent="0.3">
      <c r="I11850" s="82"/>
      <c r="M11850" s="85"/>
    </row>
    <row r="11851" spans="9:13" x14ac:dyDescent="0.3">
      <c r="I11851" s="82"/>
      <c r="M11851" s="85"/>
    </row>
    <row r="11852" spans="9:13" x14ac:dyDescent="0.3">
      <c r="I11852" s="82"/>
      <c r="M11852" s="85"/>
    </row>
    <row r="11853" spans="9:13" x14ac:dyDescent="0.3">
      <c r="I11853" s="82"/>
      <c r="M11853" s="85"/>
    </row>
    <row r="11854" spans="9:13" x14ac:dyDescent="0.3">
      <c r="I11854" s="82"/>
      <c r="M11854" s="85"/>
    </row>
    <row r="11855" spans="9:13" x14ac:dyDescent="0.3">
      <c r="I11855" s="82"/>
      <c r="M11855" s="85"/>
    </row>
    <row r="11856" spans="9:13" x14ac:dyDescent="0.3">
      <c r="I11856" s="82"/>
      <c r="M11856" s="85"/>
    </row>
    <row r="11857" spans="9:13" x14ac:dyDescent="0.3">
      <c r="I11857" s="82"/>
      <c r="M11857" s="85"/>
    </row>
    <row r="11858" spans="9:13" x14ac:dyDescent="0.3">
      <c r="I11858" s="82"/>
      <c r="M11858" s="85"/>
    </row>
    <row r="11859" spans="9:13" x14ac:dyDescent="0.3">
      <c r="I11859" s="82"/>
      <c r="M11859" s="85"/>
    </row>
    <row r="11860" spans="9:13" x14ac:dyDescent="0.3">
      <c r="I11860" s="82"/>
      <c r="M11860" s="85"/>
    </row>
    <row r="11861" spans="9:13" x14ac:dyDescent="0.3">
      <c r="I11861" s="82"/>
      <c r="M11861" s="85"/>
    </row>
    <row r="11862" spans="9:13" x14ac:dyDescent="0.3">
      <c r="I11862" s="82"/>
      <c r="M11862" s="85"/>
    </row>
    <row r="11863" spans="9:13" x14ac:dyDescent="0.3">
      <c r="I11863" s="82"/>
      <c r="M11863" s="85"/>
    </row>
    <row r="11864" spans="9:13" x14ac:dyDescent="0.3">
      <c r="I11864" s="82"/>
      <c r="M11864" s="85"/>
    </row>
    <row r="11865" spans="9:13" x14ac:dyDescent="0.3">
      <c r="I11865" s="82"/>
      <c r="M11865" s="85"/>
    </row>
    <row r="11866" spans="9:13" x14ac:dyDescent="0.3">
      <c r="I11866" s="82"/>
      <c r="M11866" s="85"/>
    </row>
    <row r="11867" spans="9:13" x14ac:dyDescent="0.3">
      <c r="I11867" s="82"/>
      <c r="M11867" s="85"/>
    </row>
    <row r="11868" spans="9:13" x14ac:dyDescent="0.3">
      <c r="I11868" s="82"/>
      <c r="M11868" s="85"/>
    </row>
    <row r="11869" spans="9:13" x14ac:dyDescent="0.3">
      <c r="I11869" s="82"/>
      <c r="M11869" s="85"/>
    </row>
    <row r="11870" spans="9:13" x14ac:dyDescent="0.3">
      <c r="I11870" s="82"/>
      <c r="M11870" s="85"/>
    </row>
    <row r="11871" spans="9:13" x14ac:dyDescent="0.3">
      <c r="I11871" s="82"/>
      <c r="M11871" s="85"/>
    </row>
    <row r="11872" spans="9:13" x14ac:dyDescent="0.3">
      <c r="I11872" s="82"/>
      <c r="M11872" s="85"/>
    </row>
    <row r="11873" spans="9:13" x14ac:dyDescent="0.3">
      <c r="I11873" s="82"/>
      <c r="M11873" s="85"/>
    </row>
    <row r="11874" spans="9:13" x14ac:dyDescent="0.3">
      <c r="I11874" s="82"/>
      <c r="M11874" s="85"/>
    </row>
    <row r="11875" spans="9:13" x14ac:dyDescent="0.3">
      <c r="I11875" s="82"/>
      <c r="M11875" s="85"/>
    </row>
    <row r="11876" spans="9:13" x14ac:dyDescent="0.3">
      <c r="I11876" s="82"/>
      <c r="M11876" s="85"/>
    </row>
    <row r="11877" spans="9:13" x14ac:dyDescent="0.3">
      <c r="I11877" s="82"/>
      <c r="M11877" s="85"/>
    </row>
    <row r="11878" spans="9:13" x14ac:dyDescent="0.3">
      <c r="I11878" s="82"/>
      <c r="M11878" s="85"/>
    </row>
    <row r="11879" spans="9:13" x14ac:dyDescent="0.3">
      <c r="I11879" s="82"/>
      <c r="M11879" s="85"/>
    </row>
    <row r="11880" spans="9:13" x14ac:dyDescent="0.3">
      <c r="I11880" s="82"/>
      <c r="M11880" s="85"/>
    </row>
    <row r="11881" spans="9:13" x14ac:dyDescent="0.3">
      <c r="I11881" s="82"/>
      <c r="M11881" s="85"/>
    </row>
    <row r="11882" spans="9:13" x14ac:dyDescent="0.3">
      <c r="I11882" s="82"/>
      <c r="M11882" s="85"/>
    </row>
    <row r="11883" spans="9:13" x14ac:dyDescent="0.3">
      <c r="I11883" s="82"/>
      <c r="M11883" s="85"/>
    </row>
    <row r="11884" spans="9:13" x14ac:dyDescent="0.3">
      <c r="I11884" s="82"/>
      <c r="M11884" s="85"/>
    </row>
    <row r="11885" spans="9:13" x14ac:dyDescent="0.3">
      <c r="I11885" s="82"/>
      <c r="M11885" s="85"/>
    </row>
    <row r="11886" spans="9:13" x14ac:dyDescent="0.3">
      <c r="I11886" s="82"/>
      <c r="M11886" s="85"/>
    </row>
    <row r="11887" spans="9:13" x14ac:dyDescent="0.3">
      <c r="I11887" s="82"/>
      <c r="M11887" s="85"/>
    </row>
    <row r="11888" spans="9:13" x14ac:dyDescent="0.3">
      <c r="I11888" s="82"/>
      <c r="M11888" s="85"/>
    </row>
    <row r="11889" spans="9:13" x14ac:dyDescent="0.3">
      <c r="I11889" s="82"/>
      <c r="M11889" s="85"/>
    </row>
    <row r="11890" spans="9:13" x14ac:dyDescent="0.3">
      <c r="I11890" s="82"/>
      <c r="M11890" s="85"/>
    </row>
    <row r="11891" spans="9:13" x14ac:dyDescent="0.3">
      <c r="I11891" s="82"/>
      <c r="M11891" s="85"/>
    </row>
    <row r="11892" spans="9:13" x14ac:dyDescent="0.3">
      <c r="I11892" s="82"/>
      <c r="M11892" s="85"/>
    </row>
    <row r="11893" spans="9:13" x14ac:dyDescent="0.3">
      <c r="I11893" s="82"/>
      <c r="M11893" s="85"/>
    </row>
    <row r="11894" spans="9:13" x14ac:dyDescent="0.3">
      <c r="I11894" s="82"/>
      <c r="M11894" s="85"/>
    </row>
    <row r="11895" spans="9:13" x14ac:dyDescent="0.3">
      <c r="I11895" s="82"/>
      <c r="M11895" s="85"/>
    </row>
    <row r="11896" spans="9:13" x14ac:dyDescent="0.3">
      <c r="I11896" s="82"/>
      <c r="M11896" s="85"/>
    </row>
    <row r="11897" spans="9:13" x14ac:dyDescent="0.3">
      <c r="I11897" s="82"/>
      <c r="M11897" s="85"/>
    </row>
    <row r="11898" spans="9:13" x14ac:dyDescent="0.3">
      <c r="I11898" s="82"/>
      <c r="M11898" s="85"/>
    </row>
    <row r="11899" spans="9:13" x14ac:dyDescent="0.3">
      <c r="I11899" s="82"/>
      <c r="M11899" s="85"/>
    </row>
    <row r="11900" spans="9:13" x14ac:dyDescent="0.3">
      <c r="I11900" s="82"/>
      <c r="M11900" s="85"/>
    </row>
    <row r="11901" spans="9:13" x14ac:dyDescent="0.3">
      <c r="I11901" s="82"/>
      <c r="M11901" s="85"/>
    </row>
    <row r="11902" spans="9:13" x14ac:dyDescent="0.3">
      <c r="I11902" s="82"/>
      <c r="M11902" s="85"/>
    </row>
    <row r="11903" spans="9:13" x14ac:dyDescent="0.3">
      <c r="I11903" s="82"/>
      <c r="M11903" s="85"/>
    </row>
    <row r="11904" spans="9:13" x14ac:dyDescent="0.3">
      <c r="I11904" s="82"/>
      <c r="M11904" s="85"/>
    </row>
    <row r="11905" spans="9:13" x14ac:dyDescent="0.3">
      <c r="I11905" s="82"/>
      <c r="M11905" s="85"/>
    </row>
    <row r="11906" spans="9:13" x14ac:dyDescent="0.3">
      <c r="I11906" s="82"/>
      <c r="M11906" s="85"/>
    </row>
    <row r="11907" spans="9:13" x14ac:dyDescent="0.3">
      <c r="I11907" s="82"/>
      <c r="M11907" s="85"/>
    </row>
    <row r="11908" spans="9:13" x14ac:dyDescent="0.3">
      <c r="I11908" s="82"/>
      <c r="M11908" s="85"/>
    </row>
    <row r="11909" spans="9:13" x14ac:dyDescent="0.3">
      <c r="I11909" s="82"/>
      <c r="M11909" s="85"/>
    </row>
    <row r="11910" spans="9:13" x14ac:dyDescent="0.3">
      <c r="I11910" s="82"/>
      <c r="M11910" s="85"/>
    </row>
    <row r="11911" spans="9:13" x14ac:dyDescent="0.3">
      <c r="I11911" s="82"/>
      <c r="M11911" s="85"/>
    </row>
    <row r="11912" spans="9:13" x14ac:dyDescent="0.3">
      <c r="I11912" s="82"/>
      <c r="M11912" s="85"/>
    </row>
    <row r="11913" spans="9:13" x14ac:dyDescent="0.3">
      <c r="I11913" s="82"/>
      <c r="M11913" s="85"/>
    </row>
    <row r="11914" spans="9:13" x14ac:dyDescent="0.3">
      <c r="I11914" s="82"/>
      <c r="M11914" s="85"/>
    </row>
    <row r="11915" spans="9:13" x14ac:dyDescent="0.3">
      <c r="I11915" s="82"/>
      <c r="M11915" s="85"/>
    </row>
    <row r="11916" spans="9:13" x14ac:dyDescent="0.3">
      <c r="I11916" s="82"/>
      <c r="M11916" s="85"/>
    </row>
    <row r="11917" spans="9:13" x14ac:dyDescent="0.3">
      <c r="I11917" s="82"/>
      <c r="M11917" s="85"/>
    </row>
    <row r="11918" spans="9:13" x14ac:dyDescent="0.3">
      <c r="I11918" s="82"/>
      <c r="M11918" s="85"/>
    </row>
    <row r="11919" spans="9:13" x14ac:dyDescent="0.3">
      <c r="I11919" s="82"/>
      <c r="M11919" s="85"/>
    </row>
    <row r="11920" spans="9:13" x14ac:dyDescent="0.3">
      <c r="I11920" s="82"/>
      <c r="M11920" s="85"/>
    </row>
    <row r="11921" spans="9:13" x14ac:dyDescent="0.3">
      <c r="I11921" s="82"/>
      <c r="M11921" s="85"/>
    </row>
    <row r="11922" spans="9:13" x14ac:dyDescent="0.3">
      <c r="I11922" s="82"/>
      <c r="M11922" s="85"/>
    </row>
    <row r="11923" spans="9:13" x14ac:dyDescent="0.3">
      <c r="I11923" s="82"/>
      <c r="M11923" s="85"/>
    </row>
    <row r="11924" spans="9:13" x14ac:dyDescent="0.3">
      <c r="I11924" s="82"/>
      <c r="M11924" s="85"/>
    </row>
    <row r="11925" spans="9:13" x14ac:dyDescent="0.3">
      <c r="I11925" s="82"/>
      <c r="M11925" s="85"/>
    </row>
    <row r="11926" spans="9:13" x14ac:dyDescent="0.3">
      <c r="I11926" s="82"/>
      <c r="M11926" s="85"/>
    </row>
    <row r="11927" spans="9:13" x14ac:dyDescent="0.3">
      <c r="I11927" s="82"/>
      <c r="M11927" s="85"/>
    </row>
    <row r="11928" spans="9:13" x14ac:dyDescent="0.3">
      <c r="I11928" s="82"/>
      <c r="M11928" s="85"/>
    </row>
    <row r="11929" spans="9:13" x14ac:dyDescent="0.3">
      <c r="I11929" s="82"/>
      <c r="M11929" s="85"/>
    </row>
    <row r="11930" spans="9:13" x14ac:dyDescent="0.3">
      <c r="I11930" s="82"/>
      <c r="M11930" s="85"/>
    </row>
    <row r="11931" spans="9:13" x14ac:dyDescent="0.3">
      <c r="I11931" s="82"/>
      <c r="M11931" s="85"/>
    </row>
    <row r="11932" spans="9:13" x14ac:dyDescent="0.3">
      <c r="I11932" s="82"/>
      <c r="M11932" s="85"/>
    </row>
    <row r="11933" spans="9:13" x14ac:dyDescent="0.3">
      <c r="I11933" s="82"/>
      <c r="M11933" s="85"/>
    </row>
    <row r="11934" spans="9:13" x14ac:dyDescent="0.3">
      <c r="I11934" s="82"/>
      <c r="M11934" s="85"/>
    </row>
    <row r="11935" spans="9:13" x14ac:dyDescent="0.3">
      <c r="I11935" s="82"/>
      <c r="M11935" s="85"/>
    </row>
    <row r="11936" spans="9:13" x14ac:dyDescent="0.3">
      <c r="I11936" s="82"/>
      <c r="M11936" s="85"/>
    </row>
    <row r="11937" spans="9:13" x14ac:dyDescent="0.3">
      <c r="I11937" s="82"/>
      <c r="M11937" s="85"/>
    </row>
    <row r="11938" spans="9:13" x14ac:dyDescent="0.3">
      <c r="I11938" s="82"/>
      <c r="M11938" s="85"/>
    </row>
    <row r="11939" spans="9:13" x14ac:dyDescent="0.3">
      <c r="I11939" s="82"/>
      <c r="M11939" s="85"/>
    </row>
    <row r="11940" spans="9:13" x14ac:dyDescent="0.3">
      <c r="I11940" s="82"/>
      <c r="M11940" s="85"/>
    </row>
    <row r="11941" spans="9:13" x14ac:dyDescent="0.3">
      <c r="I11941" s="82"/>
      <c r="M11941" s="85"/>
    </row>
    <row r="11942" spans="9:13" x14ac:dyDescent="0.3">
      <c r="I11942" s="82"/>
      <c r="M11942" s="85"/>
    </row>
    <row r="11943" spans="9:13" x14ac:dyDescent="0.3">
      <c r="I11943" s="82"/>
      <c r="M11943" s="85"/>
    </row>
    <row r="11944" spans="9:13" x14ac:dyDescent="0.3">
      <c r="I11944" s="82"/>
      <c r="M11944" s="85"/>
    </row>
    <row r="11945" spans="9:13" x14ac:dyDescent="0.3">
      <c r="I11945" s="82"/>
      <c r="M11945" s="85"/>
    </row>
    <row r="11946" spans="9:13" x14ac:dyDescent="0.3">
      <c r="I11946" s="82"/>
      <c r="M11946" s="85"/>
    </row>
    <row r="11947" spans="9:13" x14ac:dyDescent="0.3">
      <c r="I11947" s="82"/>
      <c r="M11947" s="85"/>
    </row>
    <row r="11948" spans="9:13" x14ac:dyDescent="0.3">
      <c r="I11948" s="82"/>
      <c r="M11948" s="85"/>
    </row>
    <row r="11949" spans="9:13" x14ac:dyDescent="0.3">
      <c r="I11949" s="82"/>
      <c r="M11949" s="85"/>
    </row>
    <row r="11950" spans="9:13" x14ac:dyDescent="0.3">
      <c r="I11950" s="82"/>
      <c r="M11950" s="85"/>
    </row>
    <row r="11951" spans="9:13" x14ac:dyDescent="0.3">
      <c r="I11951" s="82"/>
      <c r="M11951" s="85"/>
    </row>
    <row r="11952" spans="9:13" x14ac:dyDescent="0.3">
      <c r="I11952" s="82"/>
      <c r="M11952" s="85"/>
    </row>
    <row r="11953" spans="9:13" x14ac:dyDescent="0.3">
      <c r="I11953" s="82"/>
      <c r="M11953" s="85"/>
    </row>
    <row r="11954" spans="9:13" x14ac:dyDescent="0.3">
      <c r="I11954" s="82"/>
      <c r="M11954" s="85"/>
    </row>
    <row r="11955" spans="9:13" x14ac:dyDescent="0.3">
      <c r="I11955" s="82"/>
      <c r="M11955" s="85"/>
    </row>
    <row r="11956" spans="9:13" x14ac:dyDescent="0.3">
      <c r="I11956" s="82"/>
      <c r="M11956" s="85"/>
    </row>
    <row r="11957" spans="9:13" x14ac:dyDescent="0.3">
      <c r="I11957" s="82"/>
      <c r="M11957" s="85"/>
    </row>
    <row r="11958" spans="9:13" x14ac:dyDescent="0.3">
      <c r="I11958" s="82"/>
      <c r="M11958" s="85"/>
    </row>
    <row r="11959" spans="9:13" x14ac:dyDescent="0.3">
      <c r="I11959" s="82"/>
      <c r="M11959" s="85"/>
    </row>
    <row r="11960" spans="9:13" x14ac:dyDescent="0.3">
      <c r="I11960" s="82"/>
      <c r="M11960" s="85"/>
    </row>
    <row r="11961" spans="9:13" x14ac:dyDescent="0.3">
      <c r="I11961" s="82"/>
      <c r="M11961" s="85"/>
    </row>
    <row r="11962" spans="9:13" x14ac:dyDescent="0.3">
      <c r="I11962" s="82"/>
      <c r="M11962" s="85"/>
    </row>
    <row r="11963" spans="9:13" x14ac:dyDescent="0.3">
      <c r="I11963" s="82"/>
      <c r="M11963" s="85"/>
    </row>
    <row r="11964" spans="9:13" x14ac:dyDescent="0.3">
      <c r="I11964" s="82"/>
      <c r="M11964" s="85"/>
    </row>
    <row r="11965" spans="9:13" x14ac:dyDescent="0.3">
      <c r="I11965" s="82"/>
      <c r="M11965" s="85"/>
    </row>
    <row r="11966" spans="9:13" x14ac:dyDescent="0.3">
      <c r="I11966" s="82"/>
      <c r="M11966" s="85"/>
    </row>
    <row r="11967" spans="9:13" x14ac:dyDescent="0.3">
      <c r="I11967" s="82"/>
      <c r="M11967" s="85"/>
    </row>
    <row r="11968" spans="9:13" x14ac:dyDescent="0.3">
      <c r="I11968" s="82"/>
      <c r="M11968" s="85"/>
    </row>
    <row r="11969" spans="9:13" x14ac:dyDescent="0.3">
      <c r="I11969" s="82"/>
      <c r="M11969" s="85"/>
    </row>
    <row r="11970" spans="9:13" x14ac:dyDescent="0.3">
      <c r="I11970" s="82"/>
      <c r="M11970" s="85"/>
    </row>
    <row r="11971" spans="9:13" x14ac:dyDescent="0.3">
      <c r="I11971" s="82"/>
      <c r="M11971" s="85"/>
    </row>
    <row r="11972" spans="9:13" x14ac:dyDescent="0.3">
      <c r="I11972" s="82"/>
      <c r="M11972" s="85"/>
    </row>
    <row r="11973" spans="9:13" x14ac:dyDescent="0.3">
      <c r="I11973" s="82"/>
      <c r="M11973" s="85"/>
    </row>
    <row r="11974" spans="9:13" x14ac:dyDescent="0.3">
      <c r="I11974" s="82"/>
      <c r="M11974" s="85"/>
    </row>
    <row r="11975" spans="9:13" x14ac:dyDescent="0.3">
      <c r="I11975" s="82"/>
      <c r="M11975" s="85"/>
    </row>
    <row r="11976" spans="9:13" x14ac:dyDescent="0.3">
      <c r="I11976" s="82"/>
      <c r="M11976" s="85"/>
    </row>
    <row r="11977" spans="9:13" x14ac:dyDescent="0.3">
      <c r="I11977" s="82"/>
      <c r="M11977" s="85"/>
    </row>
    <row r="11978" spans="9:13" x14ac:dyDescent="0.3">
      <c r="I11978" s="82"/>
      <c r="M11978" s="85"/>
    </row>
    <row r="11979" spans="9:13" x14ac:dyDescent="0.3">
      <c r="I11979" s="82"/>
      <c r="M11979" s="85"/>
    </row>
    <row r="11980" spans="9:13" x14ac:dyDescent="0.3">
      <c r="I11980" s="82"/>
      <c r="M11980" s="85"/>
    </row>
    <row r="11981" spans="9:13" x14ac:dyDescent="0.3">
      <c r="I11981" s="82"/>
      <c r="M11981" s="85"/>
    </row>
    <row r="11982" spans="9:13" x14ac:dyDescent="0.3">
      <c r="I11982" s="82"/>
      <c r="M11982" s="85"/>
    </row>
    <row r="11983" spans="9:13" x14ac:dyDescent="0.3">
      <c r="I11983" s="82"/>
      <c r="M11983" s="85"/>
    </row>
    <row r="11984" spans="9:13" x14ac:dyDescent="0.3">
      <c r="I11984" s="82"/>
      <c r="M11984" s="85"/>
    </row>
    <row r="11985" spans="9:13" x14ac:dyDescent="0.3">
      <c r="I11985" s="82"/>
      <c r="M11985" s="85"/>
    </row>
    <row r="11986" spans="9:13" x14ac:dyDescent="0.3">
      <c r="I11986" s="82"/>
      <c r="M11986" s="85"/>
    </row>
    <row r="11987" spans="9:13" x14ac:dyDescent="0.3">
      <c r="I11987" s="82"/>
      <c r="M11987" s="85"/>
    </row>
    <row r="11988" spans="9:13" x14ac:dyDescent="0.3">
      <c r="I11988" s="82"/>
      <c r="M11988" s="85"/>
    </row>
    <row r="11989" spans="9:13" x14ac:dyDescent="0.3">
      <c r="I11989" s="82"/>
      <c r="M11989" s="85"/>
    </row>
    <row r="11990" spans="9:13" x14ac:dyDescent="0.3">
      <c r="I11990" s="82"/>
      <c r="M11990" s="85"/>
    </row>
    <row r="11991" spans="9:13" x14ac:dyDescent="0.3">
      <c r="I11991" s="82"/>
      <c r="M11991" s="85"/>
    </row>
    <row r="11992" spans="9:13" x14ac:dyDescent="0.3">
      <c r="I11992" s="82"/>
      <c r="M11992" s="85"/>
    </row>
    <row r="11993" spans="9:13" x14ac:dyDescent="0.3">
      <c r="I11993" s="82"/>
      <c r="M11993" s="85"/>
    </row>
    <row r="11994" spans="9:13" x14ac:dyDescent="0.3">
      <c r="I11994" s="82"/>
      <c r="M11994" s="85"/>
    </row>
    <row r="11995" spans="9:13" x14ac:dyDescent="0.3">
      <c r="I11995" s="82"/>
      <c r="M11995" s="85"/>
    </row>
    <row r="11996" spans="9:13" x14ac:dyDescent="0.3">
      <c r="I11996" s="82"/>
      <c r="M11996" s="85"/>
    </row>
    <row r="11997" spans="9:13" x14ac:dyDescent="0.3">
      <c r="I11997" s="82"/>
      <c r="M11997" s="85"/>
    </row>
    <row r="11998" spans="9:13" x14ac:dyDescent="0.3">
      <c r="I11998" s="82"/>
      <c r="M11998" s="85"/>
    </row>
    <row r="11999" spans="9:13" x14ac:dyDescent="0.3">
      <c r="I11999" s="82"/>
      <c r="M11999" s="85"/>
    </row>
    <row r="12000" spans="9:13" x14ac:dyDescent="0.3">
      <c r="I12000" s="82"/>
      <c r="M12000" s="85"/>
    </row>
    <row r="12001" spans="9:13" x14ac:dyDescent="0.3">
      <c r="I12001" s="82"/>
      <c r="M12001" s="85"/>
    </row>
    <row r="12002" spans="9:13" x14ac:dyDescent="0.3">
      <c r="I12002" s="82"/>
      <c r="M12002" s="85"/>
    </row>
    <row r="12003" spans="9:13" x14ac:dyDescent="0.3">
      <c r="I12003" s="82"/>
      <c r="M12003" s="85"/>
    </row>
    <row r="12004" spans="9:13" x14ac:dyDescent="0.3">
      <c r="I12004" s="82"/>
      <c r="M12004" s="85"/>
    </row>
    <row r="12005" spans="9:13" x14ac:dyDescent="0.3">
      <c r="I12005" s="82"/>
      <c r="M12005" s="85"/>
    </row>
    <row r="12006" spans="9:13" x14ac:dyDescent="0.3">
      <c r="I12006" s="82"/>
      <c r="M12006" s="85"/>
    </row>
    <row r="12007" spans="9:13" x14ac:dyDescent="0.3">
      <c r="I12007" s="82"/>
      <c r="M12007" s="85"/>
    </row>
    <row r="12008" spans="9:13" x14ac:dyDescent="0.3">
      <c r="I12008" s="82"/>
      <c r="M12008" s="85"/>
    </row>
    <row r="12009" spans="9:13" x14ac:dyDescent="0.3">
      <c r="I12009" s="82"/>
      <c r="M12009" s="85"/>
    </row>
    <row r="12010" spans="9:13" x14ac:dyDescent="0.3">
      <c r="I12010" s="82"/>
      <c r="M12010" s="85"/>
    </row>
    <row r="12011" spans="9:13" x14ac:dyDescent="0.3">
      <c r="I12011" s="82"/>
      <c r="M12011" s="85"/>
    </row>
    <row r="12012" spans="9:13" x14ac:dyDescent="0.3">
      <c r="I12012" s="82"/>
      <c r="M12012" s="85"/>
    </row>
    <row r="12013" spans="9:13" x14ac:dyDescent="0.3">
      <c r="I12013" s="82"/>
      <c r="M12013" s="85"/>
    </row>
    <row r="12014" spans="9:13" x14ac:dyDescent="0.3">
      <c r="I12014" s="82"/>
      <c r="M12014" s="85"/>
    </row>
    <row r="12015" spans="9:13" x14ac:dyDescent="0.3">
      <c r="I12015" s="82"/>
      <c r="M12015" s="85"/>
    </row>
    <row r="12016" spans="9:13" x14ac:dyDescent="0.3">
      <c r="I12016" s="82"/>
      <c r="M12016" s="85"/>
    </row>
    <row r="12017" spans="9:13" x14ac:dyDescent="0.3">
      <c r="I12017" s="82"/>
      <c r="M12017" s="85"/>
    </row>
    <row r="12018" spans="9:13" x14ac:dyDescent="0.3">
      <c r="I12018" s="82"/>
      <c r="M12018" s="85"/>
    </row>
    <row r="12019" spans="9:13" x14ac:dyDescent="0.3">
      <c r="I12019" s="82"/>
      <c r="M12019" s="85"/>
    </row>
    <row r="12020" spans="9:13" x14ac:dyDescent="0.3">
      <c r="I12020" s="82"/>
      <c r="M12020" s="85"/>
    </row>
    <row r="12021" spans="9:13" x14ac:dyDescent="0.3">
      <c r="I12021" s="82"/>
      <c r="M12021" s="85"/>
    </row>
    <row r="12022" spans="9:13" x14ac:dyDescent="0.3">
      <c r="I12022" s="82"/>
      <c r="M12022" s="85"/>
    </row>
    <row r="12023" spans="9:13" x14ac:dyDescent="0.3">
      <c r="I12023" s="82"/>
      <c r="M12023" s="85"/>
    </row>
    <row r="12024" spans="9:13" x14ac:dyDescent="0.3">
      <c r="I12024" s="82"/>
      <c r="M12024" s="85"/>
    </row>
    <row r="12025" spans="9:13" x14ac:dyDescent="0.3">
      <c r="I12025" s="82"/>
      <c r="M12025" s="85"/>
    </row>
    <row r="12026" spans="9:13" x14ac:dyDescent="0.3">
      <c r="I12026" s="82"/>
      <c r="M12026" s="85"/>
    </row>
    <row r="12027" spans="9:13" x14ac:dyDescent="0.3">
      <c r="I12027" s="82"/>
      <c r="M12027" s="85"/>
    </row>
    <row r="12028" spans="9:13" x14ac:dyDescent="0.3">
      <c r="I12028" s="82"/>
      <c r="M12028" s="85"/>
    </row>
    <row r="12029" spans="9:13" x14ac:dyDescent="0.3">
      <c r="I12029" s="82"/>
      <c r="M12029" s="85"/>
    </row>
    <row r="12030" spans="9:13" x14ac:dyDescent="0.3">
      <c r="I12030" s="82"/>
      <c r="M12030" s="85"/>
    </row>
    <row r="12031" spans="9:13" x14ac:dyDescent="0.3">
      <c r="I12031" s="82"/>
      <c r="M12031" s="85"/>
    </row>
    <row r="12032" spans="9:13" x14ac:dyDescent="0.3">
      <c r="I12032" s="82"/>
      <c r="M12032" s="85"/>
    </row>
    <row r="12033" spans="9:13" x14ac:dyDescent="0.3">
      <c r="I12033" s="82"/>
      <c r="M12033" s="85"/>
    </row>
    <row r="12034" spans="9:13" x14ac:dyDescent="0.3">
      <c r="I12034" s="82"/>
      <c r="M12034" s="85"/>
    </row>
    <row r="12035" spans="9:13" x14ac:dyDescent="0.3">
      <c r="I12035" s="82"/>
      <c r="M12035" s="85"/>
    </row>
    <row r="12036" spans="9:13" x14ac:dyDescent="0.3">
      <c r="I12036" s="82"/>
      <c r="M12036" s="85"/>
    </row>
    <row r="12037" spans="9:13" x14ac:dyDescent="0.3">
      <c r="I12037" s="82"/>
      <c r="M12037" s="85"/>
    </row>
    <row r="12038" spans="9:13" x14ac:dyDescent="0.3">
      <c r="I12038" s="82"/>
      <c r="M12038" s="85"/>
    </row>
    <row r="12039" spans="9:13" x14ac:dyDescent="0.3">
      <c r="I12039" s="82"/>
      <c r="M12039" s="85"/>
    </row>
    <row r="12040" spans="9:13" x14ac:dyDescent="0.3">
      <c r="I12040" s="82"/>
      <c r="M12040" s="85"/>
    </row>
    <row r="12041" spans="9:13" x14ac:dyDescent="0.3">
      <c r="I12041" s="82"/>
      <c r="M12041" s="85"/>
    </row>
    <row r="12042" spans="9:13" x14ac:dyDescent="0.3">
      <c r="I12042" s="82"/>
      <c r="M12042" s="85"/>
    </row>
    <row r="12043" spans="9:13" x14ac:dyDescent="0.3">
      <c r="I12043" s="82"/>
      <c r="M12043" s="85"/>
    </row>
    <row r="12044" spans="9:13" x14ac:dyDescent="0.3">
      <c r="I12044" s="82"/>
      <c r="M12044" s="85"/>
    </row>
    <row r="12045" spans="9:13" x14ac:dyDescent="0.3">
      <c r="I12045" s="82"/>
      <c r="M12045" s="85"/>
    </row>
    <row r="12046" spans="9:13" x14ac:dyDescent="0.3">
      <c r="I12046" s="82"/>
      <c r="M12046" s="85"/>
    </row>
    <row r="12047" spans="9:13" x14ac:dyDescent="0.3">
      <c r="I12047" s="82"/>
      <c r="M12047" s="85"/>
    </row>
    <row r="12048" spans="9:13" x14ac:dyDescent="0.3">
      <c r="I12048" s="82"/>
      <c r="M12048" s="85"/>
    </row>
    <row r="12049" spans="9:13" x14ac:dyDescent="0.3">
      <c r="I12049" s="82"/>
      <c r="M12049" s="85"/>
    </row>
    <row r="12050" spans="9:13" x14ac:dyDescent="0.3">
      <c r="I12050" s="82"/>
      <c r="M12050" s="85"/>
    </row>
    <row r="12051" spans="9:13" x14ac:dyDescent="0.3">
      <c r="I12051" s="82"/>
      <c r="M12051" s="85"/>
    </row>
    <row r="12052" spans="9:13" x14ac:dyDescent="0.3">
      <c r="I12052" s="82"/>
      <c r="M12052" s="85"/>
    </row>
    <row r="12053" spans="9:13" x14ac:dyDescent="0.3">
      <c r="I12053" s="82"/>
      <c r="M12053" s="85"/>
    </row>
    <row r="12054" spans="9:13" x14ac:dyDescent="0.3">
      <c r="I12054" s="82"/>
      <c r="M12054" s="85"/>
    </row>
    <row r="12055" spans="9:13" x14ac:dyDescent="0.3">
      <c r="I12055" s="82"/>
      <c r="M12055" s="85"/>
    </row>
    <row r="12056" spans="9:13" x14ac:dyDescent="0.3">
      <c r="I12056" s="82"/>
      <c r="M12056" s="85"/>
    </row>
    <row r="12057" spans="9:13" x14ac:dyDescent="0.3">
      <c r="I12057" s="82"/>
      <c r="M12057" s="85"/>
    </row>
    <row r="12058" spans="9:13" x14ac:dyDescent="0.3">
      <c r="I12058" s="82"/>
      <c r="M12058" s="85"/>
    </row>
    <row r="12059" spans="9:13" x14ac:dyDescent="0.3">
      <c r="I12059" s="82"/>
      <c r="M12059" s="85"/>
    </row>
    <row r="12060" spans="9:13" x14ac:dyDescent="0.3">
      <c r="I12060" s="82"/>
      <c r="M12060" s="85"/>
    </row>
    <row r="12061" spans="9:13" x14ac:dyDescent="0.3">
      <c r="I12061" s="82"/>
      <c r="M12061" s="85"/>
    </row>
    <row r="12062" spans="9:13" x14ac:dyDescent="0.3">
      <c r="I12062" s="82"/>
      <c r="M12062" s="85"/>
    </row>
    <row r="12063" spans="9:13" x14ac:dyDescent="0.3">
      <c r="I12063" s="82"/>
      <c r="M12063" s="85"/>
    </row>
    <row r="12064" spans="9:13" x14ac:dyDescent="0.3">
      <c r="I12064" s="82"/>
      <c r="M12064" s="85"/>
    </row>
    <row r="12065" spans="9:13" x14ac:dyDescent="0.3">
      <c r="I12065" s="82"/>
      <c r="M12065" s="85"/>
    </row>
    <row r="12066" spans="9:13" x14ac:dyDescent="0.3">
      <c r="I12066" s="82"/>
      <c r="M12066" s="85"/>
    </row>
    <row r="12067" spans="9:13" x14ac:dyDescent="0.3">
      <c r="I12067" s="82"/>
      <c r="M12067" s="85"/>
    </row>
    <row r="12068" spans="9:13" x14ac:dyDescent="0.3">
      <c r="I12068" s="82"/>
      <c r="M12068" s="85"/>
    </row>
    <row r="12069" spans="9:13" x14ac:dyDescent="0.3">
      <c r="I12069" s="82"/>
      <c r="M12069" s="85"/>
    </row>
    <row r="12070" spans="9:13" x14ac:dyDescent="0.3">
      <c r="I12070" s="82"/>
      <c r="M12070" s="85"/>
    </row>
    <row r="12071" spans="9:13" x14ac:dyDescent="0.3">
      <c r="I12071" s="82"/>
      <c r="M12071" s="85"/>
    </row>
    <row r="12072" spans="9:13" x14ac:dyDescent="0.3">
      <c r="I12072" s="82"/>
      <c r="M12072" s="85"/>
    </row>
    <row r="12073" spans="9:13" x14ac:dyDescent="0.3">
      <c r="I12073" s="82"/>
      <c r="M12073" s="85"/>
    </row>
    <row r="12074" spans="9:13" x14ac:dyDescent="0.3">
      <c r="I12074" s="82"/>
      <c r="M12074" s="85"/>
    </row>
    <row r="12075" spans="9:13" x14ac:dyDescent="0.3">
      <c r="I12075" s="82"/>
      <c r="M12075" s="85"/>
    </row>
    <row r="12076" spans="9:13" x14ac:dyDescent="0.3">
      <c r="I12076" s="82"/>
      <c r="M12076" s="85"/>
    </row>
    <row r="12077" spans="9:13" x14ac:dyDescent="0.3">
      <c r="I12077" s="82"/>
      <c r="M12077" s="85"/>
    </row>
    <row r="12078" spans="9:13" x14ac:dyDescent="0.3">
      <c r="I12078" s="82"/>
      <c r="M12078" s="85"/>
    </row>
    <row r="12079" spans="9:13" x14ac:dyDescent="0.3">
      <c r="I12079" s="82"/>
      <c r="M12079" s="85"/>
    </row>
    <row r="12080" spans="9:13" x14ac:dyDescent="0.3">
      <c r="I12080" s="82"/>
      <c r="M12080" s="85"/>
    </row>
    <row r="12081" spans="9:13" x14ac:dyDescent="0.3">
      <c r="I12081" s="82"/>
      <c r="M12081" s="85"/>
    </row>
    <row r="12082" spans="9:13" x14ac:dyDescent="0.3">
      <c r="I12082" s="82"/>
      <c r="M12082" s="85"/>
    </row>
    <row r="12083" spans="9:13" x14ac:dyDescent="0.3">
      <c r="I12083" s="82"/>
      <c r="M12083" s="85"/>
    </row>
    <row r="12084" spans="9:13" x14ac:dyDescent="0.3">
      <c r="I12084" s="82"/>
      <c r="M12084" s="85"/>
    </row>
    <row r="12085" spans="9:13" x14ac:dyDescent="0.3">
      <c r="I12085" s="82"/>
      <c r="M12085" s="85"/>
    </row>
    <row r="12086" spans="9:13" x14ac:dyDescent="0.3">
      <c r="I12086" s="82"/>
      <c r="M12086" s="85"/>
    </row>
    <row r="12087" spans="9:13" x14ac:dyDescent="0.3">
      <c r="I12087" s="82"/>
      <c r="M12087" s="85"/>
    </row>
    <row r="12088" spans="9:13" x14ac:dyDescent="0.3">
      <c r="I12088" s="82"/>
      <c r="M12088" s="85"/>
    </row>
    <row r="12089" spans="9:13" x14ac:dyDescent="0.3">
      <c r="I12089" s="82"/>
      <c r="M12089" s="85"/>
    </row>
    <row r="12090" spans="9:13" x14ac:dyDescent="0.3">
      <c r="I12090" s="82"/>
      <c r="M12090" s="85"/>
    </row>
    <row r="12091" spans="9:13" x14ac:dyDescent="0.3">
      <c r="I12091" s="82"/>
      <c r="M12091" s="85"/>
    </row>
    <row r="12092" spans="9:13" x14ac:dyDescent="0.3">
      <c r="I12092" s="82"/>
      <c r="M12092" s="85"/>
    </row>
    <row r="12093" spans="9:13" x14ac:dyDescent="0.3">
      <c r="I12093" s="82"/>
      <c r="M12093" s="85"/>
    </row>
    <row r="12094" spans="9:13" x14ac:dyDescent="0.3">
      <c r="I12094" s="82"/>
      <c r="M12094" s="85"/>
    </row>
    <row r="12095" spans="9:13" x14ac:dyDescent="0.3">
      <c r="I12095" s="82"/>
      <c r="M12095" s="85"/>
    </row>
    <row r="12096" spans="9:13" x14ac:dyDescent="0.3">
      <c r="I12096" s="82"/>
      <c r="M12096" s="85"/>
    </row>
    <row r="12097" spans="9:13" x14ac:dyDescent="0.3">
      <c r="I12097" s="82"/>
      <c r="M12097" s="85"/>
    </row>
    <row r="12098" spans="9:13" x14ac:dyDescent="0.3">
      <c r="I12098" s="82"/>
      <c r="M12098" s="85"/>
    </row>
    <row r="12099" spans="9:13" x14ac:dyDescent="0.3">
      <c r="I12099" s="82"/>
      <c r="M12099" s="85"/>
    </row>
    <row r="12100" spans="9:13" x14ac:dyDescent="0.3">
      <c r="I12100" s="82"/>
      <c r="M12100" s="85"/>
    </row>
    <row r="12101" spans="9:13" x14ac:dyDescent="0.3">
      <c r="I12101" s="82"/>
      <c r="M12101" s="85"/>
    </row>
    <row r="12102" spans="9:13" x14ac:dyDescent="0.3">
      <c r="I12102" s="82"/>
      <c r="M12102" s="85"/>
    </row>
    <row r="12103" spans="9:13" x14ac:dyDescent="0.3">
      <c r="I12103" s="82"/>
      <c r="M12103" s="85"/>
    </row>
    <row r="12104" spans="9:13" x14ac:dyDescent="0.3">
      <c r="I12104" s="82"/>
      <c r="M12104" s="85"/>
    </row>
    <row r="12105" spans="9:13" x14ac:dyDescent="0.3">
      <c r="I12105" s="82"/>
      <c r="M12105" s="85"/>
    </row>
    <row r="12106" spans="9:13" x14ac:dyDescent="0.3">
      <c r="I12106" s="82"/>
      <c r="M12106" s="85"/>
    </row>
    <row r="12107" spans="9:13" x14ac:dyDescent="0.3">
      <c r="I12107" s="82"/>
      <c r="M12107" s="85"/>
    </row>
    <row r="12108" spans="9:13" x14ac:dyDescent="0.3">
      <c r="I12108" s="82"/>
      <c r="M12108" s="85"/>
    </row>
    <row r="12109" spans="9:13" x14ac:dyDescent="0.3">
      <c r="I12109" s="82"/>
      <c r="M12109" s="85"/>
    </row>
    <row r="12110" spans="9:13" x14ac:dyDescent="0.3">
      <c r="I12110" s="82"/>
      <c r="M12110" s="85"/>
    </row>
    <row r="12111" spans="9:13" x14ac:dyDescent="0.3">
      <c r="I12111" s="82"/>
      <c r="M12111" s="85"/>
    </row>
    <row r="12112" spans="9:13" x14ac:dyDescent="0.3">
      <c r="I12112" s="82"/>
      <c r="M12112" s="85"/>
    </row>
    <row r="12113" spans="9:13" x14ac:dyDescent="0.3">
      <c r="I12113" s="82"/>
      <c r="M12113" s="85"/>
    </row>
    <row r="12114" spans="9:13" x14ac:dyDescent="0.3">
      <c r="I12114" s="82"/>
      <c r="M12114" s="85"/>
    </row>
    <row r="12115" spans="9:13" x14ac:dyDescent="0.3">
      <c r="I12115" s="82"/>
      <c r="M12115" s="85"/>
    </row>
    <row r="12116" spans="9:13" x14ac:dyDescent="0.3">
      <c r="I12116" s="82"/>
      <c r="M12116" s="85"/>
    </row>
    <row r="12117" spans="9:13" x14ac:dyDescent="0.3">
      <c r="I12117" s="82"/>
      <c r="M12117" s="85"/>
    </row>
    <row r="12118" spans="9:13" x14ac:dyDescent="0.3">
      <c r="I12118" s="82"/>
      <c r="M12118" s="85"/>
    </row>
    <row r="12119" spans="9:13" x14ac:dyDescent="0.3">
      <c r="I12119" s="82"/>
      <c r="M12119" s="85"/>
    </row>
    <row r="12120" spans="9:13" x14ac:dyDescent="0.3">
      <c r="I12120" s="82"/>
      <c r="M12120" s="85"/>
    </row>
    <row r="12121" spans="9:13" x14ac:dyDescent="0.3">
      <c r="I12121" s="82"/>
      <c r="M12121" s="85"/>
    </row>
    <row r="12122" spans="9:13" x14ac:dyDescent="0.3">
      <c r="I12122" s="82"/>
      <c r="M12122" s="85"/>
    </row>
    <row r="12123" spans="9:13" x14ac:dyDescent="0.3">
      <c r="I12123" s="82"/>
      <c r="M12123" s="85"/>
    </row>
    <row r="12124" spans="9:13" x14ac:dyDescent="0.3">
      <c r="I12124" s="82"/>
      <c r="M12124" s="85"/>
    </row>
    <row r="12125" spans="9:13" x14ac:dyDescent="0.3">
      <c r="I12125" s="82"/>
      <c r="M12125" s="85"/>
    </row>
    <row r="12126" spans="9:13" x14ac:dyDescent="0.3">
      <c r="I12126" s="82"/>
      <c r="M12126" s="85"/>
    </row>
    <row r="12127" spans="9:13" x14ac:dyDescent="0.3">
      <c r="I12127" s="82"/>
      <c r="M12127" s="85"/>
    </row>
    <row r="12128" spans="9:13" x14ac:dyDescent="0.3">
      <c r="I12128" s="82"/>
      <c r="M12128" s="85"/>
    </row>
    <row r="12129" spans="9:13" x14ac:dyDescent="0.3">
      <c r="I12129" s="82"/>
      <c r="M12129" s="85"/>
    </row>
    <row r="12130" spans="9:13" x14ac:dyDescent="0.3">
      <c r="I12130" s="82"/>
      <c r="M12130" s="85"/>
    </row>
    <row r="12131" spans="9:13" x14ac:dyDescent="0.3">
      <c r="I12131" s="82"/>
      <c r="M12131" s="85"/>
    </row>
    <row r="12132" spans="9:13" x14ac:dyDescent="0.3">
      <c r="I12132" s="82"/>
      <c r="M12132" s="85"/>
    </row>
    <row r="12133" spans="9:13" x14ac:dyDescent="0.3">
      <c r="I12133" s="82"/>
      <c r="M12133" s="85"/>
    </row>
    <row r="12134" spans="9:13" x14ac:dyDescent="0.3">
      <c r="I12134" s="82"/>
      <c r="M12134" s="85"/>
    </row>
    <row r="12135" spans="9:13" x14ac:dyDescent="0.3">
      <c r="I12135" s="82"/>
      <c r="M12135" s="85"/>
    </row>
    <row r="12136" spans="9:13" x14ac:dyDescent="0.3">
      <c r="I12136" s="82"/>
      <c r="M12136" s="85"/>
    </row>
    <row r="12137" spans="9:13" x14ac:dyDescent="0.3">
      <c r="I12137" s="82"/>
      <c r="M12137" s="85"/>
    </row>
    <row r="12138" spans="9:13" x14ac:dyDescent="0.3">
      <c r="I12138" s="82"/>
      <c r="M12138" s="85"/>
    </row>
    <row r="12139" spans="9:13" x14ac:dyDescent="0.3">
      <c r="I12139" s="82"/>
      <c r="M12139" s="85"/>
    </row>
    <row r="12140" spans="9:13" x14ac:dyDescent="0.3">
      <c r="I12140" s="82"/>
      <c r="M12140" s="85"/>
    </row>
    <row r="12141" spans="9:13" x14ac:dyDescent="0.3">
      <c r="I12141" s="82"/>
      <c r="M12141" s="85"/>
    </row>
    <row r="12142" spans="9:13" x14ac:dyDescent="0.3">
      <c r="I12142" s="82"/>
      <c r="M12142" s="85"/>
    </row>
    <row r="12143" spans="9:13" x14ac:dyDescent="0.3">
      <c r="I12143" s="82"/>
      <c r="M12143" s="85"/>
    </row>
    <row r="12144" spans="9:13" x14ac:dyDescent="0.3">
      <c r="I12144" s="82"/>
      <c r="M12144" s="85"/>
    </row>
    <row r="12145" spans="9:13" x14ac:dyDescent="0.3">
      <c r="I12145" s="82"/>
      <c r="M12145" s="85"/>
    </row>
    <row r="12146" spans="9:13" x14ac:dyDescent="0.3">
      <c r="I12146" s="82"/>
      <c r="M12146" s="85"/>
    </row>
    <row r="12147" spans="9:13" x14ac:dyDescent="0.3">
      <c r="I12147" s="82"/>
      <c r="M12147" s="85"/>
    </row>
    <row r="12148" spans="9:13" x14ac:dyDescent="0.3">
      <c r="I12148" s="82"/>
      <c r="M12148" s="85"/>
    </row>
    <row r="12149" spans="9:13" x14ac:dyDescent="0.3">
      <c r="I12149" s="82"/>
      <c r="M12149" s="85"/>
    </row>
    <row r="12150" spans="9:13" x14ac:dyDescent="0.3">
      <c r="I12150" s="82"/>
      <c r="M12150" s="85"/>
    </row>
    <row r="12151" spans="9:13" x14ac:dyDescent="0.3">
      <c r="I12151" s="82"/>
      <c r="M12151" s="85"/>
    </row>
    <row r="12152" spans="9:13" x14ac:dyDescent="0.3">
      <c r="I12152" s="82"/>
      <c r="M12152" s="85"/>
    </row>
    <row r="12153" spans="9:13" x14ac:dyDescent="0.3">
      <c r="I12153" s="82"/>
      <c r="M12153" s="85"/>
    </row>
    <row r="12154" spans="9:13" x14ac:dyDescent="0.3">
      <c r="I12154" s="82"/>
      <c r="M12154" s="85"/>
    </row>
    <row r="12155" spans="9:13" x14ac:dyDescent="0.3">
      <c r="I12155" s="82"/>
      <c r="M12155" s="85"/>
    </row>
    <row r="12156" spans="9:13" x14ac:dyDescent="0.3">
      <c r="I12156" s="82"/>
      <c r="M12156" s="85"/>
    </row>
    <row r="12157" spans="9:13" x14ac:dyDescent="0.3">
      <c r="I12157" s="82"/>
      <c r="M12157" s="85"/>
    </row>
    <row r="12158" spans="9:13" x14ac:dyDescent="0.3">
      <c r="I12158" s="82"/>
      <c r="M12158" s="85"/>
    </row>
    <row r="12159" spans="9:13" x14ac:dyDescent="0.3">
      <c r="I12159" s="82"/>
      <c r="M12159" s="85"/>
    </row>
    <row r="12160" spans="9:13" x14ac:dyDescent="0.3">
      <c r="I12160" s="82"/>
      <c r="M12160" s="85"/>
    </row>
    <row r="12161" spans="9:13" x14ac:dyDescent="0.3">
      <c r="I12161" s="82"/>
      <c r="M12161" s="85"/>
    </row>
    <row r="12162" spans="9:13" x14ac:dyDescent="0.3">
      <c r="I12162" s="82"/>
      <c r="M12162" s="85"/>
    </row>
    <row r="12163" spans="9:13" x14ac:dyDescent="0.3">
      <c r="I12163" s="82"/>
      <c r="M12163" s="85"/>
    </row>
    <row r="12164" spans="9:13" x14ac:dyDescent="0.3">
      <c r="I12164" s="82"/>
      <c r="M12164" s="85"/>
    </row>
    <row r="12165" spans="9:13" x14ac:dyDescent="0.3">
      <c r="I12165" s="82"/>
      <c r="M12165" s="85"/>
    </row>
    <row r="12166" spans="9:13" x14ac:dyDescent="0.3">
      <c r="I12166" s="82"/>
      <c r="M12166" s="85"/>
    </row>
    <row r="12167" spans="9:13" x14ac:dyDescent="0.3">
      <c r="I12167" s="82"/>
      <c r="M12167" s="85"/>
    </row>
    <row r="12168" spans="9:13" x14ac:dyDescent="0.3">
      <c r="I12168" s="82"/>
      <c r="M12168" s="85"/>
    </row>
    <row r="12169" spans="9:13" x14ac:dyDescent="0.3">
      <c r="I12169" s="82"/>
      <c r="M12169" s="85"/>
    </row>
    <row r="12170" spans="9:13" x14ac:dyDescent="0.3">
      <c r="I12170" s="82"/>
      <c r="M12170" s="85"/>
    </row>
    <row r="12171" spans="9:13" x14ac:dyDescent="0.3">
      <c r="I12171" s="82"/>
      <c r="M12171" s="85"/>
    </row>
    <row r="12172" spans="9:13" x14ac:dyDescent="0.3">
      <c r="I12172" s="82"/>
      <c r="M12172" s="85"/>
    </row>
    <row r="12173" spans="9:13" x14ac:dyDescent="0.3">
      <c r="I12173" s="82"/>
      <c r="M12173" s="85"/>
    </row>
    <row r="12174" spans="9:13" x14ac:dyDescent="0.3">
      <c r="I12174" s="82"/>
      <c r="M12174" s="85"/>
    </row>
    <row r="12175" spans="9:13" x14ac:dyDescent="0.3">
      <c r="I12175" s="82"/>
      <c r="M12175" s="85"/>
    </row>
    <row r="12176" spans="9:13" x14ac:dyDescent="0.3">
      <c r="I12176" s="82"/>
      <c r="M12176" s="85"/>
    </row>
    <row r="12177" spans="9:13" x14ac:dyDescent="0.3">
      <c r="I12177" s="82"/>
      <c r="M12177" s="85"/>
    </row>
    <row r="12178" spans="9:13" x14ac:dyDescent="0.3">
      <c r="I12178" s="82"/>
      <c r="M12178" s="85"/>
    </row>
    <row r="12179" spans="9:13" x14ac:dyDescent="0.3">
      <c r="I12179" s="82"/>
      <c r="M12179" s="85"/>
    </row>
    <row r="12180" spans="9:13" x14ac:dyDescent="0.3">
      <c r="I12180" s="82"/>
      <c r="M12180" s="85"/>
    </row>
    <row r="12181" spans="9:13" x14ac:dyDescent="0.3">
      <c r="I12181" s="82"/>
      <c r="M12181" s="85"/>
    </row>
    <row r="12182" spans="9:13" x14ac:dyDescent="0.3">
      <c r="I12182" s="82"/>
      <c r="M12182" s="85"/>
    </row>
    <row r="12183" spans="9:13" x14ac:dyDescent="0.3">
      <c r="I12183" s="82"/>
      <c r="M12183" s="85"/>
    </row>
    <row r="12184" spans="9:13" x14ac:dyDescent="0.3">
      <c r="I12184" s="82"/>
      <c r="M12184" s="85"/>
    </row>
    <row r="12185" spans="9:13" x14ac:dyDescent="0.3">
      <c r="I12185" s="82"/>
      <c r="M12185" s="85"/>
    </row>
    <row r="12186" spans="9:13" x14ac:dyDescent="0.3">
      <c r="I12186" s="82"/>
      <c r="M12186" s="85"/>
    </row>
    <row r="12187" spans="9:13" x14ac:dyDescent="0.3">
      <c r="I12187" s="82"/>
      <c r="M12187" s="85"/>
    </row>
    <row r="12188" spans="9:13" x14ac:dyDescent="0.3">
      <c r="I12188" s="82"/>
      <c r="M12188" s="85"/>
    </row>
    <row r="12189" spans="9:13" x14ac:dyDescent="0.3">
      <c r="I12189" s="82"/>
      <c r="M12189" s="85"/>
    </row>
    <row r="12190" spans="9:13" x14ac:dyDescent="0.3">
      <c r="I12190" s="82"/>
      <c r="M12190" s="85"/>
    </row>
    <row r="12191" spans="9:13" x14ac:dyDescent="0.3">
      <c r="I12191" s="82"/>
      <c r="M12191" s="85"/>
    </row>
    <row r="12192" spans="9:13" x14ac:dyDescent="0.3">
      <c r="I12192" s="82"/>
      <c r="M12192" s="85"/>
    </row>
    <row r="12193" spans="9:13" x14ac:dyDescent="0.3">
      <c r="I12193" s="82"/>
      <c r="M12193" s="85"/>
    </row>
    <row r="12194" spans="9:13" x14ac:dyDescent="0.3">
      <c r="I12194" s="82"/>
      <c r="M12194" s="85"/>
    </row>
    <row r="12195" spans="9:13" x14ac:dyDescent="0.3">
      <c r="I12195" s="82"/>
      <c r="M12195" s="85"/>
    </row>
    <row r="12196" spans="9:13" x14ac:dyDescent="0.3">
      <c r="I12196" s="82"/>
      <c r="M12196" s="85"/>
    </row>
    <row r="12197" spans="9:13" x14ac:dyDescent="0.3">
      <c r="I12197" s="82"/>
      <c r="M12197" s="85"/>
    </row>
    <row r="12198" spans="9:13" x14ac:dyDescent="0.3">
      <c r="I12198" s="82"/>
      <c r="M12198" s="85"/>
    </row>
    <row r="12199" spans="9:13" x14ac:dyDescent="0.3">
      <c r="I12199" s="82"/>
      <c r="M12199" s="85"/>
    </row>
    <row r="12200" spans="9:13" x14ac:dyDescent="0.3">
      <c r="I12200" s="82"/>
      <c r="M12200" s="85"/>
    </row>
    <row r="12201" spans="9:13" x14ac:dyDescent="0.3">
      <c r="I12201" s="82"/>
      <c r="M12201" s="85"/>
    </row>
    <row r="12202" spans="9:13" x14ac:dyDescent="0.3">
      <c r="I12202" s="82"/>
      <c r="M12202" s="85"/>
    </row>
    <row r="12203" spans="9:13" x14ac:dyDescent="0.3">
      <c r="I12203" s="82"/>
      <c r="M12203" s="85"/>
    </row>
    <row r="12204" spans="9:13" x14ac:dyDescent="0.3">
      <c r="I12204" s="82"/>
      <c r="M12204" s="85"/>
    </row>
    <row r="12205" spans="9:13" x14ac:dyDescent="0.3">
      <c r="I12205" s="82"/>
      <c r="M12205" s="85"/>
    </row>
    <row r="12206" spans="9:13" x14ac:dyDescent="0.3">
      <c r="I12206" s="82"/>
      <c r="M12206" s="85"/>
    </row>
    <row r="12207" spans="9:13" x14ac:dyDescent="0.3">
      <c r="I12207" s="82"/>
      <c r="M12207" s="85"/>
    </row>
    <row r="12208" spans="9:13" x14ac:dyDescent="0.3">
      <c r="I12208" s="82"/>
      <c r="M12208" s="85"/>
    </row>
    <row r="12209" spans="9:13" x14ac:dyDescent="0.3">
      <c r="I12209" s="82"/>
      <c r="M12209" s="85"/>
    </row>
    <row r="12210" spans="9:13" x14ac:dyDescent="0.3">
      <c r="I12210" s="82"/>
      <c r="M12210" s="85"/>
    </row>
    <row r="12211" spans="9:13" x14ac:dyDescent="0.3">
      <c r="I12211" s="82"/>
      <c r="M12211" s="85"/>
    </row>
    <row r="12212" spans="9:13" x14ac:dyDescent="0.3">
      <c r="I12212" s="82"/>
      <c r="M12212" s="85"/>
    </row>
    <row r="12213" spans="9:13" x14ac:dyDescent="0.3">
      <c r="I12213" s="82"/>
      <c r="M12213" s="85"/>
    </row>
    <row r="12214" spans="9:13" x14ac:dyDescent="0.3">
      <c r="I12214" s="82"/>
      <c r="M12214" s="85"/>
    </row>
    <row r="12215" spans="9:13" x14ac:dyDescent="0.3">
      <c r="I12215" s="82"/>
      <c r="M12215" s="85"/>
    </row>
    <row r="12216" spans="9:13" x14ac:dyDescent="0.3">
      <c r="I12216" s="82"/>
      <c r="M12216" s="85"/>
    </row>
    <row r="12217" spans="9:13" x14ac:dyDescent="0.3">
      <c r="I12217" s="82"/>
      <c r="M12217" s="85"/>
    </row>
    <row r="12218" spans="9:13" x14ac:dyDescent="0.3">
      <c r="I12218" s="82"/>
      <c r="M12218" s="85"/>
    </row>
    <row r="12219" spans="9:13" x14ac:dyDescent="0.3">
      <c r="I12219" s="82"/>
      <c r="M12219" s="85"/>
    </row>
    <row r="12220" spans="9:13" x14ac:dyDescent="0.3">
      <c r="I12220" s="82"/>
      <c r="M12220" s="85"/>
    </row>
    <row r="12221" spans="9:13" x14ac:dyDescent="0.3">
      <c r="I12221" s="82"/>
      <c r="M12221" s="85"/>
    </row>
    <row r="12222" spans="9:13" x14ac:dyDescent="0.3">
      <c r="I12222" s="82"/>
      <c r="M12222" s="85"/>
    </row>
    <row r="12223" spans="9:13" x14ac:dyDescent="0.3">
      <c r="I12223" s="82"/>
      <c r="M12223" s="85"/>
    </row>
    <row r="12224" spans="9:13" x14ac:dyDescent="0.3">
      <c r="I12224" s="82"/>
      <c r="M12224" s="85"/>
    </row>
    <row r="12225" spans="9:13" x14ac:dyDescent="0.3">
      <c r="I12225" s="82"/>
      <c r="M12225" s="85"/>
    </row>
    <row r="12226" spans="9:13" x14ac:dyDescent="0.3">
      <c r="I12226" s="82"/>
      <c r="M12226" s="85"/>
    </row>
    <row r="12227" spans="9:13" x14ac:dyDescent="0.3">
      <c r="I12227" s="82"/>
      <c r="M12227" s="85"/>
    </row>
    <row r="12228" spans="9:13" x14ac:dyDescent="0.3">
      <c r="I12228" s="82"/>
      <c r="M12228" s="85"/>
    </row>
    <row r="12229" spans="9:13" x14ac:dyDescent="0.3">
      <c r="I12229" s="82"/>
      <c r="M12229" s="85"/>
    </row>
    <row r="12230" spans="9:13" x14ac:dyDescent="0.3">
      <c r="I12230" s="82"/>
      <c r="M12230" s="85"/>
    </row>
    <row r="12231" spans="9:13" x14ac:dyDescent="0.3">
      <c r="I12231" s="82"/>
      <c r="M12231" s="85"/>
    </row>
    <row r="12232" spans="9:13" x14ac:dyDescent="0.3">
      <c r="I12232" s="82"/>
      <c r="M12232" s="85"/>
    </row>
    <row r="12233" spans="9:13" x14ac:dyDescent="0.3">
      <c r="I12233" s="82"/>
      <c r="M12233" s="85"/>
    </row>
    <row r="12234" spans="9:13" x14ac:dyDescent="0.3">
      <c r="I12234" s="82"/>
      <c r="M12234" s="85"/>
    </row>
    <row r="12235" spans="9:13" x14ac:dyDescent="0.3">
      <c r="I12235" s="82"/>
      <c r="M12235" s="85"/>
    </row>
    <row r="12236" spans="9:13" x14ac:dyDescent="0.3">
      <c r="I12236" s="82"/>
      <c r="M12236" s="85"/>
    </row>
    <row r="12237" spans="9:13" x14ac:dyDescent="0.3">
      <c r="I12237" s="82"/>
      <c r="M12237" s="85"/>
    </row>
    <row r="12238" spans="9:13" x14ac:dyDescent="0.3">
      <c r="I12238" s="82"/>
      <c r="M12238" s="85"/>
    </row>
    <row r="12239" spans="9:13" x14ac:dyDescent="0.3">
      <c r="I12239" s="82"/>
      <c r="M12239" s="85"/>
    </row>
    <row r="12240" spans="9:13" x14ac:dyDescent="0.3">
      <c r="I12240" s="82"/>
      <c r="M12240" s="85"/>
    </row>
    <row r="12241" spans="9:13" x14ac:dyDescent="0.3">
      <c r="I12241" s="82"/>
      <c r="M12241" s="85"/>
    </row>
    <row r="12242" spans="9:13" x14ac:dyDescent="0.3">
      <c r="I12242" s="82"/>
      <c r="M12242" s="85"/>
    </row>
    <row r="12243" spans="9:13" x14ac:dyDescent="0.3">
      <c r="I12243" s="82"/>
      <c r="M12243" s="85"/>
    </row>
    <row r="12244" spans="9:13" x14ac:dyDescent="0.3">
      <c r="I12244" s="82"/>
      <c r="M12244" s="85"/>
    </row>
    <row r="12245" spans="9:13" x14ac:dyDescent="0.3">
      <c r="I12245" s="82"/>
      <c r="M12245" s="85"/>
    </row>
    <row r="12246" spans="9:13" x14ac:dyDescent="0.3">
      <c r="I12246" s="82"/>
      <c r="M12246" s="85"/>
    </row>
    <row r="12247" spans="9:13" x14ac:dyDescent="0.3">
      <c r="I12247" s="82"/>
      <c r="M12247" s="85"/>
    </row>
    <row r="12248" spans="9:13" x14ac:dyDescent="0.3">
      <c r="I12248" s="82"/>
      <c r="M12248" s="85"/>
    </row>
    <row r="12249" spans="9:13" x14ac:dyDescent="0.3">
      <c r="I12249" s="82"/>
      <c r="M12249" s="85"/>
    </row>
    <row r="12250" spans="9:13" x14ac:dyDescent="0.3">
      <c r="I12250" s="82"/>
      <c r="M12250" s="85"/>
    </row>
    <row r="12251" spans="9:13" x14ac:dyDescent="0.3">
      <c r="I12251" s="82"/>
      <c r="M12251" s="85"/>
    </row>
    <row r="12252" spans="9:13" x14ac:dyDescent="0.3">
      <c r="I12252" s="82"/>
      <c r="M12252" s="85"/>
    </row>
    <row r="12253" spans="9:13" x14ac:dyDescent="0.3">
      <c r="I12253" s="82"/>
      <c r="M12253" s="85"/>
    </row>
    <row r="12254" spans="9:13" x14ac:dyDescent="0.3">
      <c r="I12254" s="82"/>
      <c r="M12254" s="85"/>
    </row>
    <row r="12255" spans="9:13" x14ac:dyDescent="0.3">
      <c r="I12255" s="82"/>
      <c r="M12255" s="85"/>
    </row>
    <row r="12256" spans="9:13" x14ac:dyDescent="0.3">
      <c r="I12256" s="82"/>
      <c r="M12256" s="85"/>
    </row>
    <row r="12257" spans="9:13" x14ac:dyDescent="0.3">
      <c r="I12257" s="82"/>
      <c r="M12257" s="85"/>
    </row>
    <row r="12258" spans="9:13" x14ac:dyDescent="0.3">
      <c r="I12258" s="82"/>
      <c r="M12258" s="85"/>
    </row>
    <row r="12259" spans="9:13" x14ac:dyDescent="0.3">
      <c r="I12259" s="82"/>
      <c r="M12259" s="85"/>
    </row>
    <row r="12260" spans="9:13" x14ac:dyDescent="0.3">
      <c r="I12260" s="82"/>
      <c r="M12260" s="85"/>
    </row>
    <row r="12261" spans="9:13" x14ac:dyDescent="0.3">
      <c r="I12261" s="82"/>
      <c r="M12261" s="85"/>
    </row>
    <row r="12262" spans="9:13" x14ac:dyDescent="0.3">
      <c r="I12262" s="82"/>
      <c r="M12262" s="85"/>
    </row>
    <row r="12263" spans="9:13" x14ac:dyDescent="0.3">
      <c r="I12263" s="82"/>
      <c r="M12263" s="85"/>
    </row>
    <row r="12264" spans="9:13" x14ac:dyDescent="0.3">
      <c r="I12264" s="82"/>
      <c r="M12264" s="85"/>
    </row>
    <row r="12265" spans="9:13" x14ac:dyDescent="0.3">
      <c r="I12265" s="82"/>
      <c r="M12265" s="85"/>
    </row>
    <row r="12266" spans="9:13" x14ac:dyDescent="0.3">
      <c r="I12266" s="82"/>
      <c r="M12266" s="85"/>
    </row>
    <row r="12267" spans="9:13" x14ac:dyDescent="0.3">
      <c r="I12267" s="82"/>
      <c r="M12267" s="85"/>
    </row>
    <row r="12268" spans="9:13" x14ac:dyDescent="0.3">
      <c r="I12268" s="82"/>
      <c r="M12268" s="85"/>
    </row>
    <row r="12269" spans="9:13" x14ac:dyDescent="0.3">
      <c r="I12269" s="82"/>
      <c r="M12269" s="85"/>
    </row>
    <row r="12270" spans="9:13" x14ac:dyDescent="0.3">
      <c r="I12270" s="82"/>
      <c r="M12270" s="85"/>
    </row>
    <row r="12271" spans="9:13" x14ac:dyDescent="0.3">
      <c r="I12271" s="82"/>
      <c r="M12271" s="85"/>
    </row>
    <row r="12272" spans="9:13" x14ac:dyDescent="0.3">
      <c r="I12272" s="82"/>
      <c r="M12272" s="85"/>
    </row>
    <row r="12273" spans="9:13" x14ac:dyDescent="0.3">
      <c r="I12273" s="82"/>
      <c r="M12273" s="85"/>
    </row>
    <row r="12274" spans="9:13" x14ac:dyDescent="0.3">
      <c r="I12274" s="82"/>
      <c r="M12274" s="85"/>
    </row>
    <row r="12275" spans="9:13" x14ac:dyDescent="0.3">
      <c r="I12275" s="82"/>
      <c r="M12275" s="85"/>
    </row>
    <row r="12276" spans="9:13" x14ac:dyDescent="0.3">
      <c r="I12276" s="82"/>
      <c r="M12276" s="85"/>
    </row>
    <row r="12277" spans="9:13" x14ac:dyDescent="0.3">
      <c r="I12277" s="82"/>
      <c r="M12277" s="85"/>
    </row>
    <row r="12278" spans="9:13" x14ac:dyDescent="0.3">
      <c r="I12278" s="82"/>
      <c r="M12278" s="85"/>
    </row>
    <row r="12279" spans="9:13" x14ac:dyDescent="0.3">
      <c r="I12279" s="82"/>
      <c r="M12279" s="85"/>
    </row>
    <row r="12280" spans="9:13" x14ac:dyDescent="0.3">
      <c r="I12280" s="82"/>
      <c r="M12280" s="85"/>
    </row>
    <row r="12281" spans="9:13" x14ac:dyDescent="0.3">
      <c r="I12281" s="82"/>
      <c r="M12281" s="85"/>
    </row>
    <row r="12282" spans="9:13" x14ac:dyDescent="0.3">
      <c r="I12282" s="82"/>
      <c r="M12282" s="85"/>
    </row>
    <row r="12283" spans="9:13" x14ac:dyDescent="0.3">
      <c r="I12283" s="82"/>
      <c r="M12283" s="85"/>
    </row>
    <row r="12284" spans="9:13" x14ac:dyDescent="0.3">
      <c r="I12284" s="82"/>
      <c r="M12284" s="85"/>
    </row>
    <row r="12285" spans="9:13" x14ac:dyDescent="0.3">
      <c r="I12285" s="82"/>
      <c r="M12285" s="85"/>
    </row>
    <row r="12286" spans="9:13" x14ac:dyDescent="0.3">
      <c r="I12286" s="82"/>
      <c r="M12286" s="85"/>
    </row>
    <row r="12287" spans="9:13" x14ac:dyDescent="0.3">
      <c r="I12287" s="82"/>
      <c r="M12287" s="85"/>
    </row>
    <row r="12288" spans="9:13" x14ac:dyDescent="0.3">
      <c r="I12288" s="82"/>
      <c r="M12288" s="85"/>
    </row>
    <row r="12289" spans="9:13" x14ac:dyDescent="0.3">
      <c r="I12289" s="82"/>
      <c r="M12289" s="85"/>
    </row>
    <row r="12290" spans="9:13" x14ac:dyDescent="0.3">
      <c r="I12290" s="82"/>
      <c r="M12290" s="85"/>
    </row>
    <row r="12291" spans="9:13" x14ac:dyDescent="0.3">
      <c r="I12291" s="82"/>
      <c r="M12291" s="85"/>
    </row>
    <row r="12292" spans="9:13" x14ac:dyDescent="0.3">
      <c r="I12292" s="82"/>
      <c r="M12292" s="85"/>
    </row>
    <row r="12293" spans="9:13" x14ac:dyDescent="0.3">
      <c r="I12293" s="82"/>
      <c r="M12293" s="85"/>
    </row>
    <row r="12294" spans="9:13" x14ac:dyDescent="0.3">
      <c r="I12294" s="82"/>
      <c r="M12294" s="85"/>
    </row>
    <row r="12295" spans="9:13" x14ac:dyDescent="0.3">
      <c r="I12295" s="82"/>
      <c r="M12295" s="85"/>
    </row>
    <row r="12296" spans="9:13" x14ac:dyDescent="0.3">
      <c r="I12296" s="82"/>
      <c r="M12296" s="85"/>
    </row>
    <row r="12297" spans="9:13" x14ac:dyDescent="0.3">
      <c r="I12297" s="82"/>
      <c r="M12297" s="85"/>
    </row>
    <row r="12298" spans="9:13" x14ac:dyDescent="0.3">
      <c r="I12298" s="82"/>
      <c r="M12298" s="85"/>
    </row>
    <row r="12299" spans="9:13" x14ac:dyDescent="0.3">
      <c r="I12299" s="82"/>
      <c r="M12299" s="85"/>
    </row>
    <row r="12300" spans="9:13" x14ac:dyDescent="0.3">
      <c r="I12300" s="82"/>
      <c r="M12300" s="85"/>
    </row>
    <row r="12301" spans="9:13" x14ac:dyDescent="0.3">
      <c r="I12301" s="82"/>
      <c r="M12301" s="85"/>
    </row>
    <row r="12302" spans="9:13" x14ac:dyDescent="0.3">
      <c r="I12302" s="82"/>
      <c r="M12302" s="85"/>
    </row>
    <row r="12303" spans="9:13" x14ac:dyDescent="0.3">
      <c r="I12303" s="82"/>
      <c r="M12303" s="85"/>
    </row>
    <row r="12304" spans="9:13" x14ac:dyDescent="0.3">
      <c r="I12304" s="82"/>
      <c r="M12304" s="85"/>
    </row>
    <row r="12305" spans="9:13" x14ac:dyDescent="0.3">
      <c r="I12305" s="82"/>
      <c r="M12305" s="85"/>
    </row>
    <row r="12306" spans="9:13" x14ac:dyDescent="0.3">
      <c r="I12306" s="82"/>
      <c r="M12306" s="85"/>
    </row>
    <row r="12307" spans="9:13" x14ac:dyDescent="0.3">
      <c r="I12307" s="82"/>
      <c r="M12307" s="85"/>
    </row>
    <row r="12308" spans="9:13" x14ac:dyDescent="0.3">
      <c r="I12308" s="82"/>
      <c r="M12308" s="85"/>
    </row>
    <row r="12309" spans="9:13" x14ac:dyDescent="0.3">
      <c r="I12309" s="82"/>
      <c r="M12309" s="85"/>
    </row>
    <row r="12310" spans="9:13" x14ac:dyDescent="0.3">
      <c r="I12310" s="82"/>
      <c r="M12310" s="85"/>
    </row>
    <row r="12311" spans="9:13" x14ac:dyDescent="0.3">
      <c r="I12311" s="82"/>
      <c r="M12311" s="85"/>
    </row>
    <row r="12312" spans="9:13" x14ac:dyDescent="0.3">
      <c r="I12312" s="82"/>
      <c r="M12312" s="85"/>
    </row>
    <row r="12313" spans="9:13" x14ac:dyDescent="0.3">
      <c r="I12313" s="82"/>
      <c r="M12313" s="85"/>
    </row>
    <row r="12314" spans="9:13" x14ac:dyDescent="0.3">
      <c r="I12314" s="82"/>
      <c r="M12314" s="85"/>
    </row>
    <row r="12315" spans="9:13" x14ac:dyDescent="0.3">
      <c r="I12315" s="82"/>
      <c r="M12315" s="85"/>
    </row>
    <row r="12316" spans="9:13" x14ac:dyDescent="0.3">
      <c r="I12316" s="82"/>
      <c r="M12316" s="85"/>
    </row>
    <row r="12317" spans="9:13" x14ac:dyDescent="0.3">
      <c r="I12317" s="82"/>
      <c r="M12317" s="85"/>
    </row>
    <row r="12318" spans="9:13" x14ac:dyDescent="0.3">
      <c r="I12318" s="82"/>
      <c r="M12318" s="85"/>
    </row>
    <row r="12319" spans="9:13" x14ac:dyDescent="0.3">
      <c r="I12319" s="82"/>
      <c r="M12319" s="85"/>
    </row>
    <row r="12320" spans="9:13" x14ac:dyDescent="0.3">
      <c r="I12320" s="82"/>
      <c r="M12320" s="85"/>
    </row>
    <row r="12321" spans="9:13" x14ac:dyDescent="0.3">
      <c r="I12321" s="82"/>
      <c r="M12321" s="85"/>
    </row>
    <row r="12322" spans="9:13" x14ac:dyDescent="0.3">
      <c r="I12322" s="82"/>
      <c r="M12322" s="85"/>
    </row>
    <row r="12323" spans="9:13" x14ac:dyDescent="0.3">
      <c r="I12323" s="82"/>
      <c r="M12323" s="85"/>
    </row>
    <row r="12324" spans="9:13" x14ac:dyDescent="0.3">
      <c r="I12324" s="82"/>
      <c r="M12324" s="85"/>
    </row>
    <row r="12325" spans="9:13" x14ac:dyDescent="0.3">
      <c r="I12325" s="82"/>
      <c r="M12325" s="85"/>
    </row>
    <row r="12326" spans="9:13" x14ac:dyDescent="0.3">
      <c r="I12326" s="82"/>
      <c r="M12326" s="85"/>
    </row>
    <row r="12327" spans="9:13" x14ac:dyDescent="0.3">
      <c r="I12327" s="82"/>
      <c r="M12327" s="85"/>
    </row>
    <row r="12328" spans="9:13" x14ac:dyDescent="0.3">
      <c r="I12328" s="82"/>
      <c r="M12328" s="85"/>
    </row>
    <row r="12329" spans="9:13" x14ac:dyDescent="0.3">
      <c r="I12329" s="82"/>
      <c r="M12329" s="85"/>
    </row>
    <row r="12330" spans="9:13" x14ac:dyDescent="0.3">
      <c r="I12330" s="82"/>
      <c r="M12330" s="85"/>
    </row>
    <row r="12331" spans="9:13" x14ac:dyDescent="0.3">
      <c r="I12331" s="82"/>
      <c r="M12331" s="85"/>
    </row>
    <row r="12332" spans="9:13" x14ac:dyDescent="0.3">
      <c r="I12332" s="82"/>
      <c r="M12332" s="85"/>
    </row>
    <row r="12333" spans="9:13" x14ac:dyDescent="0.3">
      <c r="I12333" s="82"/>
      <c r="M12333" s="85"/>
    </row>
    <row r="12334" spans="9:13" x14ac:dyDescent="0.3">
      <c r="I12334" s="82"/>
      <c r="M12334" s="85"/>
    </row>
    <row r="12335" spans="9:13" x14ac:dyDescent="0.3">
      <c r="I12335" s="82"/>
      <c r="M12335" s="85"/>
    </row>
    <row r="12336" spans="9:13" x14ac:dyDescent="0.3">
      <c r="I12336" s="82"/>
      <c r="M12336" s="85"/>
    </row>
    <row r="12337" spans="9:13" x14ac:dyDescent="0.3">
      <c r="I12337" s="82"/>
      <c r="M12337" s="85"/>
    </row>
    <row r="12338" spans="9:13" x14ac:dyDescent="0.3">
      <c r="I12338" s="82"/>
      <c r="M12338" s="85"/>
    </row>
    <row r="12339" spans="9:13" x14ac:dyDescent="0.3">
      <c r="I12339" s="82"/>
      <c r="M12339" s="85"/>
    </row>
    <row r="12340" spans="9:13" x14ac:dyDescent="0.3">
      <c r="I12340" s="82"/>
      <c r="M12340" s="85"/>
    </row>
    <row r="12341" spans="9:13" x14ac:dyDescent="0.3">
      <c r="I12341" s="82"/>
      <c r="M12341" s="85"/>
    </row>
    <row r="12342" spans="9:13" x14ac:dyDescent="0.3">
      <c r="I12342" s="82"/>
      <c r="M12342" s="85"/>
    </row>
    <row r="12343" spans="9:13" x14ac:dyDescent="0.3">
      <c r="I12343" s="82"/>
      <c r="M12343" s="85"/>
    </row>
    <row r="12344" spans="9:13" x14ac:dyDescent="0.3">
      <c r="I12344" s="82"/>
      <c r="M12344" s="85"/>
    </row>
    <row r="12345" spans="9:13" x14ac:dyDescent="0.3">
      <c r="I12345" s="82"/>
      <c r="M12345" s="85"/>
    </row>
    <row r="12346" spans="9:13" x14ac:dyDescent="0.3">
      <c r="I12346" s="82"/>
      <c r="M12346" s="85"/>
    </row>
    <row r="12347" spans="9:13" x14ac:dyDescent="0.3">
      <c r="I12347" s="82"/>
      <c r="M12347" s="85"/>
    </row>
    <row r="12348" spans="9:13" x14ac:dyDescent="0.3">
      <c r="I12348" s="82"/>
      <c r="M12348" s="85"/>
    </row>
    <row r="12349" spans="9:13" x14ac:dyDescent="0.3">
      <c r="I12349" s="82"/>
      <c r="M12349" s="85"/>
    </row>
    <row r="12350" spans="9:13" x14ac:dyDescent="0.3">
      <c r="I12350" s="82"/>
      <c r="M12350" s="85"/>
    </row>
    <row r="12351" spans="9:13" x14ac:dyDescent="0.3">
      <c r="I12351" s="82"/>
      <c r="M12351" s="85"/>
    </row>
    <row r="12352" spans="9:13" x14ac:dyDescent="0.3">
      <c r="I12352" s="82"/>
      <c r="M12352" s="85"/>
    </row>
    <row r="12353" spans="9:13" x14ac:dyDescent="0.3">
      <c r="I12353" s="82"/>
      <c r="M12353" s="85"/>
    </row>
    <row r="12354" spans="9:13" x14ac:dyDescent="0.3">
      <c r="I12354" s="82"/>
      <c r="M12354" s="85"/>
    </row>
    <row r="12355" spans="9:13" x14ac:dyDescent="0.3">
      <c r="I12355" s="82"/>
      <c r="M12355" s="85"/>
    </row>
    <row r="12356" spans="9:13" x14ac:dyDescent="0.3">
      <c r="I12356" s="82"/>
      <c r="M12356" s="85"/>
    </row>
    <row r="12357" spans="9:13" x14ac:dyDescent="0.3">
      <c r="I12357" s="82"/>
      <c r="M12357" s="85"/>
    </row>
    <row r="12358" spans="9:13" x14ac:dyDescent="0.3">
      <c r="I12358" s="82"/>
      <c r="M12358" s="85"/>
    </row>
    <row r="12359" spans="9:13" x14ac:dyDescent="0.3">
      <c r="I12359" s="82"/>
      <c r="M12359" s="85"/>
    </row>
    <row r="12360" spans="9:13" x14ac:dyDescent="0.3">
      <c r="I12360" s="82"/>
      <c r="M12360" s="85"/>
    </row>
    <row r="12361" spans="9:13" x14ac:dyDescent="0.3">
      <c r="I12361" s="82"/>
      <c r="M12361" s="85"/>
    </row>
    <row r="12362" spans="9:13" x14ac:dyDescent="0.3">
      <c r="I12362" s="82"/>
      <c r="M12362" s="85"/>
    </row>
    <row r="12363" spans="9:13" x14ac:dyDescent="0.3">
      <c r="I12363" s="82"/>
      <c r="M12363" s="85"/>
    </row>
    <row r="12364" spans="9:13" x14ac:dyDescent="0.3">
      <c r="I12364" s="82"/>
      <c r="M12364" s="85"/>
    </row>
    <row r="12365" spans="9:13" x14ac:dyDescent="0.3">
      <c r="I12365" s="82"/>
      <c r="M12365" s="85"/>
    </row>
    <row r="12366" spans="9:13" x14ac:dyDescent="0.3">
      <c r="I12366" s="82"/>
      <c r="M12366" s="85"/>
    </row>
    <row r="12367" spans="9:13" x14ac:dyDescent="0.3">
      <c r="I12367" s="82"/>
      <c r="M12367" s="85"/>
    </row>
    <row r="12368" spans="9:13" x14ac:dyDescent="0.3">
      <c r="I12368" s="82"/>
      <c r="M12368" s="85"/>
    </row>
    <row r="12369" spans="9:13" x14ac:dyDescent="0.3">
      <c r="I12369" s="82"/>
      <c r="M12369" s="85"/>
    </row>
    <row r="12370" spans="9:13" x14ac:dyDescent="0.3">
      <c r="I12370" s="82"/>
      <c r="M12370" s="85"/>
    </row>
    <row r="12371" spans="9:13" x14ac:dyDescent="0.3">
      <c r="I12371" s="82"/>
      <c r="M12371" s="85"/>
    </row>
    <row r="12372" spans="9:13" x14ac:dyDescent="0.3">
      <c r="I12372" s="82"/>
      <c r="M12372" s="85"/>
    </row>
    <row r="12373" spans="9:13" x14ac:dyDescent="0.3">
      <c r="I12373" s="82"/>
      <c r="M12373" s="85"/>
    </row>
    <row r="12374" spans="9:13" x14ac:dyDescent="0.3">
      <c r="I12374" s="82"/>
      <c r="M12374" s="85"/>
    </row>
    <row r="12375" spans="9:13" x14ac:dyDescent="0.3">
      <c r="I12375" s="82"/>
      <c r="M12375" s="85"/>
    </row>
    <row r="12376" spans="9:13" x14ac:dyDescent="0.3">
      <c r="I12376" s="82"/>
      <c r="M12376" s="85"/>
    </row>
    <row r="12377" spans="9:13" x14ac:dyDescent="0.3">
      <c r="I12377" s="82"/>
      <c r="M12377" s="85"/>
    </row>
    <row r="12378" spans="9:13" x14ac:dyDescent="0.3">
      <c r="I12378" s="82"/>
      <c r="M12378" s="85"/>
    </row>
    <row r="12379" spans="9:13" x14ac:dyDescent="0.3">
      <c r="I12379" s="82"/>
      <c r="M12379" s="85"/>
    </row>
    <row r="12380" spans="9:13" x14ac:dyDescent="0.3">
      <c r="I12380" s="82"/>
      <c r="M12380" s="85"/>
    </row>
    <row r="12381" spans="9:13" x14ac:dyDescent="0.3">
      <c r="I12381" s="82"/>
      <c r="M12381" s="85"/>
    </row>
    <row r="12382" spans="9:13" x14ac:dyDescent="0.3">
      <c r="I12382" s="82"/>
      <c r="M12382" s="85"/>
    </row>
    <row r="12383" spans="9:13" x14ac:dyDescent="0.3">
      <c r="I12383" s="82"/>
      <c r="M12383" s="85"/>
    </row>
    <row r="12384" spans="9:13" x14ac:dyDescent="0.3">
      <c r="I12384" s="82"/>
      <c r="M12384" s="85"/>
    </row>
    <row r="12385" spans="9:13" x14ac:dyDescent="0.3">
      <c r="I12385" s="82"/>
      <c r="M12385" s="85"/>
    </row>
    <row r="12386" spans="9:13" x14ac:dyDescent="0.3">
      <c r="I12386" s="82"/>
      <c r="M12386" s="85"/>
    </row>
    <row r="12387" spans="9:13" x14ac:dyDescent="0.3">
      <c r="I12387" s="82"/>
      <c r="M12387" s="85"/>
    </row>
    <row r="12388" spans="9:13" x14ac:dyDescent="0.3">
      <c r="I12388" s="82"/>
      <c r="M12388" s="85"/>
    </row>
    <row r="12389" spans="9:13" x14ac:dyDescent="0.3">
      <c r="I12389" s="82"/>
      <c r="M12389" s="85"/>
    </row>
    <row r="12390" spans="9:13" x14ac:dyDescent="0.3">
      <c r="I12390" s="82"/>
      <c r="M12390" s="85"/>
    </row>
    <row r="12391" spans="9:13" x14ac:dyDescent="0.3">
      <c r="I12391" s="82"/>
      <c r="M12391" s="85"/>
    </row>
    <row r="12392" spans="9:13" x14ac:dyDescent="0.3">
      <c r="I12392" s="82"/>
      <c r="M12392" s="85"/>
    </row>
    <row r="12393" spans="9:13" x14ac:dyDescent="0.3">
      <c r="I12393" s="82"/>
      <c r="M12393" s="85"/>
    </row>
    <row r="12394" spans="9:13" x14ac:dyDescent="0.3">
      <c r="I12394" s="82"/>
      <c r="M12394" s="85"/>
    </row>
    <row r="12395" spans="9:13" x14ac:dyDescent="0.3">
      <c r="I12395" s="82"/>
      <c r="M12395" s="85"/>
    </row>
    <row r="12396" spans="9:13" x14ac:dyDescent="0.3">
      <c r="I12396" s="82"/>
      <c r="M12396" s="85"/>
    </row>
    <row r="12397" spans="9:13" x14ac:dyDescent="0.3">
      <c r="I12397" s="82"/>
      <c r="M12397" s="85"/>
    </row>
    <row r="12398" spans="9:13" x14ac:dyDescent="0.3">
      <c r="I12398" s="82"/>
      <c r="M12398" s="85"/>
    </row>
    <row r="12399" spans="9:13" x14ac:dyDescent="0.3">
      <c r="I12399" s="82"/>
      <c r="M12399" s="85"/>
    </row>
    <row r="12400" spans="9:13" x14ac:dyDescent="0.3">
      <c r="I12400" s="82"/>
      <c r="M12400" s="85"/>
    </row>
    <row r="12401" spans="9:13" x14ac:dyDescent="0.3">
      <c r="I12401" s="82"/>
      <c r="M12401" s="85"/>
    </row>
    <row r="12402" spans="9:13" x14ac:dyDescent="0.3">
      <c r="I12402" s="82"/>
      <c r="M12402" s="85"/>
    </row>
    <row r="12403" spans="9:13" x14ac:dyDescent="0.3">
      <c r="I12403" s="82"/>
      <c r="M12403" s="85"/>
    </row>
    <row r="12404" spans="9:13" x14ac:dyDescent="0.3">
      <c r="I12404" s="82"/>
      <c r="M12404" s="85"/>
    </row>
    <row r="12405" spans="9:13" x14ac:dyDescent="0.3">
      <c r="I12405" s="82"/>
      <c r="M12405" s="85"/>
    </row>
    <row r="12406" spans="9:13" x14ac:dyDescent="0.3">
      <c r="I12406" s="82"/>
      <c r="M12406" s="85"/>
    </row>
    <row r="12407" spans="9:13" x14ac:dyDescent="0.3">
      <c r="I12407" s="82"/>
      <c r="M12407" s="85"/>
    </row>
    <row r="12408" spans="9:13" x14ac:dyDescent="0.3">
      <c r="I12408" s="82"/>
      <c r="M12408" s="85"/>
    </row>
    <row r="12409" spans="9:13" x14ac:dyDescent="0.3">
      <c r="I12409" s="82"/>
      <c r="M12409" s="85"/>
    </row>
    <row r="12410" spans="9:13" x14ac:dyDescent="0.3">
      <c r="I12410" s="82"/>
      <c r="M12410" s="85"/>
    </row>
    <row r="12411" spans="9:13" x14ac:dyDescent="0.3">
      <c r="I12411" s="82"/>
      <c r="M12411" s="85"/>
    </row>
    <row r="12412" spans="9:13" x14ac:dyDescent="0.3">
      <c r="I12412" s="82"/>
      <c r="M12412" s="85"/>
    </row>
    <row r="12413" spans="9:13" x14ac:dyDescent="0.3">
      <c r="I12413" s="82"/>
      <c r="M12413" s="85"/>
    </row>
    <row r="12414" spans="9:13" x14ac:dyDescent="0.3">
      <c r="I12414" s="82"/>
      <c r="M12414" s="85"/>
    </row>
    <row r="12415" spans="9:13" x14ac:dyDescent="0.3">
      <c r="I12415" s="82"/>
      <c r="M12415" s="85"/>
    </row>
    <row r="12416" spans="9:13" x14ac:dyDescent="0.3">
      <c r="I12416" s="82"/>
      <c r="M12416" s="85"/>
    </row>
    <row r="12417" spans="9:13" x14ac:dyDescent="0.3">
      <c r="I12417" s="82"/>
      <c r="M12417" s="85"/>
    </row>
    <row r="12418" spans="9:13" x14ac:dyDescent="0.3">
      <c r="I12418" s="82"/>
      <c r="M12418" s="85"/>
    </row>
    <row r="12419" spans="9:13" x14ac:dyDescent="0.3">
      <c r="I12419" s="82"/>
      <c r="M12419" s="85"/>
    </row>
    <row r="12420" spans="9:13" x14ac:dyDescent="0.3">
      <c r="I12420" s="82"/>
      <c r="M12420" s="85"/>
    </row>
    <row r="12421" spans="9:13" x14ac:dyDescent="0.3">
      <c r="I12421" s="82"/>
      <c r="M12421" s="85"/>
    </row>
    <row r="12422" spans="9:13" x14ac:dyDescent="0.3">
      <c r="I12422" s="82"/>
      <c r="M12422" s="85"/>
    </row>
    <row r="12423" spans="9:13" x14ac:dyDescent="0.3">
      <c r="I12423" s="82"/>
      <c r="M12423" s="85"/>
    </row>
    <row r="12424" spans="9:13" x14ac:dyDescent="0.3">
      <c r="I12424" s="82"/>
      <c r="M12424" s="85"/>
    </row>
    <row r="12425" spans="9:13" x14ac:dyDescent="0.3">
      <c r="I12425" s="82"/>
      <c r="M12425" s="85"/>
    </row>
    <row r="12426" spans="9:13" x14ac:dyDescent="0.3">
      <c r="I12426" s="82"/>
      <c r="M12426" s="85"/>
    </row>
    <row r="12427" spans="9:13" x14ac:dyDescent="0.3">
      <c r="I12427" s="82"/>
      <c r="M12427" s="85"/>
    </row>
    <row r="12428" spans="9:13" x14ac:dyDescent="0.3">
      <c r="I12428" s="82"/>
      <c r="M12428" s="85"/>
    </row>
    <row r="12429" spans="9:13" x14ac:dyDescent="0.3">
      <c r="I12429" s="82"/>
      <c r="M12429" s="85"/>
    </row>
    <row r="12430" spans="9:13" x14ac:dyDescent="0.3">
      <c r="I12430" s="82"/>
      <c r="M12430" s="85"/>
    </row>
    <row r="12431" spans="9:13" x14ac:dyDescent="0.3">
      <c r="I12431" s="82"/>
      <c r="M12431" s="85"/>
    </row>
    <row r="12432" spans="9:13" x14ac:dyDescent="0.3">
      <c r="I12432" s="82"/>
      <c r="M12432" s="85"/>
    </row>
    <row r="12433" spans="9:13" x14ac:dyDescent="0.3">
      <c r="I12433" s="82"/>
      <c r="M12433" s="85"/>
    </row>
    <row r="12434" spans="9:13" x14ac:dyDescent="0.3">
      <c r="I12434" s="82"/>
      <c r="M12434" s="85"/>
    </row>
    <row r="12435" spans="9:13" x14ac:dyDescent="0.3">
      <c r="I12435" s="82"/>
      <c r="M12435" s="85"/>
    </row>
    <row r="12436" spans="9:13" x14ac:dyDescent="0.3">
      <c r="I12436" s="82"/>
      <c r="M12436" s="85"/>
    </row>
    <row r="12437" spans="9:13" x14ac:dyDescent="0.3">
      <c r="I12437" s="82"/>
      <c r="M12437" s="85"/>
    </row>
    <row r="12438" spans="9:13" x14ac:dyDescent="0.3">
      <c r="I12438" s="82"/>
      <c r="M12438" s="85"/>
    </row>
    <row r="12439" spans="9:13" x14ac:dyDescent="0.3">
      <c r="I12439" s="82"/>
      <c r="M12439" s="85"/>
    </row>
    <row r="12440" spans="9:13" x14ac:dyDescent="0.3">
      <c r="I12440" s="82"/>
      <c r="M12440" s="85"/>
    </row>
    <row r="12441" spans="9:13" x14ac:dyDescent="0.3">
      <c r="I12441" s="82"/>
      <c r="M12441" s="85"/>
    </row>
    <row r="12442" spans="9:13" x14ac:dyDescent="0.3">
      <c r="I12442" s="82"/>
      <c r="M12442" s="85"/>
    </row>
    <row r="12443" spans="9:13" x14ac:dyDescent="0.3">
      <c r="I12443" s="82"/>
      <c r="M12443" s="85"/>
    </row>
    <row r="12444" spans="9:13" x14ac:dyDescent="0.3">
      <c r="I12444" s="82"/>
      <c r="M12444" s="85"/>
    </row>
    <row r="12445" spans="9:13" x14ac:dyDescent="0.3">
      <c r="I12445" s="82"/>
      <c r="M12445" s="85"/>
    </row>
    <row r="12446" spans="9:13" x14ac:dyDescent="0.3">
      <c r="I12446" s="82"/>
      <c r="M12446" s="85"/>
    </row>
    <row r="12447" spans="9:13" x14ac:dyDescent="0.3">
      <c r="I12447" s="82"/>
      <c r="M12447" s="85"/>
    </row>
    <row r="12448" spans="9:13" x14ac:dyDescent="0.3">
      <c r="I12448" s="82"/>
      <c r="M12448" s="85"/>
    </row>
    <row r="12449" spans="9:13" x14ac:dyDescent="0.3">
      <c r="I12449" s="82"/>
      <c r="M12449" s="85"/>
    </row>
    <row r="12450" spans="9:13" x14ac:dyDescent="0.3">
      <c r="I12450" s="82"/>
      <c r="M12450" s="85"/>
    </row>
    <row r="12451" spans="9:13" x14ac:dyDescent="0.3">
      <c r="I12451" s="82"/>
      <c r="M12451" s="85"/>
    </row>
    <row r="12452" spans="9:13" x14ac:dyDescent="0.3">
      <c r="I12452" s="82"/>
      <c r="M12452" s="85"/>
    </row>
    <row r="12453" spans="9:13" x14ac:dyDescent="0.3">
      <c r="I12453" s="82"/>
      <c r="M12453" s="85"/>
    </row>
    <row r="12454" spans="9:13" x14ac:dyDescent="0.3">
      <c r="I12454" s="82"/>
      <c r="M12454" s="85"/>
    </row>
    <row r="12455" spans="9:13" x14ac:dyDescent="0.3">
      <c r="I12455" s="82"/>
      <c r="M12455" s="85"/>
    </row>
    <row r="12456" spans="9:13" x14ac:dyDescent="0.3">
      <c r="I12456" s="82"/>
      <c r="M12456" s="85"/>
    </row>
    <row r="12457" spans="9:13" x14ac:dyDescent="0.3">
      <c r="I12457" s="82"/>
      <c r="M12457" s="85"/>
    </row>
    <row r="12458" spans="9:13" x14ac:dyDescent="0.3">
      <c r="I12458" s="82"/>
      <c r="M12458" s="85"/>
    </row>
    <row r="12459" spans="9:13" x14ac:dyDescent="0.3">
      <c r="I12459" s="82"/>
      <c r="M12459" s="85"/>
    </row>
    <row r="12460" spans="9:13" x14ac:dyDescent="0.3">
      <c r="I12460" s="82"/>
      <c r="M12460" s="85"/>
    </row>
    <row r="12461" spans="9:13" x14ac:dyDescent="0.3">
      <c r="I12461" s="82"/>
      <c r="M12461" s="85"/>
    </row>
    <row r="12462" spans="9:13" x14ac:dyDescent="0.3">
      <c r="I12462" s="82"/>
      <c r="M12462" s="85"/>
    </row>
    <row r="12463" spans="9:13" x14ac:dyDescent="0.3">
      <c r="I12463" s="82"/>
      <c r="M12463" s="85"/>
    </row>
    <row r="12464" spans="9:13" x14ac:dyDescent="0.3">
      <c r="I12464" s="82"/>
      <c r="M12464" s="85"/>
    </row>
    <row r="12465" spans="9:13" x14ac:dyDescent="0.3">
      <c r="I12465" s="82"/>
      <c r="M12465" s="85"/>
    </row>
    <row r="12466" spans="9:13" x14ac:dyDescent="0.3">
      <c r="I12466" s="82"/>
      <c r="M12466" s="85"/>
    </row>
    <row r="12467" spans="9:13" x14ac:dyDescent="0.3">
      <c r="I12467" s="82"/>
      <c r="M12467" s="85"/>
    </row>
    <row r="12468" spans="9:13" x14ac:dyDescent="0.3">
      <c r="I12468" s="82"/>
      <c r="M12468" s="85"/>
    </row>
    <row r="12469" spans="9:13" x14ac:dyDescent="0.3">
      <c r="I12469" s="82"/>
      <c r="M12469" s="85"/>
    </row>
    <row r="12470" spans="9:13" x14ac:dyDescent="0.3">
      <c r="I12470" s="82"/>
      <c r="M12470" s="85"/>
    </row>
    <row r="12471" spans="9:13" x14ac:dyDescent="0.3">
      <c r="I12471" s="82"/>
      <c r="M12471" s="85"/>
    </row>
    <row r="12472" spans="9:13" x14ac:dyDescent="0.3">
      <c r="I12472" s="82"/>
      <c r="M12472" s="85"/>
    </row>
    <row r="12473" spans="9:13" x14ac:dyDescent="0.3">
      <c r="I12473" s="82"/>
      <c r="M12473" s="85"/>
    </row>
    <row r="12474" spans="9:13" x14ac:dyDescent="0.3">
      <c r="I12474" s="82"/>
      <c r="M12474" s="85"/>
    </row>
    <row r="12475" spans="9:13" x14ac:dyDescent="0.3">
      <c r="I12475" s="82"/>
      <c r="M12475" s="85"/>
    </row>
    <row r="12476" spans="9:13" x14ac:dyDescent="0.3">
      <c r="I12476" s="82"/>
      <c r="M12476" s="85"/>
    </row>
    <row r="12477" spans="9:13" x14ac:dyDescent="0.3">
      <c r="I12477" s="82"/>
      <c r="M12477" s="85"/>
    </row>
    <row r="12478" spans="9:13" x14ac:dyDescent="0.3">
      <c r="I12478" s="82"/>
      <c r="M12478" s="85"/>
    </row>
    <row r="12479" spans="9:13" x14ac:dyDescent="0.3">
      <c r="I12479" s="82"/>
      <c r="M12479" s="85"/>
    </row>
    <row r="12480" spans="9:13" x14ac:dyDescent="0.3">
      <c r="I12480" s="82"/>
      <c r="M12480" s="85"/>
    </row>
    <row r="12481" spans="9:13" x14ac:dyDescent="0.3">
      <c r="I12481" s="82"/>
      <c r="M12481" s="85"/>
    </row>
    <row r="12482" spans="9:13" x14ac:dyDescent="0.3">
      <c r="I12482" s="82"/>
      <c r="M12482" s="85"/>
    </row>
    <row r="12483" spans="9:13" x14ac:dyDescent="0.3">
      <c r="I12483" s="82"/>
      <c r="M12483" s="85"/>
    </row>
    <row r="12484" spans="9:13" x14ac:dyDescent="0.3">
      <c r="I12484" s="82"/>
      <c r="M12484" s="85"/>
    </row>
    <row r="12485" spans="9:13" x14ac:dyDescent="0.3">
      <c r="I12485" s="82"/>
      <c r="M12485" s="85"/>
    </row>
    <row r="12486" spans="9:13" x14ac:dyDescent="0.3">
      <c r="I12486" s="82"/>
      <c r="M12486" s="85"/>
    </row>
    <row r="12487" spans="9:13" x14ac:dyDescent="0.3">
      <c r="I12487" s="82"/>
      <c r="M12487" s="85"/>
    </row>
    <row r="12488" spans="9:13" x14ac:dyDescent="0.3">
      <c r="I12488" s="82"/>
      <c r="M12488" s="85"/>
    </row>
    <row r="12489" spans="9:13" x14ac:dyDescent="0.3">
      <c r="I12489" s="82"/>
      <c r="M12489" s="85"/>
    </row>
    <row r="12490" spans="9:13" x14ac:dyDescent="0.3">
      <c r="I12490" s="82"/>
      <c r="M12490" s="85"/>
    </row>
    <row r="12491" spans="9:13" x14ac:dyDescent="0.3">
      <c r="I12491" s="82"/>
      <c r="M12491" s="85"/>
    </row>
    <row r="12492" spans="9:13" x14ac:dyDescent="0.3">
      <c r="I12492" s="82"/>
      <c r="M12492" s="85"/>
    </row>
    <row r="12493" spans="9:13" x14ac:dyDescent="0.3">
      <c r="I12493" s="82"/>
      <c r="M12493" s="85"/>
    </row>
    <row r="12494" spans="9:13" x14ac:dyDescent="0.3">
      <c r="I12494" s="82"/>
      <c r="M12494" s="85"/>
    </row>
    <row r="12495" spans="9:13" x14ac:dyDescent="0.3">
      <c r="I12495" s="82"/>
      <c r="M12495" s="85"/>
    </row>
    <row r="12496" spans="9:13" x14ac:dyDescent="0.3">
      <c r="I12496" s="82"/>
      <c r="M12496" s="85"/>
    </row>
    <row r="12497" spans="9:13" x14ac:dyDescent="0.3">
      <c r="I12497" s="82"/>
      <c r="M12497" s="85"/>
    </row>
    <row r="12498" spans="9:13" x14ac:dyDescent="0.3">
      <c r="I12498" s="82"/>
      <c r="M12498" s="85"/>
    </row>
    <row r="12499" spans="9:13" x14ac:dyDescent="0.3">
      <c r="I12499" s="82"/>
      <c r="M12499" s="85"/>
    </row>
    <row r="12500" spans="9:13" x14ac:dyDescent="0.3">
      <c r="I12500" s="82"/>
      <c r="M12500" s="85"/>
    </row>
    <row r="12501" spans="9:13" x14ac:dyDescent="0.3">
      <c r="I12501" s="82"/>
      <c r="M12501" s="85"/>
    </row>
    <row r="12502" spans="9:13" x14ac:dyDescent="0.3">
      <c r="I12502" s="82"/>
      <c r="M12502" s="85"/>
    </row>
    <row r="12503" spans="9:13" x14ac:dyDescent="0.3">
      <c r="I12503" s="82"/>
      <c r="M12503" s="85"/>
    </row>
    <row r="12504" spans="9:13" x14ac:dyDescent="0.3">
      <c r="I12504" s="82"/>
      <c r="M12504" s="85"/>
    </row>
    <row r="12505" spans="9:13" x14ac:dyDescent="0.3">
      <c r="I12505" s="82"/>
      <c r="M12505" s="85"/>
    </row>
    <row r="12506" spans="9:13" x14ac:dyDescent="0.3">
      <c r="I12506" s="82"/>
      <c r="M12506" s="85"/>
    </row>
    <row r="12507" spans="9:13" x14ac:dyDescent="0.3">
      <c r="I12507" s="82"/>
      <c r="M12507" s="85"/>
    </row>
    <row r="12508" spans="9:13" x14ac:dyDescent="0.3">
      <c r="I12508" s="82"/>
      <c r="M12508" s="85"/>
    </row>
    <row r="12509" spans="9:13" x14ac:dyDescent="0.3">
      <c r="I12509" s="82"/>
      <c r="M12509" s="85"/>
    </row>
    <row r="12510" spans="9:13" x14ac:dyDescent="0.3">
      <c r="I12510" s="82"/>
      <c r="M12510" s="85"/>
    </row>
    <row r="12511" spans="9:13" x14ac:dyDescent="0.3">
      <c r="I12511" s="82"/>
      <c r="M12511" s="85"/>
    </row>
    <row r="12512" spans="9:13" x14ac:dyDescent="0.3">
      <c r="I12512" s="82"/>
      <c r="M12512" s="85"/>
    </row>
    <row r="12513" spans="9:13" x14ac:dyDescent="0.3">
      <c r="I12513" s="82"/>
      <c r="M12513" s="85"/>
    </row>
    <row r="12514" spans="9:13" x14ac:dyDescent="0.3">
      <c r="I12514" s="82"/>
      <c r="M12514" s="85"/>
    </row>
    <row r="12515" spans="9:13" x14ac:dyDescent="0.3">
      <c r="I12515" s="82"/>
      <c r="M12515" s="85"/>
    </row>
    <row r="12516" spans="9:13" x14ac:dyDescent="0.3">
      <c r="I12516" s="82"/>
      <c r="M12516" s="85"/>
    </row>
    <row r="12517" spans="9:13" x14ac:dyDescent="0.3">
      <c r="I12517" s="82"/>
      <c r="M12517" s="85"/>
    </row>
    <row r="12518" spans="9:13" x14ac:dyDescent="0.3">
      <c r="I12518" s="82"/>
      <c r="M12518" s="85"/>
    </row>
    <row r="12519" spans="9:13" x14ac:dyDescent="0.3">
      <c r="I12519" s="82"/>
      <c r="M12519" s="85"/>
    </row>
    <row r="12520" spans="9:13" x14ac:dyDescent="0.3">
      <c r="I12520" s="82"/>
      <c r="M12520" s="85"/>
    </row>
    <row r="12521" spans="9:13" x14ac:dyDescent="0.3">
      <c r="I12521" s="82"/>
      <c r="M12521" s="85"/>
    </row>
    <row r="12522" spans="9:13" x14ac:dyDescent="0.3">
      <c r="I12522" s="82"/>
      <c r="M12522" s="85"/>
    </row>
    <row r="12523" spans="9:13" x14ac:dyDescent="0.3">
      <c r="I12523" s="82"/>
      <c r="M12523" s="85"/>
    </row>
    <row r="12524" spans="9:13" x14ac:dyDescent="0.3">
      <c r="I12524" s="82"/>
      <c r="M12524" s="85"/>
    </row>
    <row r="12525" spans="9:13" x14ac:dyDescent="0.3">
      <c r="I12525" s="82"/>
      <c r="M12525" s="85"/>
    </row>
    <row r="12526" spans="9:13" x14ac:dyDescent="0.3">
      <c r="I12526" s="82"/>
      <c r="M12526" s="85"/>
    </row>
    <row r="12527" spans="9:13" x14ac:dyDescent="0.3">
      <c r="I12527" s="82"/>
      <c r="M12527" s="85"/>
    </row>
    <row r="12528" spans="9:13" x14ac:dyDescent="0.3">
      <c r="I12528" s="82"/>
      <c r="M12528" s="85"/>
    </row>
    <row r="12529" spans="9:13" x14ac:dyDescent="0.3">
      <c r="I12529" s="82"/>
      <c r="M12529" s="85"/>
    </row>
    <row r="12530" spans="9:13" x14ac:dyDescent="0.3">
      <c r="I12530" s="82"/>
      <c r="M12530" s="85"/>
    </row>
    <row r="12531" spans="9:13" x14ac:dyDescent="0.3">
      <c r="I12531" s="82"/>
      <c r="M12531" s="85"/>
    </row>
    <row r="12532" spans="9:13" x14ac:dyDescent="0.3">
      <c r="I12532" s="82"/>
      <c r="M12532" s="85"/>
    </row>
    <row r="12533" spans="9:13" x14ac:dyDescent="0.3">
      <c r="I12533" s="82"/>
      <c r="M12533" s="85"/>
    </row>
    <row r="12534" spans="9:13" x14ac:dyDescent="0.3">
      <c r="I12534" s="82"/>
      <c r="M12534" s="85"/>
    </row>
    <row r="12535" spans="9:13" x14ac:dyDescent="0.3">
      <c r="I12535" s="82"/>
      <c r="M12535" s="85"/>
    </row>
    <row r="12536" spans="9:13" x14ac:dyDescent="0.3">
      <c r="I12536" s="82"/>
      <c r="M12536" s="85"/>
    </row>
    <row r="12537" spans="9:13" x14ac:dyDescent="0.3">
      <c r="I12537" s="82"/>
      <c r="M12537" s="85"/>
    </row>
    <row r="12538" spans="9:13" x14ac:dyDescent="0.3">
      <c r="I12538" s="82"/>
      <c r="M12538" s="85"/>
    </row>
    <row r="12539" spans="9:13" x14ac:dyDescent="0.3">
      <c r="I12539" s="82"/>
      <c r="M12539" s="85"/>
    </row>
    <row r="12540" spans="9:13" x14ac:dyDescent="0.3">
      <c r="I12540" s="82"/>
      <c r="M12540" s="85"/>
    </row>
    <row r="12541" spans="9:13" x14ac:dyDescent="0.3">
      <c r="I12541" s="82"/>
      <c r="M12541" s="85"/>
    </row>
    <row r="12542" spans="9:13" x14ac:dyDescent="0.3">
      <c r="I12542" s="82"/>
      <c r="M12542" s="85"/>
    </row>
    <row r="12543" spans="9:13" x14ac:dyDescent="0.3">
      <c r="I12543" s="82"/>
      <c r="M12543" s="85"/>
    </row>
    <row r="12544" spans="9:13" x14ac:dyDescent="0.3">
      <c r="I12544" s="82"/>
      <c r="M12544" s="85"/>
    </row>
    <row r="12545" spans="9:13" x14ac:dyDescent="0.3">
      <c r="I12545" s="82"/>
      <c r="M12545" s="85"/>
    </row>
    <row r="12546" spans="9:13" x14ac:dyDescent="0.3">
      <c r="I12546" s="82"/>
      <c r="M12546" s="85"/>
    </row>
    <row r="12547" spans="9:13" x14ac:dyDescent="0.3">
      <c r="I12547" s="82"/>
      <c r="M12547" s="85"/>
    </row>
    <row r="12548" spans="9:13" x14ac:dyDescent="0.3">
      <c r="I12548" s="82"/>
      <c r="M12548" s="85"/>
    </row>
    <row r="12549" spans="9:13" x14ac:dyDescent="0.3">
      <c r="I12549" s="82"/>
      <c r="M12549" s="85"/>
    </row>
    <row r="12550" spans="9:13" x14ac:dyDescent="0.3">
      <c r="I12550" s="82"/>
      <c r="M12550" s="85"/>
    </row>
    <row r="12551" spans="9:13" x14ac:dyDescent="0.3">
      <c r="I12551" s="82"/>
      <c r="M12551" s="85"/>
    </row>
    <row r="12552" spans="9:13" x14ac:dyDescent="0.3">
      <c r="I12552" s="82"/>
      <c r="M12552" s="85"/>
    </row>
    <row r="12553" spans="9:13" x14ac:dyDescent="0.3">
      <c r="I12553" s="82"/>
      <c r="M12553" s="85"/>
    </row>
    <row r="12554" spans="9:13" x14ac:dyDescent="0.3">
      <c r="I12554" s="82"/>
      <c r="M12554" s="85"/>
    </row>
    <row r="12555" spans="9:13" x14ac:dyDescent="0.3">
      <c r="I12555" s="82"/>
      <c r="M12555" s="85"/>
    </row>
    <row r="12556" spans="9:13" x14ac:dyDescent="0.3">
      <c r="I12556" s="82"/>
      <c r="M12556" s="85"/>
    </row>
    <row r="12557" spans="9:13" x14ac:dyDescent="0.3">
      <c r="I12557" s="82"/>
      <c r="M12557" s="85"/>
    </row>
    <row r="12558" spans="9:13" x14ac:dyDescent="0.3">
      <c r="I12558" s="82"/>
      <c r="M12558" s="85"/>
    </row>
    <row r="12559" spans="9:13" x14ac:dyDescent="0.3">
      <c r="I12559" s="82"/>
      <c r="M12559" s="85"/>
    </row>
    <row r="12560" spans="9:13" x14ac:dyDescent="0.3">
      <c r="I12560" s="82"/>
      <c r="M12560" s="85"/>
    </row>
    <row r="12561" spans="9:13" x14ac:dyDescent="0.3">
      <c r="I12561" s="82"/>
      <c r="M12561" s="85"/>
    </row>
    <row r="12562" spans="9:13" x14ac:dyDescent="0.3">
      <c r="I12562" s="82"/>
      <c r="M12562" s="85"/>
    </row>
    <row r="12563" spans="9:13" x14ac:dyDescent="0.3">
      <c r="I12563" s="82"/>
      <c r="M12563" s="85"/>
    </row>
    <row r="12564" spans="9:13" x14ac:dyDescent="0.3">
      <c r="I12564" s="82"/>
      <c r="M12564" s="85"/>
    </row>
    <row r="12565" spans="9:13" x14ac:dyDescent="0.3">
      <c r="I12565" s="82"/>
      <c r="M12565" s="85"/>
    </row>
    <row r="12566" spans="9:13" x14ac:dyDescent="0.3">
      <c r="I12566" s="82"/>
      <c r="M12566" s="85"/>
    </row>
    <row r="12567" spans="9:13" x14ac:dyDescent="0.3">
      <c r="I12567" s="82"/>
      <c r="M12567" s="85"/>
    </row>
    <row r="12568" spans="9:13" x14ac:dyDescent="0.3">
      <c r="I12568" s="82"/>
      <c r="M12568" s="85"/>
    </row>
    <row r="12569" spans="9:13" x14ac:dyDescent="0.3">
      <c r="I12569" s="82"/>
      <c r="M12569" s="85"/>
    </row>
    <row r="12570" spans="9:13" x14ac:dyDescent="0.3">
      <c r="I12570" s="82"/>
      <c r="M12570" s="85"/>
    </row>
    <row r="12571" spans="9:13" x14ac:dyDescent="0.3">
      <c r="I12571" s="82"/>
      <c r="M12571" s="85"/>
    </row>
    <row r="12572" spans="9:13" x14ac:dyDescent="0.3">
      <c r="I12572" s="82"/>
      <c r="M12572" s="85"/>
    </row>
    <row r="12573" spans="9:13" x14ac:dyDescent="0.3">
      <c r="I12573" s="82"/>
      <c r="M12573" s="85"/>
    </row>
    <row r="12574" spans="9:13" x14ac:dyDescent="0.3">
      <c r="I12574" s="82"/>
      <c r="M12574" s="85"/>
    </row>
    <row r="12575" spans="9:13" x14ac:dyDescent="0.3">
      <c r="I12575" s="82"/>
      <c r="M12575" s="85"/>
    </row>
    <row r="12576" spans="9:13" x14ac:dyDescent="0.3">
      <c r="I12576" s="82"/>
      <c r="M12576" s="85"/>
    </row>
    <row r="12577" spans="9:13" x14ac:dyDescent="0.3">
      <c r="I12577" s="82"/>
      <c r="M12577" s="85"/>
    </row>
    <row r="12578" spans="9:13" x14ac:dyDescent="0.3">
      <c r="I12578" s="82"/>
      <c r="M12578" s="85"/>
    </row>
    <row r="12579" spans="9:13" x14ac:dyDescent="0.3">
      <c r="I12579" s="82"/>
      <c r="M12579" s="85"/>
    </row>
    <row r="12580" spans="9:13" x14ac:dyDescent="0.3">
      <c r="I12580" s="82"/>
      <c r="M12580" s="85"/>
    </row>
    <row r="12581" spans="9:13" x14ac:dyDescent="0.3">
      <c r="I12581" s="82"/>
      <c r="M12581" s="85"/>
    </row>
    <row r="12582" spans="9:13" x14ac:dyDescent="0.3">
      <c r="I12582" s="82"/>
      <c r="M12582" s="85"/>
    </row>
    <row r="12583" spans="9:13" x14ac:dyDescent="0.3">
      <c r="I12583" s="82"/>
      <c r="M12583" s="85"/>
    </row>
    <row r="12584" spans="9:13" x14ac:dyDescent="0.3">
      <c r="I12584" s="82"/>
      <c r="M12584" s="85"/>
    </row>
    <row r="12585" spans="9:13" x14ac:dyDescent="0.3">
      <c r="I12585" s="82"/>
      <c r="M12585" s="85"/>
    </row>
    <row r="12586" spans="9:13" x14ac:dyDescent="0.3">
      <c r="I12586" s="82"/>
      <c r="M12586" s="85"/>
    </row>
    <row r="12587" spans="9:13" x14ac:dyDescent="0.3">
      <c r="I12587" s="82"/>
      <c r="M12587" s="85"/>
    </row>
    <row r="12588" spans="9:13" x14ac:dyDescent="0.3">
      <c r="I12588" s="82"/>
      <c r="M12588" s="85"/>
    </row>
    <row r="12589" spans="9:13" x14ac:dyDescent="0.3">
      <c r="I12589" s="82"/>
      <c r="M12589" s="85"/>
    </row>
    <row r="12590" spans="9:13" x14ac:dyDescent="0.3">
      <c r="I12590" s="82"/>
      <c r="M12590" s="85"/>
    </row>
    <row r="12591" spans="9:13" x14ac:dyDescent="0.3">
      <c r="I12591" s="82"/>
      <c r="M12591" s="85"/>
    </row>
    <row r="12592" spans="9:13" x14ac:dyDescent="0.3">
      <c r="I12592" s="82"/>
      <c r="M12592" s="85"/>
    </row>
    <row r="12593" spans="9:13" x14ac:dyDescent="0.3">
      <c r="I12593" s="82"/>
      <c r="M12593" s="85"/>
    </row>
    <row r="12594" spans="9:13" x14ac:dyDescent="0.3">
      <c r="I12594" s="82"/>
      <c r="M12594" s="85"/>
    </row>
    <row r="12595" spans="9:13" x14ac:dyDescent="0.3">
      <c r="I12595" s="82"/>
      <c r="M12595" s="85"/>
    </row>
    <row r="12596" spans="9:13" x14ac:dyDescent="0.3">
      <c r="I12596" s="82"/>
      <c r="M12596" s="85"/>
    </row>
    <row r="12597" spans="9:13" x14ac:dyDescent="0.3">
      <c r="I12597" s="82"/>
      <c r="M12597" s="85"/>
    </row>
    <row r="12598" spans="9:13" x14ac:dyDescent="0.3">
      <c r="I12598" s="82"/>
      <c r="M12598" s="85"/>
    </row>
    <row r="12599" spans="9:13" x14ac:dyDescent="0.3">
      <c r="I12599" s="82"/>
      <c r="M12599" s="85"/>
    </row>
    <row r="12600" spans="9:13" x14ac:dyDescent="0.3">
      <c r="I12600" s="82"/>
      <c r="M12600" s="85"/>
    </row>
    <row r="12601" spans="9:13" x14ac:dyDescent="0.3">
      <c r="I12601" s="82"/>
      <c r="M12601" s="85"/>
    </row>
    <row r="12602" spans="9:13" x14ac:dyDescent="0.3">
      <c r="I12602" s="82"/>
      <c r="M12602" s="85"/>
    </row>
    <row r="12603" spans="9:13" x14ac:dyDescent="0.3">
      <c r="I12603" s="82"/>
      <c r="M12603" s="85"/>
    </row>
    <row r="12604" spans="9:13" x14ac:dyDescent="0.3">
      <c r="I12604" s="82"/>
      <c r="M12604" s="85"/>
    </row>
    <row r="12605" spans="9:13" x14ac:dyDescent="0.3">
      <c r="I12605" s="82"/>
      <c r="M12605" s="85"/>
    </row>
    <row r="12606" spans="9:13" x14ac:dyDescent="0.3">
      <c r="I12606" s="82"/>
      <c r="M12606" s="85"/>
    </row>
    <row r="12607" spans="9:13" x14ac:dyDescent="0.3">
      <c r="I12607" s="82"/>
      <c r="M12607" s="85"/>
    </row>
    <row r="12608" spans="9:13" x14ac:dyDescent="0.3">
      <c r="I12608" s="82"/>
      <c r="M12608" s="85"/>
    </row>
    <row r="12609" spans="9:13" x14ac:dyDescent="0.3">
      <c r="I12609" s="82"/>
      <c r="M12609" s="85"/>
    </row>
    <row r="12610" spans="9:13" x14ac:dyDescent="0.3">
      <c r="I12610" s="82"/>
      <c r="M12610" s="85"/>
    </row>
    <row r="12611" spans="9:13" x14ac:dyDescent="0.3">
      <c r="I12611" s="82"/>
      <c r="M12611" s="85"/>
    </row>
    <row r="12612" spans="9:13" x14ac:dyDescent="0.3">
      <c r="I12612" s="82"/>
      <c r="M12612" s="85"/>
    </row>
    <row r="12613" spans="9:13" x14ac:dyDescent="0.3">
      <c r="I12613" s="82"/>
      <c r="M12613" s="85"/>
    </row>
    <row r="12614" spans="9:13" x14ac:dyDescent="0.3">
      <c r="I12614" s="82"/>
      <c r="M12614" s="85"/>
    </row>
    <row r="12615" spans="9:13" x14ac:dyDescent="0.3">
      <c r="I12615" s="82"/>
      <c r="M12615" s="85"/>
    </row>
    <row r="12616" spans="9:13" x14ac:dyDescent="0.3">
      <c r="I12616" s="82"/>
      <c r="M12616" s="85"/>
    </row>
    <row r="12617" spans="9:13" x14ac:dyDescent="0.3">
      <c r="I12617" s="82"/>
      <c r="M12617" s="85"/>
    </row>
    <row r="12618" spans="9:13" x14ac:dyDescent="0.3">
      <c r="I12618" s="82"/>
      <c r="M12618" s="85"/>
    </row>
    <row r="12619" spans="9:13" x14ac:dyDescent="0.3">
      <c r="I12619" s="82"/>
      <c r="M12619" s="85"/>
    </row>
    <row r="12620" spans="9:13" x14ac:dyDescent="0.3">
      <c r="I12620" s="82"/>
      <c r="M12620" s="85"/>
    </row>
    <row r="12621" spans="9:13" x14ac:dyDescent="0.3">
      <c r="I12621" s="82"/>
      <c r="M12621" s="85"/>
    </row>
    <row r="12622" spans="9:13" x14ac:dyDescent="0.3">
      <c r="I12622" s="82"/>
      <c r="M12622" s="85"/>
    </row>
    <row r="12623" spans="9:13" x14ac:dyDescent="0.3">
      <c r="I12623" s="82"/>
      <c r="M12623" s="85"/>
    </row>
    <row r="12624" spans="9:13" x14ac:dyDescent="0.3">
      <c r="I12624" s="82"/>
      <c r="M12624" s="85"/>
    </row>
    <row r="12625" spans="9:13" x14ac:dyDescent="0.3">
      <c r="I12625" s="82"/>
      <c r="M12625" s="85"/>
    </row>
    <row r="12626" spans="9:13" x14ac:dyDescent="0.3">
      <c r="I12626" s="82"/>
      <c r="M12626" s="85"/>
    </row>
    <row r="12627" spans="9:13" x14ac:dyDescent="0.3">
      <c r="I12627" s="82"/>
      <c r="M12627" s="85"/>
    </row>
    <row r="12628" spans="9:13" x14ac:dyDescent="0.3">
      <c r="I12628" s="82"/>
      <c r="M12628" s="85"/>
    </row>
    <row r="12629" spans="9:13" x14ac:dyDescent="0.3">
      <c r="I12629" s="82"/>
      <c r="M12629" s="85"/>
    </row>
    <row r="12630" spans="9:13" x14ac:dyDescent="0.3">
      <c r="I12630" s="82"/>
      <c r="M12630" s="85"/>
    </row>
    <row r="12631" spans="9:13" x14ac:dyDescent="0.3">
      <c r="I12631" s="82"/>
      <c r="M12631" s="85"/>
    </row>
    <row r="12632" spans="9:13" x14ac:dyDescent="0.3">
      <c r="I12632" s="82"/>
      <c r="M12632" s="85"/>
    </row>
    <row r="12633" spans="9:13" x14ac:dyDescent="0.3">
      <c r="I12633" s="82"/>
      <c r="M12633" s="85"/>
    </row>
    <row r="12634" spans="9:13" x14ac:dyDescent="0.3">
      <c r="I12634" s="82"/>
      <c r="M12634" s="85"/>
    </row>
    <row r="12635" spans="9:13" x14ac:dyDescent="0.3">
      <c r="I12635" s="82"/>
      <c r="M12635" s="85"/>
    </row>
    <row r="12636" spans="9:13" x14ac:dyDescent="0.3">
      <c r="I12636" s="82"/>
      <c r="M12636" s="85"/>
    </row>
    <row r="12637" spans="9:13" x14ac:dyDescent="0.3">
      <c r="I12637" s="82"/>
      <c r="M12637" s="85"/>
    </row>
    <row r="12638" spans="9:13" x14ac:dyDescent="0.3">
      <c r="I12638" s="82"/>
      <c r="M12638" s="85"/>
    </row>
    <row r="12639" spans="9:13" x14ac:dyDescent="0.3">
      <c r="I12639" s="82"/>
      <c r="M12639" s="85"/>
    </row>
    <row r="12640" spans="9:13" x14ac:dyDescent="0.3">
      <c r="I12640" s="82"/>
      <c r="M12640" s="85"/>
    </row>
    <row r="12641" spans="9:13" x14ac:dyDescent="0.3">
      <c r="I12641" s="82"/>
      <c r="M12641" s="85"/>
    </row>
    <row r="12642" spans="9:13" x14ac:dyDescent="0.3">
      <c r="I12642" s="82"/>
      <c r="M12642" s="85"/>
    </row>
    <row r="12643" spans="9:13" x14ac:dyDescent="0.3">
      <c r="I12643" s="82"/>
      <c r="M12643" s="85"/>
    </row>
    <row r="12644" spans="9:13" x14ac:dyDescent="0.3">
      <c r="I12644" s="82"/>
      <c r="M12644" s="85"/>
    </row>
    <row r="12645" spans="9:13" x14ac:dyDescent="0.3">
      <c r="I12645" s="82"/>
      <c r="M12645" s="85"/>
    </row>
    <row r="12646" spans="9:13" x14ac:dyDescent="0.3">
      <c r="I12646" s="82"/>
      <c r="M12646" s="85"/>
    </row>
    <row r="12647" spans="9:13" x14ac:dyDescent="0.3">
      <c r="I12647" s="82"/>
      <c r="M12647" s="85"/>
    </row>
    <row r="12648" spans="9:13" x14ac:dyDescent="0.3">
      <c r="I12648" s="82"/>
      <c r="M12648" s="85"/>
    </row>
    <row r="12649" spans="9:13" x14ac:dyDescent="0.3">
      <c r="I12649" s="82"/>
      <c r="M12649" s="85"/>
    </row>
    <row r="12650" spans="9:13" x14ac:dyDescent="0.3">
      <c r="I12650" s="82"/>
      <c r="M12650" s="85"/>
    </row>
    <row r="12651" spans="9:13" x14ac:dyDescent="0.3">
      <c r="I12651" s="82"/>
      <c r="M12651" s="85"/>
    </row>
    <row r="12652" spans="9:13" x14ac:dyDescent="0.3">
      <c r="I12652" s="82"/>
      <c r="M12652" s="85"/>
    </row>
    <row r="12653" spans="9:13" x14ac:dyDescent="0.3">
      <c r="I12653" s="82"/>
      <c r="M12653" s="85"/>
    </row>
    <row r="12654" spans="9:13" x14ac:dyDescent="0.3">
      <c r="I12654" s="82"/>
      <c r="M12654" s="85"/>
    </row>
    <row r="12655" spans="9:13" x14ac:dyDescent="0.3">
      <c r="I12655" s="82"/>
      <c r="M12655" s="85"/>
    </row>
    <row r="12656" spans="9:13" x14ac:dyDescent="0.3">
      <c r="I12656" s="82"/>
      <c r="M12656" s="85"/>
    </row>
    <row r="12657" spans="9:13" x14ac:dyDescent="0.3">
      <c r="I12657" s="82"/>
      <c r="M12657" s="85"/>
    </row>
    <row r="12658" spans="9:13" x14ac:dyDescent="0.3">
      <c r="I12658" s="82"/>
      <c r="M12658" s="85"/>
    </row>
    <row r="12659" spans="9:13" x14ac:dyDescent="0.3">
      <c r="I12659" s="82"/>
      <c r="M12659" s="85"/>
    </row>
    <row r="12660" spans="9:13" x14ac:dyDescent="0.3">
      <c r="I12660" s="82"/>
      <c r="M12660" s="85"/>
    </row>
    <row r="12661" spans="9:13" x14ac:dyDescent="0.3">
      <c r="I12661" s="82"/>
      <c r="M12661" s="85"/>
    </row>
    <row r="12662" spans="9:13" x14ac:dyDescent="0.3">
      <c r="I12662" s="82"/>
      <c r="M12662" s="85"/>
    </row>
    <row r="12663" spans="9:13" x14ac:dyDescent="0.3">
      <c r="I12663" s="82"/>
      <c r="M12663" s="85"/>
    </row>
    <row r="12664" spans="9:13" x14ac:dyDescent="0.3">
      <c r="I12664" s="82"/>
      <c r="M12664" s="85"/>
    </row>
    <row r="12665" spans="9:13" x14ac:dyDescent="0.3">
      <c r="I12665" s="82"/>
      <c r="M12665" s="85"/>
    </row>
    <row r="12666" spans="9:13" x14ac:dyDescent="0.3">
      <c r="I12666" s="82"/>
      <c r="M12666" s="85"/>
    </row>
    <row r="12667" spans="9:13" x14ac:dyDescent="0.3">
      <c r="I12667" s="82"/>
      <c r="M12667" s="85"/>
    </row>
    <row r="12668" spans="9:13" x14ac:dyDescent="0.3">
      <c r="I12668" s="82"/>
      <c r="M12668" s="85"/>
    </row>
    <row r="12669" spans="9:13" x14ac:dyDescent="0.3">
      <c r="I12669" s="82"/>
      <c r="M12669" s="85"/>
    </row>
    <row r="12670" spans="9:13" x14ac:dyDescent="0.3">
      <c r="I12670" s="82"/>
      <c r="M12670" s="85"/>
    </row>
    <row r="12671" spans="9:13" x14ac:dyDescent="0.3">
      <c r="I12671" s="82"/>
      <c r="M12671" s="85"/>
    </row>
    <row r="12672" spans="9:13" x14ac:dyDescent="0.3">
      <c r="I12672" s="82"/>
      <c r="M12672" s="85"/>
    </row>
    <row r="12673" spans="9:13" x14ac:dyDescent="0.3">
      <c r="I12673" s="82"/>
      <c r="M12673" s="85"/>
    </row>
    <row r="12674" spans="9:13" x14ac:dyDescent="0.3">
      <c r="I12674" s="82"/>
      <c r="M12674" s="85"/>
    </row>
    <row r="12675" spans="9:13" x14ac:dyDescent="0.3">
      <c r="I12675" s="82"/>
      <c r="M12675" s="85"/>
    </row>
    <row r="12676" spans="9:13" x14ac:dyDescent="0.3">
      <c r="I12676" s="82"/>
      <c r="M12676" s="85"/>
    </row>
    <row r="12677" spans="9:13" x14ac:dyDescent="0.3">
      <c r="I12677" s="82"/>
      <c r="M12677" s="85"/>
    </row>
    <row r="12678" spans="9:13" x14ac:dyDescent="0.3">
      <c r="I12678" s="82"/>
      <c r="M12678" s="85"/>
    </row>
    <row r="12679" spans="9:13" x14ac:dyDescent="0.3">
      <c r="I12679" s="82"/>
      <c r="M12679" s="85"/>
    </row>
    <row r="12680" spans="9:13" x14ac:dyDescent="0.3">
      <c r="I12680" s="82"/>
      <c r="M12680" s="85"/>
    </row>
    <row r="12681" spans="9:13" x14ac:dyDescent="0.3">
      <c r="I12681" s="82"/>
      <c r="M12681" s="85"/>
    </row>
    <row r="12682" spans="9:13" x14ac:dyDescent="0.3">
      <c r="I12682" s="82"/>
      <c r="M12682" s="85"/>
    </row>
    <row r="12683" spans="9:13" x14ac:dyDescent="0.3">
      <c r="I12683" s="82"/>
      <c r="M12683" s="85"/>
    </row>
    <row r="12684" spans="9:13" x14ac:dyDescent="0.3">
      <c r="I12684" s="82"/>
      <c r="M12684" s="85"/>
    </row>
    <row r="12685" spans="9:13" x14ac:dyDescent="0.3">
      <c r="I12685" s="82"/>
      <c r="M12685" s="85"/>
    </row>
    <row r="12686" spans="9:13" x14ac:dyDescent="0.3">
      <c r="I12686" s="82"/>
      <c r="M12686" s="85"/>
    </row>
    <row r="12687" spans="9:13" x14ac:dyDescent="0.3">
      <c r="I12687" s="82"/>
      <c r="M12687" s="85"/>
    </row>
    <row r="12688" spans="9:13" x14ac:dyDescent="0.3">
      <c r="I12688" s="82"/>
      <c r="M12688" s="85"/>
    </row>
    <row r="12689" spans="9:13" x14ac:dyDescent="0.3">
      <c r="I12689" s="82"/>
      <c r="M12689" s="85"/>
    </row>
    <row r="12690" spans="9:13" x14ac:dyDescent="0.3">
      <c r="I12690" s="82"/>
      <c r="M12690" s="85"/>
    </row>
    <row r="12691" spans="9:13" x14ac:dyDescent="0.3">
      <c r="I12691" s="82"/>
      <c r="M12691" s="85"/>
    </row>
    <row r="12692" spans="9:13" x14ac:dyDescent="0.3">
      <c r="I12692" s="82"/>
      <c r="M12692" s="85"/>
    </row>
    <row r="12693" spans="9:13" x14ac:dyDescent="0.3">
      <c r="I12693" s="82"/>
      <c r="M12693" s="85"/>
    </row>
    <row r="12694" spans="9:13" x14ac:dyDescent="0.3">
      <c r="I12694" s="82"/>
      <c r="M12694" s="85"/>
    </row>
    <row r="12695" spans="9:13" x14ac:dyDescent="0.3">
      <c r="I12695" s="82"/>
      <c r="M12695" s="85"/>
    </row>
    <row r="12696" spans="9:13" x14ac:dyDescent="0.3">
      <c r="I12696" s="82"/>
      <c r="M12696" s="85"/>
    </row>
    <row r="12697" spans="9:13" x14ac:dyDescent="0.3">
      <c r="I12697" s="82"/>
      <c r="M12697" s="85"/>
    </row>
    <row r="12698" spans="9:13" x14ac:dyDescent="0.3">
      <c r="I12698" s="82"/>
      <c r="M12698" s="85"/>
    </row>
    <row r="12699" spans="9:13" x14ac:dyDescent="0.3">
      <c r="I12699" s="82"/>
      <c r="M12699" s="85"/>
    </row>
    <row r="12700" spans="9:13" x14ac:dyDescent="0.3">
      <c r="I12700" s="82"/>
      <c r="M12700" s="85"/>
    </row>
    <row r="12701" spans="9:13" x14ac:dyDescent="0.3">
      <c r="I12701" s="82"/>
      <c r="M12701" s="85"/>
    </row>
    <row r="12702" spans="9:13" x14ac:dyDescent="0.3">
      <c r="I12702" s="82"/>
      <c r="M12702" s="85"/>
    </row>
    <row r="12703" spans="9:13" x14ac:dyDescent="0.3">
      <c r="I12703" s="82"/>
      <c r="M12703" s="85"/>
    </row>
    <row r="12704" spans="9:13" x14ac:dyDescent="0.3">
      <c r="I12704" s="82"/>
      <c r="M12704" s="85"/>
    </row>
    <row r="12705" spans="9:13" x14ac:dyDescent="0.3">
      <c r="I12705" s="82"/>
      <c r="M12705" s="85"/>
    </row>
    <row r="12706" spans="9:13" x14ac:dyDescent="0.3">
      <c r="I12706" s="82"/>
      <c r="M12706" s="85"/>
    </row>
    <row r="12707" spans="9:13" x14ac:dyDescent="0.3">
      <c r="I12707" s="82"/>
      <c r="M12707" s="85"/>
    </row>
    <row r="12708" spans="9:13" x14ac:dyDescent="0.3">
      <c r="I12708" s="82"/>
      <c r="M12708" s="85"/>
    </row>
    <row r="12709" spans="9:13" x14ac:dyDescent="0.3">
      <c r="I12709" s="82"/>
      <c r="M12709" s="85"/>
    </row>
    <row r="12710" spans="9:13" x14ac:dyDescent="0.3">
      <c r="I12710" s="82"/>
      <c r="M12710" s="85"/>
    </row>
    <row r="12711" spans="9:13" x14ac:dyDescent="0.3">
      <c r="I12711" s="82"/>
      <c r="M12711" s="85"/>
    </row>
    <row r="12712" spans="9:13" x14ac:dyDescent="0.3">
      <c r="I12712" s="82"/>
      <c r="M12712" s="85"/>
    </row>
    <row r="12713" spans="9:13" x14ac:dyDescent="0.3">
      <c r="I12713" s="82"/>
      <c r="M12713" s="85"/>
    </row>
    <row r="12714" spans="9:13" x14ac:dyDescent="0.3">
      <c r="I12714" s="82"/>
      <c r="M12714" s="85"/>
    </row>
    <row r="12715" spans="9:13" x14ac:dyDescent="0.3">
      <c r="I12715" s="82"/>
      <c r="M12715" s="85"/>
    </row>
    <row r="12716" spans="9:13" x14ac:dyDescent="0.3">
      <c r="I12716" s="82"/>
      <c r="M12716" s="85"/>
    </row>
    <row r="12717" spans="9:13" x14ac:dyDescent="0.3">
      <c r="I12717" s="82"/>
      <c r="M12717" s="85"/>
    </row>
    <row r="12718" spans="9:13" x14ac:dyDescent="0.3">
      <c r="I12718" s="82"/>
      <c r="M12718" s="85"/>
    </row>
    <row r="12719" spans="9:13" x14ac:dyDescent="0.3">
      <c r="I12719" s="82"/>
      <c r="M12719" s="85"/>
    </row>
    <row r="12720" spans="9:13" x14ac:dyDescent="0.3">
      <c r="I12720" s="82"/>
      <c r="M12720" s="85"/>
    </row>
    <row r="12721" spans="9:13" x14ac:dyDescent="0.3">
      <c r="I12721" s="82"/>
      <c r="M12721" s="85"/>
    </row>
    <row r="12722" spans="9:13" x14ac:dyDescent="0.3">
      <c r="I12722" s="82"/>
      <c r="M12722" s="85"/>
    </row>
    <row r="12723" spans="9:13" x14ac:dyDescent="0.3">
      <c r="I12723" s="82"/>
      <c r="M12723" s="85"/>
    </row>
    <row r="12724" spans="9:13" x14ac:dyDescent="0.3">
      <c r="I12724" s="82"/>
      <c r="M12724" s="85"/>
    </row>
    <row r="12725" spans="9:13" x14ac:dyDescent="0.3">
      <c r="I12725" s="82"/>
      <c r="M12725" s="85"/>
    </row>
    <row r="12726" spans="9:13" x14ac:dyDescent="0.3">
      <c r="I12726" s="82"/>
      <c r="M12726" s="85"/>
    </row>
    <row r="12727" spans="9:13" x14ac:dyDescent="0.3">
      <c r="I12727" s="82"/>
      <c r="M12727" s="85"/>
    </row>
    <row r="12728" spans="9:13" x14ac:dyDescent="0.3">
      <c r="I12728" s="82"/>
      <c r="M12728" s="85"/>
    </row>
    <row r="12729" spans="9:13" x14ac:dyDescent="0.3">
      <c r="I12729" s="82"/>
      <c r="M12729" s="85"/>
    </row>
    <row r="12730" spans="9:13" x14ac:dyDescent="0.3">
      <c r="I12730" s="82"/>
      <c r="M12730" s="85"/>
    </row>
    <row r="12731" spans="9:13" x14ac:dyDescent="0.3">
      <c r="I12731" s="82"/>
      <c r="M12731" s="85"/>
    </row>
    <row r="12732" spans="9:13" x14ac:dyDescent="0.3">
      <c r="I12732" s="82"/>
      <c r="M12732" s="85"/>
    </row>
    <row r="12733" spans="9:13" x14ac:dyDescent="0.3">
      <c r="I12733" s="82"/>
      <c r="M12733" s="85"/>
    </row>
    <row r="12734" spans="9:13" x14ac:dyDescent="0.3">
      <c r="I12734" s="82"/>
      <c r="M12734" s="85"/>
    </row>
    <row r="12735" spans="9:13" x14ac:dyDescent="0.3">
      <c r="I12735" s="82"/>
      <c r="M12735" s="85"/>
    </row>
    <row r="12736" spans="9:13" x14ac:dyDescent="0.3">
      <c r="I12736" s="82"/>
      <c r="M12736" s="85"/>
    </row>
    <row r="12737" spans="9:13" x14ac:dyDescent="0.3">
      <c r="I12737" s="82"/>
      <c r="M12737" s="85"/>
    </row>
    <row r="12738" spans="9:13" x14ac:dyDescent="0.3">
      <c r="I12738" s="82"/>
      <c r="M12738" s="85"/>
    </row>
    <row r="12739" spans="9:13" x14ac:dyDescent="0.3">
      <c r="I12739" s="82"/>
      <c r="M12739" s="85"/>
    </row>
    <row r="12740" spans="9:13" x14ac:dyDescent="0.3">
      <c r="I12740" s="82"/>
      <c r="M12740" s="85"/>
    </row>
    <row r="12741" spans="9:13" x14ac:dyDescent="0.3">
      <c r="I12741" s="82"/>
      <c r="M12741" s="85"/>
    </row>
    <row r="12742" spans="9:13" x14ac:dyDescent="0.3">
      <c r="I12742" s="82"/>
      <c r="M12742" s="85"/>
    </row>
    <row r="12743" spans="9:13" x14ac:dyDescent="0.3">
      <c r="I12743" s="82"/>
      <c r="M12743" s="85"/>
    </row>
    <row r="12744" spans="9:13" x14ac:dyDescent="0.3">
      <c r="I12744" s="82"/>
      <c r="M12744" s="85"/>
    </row>
    <row r="12745" spans="9:13" x14ac:dyDescent="0.3">
      <c r="I12745" s="82"/>
      <c r="M12745" s="85"/>
    </row>
    <row r="12746" spans="9:13" x14ac:dyDescent="0.3">
      <c r="I12746" s="82"/>
      <c r="M12746" s="85"/>
    </row>
    <row r="12747" spans="9:13" x14ac:dyDescent="0.3">
      <c r="I12747" s="82"/>
      <c r="M12747" s="85"/>
    </row>
    <row r="12748" spans="9:13" x14ac:dyDescent="0.3">
      <c r="I12748" s="82"/>
      <c r="M12748" s="85"/>
    </row>
    <row r="12749" spans="9:13" x14ac:dyDescent="0.3">
      <c r="I12749" s="82"/>
      <c r="M12749" s="85"/>
    </row>
    <row r="12750" spans="9:13" x14ac:dyDescent="0.3">
      <c r="I12750" s="82"/>
      <c r="M12750" s="85"/>
    </row>
    <row r="12751" spans="9:13" x14ac:dyDescent="0.3">
      <c r="I12751" s="82"/>
      <c r="M12751" s="85"/>
    </row>
    <row r="12752" spans="9:13" x14ac:dyDescent="0.3">
      <c r="I12752" s="82"/>
      <c r="M12752" s="85"/>
    </row>
    <row r="12753" spans="9:13" x14ac:dyDescent="0.3">
      <c r="I12753" s="82"/>
      <c r="M12753" s="85"/>
    </row>
    <row r="12754" spans="9:13" x14ac:dyDescent="0.3">
      <c r="I12754" s="82"/>
      <c r="M12754" s="85"/>
    </row>
    <row r="12755" spans="9:13" x14ac:dyDescent="0.3">
      <c r="I12755" s="82"/>
      <c r="M12755" s="85"/>
    </row>
    <row r="12756" spans="9:13" x14ac:dyDescent="0.3">
      <c r="I12756" s="82"/>
      <c r="M12756" s="85"/>
    </row>
    <row r="12757" spans="9:13" x14ac:dyDescent="0.3">
      <c r="I12757" s="82"/>
      <c r="M12757" s="85"/>
    </row>
    <row r="12758" spans="9:13" x14ac:dyDescent="0.3">
      <c r="I12758" s="82"/>
      <c r="M12758" s="85"/>
    </row>
    <row r="12759" spans="9:13" x14ac:dyDescent="0.3">
      <c r="I12759" s="82"/>
      <c r="M12759" s="85"/>
    </row>
    <row r="12760" spans="9:13" x14ac:dyDescent="0.3">
      <c r="I12760" s="82"/>
      <c r="M12760" s="85"/>
    </row>
    <row r="12761" spans="9:13" x14ac:dyDescent="0.3">
      <c r="I12761" s="82"/>
      <c r="M12761" s="85"/>
    </row>
    <row r="12762" spans="9:13" x14ac:dyDescent="0.3">
      <c r="I12762" s="82"/>
      <c r="M12762" s="85"/>
    </row>
    <row r="12763" spans="9:13" x14ac:dyDescent="0.3">
      <c r="I12763" s="82"/>
      <c r="M12763" s="85"/>
    </row>
    <row r="12764" spans="9:13" x14ac:dyDescent="0.3">
      <c r="I12764" s="82"/>
      <c r="M12764" s="85"/>
    </row>
    <row r="12765" spans="9:13" x14ac:dyDescent="0.3">
      <c r="I12765" s="82"/>
      <c r="M12765" s="85"/>
    </row>
    <row r="12766" spans="9:13" x14ac:dyDescent="0.3">
      <c r="I12766" s="82"/>
      <c r="M12766" s="85"/>
    </row>
    <row r="12767" spans="9:13" x14ac:dyDescent="0.3">
      <c r="I12767" s="82"/>
      <c r="M12767" s="85"/>
    </row>
    <row r="12768" spans="9:13" x14ac:dyDescent="0.3">
      <c r="I12768" s="82"/>
      <c r="M12768" s="85"/>
    </row>
    <row r="12769" spans="9:13" x14ac:dyDescent="0.3">
      <c r="I12769" s="82"/>
      <c r="M12769" s="85"/>
    </row>
    <row r="12770" spans="9:13" x14ac:dyDescent="0.3">
      <c r="I12770" s="82"/>
      <c r="M12770" s="85"/>
    </row>
    <row r="12771" spans="9:13" x14ac:dyDescent="0.3">
      <c r="I12771" s="82"/>
      <c r="M12771" s="85"/>
    </row>
    <row r="12772" spans="9:13" x14ac:dyDescent="0.3">
      <c r="I12772" s="82"/>
      <c r="M12772" s="85"/>
    </row>
    <row r="12773" spans="9:13" x14ac:dyDescent="0.3">
      <c r="I12773" s="82"/>
      <c r="M12773" s="85"/>
    </row>
    <row r="12774" spans="9:13" x14ac:dyDescent="0.3">
      <c r="I12774" s="82"/>
      <c r="M12774" s="85"/>
    </row>
    <row r="12775" spans="9:13" x14ac:dyDescent="0.3">
      <c r="I12775" s="82"/>
      <c r="M12775" s="85"/>
    </row>
    <row r="12776" spans="9:13" x14ac:dyDescent="0.3">
      <c r="I12776" s="82"/>
      <c r="M12776" s="85"/>
    </row>
    <row r="12777" spans="9:13" x14ac:dyDescent="0.3">
      <c r="I12777" s="82"/>
      <c r="M12777" s="85"/>
    </row>
    <row r="12778" spans="9:13" x14ac:dyDescent="0.3">
      <c r="I12778" s="82"/>
      <c r="M12778" s="85"/>
    </row>
    <row r="12779" spans="9:13" x14ac:dyDescent="0.3">
      <c r="I12779" s="82"/>
      <c r="M12779" s="85"/>
    </row>
    <row r="12780" spans="9:13" x14ac:dyDescent="0.3">
      <c r="I12780" s="82"/>
      <c r="M12780" s="85"/>
    </row>
    <row r="12781" spans="9:13" x14ac:dyDescent="0.3">
      <c r="I12781" s="82"/>
      <c r="M12781" s="85"/>
    </row>
    <row r="12782" spans="9:13" x14ac:dyDescent="0.3">
      <c r="I12782" s="82"/>
      <c r="M12782" s="85"/>
    </row>
    <row r="12783" spans="9:13" x14ac:dyDescent="0.3">
      <c r="I12783" s="82"/>
      <c r="M12783" s="85"/>
    </row>
    <row r="12784" spans="9:13" x14ac:dyDescent="0.3">
      <c r="I12784" s="82"/>
      <c r="M12784" s="85"/>
    </row>
    <row r="12785" spans="9:13" x14ac:dyDescent="0.3">
      <c r="I12785" s="82"/>
      <c r="M12785" s="85"/>
    </row>
    <row r="12786" spans="9:13" x14ac:dyDescent="0.3">
      <c r="I12786" s="82"/>
      <c r="M12786" s="85"/>
    </row>
    <row r="12787" spans="9:13" x14ac:dyDescent="0.3">
      <c r="I12787" s="82"/>
      <c r="M12787" s="85"/>
    </row>
    <row r="12788" spans="9:13" x14ac:dyDescent="0.3">
      <c r="I12788" s="82"/>
      <c r="M12788" s="85"/>
    </row>
    <row r="12789" spans="9:13" x14ac:dyDescent="0.3">
      <c r="I12789" s="82"/>
      <c r="M12789" s="85"/>
    </row>
    <row r="12790" spans="9:13" x14ac:dyDescent="0.3">
      <c r="I12790" s="82"/>
      <c r="M12790" s="85"/>
    </row>
    <row r="12791" spans="9:13" x14ac:dyDescent="0.3">
      <c r="I12791" s="82"/>
      <c r="M12791" s="85"/>
    </row>
    <row r="12792" spans="9:13" x14ac:dyDescent="0.3">
      <c r="I12792" s="82"/>
      <c r="M12792" s="85"/>
    </row>
    <row r="12793" spans="9:13" x14ac:dyDescent="0.3">
      <c r="I12793" s="82"/>
      <c r="M12793" s="85"/>
    </row>
    <row r="12794" spans="9:13" x14ac:dyDescent="0.3">
      <c r="I12794" s="82"/>
      <c r="M12794" s="85"/>
    </row>
    <row r="12795" spans="9:13" x14ac:dyDescent="0.3">
      <c r="I12795" s="82"/>
      <c r="M12795" s="85"/>
    </row>
    <row r="12796" spans="9:13" x14ac:dyDescent="0.3">
      <c r="I12796" s="82"/>
      <c r="M12796" s="85"/>
    </row>
    <row r="12797" spans="9:13" x14ac:dyDescent="0.3">
      <c r="I12797" s="82"/>
      <c r="M12797" s="85"/>
    </row>
    <row r="12798" spans="9:13" x14ac:dyDescent="0.3">
      <c r="I12798" s="82"/>
      <c r="M12798" s="85"/>
    </row>
    <row r="12799" spans="9:13" x14ac:dyDescent="0.3">
      <c r="I12799" s="82"/>
      <c r="M12799" s="85"/>
    </row>
    <row r="12800" spans="9:13" x14ac:dyDescent="0.3">
      <c r="I12800" s="82"/>
      <c r="M12800" s="85"/>
    </row>
    <row r="12801" spans="9:13" x14ac:dyDescent="0.3">
      <c r="I12801" s="82"/>
      <c r="M12801" s="85"/>
    </row>
    <row r="12802" spans="9:13" x14ac:dyDescent="0.3">
      <c r="I12802" s="82"/>
      <c r="M12802" s="85"/>
    </row>
    <row r="12803" spans="9:13" x14ac:dyDescent="0.3">
      <c r="I12803" s="82"/>
      <c r="M12803" s="85"/>
    </row>
    <row r="12804" spans="9:13" x14ac:dyDescent="0.3">
      <c r="I12804" s="82"/>
      <c r="M12804" s="85"/>
    </row>
    <row r="12805" spans="9:13" x14ac:dyDescent="0.3">
      <c r="I12805" s="82"/>
      <c r="M12805" s="85"/>
    </row>
    <row r="12806" spans="9:13" x14ac:dyDescent="0.3">
      <c r="I12806" s="82"/>
      <c r="M12806" s="85"/>
    </row>
    <row r="12807" spans="9:13" x14ac:dyDescent="0.3">
      <c r="I12807" s="82"/>
      <c r="M12807" s="85"/>
    </row>
    <row r="12808" spans="9:13" x14ac:dyDescent="0.3">
      <c r="I12808" s="82"/>
      <c r="M12808" s="85"/>
    </row>
    <row r="12809" spans="9:13" x14ac:dyDescent="0.3">
      <c r="I12809" s="82"/>
      <c r="M12809" s="85"/>
    </row>
    <row r="12810" spans="9:13" x14ac:dyDescent="0.3">
      <c r="I12810" s="82"/>
      <c r="M12810" s="85"/>
    </row>
    <row r="12811" spans="9:13" x14ac:dyDescent="0.3">
      <c r="I12811" s="82"/>
      <c r="M12811" s="85"/>
    </row>
    <row r="12812" spans="9:13" x14ac:dyDescent="0.3">
      <c r="I12812" s="82"/>
      <c r="M12812" s="85"/>
    </row>
    <row r="12813" spans="9:13" x14ac:dyDescent="0.3">
      <c r="I12813" s="82"/>
      <c r="M12813" s="85"/>
    </row>
    <row r="12814" spans="9:13" x14ac:dyDescent="0.3">
      <c r="I12814" s="82"/>
      <c r="M12814" s="85"/>
    </row>
    <row r="12815" spans="9:13" x14ac:dyDescent="0.3">
      <c r="I12815" s="82"/>
      <c r="M12815" s="85"/>
    </row>
    <row r="12816" spans="9:13" x14ac:dyDescent="0.3">
      <c r="I12816" s="82"/>
      <c r="M12816" s="85"/>
    </row>
    <row r="12817" spans="9:13" x14ac:dyDescent="0.3">
      <c r="I12817" s="82"/>
      <c r="M12817" s="85"/>
    </row>
    <row r="12818" spans="9:13" x14ac:dyDescent="0.3">
      <c r="I12818" s="82"/>
      <c r="M12818" s="85"/>
    </row>
    <row r="12819" spans="9:13" x14ac:dyDescent="0.3">
      <c r="I12819" s="82"/>
      <c r="M12819" s="85"/>
    </row>
    <row r="12820" spans="9:13" x14ac:dyDescent="0.3">
      <c r="I12820" s="82"/>
      <c r="M12820" s="85"/>
    </row>
    <row r="12821" spans="9:13" x14ac:dyDescent="0.3">
      <c r="I12821" s="82"/>
      <c r="M12821" s="85"/>
    </row>
    <row r="12822" spans="9:13" x14ac:dyDescent="0.3">
      <c r="I12822" s="82"/>
      <c r="M12822" s="85"/>
    </row>
    <row r="12823" spans="9:13" x14ac:dyDescent="0.3">
      <c r="I12823" s="82"/>
      <c r="M12823" s="85"/>
    </row>
    <row r="12824" spans="9:13" x14ac:dyDescent="0.3">
      <c r="I12824" s="82"/>
      <c r="M12824" s="85"/>
    </row>
    <row r="12825" spans="9:13" x14ac:dyDescent="0.3">
      <c r="I12825" s="82"/>
      <c r="M12825" s="85"/>
    </row>
    <row r="12826" spans="9:13" x14ac:dyDescent="0.3">
      <c r="I12826" s="82"/>
      <c r="M12826" s="85"/>
    </row>
    <row r="12827" spans="9:13" x14ac:dyDescent="0.3">
      <c r="I12827" s="82"/>
      <c r="M12827" s="85"/>
    </row>
    <row r="12828" spans="9:13" x14ac:dyDescent="0.3">
      <c r="I12828" s="82"/>
      <c r="M12828" s="85"/>
    </row>
    <row r="12829" spans="9:13" x14ac:dyDescent="0.3">
      <c r="I12829" s="82"/>
      <c r="M12829" s="85"/>
    </row>
    <row r="12830" spans="9:13" x14ac:dyDescent="0.3">
      <c r="I12830" s="82"/>
      <c r="M12830" s="85"/>
    </row>
    <row r="12831" spans="9:13" x14ac:dyDescent="0.3">
      <c r="I12831" s="82"/>
      <c r="M12831" s="85"/>
    </row>
    <row r="12832" spans="9:13" x14ac:dyDescent="0.3">
      <c r="I12832" s="82"/>
      <c r="M12832" s="85"/>
    </row>
    <row r="12833" spans="9:13" x14ac:dyDescent="0.3">
      <c r="I12833" s="82"/>
      <c r="M12833" s="85"/>
    </row>
    <row r="12834" spans="9:13" x14ac:dyDescent="0.3">
      <c r="I12834" s="82"/>
      <c r="M12834" s="85"/>
    </row>
    <row r="12835" spans="9:13" x14ac:dyDescent="0.3">
      <c r="I12835" s="82"/>
      <c r="M12835" s="85"/>
    </row>
    <row r="12836" spans="9:13" x14ac:dyDescent="0.3">
      <c r="I12836" s="82"/>
      <c r="M12836" s="85"/>
    </row>
    <row r="12837" spans="9:13" x14ac:dyDescent="0.3">
      <c r="I12837" s="82"/>
      <c r="M12837" s="85"/>
    </row>
    <row r="12838" spans="9:13" x14ac:dyDescent="0.3">
      <c r="I12838" s="82"/>
      <c r="M12838" s="85"/>
    </row>
    <row r="12839" spans="9:13" x14ac:dyDescent="0.3">
      <c r="I12839" s="82"/>
      <c r="M12839" s="85"/>
    </row>
    <row r="12840" spans="9:13" x14ac:dyDescent="0.3">
      <c r="I12840" s="82"/>
      <c r="M12840" s="85"/>
    </row>
    <row r="12841" spans="9:13" x14ac:dyDescent="0.3">
      <c r="I12841" s="82"/>
      <c r="M12841" s="85"/>
    </row>
    <row r="12842" spans="9:13" x14ac:dyDescent="0.3">
      <c r="I12842" s="82"/>
      <c r="M12842" s="85"/>
    </row>
    <row r="12843" spans="9:13" x14ac:dyDescent="0.3">
      <c r="I12843" s="82"/>
      <c r="M12843" s="85"/>
    </row>
    <row r="12844" spans="9:13" x14ac:dyDescent="0.3">
      <c r="I12844" s="82"/>
      <c r="M12844" s="85"/>
    </row>
    <row r="12845" spans="9:13" x14ac:dyDescent="0.3">
      <c r="I12845" s="82"/>
      <c r="M12845" s="85"/>
    </row>
    <row r="12846" spans="9:13" x14ac:dyDescent="0.3">
      <c r="I12846" s="82"/>
      <c r="M12846" s="85"/>
    </row>
    <row r="12847" spans="9:13" x14ac:dyDescent="0.3">
      <c r="I12847" s="82"/>
      <c r="M12847" s="85"/>
    </row>
    <row r="12848" spans="9:13" x14ac:dyDescent="0.3">
      <c r="I12848" s="82"/>
      <c r="M12848" s="85"/>
    </row>
    <row r="12849" spans="9:13" x14ac:dyDescent="0.3">
      <c r="I12849" s="82"/>
      <c r="M12849" s="85"/>
    </row>
    <row r="12850" spans="9:13" x14ac:dyDescent="0.3">
      <c r="I12850" s="82"/>
      <c r="M12850" s="85"/>
    </row>
    <row r="12851" spans="9:13" x14ac:dyDescent="0.3">
      <c r="I12851" s="82"/>
      <c r="M12851" s="85"/>
    </row>
    <row r="12852" spans="9:13" x14ac:dyDescent="0.3">
      <c r="I12852" s="82"/>
      <c r="M12852" s="85"/>
    </row>
    <row r="12853" spans="9:13" x14ac:dyDescent="0.3">
      <c r="I12853" s="82"/>
      <c r="M12853" s="85"/>
    </row>
    <row r="12854" spans="9:13" x14ac:dyDescent="0.3">
      <c r="I12854" s="82"/>
      <c r="M12854" s="85"/>
    </row>
    <row r="12855" spans="9:13" x14ac:dyDescent="0.3">
      <c r="I12855" s="82"/>
      <c r="M12855" s="85"/>
    </row>
    <row r="12856" spans="9:13" x14ac:dyDescent="0.3">
      <c r="I12856" s="82"/>
      <c r="M12856" s="85"/>
    </row>
    <row r="12857" spans="9:13" x14ac:dyDescent="0.3">
      <c r="I12857" s="82"/>
      <c r="M12857" s="85"/>
    </row>
    <row r="12858" spans="9:13" x14ac:dyDescent="0.3">
      <c r="I12858" s="82"/>
      <c r="M12858" s="85"/>
    </row>
    <row r="12859" spans="9:13" x14ac:dyDescent="0.3">
      <c r="I12859" s="82"/>
      <c r="M12859" s="85"/>
    </row>
    <row r="12860" spans="9:13" x14ac:dyDescent="0.3">
      <c r="I12860" s="82"/>
      <c r="M12860" s="85"/>
    </row>
    <row r="12861" spans="9:13" x14ac:dyDescent="0.3">
      <c r="I12861" s="82"/>
      <c r="M12861" s="85"/>
    </row>
    <row r="12862" spans="9:13" x14ac:dyDescent="0.3">
      <c r="I12862" s="82"/>
      <c r="M12862" s="85"/>
    </row>
    <row r="12863" spans="9:13" x14ac:dyDescent="0.3">
      <c r="I12863" s="82"/>
      <c r="M12863" s="85"/>
    </row>
    <row r="12864" spans="9:13" x14ac:dyDescent="0.3">
      <c r="I12864" s="82"/>
      <c r="M12864" s="85"/>
    </row>
    <row r="12865" spans="9:13" x14ac:dyDescent="0.3">
      <c r="I12865" s="82"/>
      <c r="M12865" s="85"/>
    </row>
    <row r="12866" spans="9:13" x14ac:dyDescent="0.3">
      <c r="I12866" s="82"/>
      <c r="M12866" s="85"/>
    </row>
    <row r="12867" spans="9:13" x14ac:dyDescent="0.3">
      <c r="I12867" s="82"/>
      <c r="M12867" s="85"/>
    </row>
    <row r="12868" spans="9:13" x14ac:dyDescent="0.3">
      <c r="I12868" s="82"/>
      <c r="M12868" s="85"/>
    </row>
    <row r="12869" spans="9:13" x14ac:dyDescent="0.3">
      <c r="I12869" s="82"/>
      <c r="M12869" s="85"/>
    </row>
    <row r="12870" spans="9:13" x14ac:dyDescent="0.3">
      <c r="I12870" s="82"/>
      <c r="M12870" s="85"/>
    </row>
    <row r="12871" spans="9:13" x14ac:dyDescent="0.3">
      <c r="I12871" s="82"/>
      <c r="M12871" s="85"/>
    </row>
    <row r="12872" spans="9:13" x14ac:dyDescent="0.3">
      <c r="I12872" s="82"/>
      <c r="M12872" s="85"/>
    </row>
    <row r="12873" spans="9:13" x14ac:dyDescent="0.3">
      <c r="I12873" s="82"/>
      <c r="M12873" s="85"/>
    </row>
    <row r="12874" spans="9:13" x14ac:dyDescent="0.3">
      <c r="I12874" s="82"/>
      <c r="M12874" s="85"/>
    </row>
    <row r="12875" spans="9:13" x14ac:dyDescent="0.3">
      <c r="I12875" s="82"/>
      <c r="M12875" s="85"/>
    </row>
    <row r="12876" spans="9:13" x14ac:dyDescent="0.3">
      <c r="I12876" s="82"/>
      <c r="M12876" s="85"/>
    </row>
    <row r="12877" spans="9:13" x14ac:dyDescent="0.3">
      <c r="I12877" s="82"/>
      <c r="M12877" s="85"/>
    </row>
    <row r="12878" spans="9:13" x14ac:dyDescent="0.3">
      <c r="I12878" s="82"/>
      <c r="M12878" s="85"/>
    </row>
    <row r="12879" spans="9:13" x14ac:dyDescent="0.3">
      <c r="I12879" s="82"/>
      <c r="M12879" s="85"/>
    </row>
    <row r="12880" spans="9:13" x14ac:dyDescent="0.3">
      <c r="I12880" s="82"/>
      <c r="M12880" s="85"/>
    </row>
    <row r="12881" spans="9:13" x14ac:dyDescent="0.3">
      <c r="I12881" s="82"/>
      <c r="M12881" s="85"/>
    </row>
    <row r="12882" spans="9:13" x14ac:dyDescent="0.3">
      <c r="I12882" s="82"/>
      <c r="M12882" s="85"/>
    </row>
    <row r="12883" spans="9:13" x14ac:dyDescent="0.3">
      <c r="I12883" s="82"/>
      <c r="M12883" s="85"/>
    </row>
    <row r="12884" spans="9:13" x14ac:dyDescent="0.3">
      <c r="I12884" s="82"/>
      <c r="M12884" s="85"/>
    </row>
    <row r="12885" spans="9:13" x14ac:dyDescent="0.3">
      <c r="I12885" s="82"/>
      <c r="M12885" s="85"/>
    </row>
    <row r="12886" spans="9:13" x14ac:dyDescent="0.3">
      <c r="I12886" s="82"/>
      <c r="M12886" s="85"/>
    </row>
    <row r="12887" spans="9:13" x14ac:dyDescent="0.3">
      <c r="I12887" s="82"/>
      <c r="M12887" s="85"/>
    </row>
    <row r="12888" spans="9:13" x14ac:dyDescent="0.3">
      <c r="I12888" s="82"/>
      <c r="M12888" s="85"/>
    </row>
    <row r="12889" spans="9:13" x14ac:dyDescent="0.3">
      <c r="I12889" s="82"/>
      <c r="M12889" s="85"/>
    </row>
    <row r="12890" spans="9:13" x14ac:dyDescent="0.3">
      <c r="I12890" s="82"/>
      <c r="M12890" s="85"/>
    </row>
    <row r="12891" spans="9:13" x14ac:dyDescent="0.3">
      <c r="I12891" s="82"/>
      <c r="M12891" s="85"/>
    </row>
    <row r="12892" spans="9:13" x14ac:dyDescent="0.3">
      <c r="I12892" s="82"/>
      <c r="M12892" s="85"/>
    </row>
    <row r="12893" spans="9:13" x14ac:dyDescent="0.3">
      <c r="I12893" s="82"/>
      <c r="M12893" s="85"/>
    </row>
    <row r="12894" spans="9:13" x14ac:dyDescent="0.3">
      <c r="I12894" s="82"/>
      <c r="M12894" s="85"/>
    </row>
    <row r="12895" spans="9:13" x14ac:dyDescent="0.3">
      <c r="I12895" s="82"/>
      <c r="M12895" s="85"/>
    </row>
    <row r="12896" spans="9:13" x14ac:dyDescent="0.3">
      <c r="I12896" s="82"/>
      <c r="M12896" s="85"/>
    </row>
    <row r="12897" spans="9:13" x14ac:dyDescent="0.3">
      <c r="I12897" s="82"/>
      <c r="M12897" s="85"/>
    </row>
    <row r="12898" spans="9:13" x14ac:dyDescent="0.3">
      <c r="I12898" s="82"/>
      <c r="M12898" s="85"/>
    </row>
    <row r="12899" spans="9:13" x14ac:dyDescent="0.3">
      <c r="I12899" s="82"/>
      <c r="M12899" s="85"/>
    </row>
    <row r="12900" spans="9:13" x14ac:dyDescent="0.3">
      <c r="I12900" s="82"/>
      <c r="M12900" s="85"/>
    </row>
    <row r="12901" spans="9:13" x14ac:dyDescent="0.3">
      <c r="I12901" s="82"/>
      <c r="M12901" s="85"/>
    </row>
    <row r="12902" spans="9:13" x14ac:dyDescent="0.3">
      <c r="I12902" s="82"/>
      <c r="M12902" s="85"/>
    </row>
    <row r="12903" spans="9:13" x14ac:dyDescent="0.3">
      <c r="I12903" s="82"/>
      <c r="M12903" s="85"/>
    </row>
    <row r="12904" spans="9:13" x14ac:dyDescent="0.3">
      <c r="I12904" s="82"/>
      <c r="M12904" s="85"/>
    </row>
    <row r="12905" spans="9:13" x14ac:dyDescent="0.3">
      <c r="I12905" s="82"/>
      <c r="M12905" s="85"/>
    </row>
    <row r="12906" spans="9:13" x14ac:dyDescent="0.3">
      <c r="I12906" s="82"/>
      <c r="M12906" s="85"/>
    </row>
    <row r="12907" spans="9:13" x14ac:dyDescent="0.3">
      <c r="I12907" s="82"/>
      <c r="M12907" s="85"/>
    </row>
    <row r="12908" spans="9:13" x14ac:dyDescent="0.3">
      <c r="I12908" s="82"/>
      <c r="M12908" s="85"/>
    </row>
    <row r="12909" spans="9:13" x14ac:dyDescent="0.3">
      <c r="I12909" s="82"/>
      <c r="M12909" s="85"/>
    </row>
    <row r="12910" spans="9:13" x14ac:dyDescent="0.3">
      <c r="I12910" s="82"/>
      <c r="M12910" s="85"/>
    </row>
    <row r="12911" spans="9:13" x14ac:dyDescent="0.3">
      <c r="I12911" s="82"/>
      <c r="M12911" s="85"/>
    </row>
    <row r="12912" spans="9:13" x14ac:dyDescent="0.3">
      <c r="I12912" s="82"/>
      <c r="M12912" s="85"/>
    </row>
    <row r="12913" spans="9:13" x14ac:dyDescent="0.3">
      <c r="I12913" s="82"/>
      <c r="M12913" s="85"/>
    </row>
    <row r="12914" spans="9:13" x14ac:dyDescent="0.3">
      <c r="I12914" s="82"/>
      <c r="M12914" s="85"/>
    </row>
    <row r="12915" spans="9:13" x14ac:dyDescent="0.3">
      <c r="I12915" s="82"/>
      <c r="M12915" s="85"/>
    </row>
    <row r="12916" spans="9:13" x14ac:dyDescent="0.3">
      <c r="I12916" s="82"/>
      <c r="M12916" s="85"/>
    </row>
    <row r="12917" spans="9:13" x14ac:dyDescent="0.3">
      <c r="I12917" s="82"/>
      <c r="M12917" s="85"/>
    </row>
    <row r="12918" spans="9:13" x14ac:dyDescent="0.3">
      <c r="I12918" s="82"/>
      <c r="M12918" s="85"/>
    </row>
    <row r="12919" spans="9:13" x14ac:dyDescent="0.3">
      <c r="I12919" s="82"/>
      <c r="M12919" s="85"/>
    </row>
    <row r="12920" spans="9:13" x14ac:dyDescent="0.3">
      <c r="I12920" s="82"/>
      <c r="M12920" s="85"/>
    </row>
    <row r="12921" spans="9:13" x14ac:dyDescent="0.3">
      <c r="I12921" s="82"/>
      <c r="M12921" s="85"/>
    </row>
    <row r="12922" spans="9:13" x14ac:dyDescent="0.3">
      <c r="I12922" s="82"/>
      <c r="M12922" s="85"/>
    </row>
    <row r="12923" spans="9:13" x14ac:dyDescent="0.3">
      <c r="I12923" s="82"/>
      <c r="M12923" s="85"/>
    </row>
    <row r="12924" spans="9:13" x14ac:dyDescent="0.3">
      <c r="I12924" s="82"/>
      <c r="M12924" s="85"/>
    </row>
    <row r="12925" spans="9:13" x14ac:dyDescent="0.3">
      <c r="I12925" s="82"/>
      <c r="M12925" s="85"/>
    </row>
    <row r="12926" spans="9:13" x14ac:dyDescent="0.3">
      <c r="I12926" s="82"/>
      <c r="M12926" s="85"/>
    </row>
    <row r="12927" spans="9:13" x14ac:dyDescent="0.3">
      <c r="I12927" s="82"/>
      <c r="M12927" s="85"/>
    </row>
    <row r="12928" spans="9:13" x14ac:dyDescent="0.3">
      <c r="I12928" s="82"/>
      <c r="M12928" s="85"/>
    </row>
    <row r="12929" spans="9:13" x14ac:dyDescent="0.3">
      <c r="I12929" s="82"/>
      <c r="M12929" s="85"/>
    </row>
    <row r="12930" spans="9:13" x14ac:dyDescent="0.3">
      <c r="I12930" s="82"/>
      <c r="M12930" s="85"/>
    </row>
    <row r="12931" spans="9:13" x14ac:dyDescent="0.3">
      <c r="I12931" s="82"/>
      <c r="M12931" s="85"/>
    </row>
    <row r="12932" spans="9:13" x14ac:dyDescent="0.3">
      <c r="I12932" s="82"/>
      <c r="M12932" s="85"/>
    </row>
    <row r="12933" spans="9:13" x14ac:dyDescent="0.3">
      <c r="I12933" s="82"/>
      <c r="M12933" s="85"/>
    </row>
    <row r="12934" spans="9:13" x14ac:dyDescent="0.3">
      <c r="I12934" s="82"/>
      <c r="M12934" s="85"/>
    </row>
    <row r="12935" spans="9:13" x14ac:dyDescent="0.3">
      <c r="I12935" s="82"/>
      <c r="M12935" s="85"/>
    </row>
    <row r="12936" spans="9:13" x14ac:dyDescent="0.3">
      <c r="I12936" s="82"/>
      <c r="M12936" s="85"/>
    </row>
    <row r="12937" spans="9:13" x14ac:dyDescent="0.3">
      <c r="I12937" s="82"/>
      <c r="M12937" s="85"/>
    </row>
    <row r="12938" spans="9:13" x14ac:dyDescent="0.3">
      <c r="I12938" s="82"/>
      <c r="M12938" s="85"/>
    </row>
    <row r="12939" spans="9:13" x14ac:dyDescent="0.3">
      <c r="I12939" s="82"/>
      <c r="M12939" s="85"/>
    </row>
    <row r="12940" spans="9:13" x14ac:dyDescent="0.3">
      <c r="I12940" s="82"/>
      <c r="M12940" s="85"/>
    </row>
    <row r="12941" spans="9:13" x14ac:dyDescent="0.3">
      <c r="I12941" s="82"/>
      <c r="M12941" s="85"/>
    </row>
    <row r="12942" spans="9:13" x14ac:dyDescent="0.3">
      <c r="I12942" s="82"/>
      <c r="M12942" s="85"/>
    </row>
    <row r="12943" spans="9:13" x14ac:dyDescent="0.3">
      <c r="I12943" s="82"/>
      <c r="M12943" s="85"/>
    </row>
    <row r="12944" spans="9:13" x14ac:dyDescent="0.3">
      <c r="I12944" s="82"/>
      <c r="M12944" s="85"/>
    </row>
    <row r="12945" spans="9:13" x14ac:dyDescent="0.3">
      <c r="I12945" s="82"/>
      <c r="M12945" s="85"/>
    </row>
    <row r="12946" spans="9:13" x14ac:dyDescent="0.3">
      <c r="I12946" s="82"/>
      <c r="M12946" s="85"/>
    </row>
    <row r="12947" spans="9:13" x14ac:dyDescent="0.3">
      <c r="I12947" s="82"/>
      <c r="M12947" s="85"/>
    </row>
    <row r="12948" spans="9:13" x14ac:dyDescent="0.3">
      <c r="I12948" s="82"/>
      <c r="M12948" s="85"/>
    </row>
    <row r="12949" spans="9:13" x14ac:dyDescent="0.3">
      <c r="I12949" s="82"/>
      <c r="M12949" s="85"/>
    </row>
    <row r="12950" spans="9:13" x14ac:dyDescent="0.3">
      <c r="I12950" s="82"/>
      <c r="M12950" s="85"/>
    </row>
    <row r="12951" spans="9:13" x14ac:dyDescent="0.3">
      <c r="I12951" s="82"/>
      <c r="M12951" s="85"/>
    </row>
    <row r="12952" spans="9:13" x14ac:dyDescent="0.3">
      <c r="I12952" s="82"/>
      <c r="M12952" s="85"/>
    </row>
    <row r="12953" spans="9:13" x14ac:dyDescent="0.3">
      <c r="I12953" s="82"/>
      <c r="M12953" s="85"/>
    </row>
    <row r="12954" spans="9:13" x14ac:dyDescent="0.3">
      <c r="I12954" s="82"/>
      <c r="M12954" s="85"/>
    </row>
    <row r="12955" spans="9:13" x14ac:dyDescent="0.3">
      <c r="I12955" s="82"/>
      <c r="M12955" s="85"/>
    </row>
    <row r="12956" spans="9:13" x14ac:dyDescent="0.3">
      <c r="I12956" s="82"/>
      <c r="M12956" s="85"/>
    </row>
    <row r="12957" spans="9:13" x14ac:dyDescent="0.3">
      <c r="I12957" s="82"/>
      <c r="M12957" s="85"/>
    </row>
    <row r="12958" spans="9:13" x14ac:dyDescent="0.3">
      <c r="I12958" s="82"/>
      <c r="M12958" s="85"/>
    </row>
    <row r="12959" spans="9:13" x14ac:dyDescent="0.3">
      <c r="I12959" s="82"/>
      <c r="M12959" s="85"/>
    </row>
    <row r="12960" spans="9:13" x14ac:dyDescent="0.3">
      <c r="I12960" s="82"/>
      <c r="M12960" s="85"/>
    </row>
    <row r="12961" spans="9:13" x14ac:dyDescent="0.3">
      <c r="I12961" s="82"/>
      <c r="M12961" s="85"/>
    </row>
    <row r="12962" spans="9:13" x14ac:dyDescent="0.3">
      <c r="I12962" s="82"/>
      <c r="M12962" s="85"/>
    </row>
    <row r="12963" spans="9:13" x14ac:dyDescent="0.3">
      <c r="I12963" s="82"/>
      <c r="M12963" s="85"/>
    </row>
    <row r="12964" spans="9:13" x14ac:dyDescent="0.3">
      <c r="I12964" s="82"/>
      <c r="M12964" s="85"/>
    </row>
    <row r="12965" spans="9:13" x14ac:dyDescent="0.3">
      <c r="I12965" s="82"/>
      <c r="M12965" s="85"/>
    </row>
    <row r="12966" spans="9:13" x14ac:dyDescent="0.3">
      <c r="I12966" s="82"/>
      <c r="M12966" s="85"/>
    </row>
    <row r="12967" spans="9:13" x14ac:dyDescent="0.3">
      <c r="I12967" s="82"/>
      <c r="M12967" s="85"/>
    </row>
    <row r="12968" spans="9:13" x14ac:dyDescent="0.3">
      <c r="I12968" s="82"/>
      <c r="M12968" s="85"/>
    </row>
    <row r="12969" spans="9:13" x14ac:dyDescent="0.3">
      <c r="I12969" s="82"/>
      <c r="M12969" s="85"/>
    </row>
    <row r="12970" spans="9:13" x14ac:dyDescent="0.3">
      <c r="I12970" s="82"/>
      <c r="M12970" s="85"/>
    </row>
    <row r="12971" spans="9:13" x14ac:dyDescent="0.3">
      <c r="I12971" s="82"/>
      <c r="M12971" s="85"/>
    </row>
    <row r="12972" spans="9:13" x14ac:dyDescent="0.3">
      <c r="I12972" s="82"/>
      <c r="M12972" s="85"/>
    </row>
    <row r="12973" spans="9:13" x14ac:dyDescent="0.3">
      <c r="I12973" s="82"/>
      <c r="M12973" s="85"/>
    </row>
    <row r="12974" spans="9:13" x14ac:dyDescent="0.3">
      <c r="I12974" s="82"/>
      <c r="M12974" s="85"/>
    </row>
    <row r="12975" spans="9:13" x14ac:dyDescent="0.3">
      <c r="I12975" s="82"/>
      <c r="M12975" s="85"/>
    </row>
    <row r="12976" spans="9:13" x14ac:dyDescent="0.3">
      <c r="I12976" s="82"/>
      <c r="M12976" s="85"/>
    </row>
    <row r="12977" spans="9:13" x14ac:dyDescent="0.3">
      <c r="I12977" s="82"/>
      <c r="M12977" s="85"/>
    </row>
    <row r="12978" spans="9:13" x14ac:dyDescent="0.3">
      <c r="I12978" s="82"/>
      <c r="M12978" s="85"/>
    </row>
    <row r="12979" spans="9:13" x14ac:dyDescent="0.3">
      <c r="I12979" s="82"/>
      <c r="M12979" s="85"/>
    </row>
    <row r="12980" spans="9:13" x14ac:dyDescent="0.3">
      <c r="I12980" s="82"/>
      <c r="M12980" s="85"/>
    </row>
    <row r="12981" spans="9:13" x14ac:dyDescent="0.3">
      <c r="I12981" s="82"/>
      <c r="M12981" s="85"/>
    </row>
    <row r="12982" spans="9:13" x14ac:dyDescent="0.3">
      <c r="I12982" s="82"/>
      <c r="M12982" s="85"/>
    </row>
    <row r="12983" spans="9:13" x14ac:dyDescent="0.3">
      <c r="I12983" s="82"/>
      <c r="M12983" s="85"/>
    </row>
    <row r="12984" spans="9:13" x14ac:dyDescent="0.3">
      <c r="I12984" s="82"/>
      <c r="M12984" s="85"/>
    </row>
    <row r="12985" spans="9:13" x14ac:dyDescent="0.3">
      <c r="I12985" s="82"/>
      <c r="M12985" s="85"/>
    </row>
    <row r="12986" spans="9:13" x14ac:dyDescent="0.3">
      <c r="I12986" s="82"/>
      <c r="M12986" s="85"/>
    </row>
    <row r="12987" spans="9:13" x14ac:dyDescent="0.3">
      <c r="I12987" s="82"/>
      <c r="M12987" s="85"/>
    </row>
    <row r="12988" spans="9:13" x14ac:dyDescent="0.3">
      <c r="I12988" s="82"/>
      <c r="M12988" s="85"/>
    </row>
    <row r="12989" spans="9:13" x14ac:dyDescent="0.3">
      <c r="I12989" s="82"/>
      <c r="M12989" s="85"/>
    </row>
    <row r="12990" spans="9:13" x14ac:dyDescent="0.3">
      <c r="I12990" s="82"/>
      <c r="M12990" s="85"/>
    </row>
    <row r="12991" spans="9:13" x14ac:dyDescent="0.3">
      <c r="I12991" s="82"/>
      <c r="M12991" s="85"/>
    </row>
    <row r="12992" spans="9:13" x14ac:dyDescent="0.3">
      <c r="I12992" s="82"/>
      <c r="M12992" s="85"/>
    </row>
    <row r="12993" spans="9:13" x14ac:dyDescent="0.3">
      <c r="I12993" s="82"/>
      <c r="M12993" s="85"/>
    </row>
    <row r="12994" spans="9:13" x14ac:dyDescent="0.3">
      <c r="I12994" s="82"/>
      <c r="M12994" s="85"/>
    </row>
    <row r="12995" spans="9:13" x14ac:dyDescent="0.3">
      <c r="I12995" s="82"/>
      <c r="M12995" s="85"/>
    </row>
    <row r="12996" spans="9:13" x14ac:dyDescent="0.3">
      <c r="I12996" s="82"/>
      <c r="M12996" s="85"/>
    </row>
    <row r="12997" spans="9:13" x14ac:dyDescent="0.3">
      <c r="I12997" s="82"/>
      <c r="M12997" s="85"/>
    </row>
    <row r="12998" spans="9:13" x14ac:dyDescent="0.3">
      <c r="I12998" s="82"/>
      <c r="M12998" s="85"/>
    </row>
    <row r="12999" spans="9:13" x14ac:dyDescent="0.3">
      <c r="I12999" s="82"/>
      <c r="M12999" s="85"/>
    </row>
    <row r="13000" spans="9:13" x14ac:dyDescent="0.3">
      <c r="I13000" s="82"/>
      <c r="M13000" s="85"/>
    </row>
    <row r="13001" spans="9:13" x14ac:dyDescent="0.3">
      <c r="I13001" s="82"/>
      <c r="M13001" s="85"/>
    </row>
    <row r="13002" spans="9:13" x14ac:dyDescent="0.3">
      <c r="I13002" s="82"/>
      <c r="M13002" s="85"/>
    </row>
    <row r="13003" spans="9:13" x14ac:dyDescent="0.3">
      <c r="I13003" s="82"/>
      <c r="M13003" s="85"/>
    </row>
    <row r="13004" spans="9:13" x14ac:dyDescent="0.3">
      <c r="I13004" s="82"/>
      <c r="M13004" s="85"/>
    </row>
    <row r="13005" spans="9:13" x14ac:dyDescent="0.3">
      <c r="I13005" s="82"/>
      <c r="M13005" s="85"/>
    </row>
    <row r="13006" spans="9:13" x14ac:dyDescent="0.3">
      <c r="I13006" s="82"/>
      <c r="M13006" s="85"/>
    </row>
    <row r="13007" spans="9:13" x14ac:dyDescent="0.3">
      <c r="I13007" s="82"/>
      <c r="M13007" s="85"/>
    </row>
    <row r="13008" spans="9:13" x14ac:dyDescent="0.3">
      <c r="I13008" s="82"/>
      <c r="M13008" s="85"/>
    </row>
    <row r="13009" spans="9:13" x14ac:dyDescent="0.3">
      <c r="I13009" s="82"/>
      <c r="M13009" s="85"/>
    </row>
    <row r="13010" spans="9:13" x14ac:dyDescent="0.3">
      <c r="I13010" s="82"/>
      <c r="M13010" s="85"/>
    </row>
    <row r="13011" spans="9:13" x14ac:dyDescent="0.3">
      <c r="I13011" s="82"/>
      <c r="M13011" s="85"/>
    </row>
    <row r="13012" spans="9:13" x14ac:dyDescent="0.3">
      <c r="I13012" s="82"/>
      <c r="M13012" s="85"/>
    </row>
    <row r="13013" spans="9:13" x14ac:dyDescent="0.3">
      <c r="I13013" s="82"/>
      <c r="M13013" s="85"/>
    </row>
    <row r="13014" spans="9:13" x14ac:dyDescent="0.3">
      <c r="I13014" s="82"/>
      <c r="M13014" s="85"/>
    </row>
    <row r="13015" spans="9:13" x14ac:dyDescent="0.3">
      <c r="I13015" s="82"/>
      <c r="M13015" s="85"/>
    </row>
    <row r="13016" spans="9:13" x14ac:dyDescent="0.3">
      <c r="I13016" s="82"/>
      <c r="M13016" s="85"/>
    </row>
    <row r="13017" spans="9:13" x14ac:dyDescent="0.3">
      <c r="I13017" s="82"/>
      <c r="M13017" s="85"/>
    </row>
    <row r="13018" spans="9:13" x14ac:dyDescent="0.3">
      <c r="I13018" s="82"/>
      <c r="M13018" s="85"/>
    </row>
    <row r="13019" spans="9:13" x14ac:dyDescent="0.3">
      <c r="I13019" s="82"/>
      <c r="M13019" s="85"/>
    </row>
    <row r="13020" spans="9:13" x14ac:dyDescent="0.3">
      <c r="I13020" s="82"/>
      <c r="M13020" s="85"/>
    </row>
    <row r="13021" spans="9:13" x14ac:dyDescent="0.3">
      <c r="I13021" s="82"/>
      <c r="M13021" s="85"/>
    </row>
    <row r="13022" spans="9:13" x14ac:dyDescent="0.3">
      <c r="I13022" s="82"/>
      <c r="M13022" s="85"/>
    </row>
    <row r="13023" spans="9:13" x14ac:dyDescent="0.3">
      <c r="I13023" s="82"/>
      <c r="M13023" s="85"/>
    </row>
    <row r="13024" spans="9:13" x14ac:dyDescent="0.3">
      <c r="I13024" s="82"/>
      <c r="M13024" s="85"/>
    </row>
    <row r="13025" spans="9:13" x14ac:dyDescent="0.3">
      <c r="I13025" s="82"/>
      <c r="M13025" s="85"/>
    </row>
    <row r="13026" spans="9:13" x14ac:dyDescent="0.3">
      <c r="I13026" s="82"/>
      <c r="M13026" s="85"/>
    </row>
    <row r="13027" spans="9:13" x14ac:dyDescent="0.3">
      <c r="I13027" s="82"/>
      <c r="M13027" s="85"/>
    </row>
    <row r="13028" spans="9:13" x14ac:dyDescent="0.3">
      <c r="I13028" s="82"/>
      <c r="M13028" s="85"/>
    </row>
    <row r="13029" spans="9:13" x14ac:dyDescent="0.3">
      <c r="I13029" s="82"/>
      <c r="M13029" s="85"/>
    </row>
    <row r="13030" spans="9:13" x14ac:dyDescent="0.3">
      <c r="I13030" s="82"/>
      <c r="M13030" s="85"/>
    </row>
    <row r="13031" spans="9:13" x14ac:dyDescent="0.3">
      <c r="I13031" s="82"/>
      <c r="M13031" s="85"/>
    </row>
    <row r="13032" spans="9:13" x14ac:dyDescent="0.3">
      <c r="I13032" s="82"/>
      <c r="M13032" s="85"/>
    </row>
    <row r="13033" spans="9:13" x14ac:dyDescent="0.3">
      <c r="I13033" s="82"/>
      <c r="M13033" s="85"/>
    </row>
    <row r="13034" spans="9:13" x14ac:dyDescent="0.3">
      <c r="I13034" s="82"/>
      <c r="M13034" s="85"/>
    </row>
    <row r="13035" spans="9:13" x14ac:dyDescent="0.3">
      <c r="I13035" s="82"/>
      <c r="M13035" s="85"/>
    </row>
    <row r="13036" spans="9:13" x14ac:dyDescent="0.3">
      <c r="I13036" s="82"/>
      <c r="M13036" s="85"/>
    </row>
    <row r="13037" spans="9:13" x14ac:dyDescent="0.3">
      <c r="I13037" s="82"/>
      <c r="M13037" s="85"/>
    </row>
    <row r="13038" spans="9:13" x14ac:dyDescent="0.3">
      <c r="I13038" s="82"/>
      <c r="M13038" s="85"/>
    </row>
    <row r="13039" spans="9:13" x14ac:dyDescent="0.3">
      <c r="I13039" s="82"/>
      <c r="M13039" s="85"/>
    </row>
    <row r="13040" spans="9:13" x14ac:dyDescent="0.3">
      <c r="I13040" s="82"/>
      <c r="M13040" s="85"/>
    </row>
    <row r="13041" spans="9:13" x14ac:dyDescent="0.3">
      <c r="I13041" s="82"/>
      <c r="M13041" s="85"/>
    </row>
    <row r="13042" spans="9:13" x14ac:dyDescent="0.3">
      <c r="I13042" s="82"/>
      <c r="M13042" s="85"/>
    </row>
    <row r="13043" spans="9:13" x14ac:dyDescent="0.3">
      <c r="I13043" s="82"/>
      <c r="M13043" s="85"/>
    </row>
    <row r="13044" spans="9:13" x14ac:dyDescent="0.3">
      <c r="I13044" s="82"/>
      <c r="M13044" s="85"/>
    </row>
    <row r="13045" spans="9:13" x14ac:dyDescent="0.3">
      <c r="I13045" s="82"/>
      <c r="M13045" s="85"/>
    </row>
    <row r="13046" spans="9:13" x14ac:dyDescent="0.3">
      <c r="I13046" s="82"/>
      <c r="M13046" s="85"/>
    </row>
    <row r="13047" spans="9:13" x14ac:dyDescent="0.3">
      <c r="I13047" s="82"/>
      <c r="M13047" s="85"/>
    </row>
    <row r="13048" spans="9:13" x14ac:dyDescent="0.3">
      <c r="I13048" s="82"/>
      <c r="M13048" s="85"/>
    </row>
    <row r="13049" spans="9:13" x14ac:dyDescent="0.3">
      <c r="I13049" s="82"/>
      <c r="M13049" s="85"/>
    </row>
    <row r="13050" spans="9:13" x14ac:dyDescent="0.3">
      <c r="I13050" s="82"/>
      <c r="M13050" s="85"/>
    </row>
    <row r="13051" spans="9:13" x14ac:dyDescent="0.3">
      <c r="I13051" s="82"/>
      <c r="M13051" s="85"/>
    </row>
    <row r="13052" spans="9:13" x14ac:dyDescent="0.3">
      <c r="I13052" s="82"/>
      <c r="M13052" s="85"/>
    </row>
    <row r="13053" spans="9:13" x14ac:dyDescent="0.3">
      <c r="I13053" s="82"/>
      <c r="M13053" s="85"/>
    </row>
    <row r="13054" spans="9:13" x14ac:dyDescent="0.3">
      <c r="I13054" s="82"/>
      <c r="M13054" s="85"/>
    </row>
    <row r="13055" spans="9:13" x14ac:dyDescent="0.3">
      <c r="I13055" s="82"/>
      <c r="M13055" s="85"/>
    </row>
    <row r="13056" spans="9:13" x14ac:dyDescent="0.3">
      <c r="I13056" s="82"/>
      <c r="M13056" s="85"/>
    </row>
    <row r="13057" spans="9:13" x14ac:dyDescent="0.3">
      <c r="I13057" s="82"/>
      <c r="M13057" s="85"/>
    </row>
    <row r="13058" spans="9:13" x14ac:dyDescent="0.3">
      <c r="I13058" s="82"/>
      <c r="M13058" s="85"/>
    </row>
    <row r="13059" spans="9:13" x14ac:dyDescent="0.3">
      <c r="I13059" s="82"/>
      <c r="M13059" s="85"/>
    </row>
    <row r="13060" spans="9:13" x14ac:dyDescent="0.3">
      <c r="I13060" s="82"/>
      <c r="M13060" s="85"/>
    </row>
    <row r="13061" spans="9:13" x14ac:dyDescent="0.3">
      <c r="I13061" s="82"/>
      <c r="M13061" s="85"/>
    </row>
    <row r="13062" spans="9:13" x14ac:dyDescent="0.3">
      <c r="I13062" s="82"/>
      <c r="M13062" s="85"/>
    </row>
    <row r="13063" spans="9:13" x14ac:dyDescent="0.3">
      <c r="I13063" s="82"/>
      <c r="M13063" s="85"/>
    </row>
    <row r="13064" spans="9:13" x14ac:dyDescent="0.3">
      <c r="I13064" s="82"/>
      <c r="M13064" s="85"/>
    </row>
    <row r="13065" spans="9:13" x14ac:dyDescent="0.3">
      <c r="I13065" s="82"/>
      <c r="M13065" s="85"/>
    </row>
    <row r="13066" spans="9:13" x14ac:dyDescent="0.3">
      <c r="I13066" s="82"/>
      <c r="M13066" s="85"/>
    </row>
    <row r="13067" spans="9:13" x14ac:dyDescent="0.3">
      <c r="I13067" s="82"/>
      <c r="M13067" s="85"/>
    </row>
    <row r="13068" spans="9:13" x14ac:dyDescent="0.3">
      <c r="I13068" s="82"/>
      <c r="M13068" s="85"/>
    </row>
    <row r="13069" spans="9:13" x14ac:dyDescent="0.3">
      <c r="I13069" s="82"/>
      <c r="M13069" s="85"/>
    </row>
    <row r="13070" spans="9:13" x14ac:dyDescent="0.3">
      <c r="I13070" s="82"/>
      <c r="M13070" s="85"/>
    </row>
    <row r="13071" spans="9:13" x14ac:dyDescent="0.3">
      <c r="I13071" s="82"/>
      <c r="M13071" s="85"/>
    </row>
    <row r="13072" spans="9:13" x14ac:dyDescent="0.3">
      <c r="I13072" s="82"/>
      <c r="M13072" s="85"/>
    </row>
    <row r="13073" spans="9:13" x14ac:dyDescent="0.3">
      <c r="I13073" s="82"/>
      <c r="M13073" s="85"/>
    </row>
    <row r="13074" spans="9:13" x14ac:dyDescent="0.3">
      <c r="I13074" s="82"/>
      <c r="M13074" s="85"/>
    </row>
    <row r="13075" spans="9:13" x14ac:dyDescent="0.3">
      <c r="I13075" s="82"/>
      <c r="M13075" s="85"/>
    </row>
    <row r="13076" spans="9:13" x14ac:dyDescent="0.3">
      <c r="I13076" s="82"/>
      <c r="M13076" s="85"/>
    </row>
    <row r="13077" spans="9:13" x14ac:dyDescent="0.3">
      <c r="I13077" s="82"/>
      <c r="M13077" s="85"/>
    </row>
    <row r="13078" spans="9:13" x14ac:dyDescent="0.3">
      <c r="I13078" s="82"/>
      <c r="M13078" s="85"/>
    </row>
    <row r="13079" spans="9:13" x14ac:dyDescent="0.3">
      <c r="I13079" s="82"/>
      <c r="M13079" s="85"/>
    </row>
    <row r="13080" spans="9:13" x14ac:dyDescent="0.3">
      <c r="I13080" s="82"/>
      <c r="M13080" s="85"/>
    </row>
    <row r="13081" spans="9:13" x14ac:dyDescent="0.3">
      <c r="I13081" s="82"/>
      <c r="M13081" s="85"/>
    </row>
    <row r="13082" spans="9:13" x14ac:dyDescent="0.3">
      <c r="I13082" s="82"/>
      <c r="M13082" s="85"/>
    </row>
    <row r="13083" spans="9:13" x14ac:dyDescent="0.3">
      <c r="I13083" s="82"/>
      <c r="M13083" s="85"/>
    </row>
    <row r="13084" spans="9:13" x14ac:dyDescent="0.3">
      <c r="I13084" s="82"/>
      <c r="M13084" s="85"/>
    </row>
    <row r="13085" spans="9:13" x14ac:dyDescent="0.3">
      <c r="I13085" s="82"/>
      <c r="M13085" s="85"/>
    </row>
    <row r="13086" spans="9:13" x14ac:dyDescent="0.3">
      <c r="I13086" s="82"/>
      <c r="M13086" s="85"/>
    </row>
    <row r="13087" spans="9:13" x14ac:dyDescent="0.3">
      <c r="I13087" s="82"/>
      <c r="M13087" s="85"/>
    </row>
    <row r="13088" spans="9:13" x14ac:dyDescent="0.3">
      <c r="I13088" s="82"/>
      <c r="M13088" s="85"/>
    </row>
    <row r="13089" spans="9:13" x14ac:dyDescent="0.3">
      <c r="I13089" s="82"/>
      <c r="M13089" s="85"/>
    </row>
    <row r="13090" spans="9:13" x14ac:dyDescent="0.3">
      <c r="I13090" s="82"/>
      <c r="M13090" s="85"/>
    </row>
    <row r="13091" spans="9:13" x14ac:dyDescent="0.3">
      <c r="I13091" s="82"/>
      <c r="M13091" s="85"/>
    </row>
    <row r="13092" spans="9:13" x14ac:dyDescent="0.3">
      <c r="I13092" s="82"/>
      <c r="M13092" s="85"/>
    </row>
    <row r="13093" spans="9:13" x14ac:dyDescent="0.3">
      <c r="I13093" s="82"/>
      <c r="M13093" s="85"/>
    </row>
    <row r="13094" spans="9:13" x14ac:dyDescent="0.3">
      <c r="I13094" s="82"/>
      <c r="M13094" s="85"/>
    </row>
    <row r="13095" spans="9:13" x14ac:dyDescent="0.3">
      <c r="I13095" s="82"/>
      <c r="M13095" s="85"/>
    </row>
    <row r="13096" spans="9:13" x14ac:dyDescent="0.3">
      <c r="I13096" s="82"/>
      <c r="M13096" s="85"/>
    </row>
    <row r="13097" spans="9:13" x14ac:dyDescent="0.3">
      <c r="I13097" s="82"/>
      <c r="M13097" s="85"/>
    </row>
    <row r="13098" spans="9:13" x14ac:dyDescent="0.3">
      <c r="I13098" s="82"/>
      <c r="M13098" s="85"/>
    </row>
    <row r="13099" spans="9:13" x14ac:dyDescent="0.3">
      <c r="I13099" s="82"/>
      <c r="M13099" s="85"/>
    </row>
    <row r="13100" spans="9:13" x14ac:dyDescent="0.3">
      <c r="I13100" s="82"/>
      <c r="M13100" s="85"/>
    </row>
    <row r="13101" spans="9:13" x14ac:dyDescent="0.3">
      <c r="I13101" s="82"/>
      <c r="M13101" s="85"/>
    </row>
    <row r="13102" spans="9:13" x14ac:dyDescent="0.3">
      <c r="I13102" s="82"/>
      <c r="M13102" s="85"/>
    </row>
    <row r="13103" spans="9:13" x14ac:dyDescent="0.3">
      <c r="I13103" s="82"/>
      <c r="M13103" s="85"/>
    </row>
    <row r="13104" spans="9:13" x14ac:dyDescent="0.3">
      <c r="I13104" s="82"/>
      <c r="M13104" s="85"/>
    </row>
    <row r="13105" spans="9:13" x14ac:dyDescent="0.3">
      <c r="I13105" s="82"/>
      <c r="M13105" s="85"/>
    </row>
    <row r="13106" spans="9:13" x14ac:dyDescent="0.3">
      <c r="I13106" s="82"/>
      <c r="M13106" s="85"/>
    </row>
    <row r="13107" spans="9:13" x14ac:dyDescent="0.3">
      <c r="I13107" s="82"/>
      <c r="M13107" s="85"/>
    </row>
    <row r="13108" spans="9:13" x14ac:dyDescent="0.3">
      <c r="I13108" s="82"/>
      <c r="M13108" s="85"/>
    </row>
    <row r="13109" spans="9:13" x14ac:dyDescent="0.3">
      <c r="I13109" s="82"/>
      <c r="M13109" s="85"/>
    </row>
    <row r="13110" spans="9:13" x14ac:dyDescent="0.3">
      <c r="I13110" s="82"/>
      <c r="M13110" s="85"/>
    </row>
    <row r="13111" spans="9:13" x14ac:dyDescent="0.3">
      <c r="I13111" s="82"/>
      <c r="M13111" s="85"/>
    </row>
    <row r="13112" spans="9:13" x14ac:dyDescent="0.3">
      <c r="I13112" s="82"/>
      <c r="M13112" s="85"/>
    </row>
    <row r="13113" spans="9:13" x14ac:dyDescent="0.3">
      <c r="I13113" s="82"/>
      <c r="M13113" s="85"/>
    </row>
    <row r="13114" spans="9:13" x14ac:dyDescent="0.3">
      <c r="I13114" s="82"/>
      <c r="M13114" s="85"/>
    </row>
    <row r="13115" spans="9:13" x14ac:dyDescent="0.3">
      <c r="I13115" s="82"/>
      <c r="M13115" s="85"/>
    </row>
    <row r="13116" spans="9:13" x14ac:dyDescent="0.3">
      <c r="I13116" s="82"/>
      <c r="M13116" s="85"/>
    </row>
    <row r="13117" spans="9:13" x14ac:dyDescent="0.3">
      <c r="I13117" s="82"/>
      <c r="M13117" s="85"/>
    </row>
    <row r="13118" spans="9:13" x14ac:dyDescent="0.3">
      <c r="I13118" s="82"/>
      <c r="M13118" s="85"/>
    </row>
    <row r="13119" spans="9:13" x14ac:dyDescent="0.3">
      <c r="I13119" s="82"/>
      <c r="M13119" s="85"/>
    </row>
    <row r="13120" spans="9:13" x14ac:dyDescent="0.3">
      <c r="I13120" s="82"/>
      <c r="M13120" s="85"/>
    </row>
    <row r="13121" spans="9:13" x14ac:dyDescent="0.3">
      <c r="I13121" s="82"/>
      <c r="M13121" s="85"/>
    </row>
    <row r="13122" spans="9:13" x14ac:dyDescent="0.3">
      <c r="I13122" s="82"/>
      <c r="M13122" s="85"/>
    </row>
    <row r="13123" spans="9:13" x14ac:dyDescent="0.3">
      <c r="I13123" s="82"/>
      <c r="M13123" s="85"/>
    </row>
    <row r="13124" spans="9:13" x14ac:dyDescent="0.3">
      <c r="I13124" s="82"/>
      <c r="M13124" s="85"/>
    </row>
    <row r="13125" spans="9:13" x14ac:dyDescent="0.3">
      <c r="I13125" s="82"/>
      <c r="M13125" s="85"/>
    </row>
    <row r="13126" spans="9:13" x14ac:dyDescent="0.3">
      <c r="I13126" s="82"/>
      <c r="M13126" s="85"/>
    </row>
    <row r="13127" spans="9:13" x14ac:dyDescent="0.3">
      <c r="I13127" s="82"/>
      <c r="M13127" s="85"/>
    </row>
    <row r="13128" spans="9:13" x14ac:dyDescent="0.3">
      <c r="I13128" s="82"/>
      <c r="M13128" s="85"/>
    </row>
    <row r="13129" spans="9:13" x14ac:dyDescent="0.3">
      <c r="I13129" s="82"/>
      <c r="M13129" s="85"/>
    </row>
    <row r="13130" spans="9:13" x14ac:dyDescent="0.3">
      <c r="I13130" s="82"/>
      <c r="M13130" s="85"/>
    </row>
    <row r="13131" spans="9:13" x14ac:dyDescent="0.3">
      <c r="I13131" s="82"/>
      <c r="M13131" s="85"/>
    </row>
    <row r="13132" spans="9:13" x14ac:dyDescent="0.3">
      <c r="I13132" s="82"/>
      <c r="M13132" s="85"/>
    </row>
    <row r="13133" spans="9:13" x14ac:dyDescent="0.3">
      <c r="I13133" s="82"/>
      <c r="M13133" s="85"/>
    </row>
    <row r="13134" spans="9:13" x14ac:dyDescent="0.3">
      <c r="I13134" s="82"/>
      <c r="M13134" s="85"/>
    </row>
    <row r="13135" spans="9:13" x14ac:dyDescent="0.3">
      <c r="I13135" s="82"/>
      <c r="M13135" s="85"/>
    </row>
    <row r="13136" spans="9:13" x14ac:dyDescent="0.3">
      <c r="I13136" s="82"/>
      <c r="M13136" s="85"/>
    </row>
    <row r="13137" spans="9:13" x14ac:dyDescent="0.3">
      <c r="I13137" s="82"/>
      <c r="M13137" s="85"/>
    </row>
    <row r="13138" spans="9:13" x14ac:dyDescent="0.3">
      <c r="I13138" s="82"/>
      <c r="M13138" s="85"/>
    </row>
    <row r="13139" spans="9:13" x14ac:dyDescent="0.3">
      <c r="I13139" s="82"/>
      <c r="M13139" s="85"/>
    </row>
    <row r="13140" spans="9:13" x14ac:dyDescent="0.3">
      <c r="I13140" s="82"/>
      <c r="M13140" s="85"/>
    </row>
    <row r="13141" spans="9:13" x14ac:dyDescent="0.3">
      <c r="I13141" s="82"/>
      <c r="M13141" s="85"/>
    </row>
    <row r="13142" spans="9:13" x14ac:dyDescent="0.3">
      <c r="I13142" s="82"/>
      <c r="M13142" s="85"/>
    </row>
    <row r="13143" spans="9:13" x14ac:dyDescent="0.3">
      <c r="I13143" s="82"/>
      <c r="M13143" s="85"/>
    </row>
    <row r="13144" spans="9:13" x14ac:dyDescent="0.3">
      <c r="I13144" s="82"/>
      <c r="M13144" s="85"/>
    </row>
    <row r="13145" spans="9:13" x14ac:dyDescent="0.3">
      <c r="I13145" s="82"/>
      <c r="M13145" s="85"/>
    </row>
    <row r="13146" spans="9:13" x14ac:dyDescent="0.3">
      <c r="I13146" s="82"/>
      <c r="M13146" s="85"/>
    </row>
    <row r="13147" spans="9:13" x14ac:dyDescent="0.3">
      <c r="I13147" s="82"/>
      <c r="M13147" s="85"/>
    </row>
    <row r="13148" spans="9:13" x14ac:dyDescent="0.3">
      <c r="I13148" s="82"/>
      <c r="M13148" s="85"/>
    </row>
    <row r="13149" spans="9:13" x14ac:dyDescent="0.3">
      <c r="I13149" s="82"/>
      <c r="M13149" s="85"/>
    </row>
    <row r="13150" spans="9:13" x14ac:dyDescent="0.3">
      <c r="I13150" s="82"/>
      <c r="M13150" s="85"/>
    </row>
    <row r="13151" spans="9:13" x14ac:dyDescent="0.3">
      <c r="I13151" s="82"/>
      <c r="M13151" s="85"/>
    </row>
    <row r="13152" spans="9:13" x14ac:dyDescent="0.3">
      <c r="I13152" s="82"/>
      <c r="M13152" s="85"/>
    </row>
    <row r="13153" spans="9:13" x14ac:dyDescent="0.3">
      <c r="I13153" s="82"/>
      <c r="M13153" s="85"/>
    </row>
    <row r="13154" spans="9:13" x14ac:dyDescent="0.3">
      <c r="I13154" s="82"/>
      <c r="M13154" s="85"/>
    </row>
    <row r="13155" spans="9:13" x14ac:dyDescent="0.3">
      <c r="I13155" s="82"/>
      <c r="M13155" s="85"/>
    </row>
    <row r="13156" spans="9:13" x14ac:dyDescent="0.3">
      <c r="I13156" s="82"/>
      <c r="M13156" s="85"/>
    </row>
    <row r="13157" spans="9:13" x14ac:dyDescent="0.3">
      <c r="I13157" s="82"/>
      <c r="M13157" s="85"/>
    </row>
    <row r="13158" spans="9:13" x14ac:dyDescent="0.3">
      <c r="I13158" s="82"/>
      <c r="M13158" s="85"/>
    </row>
    <row r="13159" spans="9:13" x14ac:dyDescent="0.3">
      <c r="I13159" s="82"/>
      <c r="M13159" s="85"/>
    </row>
    <row r="13160" spans="9:13" x14ac:dyDescent="0.3">
      <c r="I13160" s="82"/>
      <c r="M13160" s="85"/>
    </row>
    <row r="13161" spans="9:13" x14ac:dyDescent="0.3">
      <c r="I13161" s="82"/>
      <c r="M13161" s="85"/>
    </row>
    <row r="13162" spans="9:13" x14ac:dyDescent="0.3">
      <c r="I13162" s="82"/>
      <c r="M13162" s="85"/>
    </row>
    <row r="13163" spans="9:13" x14ac:dyDescent="0.3">
      <c r="I13163" s="82"/>
      <c r="M13163" s="85"/>
    </row>
    <row r="13164" spans="9:13" x14ac:dyDescent="0.3">
      <c r="I13164" s="82"/>
      <c r="M13164" s="85"/>
    </row>
    <row r="13165" spans="9:13" x14ac:dyDescent="0.3">
      <c r="I13165" s="82"/>
      <c r="M13165" s="85"/>
    </row>
    <row r="13166" spans="9:13" x14ac:dyDescent="0.3">
      <c r="I13166" s="82"/>
      <c r="M13166" s="85"/>
    </row>
    <row r="13167" spans="9:13" x14ac:dyDescent="0.3">
      <c r="I13167" s="82"/>
      <c r="M13167" s="85"/>
    </row>
    <row r="13168" spans="9:13" x14ac:dyDescent="0.3">
      <c r="I13168" s="82"/>
      <c r="M13168" s="85"/>
    </row>
    <row r="13169" spans="9:13" x14ac:dyDescent="0.3">
      <c r="I13169" s="82"/>
      <c r="M13169" s="85"/>
    </row>
    <row r="13170" spans="9:13" x14ac:dyDescent="0.3">
      <c r="I13170" s="82"/>
      <c r="M13170" s="85"/>
    </row>
    <row r="13171" spans="9:13" x14ac:dyDescent="0.3">
      <c r="I13171" s="82"/>
      <c r="M13171" s="85"/>
    </row>
    <row r="13172" spans="9:13" x14ac:dyDescent="0.3">
      <c r="I13172" s="82"/>
      <c r="M13172" s="85"/>
    </row>
    <row r="13173" spans="9:13" x14ac:dyDescent="0.3">
      <c r="I13173" s="82"/>
      <c r="M13173" s="85"/>
    </row>
    <row r="13174" spans="9:13" x14ac:dyDescent="0.3">
      <c r="I13174" s="82"/>
      <c r="M13174" s="85"/>
    </row>
    <row r="13175" spans="9:13" x14ac:dyDescent="0.3">
      <c r="I13175" s="82"/>
      <c r="M13175" s="85"/>
    </row>
    <row r="13176" spans="9:13" x14ac:dyDescent="0.3">
      <c r="I13176" s="82"/>
      <c r="M13176" s="85"/>
    </row>
    <row r="13177" spans="9:13" x14ac:dyDescent="0.3">
      <c r="I13177" s="82"/>
      <c r="M13177" s="85"/>
    </row>
    <row r="13178" spans="9:13" x14ac:dyDescent="0.3">
      <c r="I13178" s="82"/>
      <c r="M13178" s="85"/>
    </row>
    <row r="13179" spans="9:13" x14ac:dyDescent="0.3">
      <c r="I13179" s="82"/>
      <c r="M13179" s="85"/>
    </row>
    <row r="13180" spans="9:13" x14ac:dyDescent="0.3">
      <c r="I13180" s="82"/>
      <c r="M13180" s="85"/>
    </row>
    <row r="13181" spans="9:13" x14ac:dyDescent="0.3">
      <c r="I13181" s="82"/>
      <c r="M13181" s="85"/>
    </row>
    <row r="13182" spans="9:13" x14ac:dyDescent="0.3">
      <c r="I13182" s="82"/>
      <c r="M13182" s="85"/>
    </row>
    <row r="13183" spans="9:13" x14ac:dyDescent="0.3">
      <c r="I13183" s="82"/>
      <c r="M13183" s="85"/>
    </row>
    <row r="13184" spans="9:13" x14ac:dyDescent="0.3">
      <c r="I13184" s="82"/>
      <c r="M13184" s="85"/>
    </row>
    <row r="13185" spans="9:13" x14ac:dyDescent="0.3">
      <c r="I13185" s="82"/>
      <c r="M13185" s="85"/>
    </row>
    <row r="13186" spans="9:13" x14ac:dyDescent="0.3">
      <c r="I13186" s="82"/>
      <c r="M13186" s="85"/>
    </row>
    <row r="13187" spans="9:13" x14ac:dyDescent="0.3">
      <c r="I13187" s="82"/>
      <c r="M13187" s="85"/>
    </row>
    <row r="13188" spans="9:13" x14ac:dyDescent="0.3">
      <c r="I13188" s="82"/>
      <c r="M13188" s="85"/>
    </row>
    <row r="13189" spans="9:13" x14ac:dyDescent="0.3">
      <c r="I13189" s="82"/>
      <c r="M13189" s="85"/>
    </row>
    <row r="13190" spans="9:13" x14ac:dyDescent="0.3">
      <c r="I13190" s="82"/>
      <c r="M13190" s="85"/>
    </row>
    <row r="13191" spans="9:13" x14ac:dyDescent="0.3">
      <c r="I13191" s="82"/>
      <c r="M13191" s="85"/>
    </row>
    <row r="13192" spans="9:13" x14ac:dyDescent="0.3">
      <c r="I13192" s="82"/>
      <c r="M13192" s="85"/>
    </row>
    <row r="13193" spans="9:13" x14ac:dyDescent="0.3">
      <c r="I13193" s="82"/>
      <c r="M13193" s="85"/>
    </row>
    <row r="13194" spans="9:13" x14ac:dyDescent="0.3">
      <c r="I13194" s="82"/>
      <c r="M13194" s="85"/>
    </row>
    <row r="13195" spans="9:13" x14ac:dyDescent="0.3">
      <c r="I13195" s="82"/>
      <c r="M13195" s="85"/>
    </row>
    <row r="13196" spans="9:13" x14ac:dyDescent="0.3">
      <c r="I13196" s="82"/>
      <c r="M13196" s="85"/>
    </row>
    <row r="13197" spans="9:13" x14ac:dyDescent="0.3">
      <c r="I13197" s="82"/>
      <c r="M13197" s="85"/>
    </row>
    <row r="13198" spans="9:13" x14ac:dyDescent="0.3">
      <c r="I13198" s="82"/>
      <c r="M13198" s="85"/>
    </row>
    <row r="13199" spans="9:13" x14ac:dyDescent="0.3">
      <c r="I13199" s="82"/>
      <c r="M13199" s="85"/>
    </row>
    <row r="13200" spans="9:13" x14ac:dyDescent="0.3">
      <c r="I13200" s="82"/>
      <c r="M13200" s="85"/>
    </row>
    <row r="13201" spans="9:13" x14ac:dyDescent="0.3">
      <c r="I13201" s="82"/>
      <c r="M13201" s="85"/>
    </row>
    <row r="13202" spans="9:13" x14ac:dyDescent="0.3">
      <c r="I13202" s="82"/>
      <c r="M13202" s="85"/>
    </row>
    <row r="13203" spans="9:13" x14ac:dyDescent="0.3">
      <c r="I13203" s="82"/>
      <c r="M13203" s="85"/>
    </row>
    <row r="13204" spans="9:13" x14ac:dyDescent="0.3">
      <c r="I13204" s="82"/>
      <c r="M13204" s="85"/>
    </row>
    <row r="13205" spans="9:13" x14ac:dyDescent="0.3">
      <c r="I13205" s="82"/>
      <c r="M13205" s="85"/>
    </row>
    <row r="13206" spans="9:13" x14ac:dyDescent="0.3">
      <c r="I13206" s="82"/>
      <c r="M13206" s="85"/>
    </row>
    <row r="13207" spans="9:13" x14ac:dyDescent="0.3">
      <c r="I13207" s="82"/>
      <c r="M13207" s="85"/>
    </row>
    <row r="13208" spans="9:13" x14ac:dyDescent="0.3">
      <c r="I13208" s="82"/>
      <c r="M13208" s="85"/>
    </row>
    <row r="13209" spans="9:13" x14ac:dyDescent="0.3">
      <c r="I13209" s="82"/>
      <c r="M13209" s="85"/>
    </row>
    <row r="13210" spans="9:13" x14ac:dyDescent="0.3">
      <c r="I13210" s="82"/>
      <c r="M13210" s="85"/>
    </row>
    <row r="13211" spans="9:13" x14ac:dyDescent="0.3">
      <c r="I13211" s="82"/>
      <c r="M13211" s="85"/>
    </row>
    <row r="13212" spans="9:13" x14ac:dyDescent="0.3">
      <c r="I13212" s="82"/>
      <c r="M13212" s="85"/>
    </row>
    <row r="13213" spans="9:13" x14ac:dyDescent="0.3">
      <c r="I13213" s="82"/>
      <c r="M13213" s="85"/>
    </row>
    <row r="13214" spans="9:13" x14ac:dyDescent="0.3">
      <c r="I13214" s="82"/>
      <c r="M13214" s="85"/>
    </row>
    <row r="13215" spans="9:13" x14ac:dyDescent="0.3">
      <c r="I13215" s="82"/>
      <c r="M13215" s="85"/>
    </row>
    <row r="13216" spans="9:13" x14ac:dyDescent="0.3">
      <c r="I13216" s="82"/>
      <c r="M13216" s="85"/>
    </row>
    <row r="13217" spans="9:13" x14ac:dyDescent="0.3">
      <c r="I13217" s="82"/>
      <c r="M13217" s="85"/>
    </row>
    <row r="13218" spans="9:13" x14ac:dyDescent="0.3">
      <c r="I13218" s="82"/>
      <c r="M13218" s="85"/>
    </row>
    <row r="13219" spans="9:13" x14ac:dyDescent="0.3">
      <c r="I13219" s="82"/>
      <c r="M13219" s="85"/>
    </row>
    <row r="13220" spans="9:13" x14ac:dyDescent="0.3">
      <c r="I13220" s="82"/>
      <c r="M13220" s="85"/>
    </row>
    <row r="13221" spans="9:13" x14ac:dyDescent="0.3">
      <c r="I13221" s="82"/>
      <c r="M13221" s="85"/>
    </row>
    <row r="13222" spans="9:13" x14ac:dyDescent="0.3">
      <c r="I13222" s="82"/>
      <c r="M13222" s="85"/>
    </row>
    <row r="13223" spans="9:13" x14ac:dyDescent="0.3">
      <c r="I13223" s="82"/>
      <c r="M13223" s="85"/>
    </row>
    <row r="13224" spans="9:13" x14ac:dyDescent="0.3">
      <c r="I13224" s="82"/>
      <c r="M13224" s="85"/>
    </row>
    <row r="13225" spans="9:13" x14ac:dyDescent="0.3">
      <c r="I13225" s="82"/>
      <c r="M13225" s="85"/>
    </row>
    <row r="13226" spans="9:13" x14ac:dyDescent="0.3">
      <c r="I13226" s="82"/>
      <c r="M13226" s="85"/>
    </row>
    <row r="13227" spans="9:13" x14ac:dyDescent="0.3">
      <c r="I13227" s="82"/>
      <c r="M13227" s="85"/>
    </row>
    <row r="13228" spans="9:13" x14ac:dyDescent="0.3">
      <c r="I13228" s="82"/>
      <c r="M13228" s="85"/>
    </row>
    <row r="13229" spans="9:13" x14ac:dyDescent="0.3">
      <c r="I13229" s="82"/>
      <c r="M13229" s="85"/>
    </row>
    <row r="13230" spans="9:13" x14ac:dyDescent="0.3">
      <c r="I13230" s="82"/>
      <c r="M13230" s="85"/>
    </row>
    <row r="13231" spans="9:13" x14ac:dyDescent="0.3">
      <c r="I13231" s="82"/>
      <c r="M13231" s="85"/>
    </row>
    <row r="13232" spans="9:13" x14ac:dyDescent="0.3">
      <c r="I13232" s="82"/>
      <c r="M13232" s="85"/>
    </row>
    <row r="13233" spans="9:13" x14ac:dyDescent="0.3">
      <c r="I13233" s="82"/>
      <c r="M13233" s="85"/>
    </row>
    <row r="13234" spans="9:13" x14ac:dyDescent="0.3">
      <c r="I13234" s="82"/>
      <c r="M13234" s="85"/>
    </row>
    <row r="13235" spans="9:13" x14ac:dyDescent="0.3">
      <c r="I13235" s="82"/>
      <c r="M13235" s="85"/>
    </row>
    <row r="13236" spans="9:13" x14ac:dyDescent="0.3">
      <c r="I13236" s="82"/>
      <c r="M13236" s="85"/>
    </row>
    <row r="13237" spans="9:13" x14ac:dyDescent="0.3">
      <c r="I13237" s="82"/>
      <c r="M13237" s="85"/>
    </row>
    <row r="13238" spans="9:13" x14ac:dyDescent="0.3">
      <c r="I13238" s="82"/>
      <c r="M13238" s="85"/>
    </row>
    <row r="13239" spans="9:13" x14ac:dyDescent="0.3">
      <c r="I13239" s="82"/>
      <c r="M13239" s="85"/>
    </row>
    <row r="13240" spans="9:13" x14ac:dyDescent="0.3">
      <c r="I13240" s="82"/>
      <c r="M13240" s="85"/>
    </row>
    <row r="13241" spans="9:13" x14ac:dyDescent="0.3">
      <c r="I13241" s="82"/>
      <c r="M13241" s="85"/>
    </row>
    <row r="13242" spans="9:13" x14ac:dyDescent="0.3">
      <c r="I13242" s="82"/>
      <c r="M13242" s="85"/>
    </row>
    <row r="13243" spans="9:13" x14ac:dyDescent="0.3">
      <c r="I13243" s="82"/>
      <c r="M13243" s="85"/>
    </row>
    <row r="13244" spans="9:13" x14ac:dyDescent="0.3">
      <c r="I13244" s="82"/>
      <c r="M13244" s="85"/>
    </row>
    <row r="13245" spans="9:13" x14ac:dyDescent="0.3">
      <c r="I13245" s="82"/>
      <c r="M13245" s="85"/>
    </row>
    <row r="13246" spans="9:13" x14ac:dyDescent="0.3">
      <c r="I13246" s="82"/>
      <c r="M13246" s="85"/>
    </row>
    <row r="13247" spans="9:13" x14ac:dyDescent="0.3">
      <c r="I13247" s="82"/>
      <c r="M13247" s="85"/>
    </row>
    <row r="13248" spans="9:13" x14ac:dyDescent="0.3">
      <c r="I13248" s="82"/>
      <c r="M13248" s="85"/>
    </row>
    <row r="13249" spans="9:13" x14ac:dyDescent="0.3">
      <c r="I13249" s="82"/>
      <c r="M13249" s="85"/>
    </row>
    <row r="13250" spans="9:13" x14ac:dyDescent="0.3">
      <c r="I13250" s="82"/>
      <c r="M13250" s="85"/>
    </row>
    <row r="13251" spans="9:13" x14ac:dyDescent="0.3">
      <c r="I13251" s="82"/>
      <c r="M13251" s="85"/>
    </row>
    <row r="13252" spans="9:13" x14ac:dyDescent="0.3">
      <c r="I13252" s="82"/>
      <c r="M13252" s="85"/>
    </row>
    <row r="13253" spans="9:13" x14ac:dyDescent="0.3">
      <c r="I13253" s="82"/>
      <c r="M13253" s="85"/>
    </row>
    <row r="13254" spans="9:13" x14ac:dyDescent="0.3">
      <c r="I13254" s="82"/>
      <c r="M13254" s="85"/>
    </row>
    <row r="13255" spans="9:13" x14ac:dyDescent="0.3">
      <c r="I13255" s="82"/>
      <c r="M13255" s="85"/>
    </row>
    <row r="13256" spans="9:13" x14ac:dyDescent="0.3">
      <c r="I13256" s="82"/>
      <c r="M13256" s="85"/>
    </row>
    <row r="13257" spans="9:13" x14ac:dyDescent="0.3">
      <c r="I13257" s="82"/>
      <c r="M13257" s="85"/>
    </row>
    <row r="13258" spans="9:13" x14ac:dyDescent="0.3">
      <c r="I13258" s="82"/>
      <c r="M13258" s="85"/>
    </row>
    <row r="13259" spans="9:13" x14ac:dyDescent="0.3">
      <c r="I13259" s="82"/>
      <c r="M13259" s="85"/>
    </row>
    <row r="13260" spans="9:13" x14ac:dyDescent="0.3">
      <c r="I13260" s="82"/>
      <c r="M13260" s="85"/>
    </row>
    <row r="13261" spans="9:13" x14ac:dyDescent="0.3">
      <c r="I13261" s="82"/>
      <c r="M13261" s="85"/>
    </row>
    <row r="13262" spans="9:13" x14ac:dyDescent="0.3">
      <c r="I13262" s="82"/>
      <c r="M13262" s="85"/>
    </row>
    <row r="13263" spans="9:13" x14ac:dyDescent="0.3">
      <c r="I13263" s="82"/>
      <c r="M13263" s="85"/>
    </row>
    <row r="13264" spans="9:13" x14ac:dyDescent="0.3">
      <c r="I13264" s="82"/>
      <c r="M13264" s="85"/>
    </row>
    <row r="13265" spans="9:13" x14ac:dyDescent="0.3">
      <c r="I13265" s="82"/>
      <c r="M13265" s="85"/>
    </row>
    <row r="13266" spans="9:13" x14ac:dyDescent="0.3">
      <c r="I13266" s="82"/>
      <c r="M13266" s="85"/>
    </row>
    <row r="13267" spans="9:13" x14ac:dyDescent="0.3">
      <c r="I13267" s="82"/>
      <c r="M13267" s="85"/>
    </row>
    <row r="13268" spans="9:13" x14ac:dyDescent="0.3">
      <c r="I13268" s="82"/>
      <c r="M13268" s="85"/>
    </row>
    <row r="13269" spans="9:13" x14ac:dyDescent="0.3">
      <c r="I13269" s="82"/>
      <c r="M13269" s="85"/>
    </row>
    <row r="13270" spans="9:13" x14ac:dyDescent="0.3">
      <c r="I13270" s="82"/>
      <c r="M13270" s="85"/>
    </row>
    <row r="13271" spans="9:13" x14ac:dyDescent="0.3">
      <c r="I13271" s="82"/>
      <c r="M13271" s="85"/>
    </row>
    <row r="13272" spans="9:13" x14ac:dyDescent="0.3">
      <c r="I13272" s="82"/>
      <c r="M13272" s="85"/>
    </row>
    <row r="13273" spans="9:13" x14ac:dyDescent="0.3">
      <c r="I13273" s="82"/>
      <c r="M13273" s="85"/>
    </row>
    <row r="13274" spans="9:13" x14ac:dyDescent="0.3">
      <c r="I13274" s="82"/>
      <c r="M13274" s="85"/>
    </row>
    <row r="13275" spans="9:13" x14ac:dyDescent="0.3">
      <c r="I13275" s="82"/>
      <c r="M13275" s="85"/>
    </row>
    <row r="13276" spans="9:13" x14ac:dyDescent="0.3">
      <c r="I13276" s="82"/>
      <c r="M13276" s="85"/>
    </row>
    <row r="13277" spans="9:13" x14ac:dyDescent="0.3">
      <c r="I13277" s="82"/>
      <c r="M13277" s="85"/>
    </row>
    <row r="13278" spans="9:13" x14ac:dyDescent="0.3">
      <c r="I13278" s="82"/>
      <c r="M13278" s="85"/>
    </row>
    <row r="13279" spans="9:13" x14ac:dyDescent="0.3">
      <c r="I13279" s="82"/>
      <c r="M13279" s="85"/>
    </row>
    <row r="13280" spans="9:13" x14ac:dyDescent="0.3">
      <c r="I13280" s="82"/>
      <c r="M13280" s="85"/>
    </row>
    <row r="13281" spans="9:13" x14ac:dyDescent="0.3">
      <c r="I13281" s="82"/>
      <c r="M13281" s="85"/>
    </row>
    <row r="13282" spans="9:13" x14ac:dyDescent="0.3">
      <c r="I13282" s="82"/>
      <c r="M13282" s="85"/>
    </row>
    <row r="13283" spans="9:13" x14ac:dyDescent="0.3">
      <c r="I13283" s="82"/>
      <c r="M13283" s="85"/>
    </row>
    <row r="13284" spans="9:13" x14ac:dyDescent="0.3">
      <c r="I13284" s="82"/>
      <c r="M13284" s="85"/>
    </row>
    <row r="13285" spans="9:13" x14ac:dyDescent="0.3">
      <c r="I13285" s="82"/>
      <c r="M13285" s="85"/>
    </row>
    <row r="13286" spans="9:13" x14ac:dyDescent="0.3">
      <c r="I13286" s="82"/>
      <c r="M13286" s="85"/>
    </row>
    <row r="13287" spans="9:13" x14ac:dyDescent="0.3">
      <c r="I13287" s="82"/>
      <c r="M13287" s="85"/>
    </row>
    <row r="13288" spans="9:13" x14ac:dyDescent="0.3">
      <c r="I13288" s="82"/>
      <c r="M13288" s="85"/>
    </row>
    <row r="13289" spans="9:13" x14ac:dyDescent="0.3">
      <c r="I13289" s="82"/>
      <c r="M13289" s="85"/>
    </row>
    <row r="13290" spans="9:13" x14ac:dyDescent="0.3">
      <c r="I13290" s="82"/>
      <c r="M13290" s="85"/>
    </row>
    <row r="13291" spans="9:13" x14ac:dyDescent="0.3">
      <c r="I13291" s="82"/>
      <c r="M13291" s="85"/>
    </row>
    <row r="13292" spans="9:13" x14ac:dyDescent="0.3">
      <c r="I13292" s="82"/>
      <c r="M13292" s="85"/>
    </row>
    <row r="13293" spans="9:13" x14ac:dyDescent="0.3">
      <c r="I13293" s="82"/>
      <c r="M13293" s="85"/>
    </row>
    <row r="13294" spans="9:13" x14ac:dyDescent="0.3">
      <c r="I13294" s="82"/>
      <c r="M13294" s="85"/>
    </row>
    <row r="13295" spans="9:13" x14ac:dyDescent="0.3">
      <c r="I13295" s="82"/>
      <c r="M13295" s="85"/>
    </row>
    <row r="13296" spans="9:13" x14ac:dyDescent="0.3">
      <c r="I13296" s="82"/>
      <c r="M13296" s="85"/>
    </row>
    <row r="13297" spans="9:13" x14ac:dyDescent="0.3">
      <c r="I13297" s="82"/>
      <c r="M13297" s="85"/>
    </row>
    <row r="13298" spans="9:13" x14ac:dyDescent="0.3">
      <c r="I13298" s="82"/>
      <c r="M13298" s="85"/>
    </row>
    <row r="13299" spans="9:13" x14ac:dyDescent="0.3">
      <c r="I13299" s="82"/>
      <c r="M13299" s="85"/>
    </row>
    <row r="13300" spans="9:13" x14ac:dyDescent="0.3">
      <c r="I13300" s="82"/>
      <c r="M13300" s="85"/>
    </row>
    <row r="13301" spans="9:13" x14ac:dyDescent="0.3">
      <c r="I13301" s="82"/>
      <c r="M13301" s="85"/>
    </row>
    <row r="13302" spans="9:13" x14ac:dyDescent="0.3">
      <c r="I13302" s="82"/>
      <c r="M13302" s="85"/>
    </row>
    <row r="13303" spans="9:13" x14ac:dyDescent="0.3">
      <c r="I13303" s="82"/>
      <c r="M13303" s="85"/>
    </row>
    <row r="13304" spans="9:13" x14ac:dyDescent="0.3">
      <c r="I13304" s="82"/>
      <c r="M13304" s="85"/>
    </row>
    <row r="13305" spans="9:13" x14ac:dyDescent="0.3">
      <c r="I13305" s="82"/>
      <c r="M13305" s="85"/>
    </row>
    <row r="13306" spans="9:13" x14ac:dyDescent="0.3">
      <c r="I13306" s="82"/>
      <c r="M13306" s="85"/>
    </row>
    <row r="13307" spans="9:13" x14ac:dyDescent="0.3">
      <c r="I13307" s="82"/>
      <c r="M13307" s="85"/>
    </row>
    <row r="13308" spans="9:13" x14ac:dyDescent="0.3">
      <c r="I13308" s="82"/>
      <c r="M13308" s="85"/>
    </row>
    <row r="13309" spans="9:13" x14ac:dyDescent="0.3">
      <c r="I13309" s="82"/>
      <c r="M13309" s="85"/>
    </row>
    <row r="13310" spans="9:13" x14ac:dyDescent="0.3">
      <c r="I13310" s="82"/>
      <c r="M13310" s="85"/>
    </row>
    <row r="13311" spans="9:13" x14ac:dyDescent="0.3">
      <c r="I13311" s="82"/>
      <c r="M13311" s="85"/>
    </row>
    <row r="13312" spans="9:13" x14ac:dyDescent="0.3">
      <c r="I13312" s="82"/>
      <c r="M13312" s="85"/>
    </row>
    <row r="13313" spans="9:13" x14ac:dyDescent="0.3">
      <c r="I13313" s="82"/>
      <c r="M13313" s="85"/>
    </row>
    <row r="13314" spans="9:13" x14ac:dyDescent="0.3">
      <c r="I13314" s="82"/>
      <c r="M13314" s="85"/>
    </row>
    <row r="13315" spans="9:13" x14ac:dyDescent="0.3">
      <c r="I13315" s="82"/>
      <c r="M13315" s="85"/>
    </row>
    <row r="13316" spans="9:13" x14ac:dyDescent="0.3">
      <c r="I13316" s="82"/>
      <c r="M13316" s="85"/>
    </row>
    <row r="13317" spans="9:13" x14ac:dyDescent="0.3">
      <c r="I13317" s="82"/>
      <c r="M13317" s="85"/>
    </row>
    <row r="13318" spans="9:13" x14ac:dyDescent="0.3">
      <c r="I13318" s="82"/>
      <c r="M13318" s="85"/>
    </row>
    <row r="13319" spans="9:13" x14ac:dyDescent="0.3">
      <c r="I13319" s="82"/>
      <c r="M13319" s="85"/>
    </row>
    <row r="13320" spans="9:13" x14ac:dyDescent="0.3">
      <c r="I13320" s="82"/>
      <c r="M13320" s="85"/>
    </row>
    <row r="13321" spans="9:13" x14ac:dyDescent="0.3">
      <c r="I13321" s="82"/>
      <c r="M13321" s="85"/>
    </row>
    <row r="13322" spans="9:13" x14ac:dyDescent="0.3">
      <c r="I13322" s="82"/>
      <c r="M13322" s="85"/>
    </row>
    <row r="13323" spans="9:13" x14ac:dyDescent="0.3">
      <c r="I13323" s="82"/>
      <c r="M13323" s="85"/>
    </row>
    <row r="13324" spans="9:13" x14ac:dyDescent="0.3">
      <c r="I13324" s="82"/>
      <c r="M13324" s="85"/>
    </row>
    <row r="13325" spans="9:13" x14ac:dyDescent="0.3">
      <c r="I13325" s="82"/>
      <c r="M13325" s="85"/>
    </row>
    <row r="13326" spans="9:13" x14ac:dyDescent="0.3">
      <c r="I13326" s="82"/>
      <c r="M13326" s="85"/>
    </row>
    <row r="13327" spans="9:13" x14ac:dyDescent="0.3">
      <c r="I13327" s="82"/>
      <c r="M13327" s="85"/>
    </row>
    <row r="13328" spans="9:13" x14ac:dyDescent="0.3">
      <c r="I13328" s="82"/>
      <c r="M13328" s="85"/>
    </row>
    <row r="13329" spans="9:13" x14ac:dyDescent="0.3">
      <c r="I13329" s="82"/>
      <c r="M13329" s="85"/>
    </row>
    <row r="13330" spans="9:13" x14ac:dyDescent="0.3">
      <c r="I13330" s="82"/>
      <c r="M13330" s="85"/>
    </row>
    <row r="13331" spans="9:13" x14ac:dyDescent="0.3">
      <c r="I13331" s="82"/>
      <c r="M13331" s="85"/>
    </row>
    <row r="13332" spans="9:13" x14ac:dyDescent="0.3">
      <c r="I13332" s="82"/>
      <c r="M13332" s="85"/>
    </row>
    <row r="13333" spans="9:13" x14ac:dyDescent="0.3">
      <c r="I13333" s="82"/>
      <c r="M13333" s="85"/>
    </row>
    <row r="13334" spans="9:13" x14ac:dyDescent="0.3">
      <c r="I13334" s="82"/>
      <c r="M13334" s="85"/>
    </row>
    <row r="13335" spans="9:13" x14ac:dyDescent="0.3">
      <c r="I13335" s="82"/>
      <c r="M13335" s="85"/>
    </row>
    <row r="13336" spans="9:13" x14ac:dyDescent="0.3">
      <c r="I13336" s="82"/>
      <c r="M13336" s="85"/>
    </row>
    <row r="13337" spans="9:13" x14ac:dyDescent="0.3">
      <c r="I13337" s="82"/>
      <c r="M13337" s="85"/>
    </row>
    <row r="13338" spans="9:13" x14ac:dyDescent="0.3">
      <c r="I13338" s="82"/>
      <c r="M13338" s="85"/>
    </row>
    <row r="13339" spans="9:13" x14ac:dyDescent="0.3">
      <c r="I13339" s="82"/>
      <c r="M13339" s="85"/>
    </row>
    <row r="13340" spans="9:13" x14ac:dyDescent="0.3">
      <c r="I13340" s="82"/>
      <c r="M13340" s="85"/>
    </row>
    <row r="13341" spans="9:13" x14ac:dyDescent="0.3">
      <c r="I13341" s="82"/>
      <c r="M13341" s="85"/>
    </row>
    <row r="13342" spans="9:13" x14ac:dyDescent="0.3">
      <c r="I13342" s="82"/>
      <c r="M13342" s="85"/>
    </row>
    <row r="13343" spans="9:13" x14ac:dyDescent="0.3">
      <c r="I13343" s="82"/>
      <c r="M13343" s="85"/>
    </row>
    <row r="13344" spans="9:13" x14ac:dyDescent="0.3">
      <c r="I13344" s="82"/>
      <c r="M13344" s="85"/>
    </row>
    <row r="13345" spans="9:13" x14ac:dyDescent="0.3">
      <c r="I13345" s="82"/>
      <c r="M13345" s="85"/>
    </row>
    <row r="13346" spans="9:13" x14ac:dyDescent="0.3">
      <c r="I13346" s="82"/>
      <c r="M13346" s="85"/>
    </row>
    <row r="13347" spans="9:13" x14ac:dyDescent="0.3">
      <c r="I13347" s="82"/>
      <c r="M13347" s="85"/>
    </row>
    <row r="13348" spans="9:13" x14ac:dyDescent="0.3">
      <c r="I13348" s="82"/>
      <c r="M13348" s="85"/>
    </row>
    <row r="13349" spans="9:13" x14ac:dyDescent="0.3">
      <c r="I13349" s="82"/>
      <c r="M13349" s="85"/>
    </row>
    <row r="13350" spans="9:13" x14ac:dyDescent="0.3">
      <c r="I13350" s="82"/>
      <c r="M13350" s="85"/>
    </row>
    <row r="13351" spans="9:13" x14ac:dyDescent="0.3">
      <c r="I13351" s="82"/>
      <c r="M13351" s="85"/>
    </row>
    <row r="13352" spans="9:13" x14ac:dyDescent="0.3">
      <c r="I13352" s="82"/>
      <c r="M13352" s="85"/>
    </row>
    <row r="13353" spans="9:13" x14ac:dyDescent="0.3">
      <c r="I13353" s="82"/>
      <c r="M13353" s="85"/>
    </row>
    <row r="13354" spans="9:13" x14ac:dyDescent="0.3">
      <c r="I13354" s="82"/>
      <c r="M13354" s="85"/>
    </row>
    <row r="13355" spans="9:13" x14ac:dyDescent="0.3">
      <c r="I13355" s="82"/>
      <c r="M13355" s="85"/>
    </row>
    <row r="13356" spans="9:13" x14ac:dyDescent="0.3">
      <c r="I13356" s="82"/>
      <c r="M13356" s="85"/>
    </row>
    <row r="13357" spans="9:13" x14ac:dyDescent="0.3">
      <c r="I13357" s="82"/>
      <c r="M13357" s="85"/>
    </row>
    <row r="13358" spans="9:13" x14ac:dyDescent="0.3">
      <c r="I13358" s="82"/>
      <c r="M13358" s="85"/>
    </row>
    <row r="13359" spans="9:13" x14ac:dyDescent="0.3">
      <c r="I13359" s="82"/>
      <c r="M13359" s="85"/>
    </row>
    <row r="13360" spans="9:13" x14ac:dyDescent="0.3">
      <c r="I13360" s="82"/>
      <c r="M13360" s="85"/>
    </row>
    <row r="13361" spans="9:13" x14ac:dyDescent="0.3">
      <c r="I13361" s="82"/>
      <c r="M13361" s="85"/>
    </row>
    <row r="13362" spans="9:13" x14ac:dyDescent="0.3">
      <c r="I13362" s="82"/>
      <c r="M13362" s="85"/>
    </row>
    <row r="13363" spans="9:13" x14ac:dyDescent="0.3">
      <c r="I13363" s="82"/>
      <c r="M13363" s="85"/>
    </row>
    <row r="13364" spans="9:13" x14ac:dyDescent="0.3">
      <c r="I13364" s="82"/>
      <c r="M13364" s="85"/>
    </row>
    <row r="13365" spans="9:13" x14ac:dyDescent="0.3">
      <c r="I13365" s="82"/>
      <c r="M13365" s="85"/>
    </row>
    <row r="13366" spans="9:13" x14ac:dyDescent="0.3">
      <c r="I13366" s="82"/>
      <c r="M13366" s="85"/>
    </row>
    <row r="13367" spans="9:13" x14ac:dyDescent="0.3">
      <c r="I13367" s="82"/>
      <c r="M13367" s="85"/>
    </row>
    <row r="13368" spans="9:13" x14ac:dyDescent="0.3">
      <c r="I13368" s="82"/>
      <c r="M13368" s="85"/>
    </row>
    <row r="13369" spans="9:13" x14ac:dyDescent="0.3">
      <c r="I13369" s="82"/>
      <c r="M13369" s="85"/>
    </row>
    <row r="13370" spans="9:13" x14ac:dyDescent="0.3">
      <c r="I13370" s="82"/>
      <c r="M13370" s="85"/>
    </row>
    <row r="13371" spans="9:13" x14ac:dyDescent="0.3">
      <c r="I13371" s="82"/>
      <c r="M13371" s="85"/>
    </row>
    <row r="13372" spans="9:13" x14ac:dyDescent="0.3">
      <c r="I13372" s="82"/>
      <c r="M13372" s="85"/>
    </row>
    <row r="13373" spans="9:13" x14ac:dyDescent="0.3">
      <c r="I13373" s="82"/>
      <c r="M13373" s="85"/>
    </row>
    <row r="13374" spans="9:13" x14ac:dyDescent="0.3">
      <c r="I13374" s="82"/>
      <c r="M13374" s="85"/>
    </row>
    <row r="13375" spans="9:13" x14ac:dyDescent="0.3">
      <c r="I13375" s="82"/>
      <c r="M13375" s="85"/>
    </row>
    <row r="13376" spans="9:13" x14ac:dyDescent="0.3">
      <c r="I13376" s="82"/>
      <c r="M13376" s="85"/>
    </row>
    <row r="13377" spans="9:13" x14ac:dyDescent="0.3">
      <c r="I13377" s="82"/>
      <c r="M13377" s="85"/>
    </row>
    <row r="13378" spans="9:13" x14ac:dyDescent="0.3">
      <c r="I13378" s="82"/>
      <c r="M13378" s="85"/>
    </row>
    <row r="13379" spans="9:13" x14ac:dyDescent="0.3">
      <c r="I13379" s="82"/>
      <c r="M13379" s="85"/>
    </row>
    <row r="13380" spans="9:13" x14ac:dyDescent="0.3">
      <c r="I13380" s="82"/>
      <c r="M13380" s="85"/>
    </row>
    <row r="13381" spans="9:13" x14ac:dyDescent="0.3">
      <c r="I13381" s="82"/>
      <c r="M13381" s="85"/>
    </row>
    <row r="13382" spans="9:13" x14ac:dyDescent="0.3">
      <c r="I13382" s="82"/>
      <c r="M13382" s="85"/>
    </row>
    <row r="13383" spans="9:13" x14ac:dyDescent="0.3">
      <c r="I13383" s="82"/>
      <c r="M13383" s="85"/>
    </row>
    <row r="13384" spans="9:13" x14ac:dyDescent="0.3">
      <c r="I13384" s="82"/>
      <c r="M13384" s="85"/>
    </row>
    <row r="13385" spans="9:13" x14ac:dyDescent="0.3">
      <c r="I13385" s="82"/>
      <c r="M13385" s="85"/>
    </row>
    <row r="13386" spans="9:13" x14ac:dyDescent="0.3">
      <c r="I13386" s="82"/>
      <c r="M13386" s="85"/>
    </row>
    <row r="13387" spans="9:13" x14ac:dyDescent="0.3">
      <c r="I13387" s="82"/>
      <c r="M13387" s="85"/>
    </row>
    <row r="13388" spans="9:13" x14ac:dyDescent="0.3">
      <c r="I13388" s="82"/>
      <c r="M13388" s="85"/>
    </row>
    <row r="13389" spans="9:13" x14ac:dyDescent="0.3">
      <c r="I13389" s="82"/>
      <c r="M13389" s="85"/>
    </row>
    <row r="13390" spans="9:13" x14ac:dyDescent="0.3">
      <c r="I13390" s="82"/>
      <c r="M13390" s="85"/>
    </row>
    <row r="13391" spans="9:13" x14ac:dyDescent="0.3">
      <c r="I13391" s="82"/>
      <c r="M13391" s="85"/>
    </row>
    <row r="13392" spans="9:13" x14ac:dyDescent="0.3">
      <c r="I13392" s="82"/>
      <c r="M13392" s="85"/>
    </row>
    <row r="13393" spans="9:13" x14ac:dyDescent="0.3">
      <c r="I13393" s="82"/>
      <c r="M13393" s="85"/>
    </row>
    <row r="13394" spans="9:13" x14ac:dyDescent="0.3">
      <c r="I13394" s="82"/>
      <c r="M13394" s="85"/>
    </row>
    <row r="13395" spans="9:13" x14ac:dyDescent="0.3">
      <c r="I13395" s="82"/>
      <c r="M13395" s="85"/>
    </row>
    <row r="13396" spans="9:13" x14ac:dyDescent="0.3">
      <c r="I13396" s="82"/>
      <c r="M13396" s="85"/>
    </row>
    <row r="13397" spans="9:13" x14ac:dyDescent="0.3">
      <c r="I13397" s="82"/>
      <c r="M13397" s="85"/>
    </row>
    <row r="13398" spans="9:13" x14ac:dyDescent="0.3">
      <c r="I13398" s="82"/>
      <c r="M13398" s="85"/>
    </row>
    <row r="13399" spans="9:13" x14ac:dyDescent="0.3">
      <c r="I13399" s="82"/>
      <c r="M13399" s="85"/>
    </row>
    <row r="13400" spans="9:13" x14ac:dyDescent="0.3">
      <c r="I13400" s="82"/>
      <c r="M13400" s="85"/>
    </row>
    <row r="13401" spans="9:13" x14ac:dyDescent="0.3">
      <c r="I13401" s="82"/>
      <c r="M13401" s="85"/>
    </row>
    <row r="13402" spans="9:13" x14ac:dyDescent="0.3">
      <c r="I13402" s="82"/>
      <c r="M13402" s="85"/>
    </row>
    <row r="13403" spans="9:13" x14ac:dyDescent="0.3">
      <c r="I13403" s="82"/>
      <c r="M13403" s="85"/>
    </row>
    <row r="13404" spans="9:13" x14ac:dyDescent="0.3">
      <c r="I13404" s="82"/>
      <c r="M13404" s="85"/>
    </row>
    <row r="13405" spans="9:13" x14ac:dyDescent="0.3">
      <c r="I13405" s="82"/>
      <c r="M13405" s="85"/>
    </row>
    <row r="13406" spans="9:13" x14ac:dyDescent="0.3">
      <c r="I13406" s="82"/>
      <c r="M13406" s="85"/>
    </row>
    <row r="13407" spans="9:13" x14ac:dyDescent="0.3">
      <c r="I13407" s="82"/>
      <c r="M13407" s="85"/>
    </row>
    <row r="13408" spans="9:13" x14ac:dyDescent="0.3">
      <c r="I13408" s="82"/>
      <c r="M13408" s="85"/>
    </row>
    <row r="13409" spans="9:13" x14ac:dyDescent="0.3">
      <c r="I13409" s="82"/>
      <c r="M13409" s="85"/>
    </row>
    <row r="13410" spans="9:13" x14ac:dyDescent="0.3">
      <c r="I13410" s="82"/>
      <c r="M13410" s="85"/>
    </row>
    <row r="13411" spans="9:13" x14ac:dyDescent="0.3">
      <c r="I13411" s="82"/>
      <c r="M13411" s="85"/>
    </row>
    <row r="13412" spans="9:13" x14ac:dyDescent="0.3">
      <c r="I13412" s="82"/>
      <c r="M13412" s="85"/>
    </row>
    <row r="13413" spans="9:13" x14ac:dyDescent="0.3">
      <c r="I13413" s="82"/>
      <c r="M13413" s="85"/>
    </row>
    <row r="13414" spans="9:13" x14ac:dyDescent="0.3">
      <c r="I13414" s="82"/>
      <c r="M13414" s="85"/>
    </row>
    <row r="13415" spans="9:13" x14ac:dyDescent="0.3">
      <c r="I13415" s="82"/>
      <c r="M13415" s="85"/>
    </row>
    <row r="13416" spans="9:13" x14ac:dyDescent="0.3">
      <c r="I13416" s="82"/>
      <c r="M13416" s="85"/>
    </row>
    <row r="13417" spans="9:13" x14ac:dyDescent="0.3">
      <c r="I13417" s="82"/>
      <c r="M13417" s="85"/>
    </row>
    <row r="13418" spans="9:13" x14ac:dyDescent="0.3">
      <c r="I13418" s="82"/>
      <c r="M13418" s="85"/>
    </row>
    <row r="13419" spans="9:13" x14ac:dyDescent="0.3">
      <c r="I13419" s="82"/>
      <c r="M13419" s="85"/>
    </row>
    <row r="13420" spans="9:13" x14ac:dyDescent="0.3">
      <c r="I13420" s="82"/>
      <c r="M13420" s="85"/>
    </row>
    <row r="13421" spans="9:13" x14ac:dyDescent="0.3">
      <c r="I13421" s="82"/>
      <c r="M13421" s="85"/>
    </row>
    <row r="13422" spans="9:13" x14ac:dyDescent="0.3">
      <c r="I13422" s="82"/>
      <c r="M13422" s="85"/>
    </row>
    <row r="13423" spans="9:13" x14ac:dyDescent="0.3">
      <c r="I13423" s="82"/>
      <c r="M13423" s="85"/>
    </row>
    <row r="13424" spans="9:13" x14ac:dyDescent="0.3">
      <c r="I13424" s="82"/>
      <c r="M13424" s="85"/>
    </row>
    <row r="13425" spans="9:13" x14ac:dyDescent="0.3">
      <c r="I13425" s="82"/>
      <c r="M13425" s="85"/>
    </row>
    <row r="13426" spans="9:13" x14ac:dyDescent="0.3">
      <c r="I13426" s="82"/>
      <c r="M13426" s="85"/>
    </row>
    <row r="13427" spans="9:13" x14ac:dyDescent="0.3">
      <c r="I13427" s="82"/>
      <c r="M13427" s="85"/>
    </row>
    <row r="13428" spans="9:13" x14ac:dyDescent="0.3">
      <c r="I13428" s="82"/>
      <c r="M13428" s="85"/>
    </row>
    <row r="13429" spans="9:13" x14ac:dyDescent="0.3">
      <c r="I13429" s="82"/>
      <c r="M13429" s="85"/>
    </row>
    <row r="13430" spans="9:13" x14ac:dyDescent="0.3">
      <c r="I13430" s="82"/>
      <c r="M13430" s="85"/>
    </row>
    <row r="13431" spans="9:13" x14ac:dyDescent="0.3">
      <c r="I13431" s="82"/>
      <c r="M13431" s="85"/>
    </row>
    <row r="13432" spans="9:13" x14ac:dyDescent="0.3">
      <c r="I13432" s="82"/>
      <c r="M13432" s="85"/>
    </row>
    <row r="13433" spans="9:13" x14ac:dyDescent="0.3">
      <c r="I13433" s="82"/>
      <c r="M13433" s="85"/>
    </row>
    <row r="13434" spans="9:13" x14ac:dyDescent="0.3">
      <c r="I13434" s="82"/>
      <c r="M13434" s="85"/>
    </row>
    <row r="13435" spans="9:13" x14ac:dyDescent="0.3">
      <c r="I13435" s="82"/>
      <c r="M13435" s="85"/>
    </row>
    <row r="13436" spans="9:13" x14ac:dyDescent="0.3">
      <c r="I13436" s="82"/>
      <c r="M13436" s="85"/>
    </row>
    <row r="13437" spans="9:13" x14ac:dyDescent="0.3">
      <c r="I13437" s="82"/>
      <c r="M13437" s="85"/>
    </row>
    <row r="13438" spans="9:13" x14ac:dyDescent="0.3">
      <c r="I13438" s="82"/>
      <c r="M13438" s="85"/>
    </row>
    <row r="13439" spans="9:13" x14ac:dyDescent="0.3">
      <c r="I13439" s="82"/>
      <c r="M13439" s="85"/>
    </row>
    <row r="13440" spans="9:13" x14ac:dyDescent="0.3">
      <c r="I13440" s="82"/>
      <c r="M13440" s="85"/>
    </row>
    <row r="13441" spans="9:13" x14ac:dyDescent="0.3">
      <c r="I13441" s="82"/>
      <c r="M13441" s="85"/>
    </row>
    <row r="13442" spans="9:13" x14ac:dyDescent="0.3">
      <c r="I13442" s="82"/>
      <c r="M13442" s="85"/>
    </row>
    <row r="13443" spans="9:13" x14ac:dyDescent="0.3">
      <c r="I13443" s="82"/>
      <c r="M13443" s="85"/>
    </row>
    <row r="13444" spans="9:13" x14ac:dyDescent="0.3">
      <c r="I13444" s="82"/>
      <c r="M13444" s="85"/>
    </row>
    <row r="13445" spans="9:13" x14ac:dyDescent="0.3">
      <c r="I13445" s="82"/>
      <c r="M13445" s="85"/>
    </row>
    <row r="13446" spans="9:13" x14ac:dyDescent="0.3">
      <c r="I13446" s="82"/>
      <c r="M13446" s="85"/>
    </row>
    <row r="13447" spans="9:13" x14ac:dyDescent="0.3">
      <c r="I13447" s="82"/>
      <c r="M13447" s="85"/>
    </row>
    <row r="13448" spans="9:13" x14ac:dyDescent="0.3">
      <c r="I13448" s="82"/>
      <c r="M13448" s="85"/>
    </row>
    <row r="13449" spans="9:13" x14ac:dyDescent="0.3">
      <c r="I13449" s="82"/>
      <c r="M13449" s="85"/>
    </row>
    <row r="13450" spans="9:13" x14ac:dyDescent="0.3">
      <c r="I13450" s="82"/>
      <c r="M13450" s="85"/>
    </row>
    <row r="13451" spans="9:13" x14ac:dyDescent="0.3">
      <c r="I13451" s="82"/>
      <c r="M13451" s="85"/>
    </row>
    <row r="13452" spans="9:13" x14ac:dyDescent="0.3">
      <c r="I13452" s="82"/>
      <c r="M13452" s="85"/>
    </row>
    <row r="13453" spans="9:13" x14ac:dyDescent="0.3">
      <c r="I13453" s="82"/>
      <c r="M13453" s="85"/>
    </row>
    <row r="13454" spans="9:13" x14ac:dyDescent="0.3">
      <c r="I13454" s="82"/>
      <c r="M13454" s="85"/>
    </row>
    <row r="13455" spans="9:13" x14ac:dyDescent="0.3">
      <c r="I13455" s="82"/>
      <c r="M13455" s="85"/>
    </row>
    <row r="13456" spans="9:13" x14ac:dyDescent="0.3">
      <c r="I13456" s="82"/>
      <c r="M13456" s="85"/>
    </row>
    <row r="13457" spans="9:13" x14ac:dyDescent="0.3">
      <c r="I13457" s="82"/>
      <c r="M13457" s="85"/>
    </row>
    <row r="13458" spans="9:13" x14ac:dyDescent="0.3">
      <c r="I13458" s="82"/>
      <c r="M13458" s="85"/>
    </row>
    <row r="13459" spans="9:13" x14ac:dyDescent="0.3">
      <c r="I13459" s="82"/>
      <c r="M13459" s="85"/>
    </row>
    <row r="13460" spans="9:13" x14ac:dyDescent="0.3">
      <c r="I13460" s="82"/>
      <c r="M13460" s="85"/>
    </row>
    <row r="13461" spans="9:13" x14ac:dyDescent="0.3">
      <c r="I13461" s="82"/>
      <c r="M13461" s="85"/>
    </row>
    <row r="13462" spans="9:13" x14ac:dyDescent="0.3">
      <c r="I13462" s="82"/>
      <c r="M13462" s="85"/>
    </row>
    <row r="13463" spans="9:13" x14ac:dyDescent="0.3">
      <c r="I13463" s="82"/>
      <c r="M13463" s="85"/>
    </row>
    <row r="13464" spans="9:13" x14ac:dyDescent="0.3">
      <c r="I13464" s="82"/>
      <c r="M13464" s="85"/>
    </row>
    <row r="13465" spans="9:13" x14ac:dyDescent="0.3">
      <c r="I13465" s="82"/>
      <c r="M13465" s="85"/>
    </row>
    <row r="13466" spans="9:13" x14ac:dyDescent="0.3">
      <c r="I13466" s="82"/>
      <c r="M13466" s="85"/>
    </row>
    <row r="13467" spans="9:13" x14ac:dyDescent="0.3">
      <c r="I13467" s="82"/>
      <c r="M13467" s="85"/>
    </row>
    <row r="13468" spans="9:13" x14ac:dyDescent="0.3">
      <c r="I13468" s="82"/>
      <c r="M13468" s="85"/>
    </row>
    <row r="13469" spans="9:13" x14ac:dyDescent="0.3">
      <c r="I13469" s="82"/>
      <c r="M13469" s="85"/>
    </row>
    <row r="13470" spans="9:13" x14ac:dyDescent="0.3">
      <c r="I13470" s="82"/>
      <c r="M13470" s="85"/>
    </row>
    <row r="13471" spans="9:13" x14ac:dyDescent="0.3">
      <c r="I13471" s="82"/>
      <c r="M13471" s="85"/>
    </row>
    <row r="13472" spans="9:13" x14ac:dyDescent="0.3">
      <c r="I13472" s="82"/>
      <c r="M13472" s="85"/>
    </row>
    <row r="13473" spans="9:13" x14ac:dyDescent="0.3">
      <c r="I13473" s="82"/>
      <c r="M13473" s="85"/>
    </row>
    <row r="13474" spans="9:13" x14ac:dyDescent="0.3">
      <c r="I13474" s="82"/>
      <c r="M13474" s="85"/>
    </row>
    <row r="13475" spans="9:13" x14ac:dyDescent="0.3">
      <c r="I13475" s="82"/>
      <c r="M13475" s="85"/>
    </row>
    <row r="13476" spans="9:13" x14ac:dyDescent="0.3">
      <c r="I13476" s="82"/>
      <c r="M13476" s="85"/>
    </row>
    <row r="13477" spans="9:13" x14ac:dyDescent="0.3">
      <c r="I13477" s="82"/>
      <c r="M13477" s="85"/>
    </row>
    <row r="13478" spans="9:13" x14ac:dyDescent="0.3">
      <c r="I13478" s="82"/>
      <c r="M13478" s="85"/>
    </row>
    <row r="13479" spans="9:13" x14ac:dyDescent="0.3">
      <c r="I13479" s="82"/>
      <c r="M13479" s="85"/>
    </row>
    <row r="13480" spans="9:13" x14ac:dyDescent="0.3">
      <c r="I13480" s="82"/>
      <c r="M13480" s="85"/>
    </row>
    <row r="13481" spans="9:13" x14ac:dyDescent="0.3">
      <c r="I13481" s="82"/>
      <c r="M13481" s="85"/>
    </row>
    <row r="13482" spans="9:13" x14ac:dyDescent="0.3">
      <c r="I13482" s="82"/>
      <c r="M13482" s="85"/>
    </row>
    <row r="13483" spans="9:13" x14ac:dyDescent="0.3">
      <c r="I13483" s="82"/>
      <c r="M13483" s="85"/>
    </row>
    <row r="13484" spans="9:13" x14ac:dyDescent="0.3">
      <c r="I13484" s="82"/>
      <c r="M13484" s="85"/>
    </row>
    <row r="13485" spans="9:13" x14ac:dyDescent="0.3">
      <c r="I13485" s="82"/>
      <c r="M13485" s="85"/>
    </row>
    <row r="13486" spans="9:13" x14ac:dyDescent="0.3">
      <c r="I13486" s="82"/>
      <c r="M13486" s="85"/>
    </row>
    <row r="13487" spans="9:13" x14ac:dyDescent="0.3">
      <c r="I13487" s="82"/>
      <c r="M13487" s="85"/>
    </row>
    <row r="13488" spans="9:13" x14ac:dyDescent="0.3">
      <c r="I13488" s="82"/>
      <c r="M13488" s="85"/>
    </row>
    <row r="13489" spans="9:13" x14ac:dyDescent="0.3">
      <c r="I13489" s="82"/>
      <c r="M13489" s="85"/>
    </row>
    <row r="13490" spans="9:13" x14ac:dyDescent="0.3">
      <c r="I13490" s="82"/>
      <c r="M13490" s="85"/>
    </row>
    <row r="13491" spans="9:13" x14ac:dyDescent="0.3">
      <c r="I13491" s="82"/>
      <c r="M13491" s="85"/>
    </row>
    <row r="13492" spans="9:13" x14ac:dyDescent="0.3">
      <c r="I13492" s="82"/>
      <c r="M13492" s="85"/>
    </row>
    <row r="13493" spans="9:13" x14ac:dyDescent="0.3">
      <c r="I13493" s="82"/>
      <c r="M13493" s="85"/>
    </row>
    <row r="13494" spans="9:13" x14ac:dyDescent="0.3">
      <c r="I13494" s="82"/>
      <c r="M13494" s="85"/>
    </row>
    <row r="13495" spans="9:13" x14ac:dyDescent="0.3">
      <c r="I13495" s="82"/>
      <c r="M13495" s="85"/>
    </row>
    <row r="13496" spans="9:13" x14ac:dyDescent="0.3">
      <c r="I13496" s="82"/>
      <c r="M13496" s="85"/>
    </row>
    <row r="13497" spans="9:13" x14ac:dyDescent="0.3">
      <c r="I13497" s="82"/>
      <c r="M13497" s="85"/>
    </row>
    <row r="13498" spans="9:13" x14ac:dyDescent="0.3">
      <c r="I13498" s="82"/>
      <c r="M13498" s="85"/>
    </row>
    <row r="13499" spans="9:13" x14ac:dyDescent="0.3">
      <c r="I13499" s="82"/>
      <c r="M13499" s="85"/>
    </row>
    <row r="13500" spans="9:13" x14ac:dyDescent="0.3">
      <c r="I13500" s="82"/>
      <c r="M13500" s="85"/>
    </row>
    <row r="13501" spans="9:13" x14ac:dyDescent="0.3">
      <c r="I13501" s="82"/>
      <c r="M13501" s="85"/>
    </row>
    <row r="13502" spans="9:13" x14ac:dyDescent="0.3">
      <c r="I13502" s="82"/>
      <c r="M13502" s="85"/>
    </row>
    <row r="13503" spans="9:13" x14ac:dyDescent="0.3">
      <c r="I13503" s="82"/>
      <c r="M13503" s="85"/>
    </row>
    <row r="13504" spans="9:13" x14ac:dyDescent="0.3">
      <c r="I13504" s="82"/>
      <c r="M13504" s="85"/>
    </row>
    <row r="13505" spans="9:13" x14ac:dyDescent="0.3">
      <c r="I13505" s="82"/>
      <c r="M13505" s="85"/>
    </row>
    <row r="13506" spans="9:13" x14ac:dyDescent="0.3">
      <c r="I13506" s="82"/>
      <c r="M13506" s="85"/>
    </row>
    <row r="13507" spans="9:13" x14ac:dyDescent="0.3">
      <c r="I13507" s="82"/>
      <c r="M13507" s="85"/>
    </row>
    <row r="13508" spans="9:13" x14ac:dyDescent="0.3">
      <c r="I13508" s="82"/>
      <c r="M13508" s="85"/>
    </row>
    <row r="13509" spans="9:13" x14ac:dyDescent="0.3">
      <c r="I13509" s="82"/>
      <c r="M13509" s="85"/>
    </row>
    <row r="13510" spans="9:13" x14ac:dyDescent="0.3">
      <c r="I13510" s="82"/>
      <c r="M13510" s="85"/>
    </row>
    <row r="13511" spans="9:13" x14ac:dyDescent="0.3">
      <c r="I13511" s="82"/>
      <c r="M13511" s="85"/>
    </row>
    <row r="13512" spans="9:13" x14ac:dyDescent="0.3">
      <c r="I13512" s="82"/>
      <c r="M13512" s="85"/>
    </row>
    <row r="13513" spans="9:13" x14ac:dyDescent="0.3">
      <c r="I13513" s="82"/>
      <c r="M13513" s="85"/>
    </row>
    <row r="13514" spans="9:13" x14ac:dyDescent="0.3">
      <c r="I13514" s="82"/>
      <c r="M13514" s="85"/>
    </row>
    <row r="13515" spans="9:13" x14ac:dyDescent="0.3">
      <c r="I13515" s="82"/>
      <c r="M13515" s="85"/>
    </row>
    <row r="13516" spans="9:13" x14ac:dyDescent="0.3">
      <c r="I13516" s="82"/>
      <c r="M13516" s="85"/>
    </row>
    <row r="13517" spans="9:13" x14ac:dyDescent="0.3">
      <c r="I13517" s="82"/>
      <c r="M13517" s="85"/>
    </row>
    <row r="13518" spans="9:13" x14ac:dyDescent="0.3">
      <c r="I13518" s="82"/>
      <c r="M13518" s="85"/>
    </row>
    <row r="13519" spans="9:13" x14ac:dyDescent="0.3">
      <c r="I13519" s="82"/>
      <c r="M13519" s="85"/>
    </row>
    <row r="13520" spans="9:13" x14ac:dyDescent="0.3">
      <c r="I13520" s="82"/>
      <c r="M13520" s="85"/>
    </row>
    <row r="13521" spans="9:13" x14ac:dyDescent="0.3">
      <c r="I13521" s="82"/>
      <c r="M13521" s="85"/>
    </row>
    <row r="13522" spans="9:13" x14ac:dyDescent="0.3">
      <c r="I13522" s="82"/>
      <c r="M13522" s="85"/>
    </row>
    <row r="13523" spans="9:13" x14ac:dyDescent="0.3">
      <c r="I13523" s="82"/>
      <c r="M13523" s="85"/>
    </row>
    <row r="13524" spans="9:13" x14ac:dyDescent="0.3">
      <c r="I13524" s="82"/>
      <c r="M13524" s="85"/>
    </row>
    <row r="13525" spans="9:13" x14ac:dyDescent="0.3">
      <c r="I13525" s="82"/>
      <c r="M13525" s="85"/>
    </row>
    <row r="13526" spans="9:13" x14ac:dyDescent="0.3">
      <c r="I13526" s="82"/>
      <c r="M13526" s="85"/>
    </row>
    <row r="13527" spans="9:13" x14ac:dyDescent="0.3">
      <c r="I13527" s="82"/>
      <c r="M13527" s="85"/>
    </row>
    <row r="13528" spans="9:13" x14ac:dyDescent="0.3">
      <c r="I13528" s="82"/>
      <c r="M13528" s="85"/>
    </row>
    <row r="13529" spans="9:13" x14ac:dyDescent="0.3">
      <c r="I13529" s="82"/>
      <c r="M13529" s="85"/>
    </row>
    <row r="13530" spans="9:13" x14ac:dyDescent="0.3">
      <c r="I13530" s="82"/>
      <c r="M13530" s="85"/>
    </row>
    <row r="13531" spans="9:13" x14ac:dyDescent="0.3">
      <c r="I13531" s="82"/>
      <c r="M13531" s="85"/>
    </row>
    <row r="13532" spans="9:13" x14ac:dyDescent="0.3">
      <c r="I13532" s="82"/>
      <c r="M13532" s="85"/>
    </row>
    <row r="13533" spans="9:13" x14ac:dyDescent="0.3">
      <c r="I13533" s="82"/>
      <c r="M13533" s="85"/>
    </row>
    <row r="13534" spans="9:13" x14ac:dyDescent="0.3">
      <c r="I13534" s="82"/>
      <c r="M13534" s="85"/>
    </row>
    <row r="13535" spans="9:13" x14ac:dyDescent="0.3">
      <c r="I13535" s="82"/>
      <c r="M13535" s="85"/>
    </row>
    <row r="13536" spans="9:13" x14ac:dyDescent="0.3">
      <c r="I13536" s="82"/>
      <c r="M13536" s="85"/>
    </row>
    <row r="13537" spans="9:13" x14ac:dyDescent="0.3">
      <c r="I13537" s="82"/>
      <c r="M13537" s="85"/>
    </row>
    <row r="13538" spans="9:13" x14ac:dyDescent="0.3">
      <c r="I13538" s="82"/>
      <c r="M13538" s="85"/>
    </row>
    <row r="13539" spans="9:13" x14ac:dyDescent="0.3">
      <c r="I13539" s="82"/>
      <c r="M13539" s="85"/>
    </row>
    <row r="13540" spans="9:13" x14ac:dyDescent="0.3">
      <c r="I13540" s="82"/>
      <c r="M13540" s="85"/>
    </row>
    <row r="13541" spans="9:13" x14ac:dyDescent="0.3">
      <c r="I13541" s="82"/>
      <c r="M13541" s="85"/>
    </row>
    <row r="13542" spans="9:13" x14ac:dyDescent="0.3">
      <c r="I13542" s="82"/>
      <c r="M13542" s="85"/>
    </row>
    <row r="13543" spans="9:13" x14ac:dyDescent="0.3">
      <c r="I13543" s="82"/>
      <c r="M13543" s="85"/>
    </row>
    <row r="13544" spans="9:13" x14ac:dyDescent="0.3">
      <c r="I13544" s="82"/>
      <c r="M13544" s="85"/>
    </row>
    <row r="13545" spans="9:13" x14ac:dyDescent="0.3">
      <c r="I13545" s="82"/>
      <c r="M13545" s="85"/>
    </row>
    <row r="13546" spans="9:13" x14ac:dyDescent="0.3">
      <c r="I13546" s="82"/>
      <c r="M13546" s="85"/>
    </row>
    <row r="13547" spans="9:13" x14ac:dyDescent="0.3">
      <c r="I13547" s="82"/>
      <c r="M13547" s="85"/>
    </row>
    <row r="13548" spans="9:13" x14ac:dyDescent="0.3">
      <c r="I13548" s="82"/>
      <c r="M13548" s="85"/>
    </row>
    <row r="13549" spans="9:13" x14ac:dyDescent="0.3">
      <c r="I13549" s="82"/>
      <c r="M13549" s="85"/>
    </row>
    <row r="13550" spans="9:13" x14ac:dyDescent="0.3">
      <c r="I13550" s="82"/>
      <c r="M13550" s="85"/>
    </row>
    <row r="13551" spans="9:13" x14ac:dyDescent="0.3">
      <c r="I13551" s="82"/>
      <c r="M13551" s="85"/>
    </row>
    <row r="13552" spans="9:13" x14ac:dyDescent="0.3">
      <c r="I13552" s="82"/>
      <c r="M13552" s="85"/>
    </row>
    <row r="13553" spans="9:13" x14ac:dyDescent="0.3">
      <c r="I13553" s="82"/>
      <c r="M13553" s="85"/>
    </row>
    <row r="13554" spans="9:13" x14ac:dyDescent="0.3">
      <c r="I13554" s="82"/>
      <c r="M13554" s="85"/>
    </row>
    <row r="13555" spans="9:13" x14ac:dyDescent="0.3">
      <c r="I13555" s="82"/>
      <c r="M13555" s="85"/>
    </row>
    <row r="13556" spans="9:13" x14ac:dyDescent="0.3">
      <c r="I13556" s="82"/>
      <c r="M13556" s="85"/>
    </row>
    <row r="13557" spans="9:13" x14ac:dyDescent="0.3">
      <c r="I13557" s="82"/>
      <c r="M13557" s="85"/>
    </row>
    <row r="13558" spans="9:13" x14ac:dyDescent="0.3">
      <c r="I13558" s="82"/>
      <c r="M13558" s="85"/>
    </row>
    <row r="13559" spans="9:13" x14ac:dyDescent="0.3">
      <c r="I13559" s="82"/>
      <c r="M13559" s="85"/>
    </row>
    <row r="13560" spans="9:13" x14ac:dyDescent="0.3">
      <c r="I13560" s="82"/>
      <c r="M13560" s="85"/>
    </row>
    <row r="13561" spans="9:13" x14ac:dyDescent="0.3">
      <c r="I13561" s="82"/>
      <c r="M13561" s="85"/>
    </row>
    <row r="13562" spans="9:13" x14ac:dyDescent="0.3">
      <c r="I13562" s="82"/>
      <c r="M13562" s="85"/>
    </row>
    <row r="13563" spans="9:13" x14ac:dyDescent="0.3">
      <c r="I13563" s="82"/>
      <c r="M13563" s="85"/>
    </row>
    <row r="13564" spans="9:13" x14ac:dyDescent="0.3">
      <c r="I13564" s="82"/>
      <c r="M13564" s="85"/>
    </row>
    <row r="13565" spans="9:13" x14ac:dyDescent="0.3">
      <c r="I13565" s="82"/>
      <c r="M13565" s="85"/>
    </row>
    <row r="13566" spans="9:13" x14ac:dyDescent="0.3">
      <c r="I13566" s="82"/>
      <c r="M13566" s="85"/>
    </row>
    <row r="13567" spans="9:13" x14ac:dyDescent="0.3">
      <c r="I13567" s="82"/>
      <c r="M13567" s="85"/>
    </row>
    <row r="13568" spans="9:13" x14ac:dyDescent="0.3">
      <c r="I13568" s="82"/>
      <c r="M13568" s="85"/>
    </row>
    <row r="13569" spans="9:13" x14ac:dyDescent="0.3">
      <c r="I13569" s="82"/>
      <c r="M13569" s="85"/>
    </row>
    <row r="13570" spans="9:13" x14ac:dyDescent="0.3">
      <c r="I13570" s="82"/>
      <c r="M13570" s="85"/>
    </row>
    <row r="13571" spans="9:13" x14ac:dyDescent="0.3">
      <c r="I13571" s="82"/>
      <c r="M13571" s="85"/>
    </row>
    <row r="13572" spans="9:13" x14ac:dyDescent="0.3">
      <c r="I13572" s="82"/>
      <c r="M13572" s="85"/>
    </row>
    <row r="13573" spans="9:13" x14ac:dyDescent="0.3">
      <c r="I13573" s="82"/>
      <c r="M13573" s="85"/>
    </row>
    <row r="13574" spans="9:13" x14ac:dyDescent="0.3">
      <c r="I13574" s="82"/>
      <c r="M13574" s="85"/>
    </row>
    <row r="13575" spans="9:13" x14ac:dyDescent="0.3">
      <c r="I13575" s="82"/>
      <c r="M13575" s="85"/>
    </row>
    <row r="13576" spans="9:13" x14ac:dyDescent="0.3">
      <c r="I13576" s="82"/>
      <c r="M13576" s="85"/>
    </row>
    <row r="13577" spans="9:13" x14ac:dyDescent="0.3">
      <c r="I13577" s="82"/>
      <c r="M13577" s="85"/>
    </row>
    <row r="13578" spans="9:13" x14ac:dyDescent="0.3">
      <c r="I13578" s="82"/>
      <c r="M13578" s="85"/>
    </row>
    <row r="13579" spans="9:13" x14ac:dyDescent="0.3">
      <c r="I13579" s="82"/>
      <c r="M13579" s="85"/>
    </row>
    <row r="13580" spans="9:13" x14ac:dyDescent="0.3">
      <c r="I13580" s="82"/>
      <c r="M13580" s="85"/>
    </row>
    <row r="13581" spans="9:13" x14ac:dyDescent="0.3">
      <c r="I13581" s="82"/>
      <c r="M13581" s="85"/>
    </row>
    <row r="13582" spans="9:13" x14ac:dyDescent="0.3">
      <c r="I13582" s="82"/>
      <c r="M13582" s="85"/>
    </row>
    <row r="13583" spans="9:13" x14ac:dyDescent="0.3">
      <c r="I13583" s="82"/>
      <c r="M13583" s="85"/>
    </row>
    <row r="13584" spans="9:13" x14ac:dyDescent="0.3">
      <c r="I13584" s="82"/>
      <c r="M13584" s="85"/>
    </row>
    <row r="13585" spans="9:13" x14ac:dyDescent="0.3">
      <c r="I13585" s="82"/>
      <c r="M13585" s="85"/>
    </row>
    <row r="13586" spans="9:13" x14ac:dyDescent="0.3">
      <c r="I13586" s="82"/>
      <c r="M13586" s="85"/>
    </row>
    <row r="13587" spans="9:13" x14ac:dyDescent="0.3">
      <c r="I13587" s="82"/>
      <c r="M13587" s="85"/>
    </row>
    <row r="13588" spans="9:13" x14ac:dyDescent="0.3">
      <c r="I13588" s="82"/>
      <c r="M13588" s="85"/>
    </row>
    <row r="13589" spans="9:13" x14ac:dyDescent="0.3">
      <c r="I13589" s="82"/>
      <c r="M13589" s="85"/>
    </row>
    <row r="13590" spans="9:13" x14ac:dyDescent="0.3">
      <c r="I13590" s="82"/>
      <c r="M13590" s="85"/>
    </row>
    <row r="13591" spans="9:13" x14ac:dyDescent="0.3">
      <c r="I13591" s="82"/>
      <c r="M13591" s="85"/>
    </row>
    <row r="13592" spans="9:13" x14ac:dyDescent="0.3">
      <c r="I13592" s="82"/>
      <c r="M13592" s="85"/>
    </row>
    <row r="13593" spans="9:13" x14ac:dyDescent="0.3">
      <c r="I13593" s="82"/>
      <c r="M13593" s="85"/>
    </row>
    <row r="13594" spans="9:13" x14ac:dyDescent="0.3">
      <c r="I13594" s="82"/>
      <c r="M13594" s="85"/>
    </row>
    <row r="13595" spans="9:13" x14ac:dyDescent="0.3">
      <c r="I13595" s="82"/>
      <c r="M13595" s="85"/>
    </row>
    <row r="13596" spans="9:13" x14ac:dyDescent="0.3">
      <c r="I13596" s="82"/>
      <c r="M13596" s="85"/>
    </row>
    <row r="13597" spans="9:13" x14ac:dyDescent="0.3">
      <c r="I13597" s="82"/>
      <c r="M13597" s="85"/>
    </row>
    <row r="13598" spans="9:13" x14ac:dyDescent="0.3">
      <c r="I13598" s="82"/>
      <c r="M13598" s="85"/>
    </row>
    <row r="13599" spans="9:13" x14ac:dyDescent="0.3">
      <c r="I13599" s="82"/>
      <c r="M13599" s="85"/>
    </row>
    <row r="13600" spans="9:13" x14ac:dyDescent="0.3">
      <c r="I13600" s="82"/>
      <c r="M13600" s="85"/>
    </row>
    <row r="13601" spans="9:13" x14ac:dyDescent="0.3">
      <c r="I13601" s="82"/>
      <c r="M13601" s="85"/>
    </row>
    <row r="13602" spans="9:13" x14ac:dyDescent="0.3">
      <c r="I13602" s="82"/>
      <c r="M13602" s="85"/>
    </row>
    <row r="13603" spans="9:13" x14ac:dyDescent="0.3">
      <c r="I13603" s="82"/>
      <c r="M13603" s="85"/>
    </row>
    <row r="13604" spans="9:13" x14ac:dyDescent="0.3">
      <c r="I13604" s="82"/>
      <c r="M13604" s="85"/>
    </row>
    <row r="13605" spans="9:13" x14ac:dyDescent="0.3">
      <c r="I13605" s="82"/>
      <c r="M13605" s="85"/>
    </row>
    <row r="13606" spans="9:13" x14ac:dyDescent="0.3">
      <c r="I13606" s="82"/>
      <c r="M13606" s="85"/>
    </row>
    <row r="13607" spans="9:13" x14ac:dyDescent="0.3">
      <c r="I13607" s="82"/>
      <c r="M13607" s="85"/>
    </row>
    <row r="13608" spans="9:13" x14ac:dyDescent="0.3">
      <c r="I13608" s="82"/>
      <c r="M13608" s="85"/>
    </row>
    <row r="13609" spans="9:13" x14ac:dyDescent="0.3">
      <c r="I13609" s="82"/>
      <c r="M13609" s="85"/>
    </row>
    <row r="13610" spans="9:13" x14ac:dyDescent="0.3">
      <c r="I13610" s="82"/>
      <c r="M13610" s="85"/>
    </row>
    <row r="13611" spans="9:13" x14ac:dyDescent="0.3">
      <c r="I13611" s="82"/>
      <c r="M13611" s="85"/>
    </row>
    <row r="13612" spans="9:13" x14ac:dyDescent="0.3">
      <c r="I13612" s="82"/>
      <c r="M13612" s="85"/>
    </row>
    <row r="13613" spans="9:13" x14ac:dyDescent="0.3">
      <c r="I13613" s="82"/>
      <c r="M13613" s="85"/>
    </row>
    <row r="13614" spans="9:13" x14ac:dyDescent="0.3">
      <c r="I13614" s="82"/>
      <c r="M13614" s="85"/>
    </row>
    <row r="13615" spans="9:13" x14ac:dyDescent="0.3">
      <c r="I13615" s="82"/>
      <c r="M13615" s="85"/>
    </row>
    <row r="13616" spans="9:13" x14ac:dyDescent="0.3">
      <c r="I13616" s="82"/>
      <c r="M13616" s="85"/>
    </row>
    <row r="13617" spans="9:13" x14ac:dyDescent="0.3">
      <c r="I13617" s="82"/>
      <c r="M13617" s="85"/>
    </row>
    <row r="13618" spans="9:13" x14ac:dyDescent="0.3">
      <c r="I13618" s="82"/>
      <c r="M13618" s="85"/>
    </row>
    <row r="13619" spans="9:13" x14ac:dyDescent="0.3">
      <c r="I13619" s="82"/>
      <c r="M13619" s="85"/>
    </row>
    <row r="13620" spans="9:13" x14ac:dyDescent="0.3">
      <c r="I13620" s="82"/>
      <c r="M13620" s="85"/>
    </row>
    <row r="13621" spans="9:13" x14ac:dyDescent="0.3">
      <c r="I13621" s="82"/>
      <c r="M13621" s="85"/>
    </row>
    <row r="13622" spans="9:13" x14ac:dyDescent="0.3">
      <c r="I13622" s="82"/>
      <c r="M13622" s="85"/>
    </row>
    <row r="13623" spans="9:13" x14ac:dyDescent="0.3">
      <c r="I13623" s="82"/>
      <c r="M13623" s="85"/>
    </row>
    <row r="13624" spans="9:13" x14ac:dyDescent="0.3">
      <c r="I13624" s="82"/>
      <c r="M13624" s="85"/>
    </row>
    <row r="13625" spans="9:13" x14ac:dyDescent="0.3">
      <c r="I13625" s="82"/>
      <c r="M13625" s="85"/>
    </row>
    <row r="13626" spans="9:13" x14ac:dyDescent="0.3">
      <c r="I13626" s="82"/>
      <c r="M13626" s="85"/>
    </row>
    <row r="13627" spans="9:13" x14ac:dyDescent="0.3">
      <c r="I13627" s="82"/>
      <c r="M13627" s="85"/>
    </row>
    <row r="13628" spans="9:13" x14ac:dyDescent="0.3">
      <c r="I13628" s="82"/>
      <c r="M13628" s="85"/>
    </row>
    <row r="13629" spans="9:13" x14ac:dyDescent="0.3">
      <c r="I13629" s="82"/>
      <c r="M13629" s="85"/>
    </row>
    <row r="13630" spans="9:13" x14ac:dyDescent="0.3">
      <c r="I13630" s="82"/>
      <c r="M13630" s="85"/>
    </row>
    <row r="13631" spans="9:13" x14ac:dyDescent="0.3">
      <c r="I13631" s="82"/>
      <c r="M13631" s="85"/>
    </row>
    <row r="13632" spans="9:13" x14ac:dyDescent="0.3">
      <c r="I13632" s="82"/>
      <c r="M13632" s="85"/>
    </row>
    <row r="13633" spans="9:13" x14ac:dyDescent="0.3">
      <c r="I13633" s="82"/>
      <c r="M13633" s="85"/>
    </row>
    <row r="13634" spans="9:13" x14ac:dyDescent="0.3">
      <c r="I13634" s="82"/>
      <c r="M13634" s="85"/>
    </row>
    <row r="13635" spans="9:13" x14ac:dyDescent="0.3">
      <c r="I13635" s="82"/>
      <c r="M13635" s="85"/>
    </row>
    <row r="13636" spans="9:13" x14ac:dyDescent="0.3">
      <c r="I13636" s="82"/>
      <c r="M13636" s="85"/>
    </row>
    <row r="13637" spans="9:13" x14ac:dyDescent="0.3">
      <c r="I13637" s="82"/>
      <c r="M13637" s="85"/>
    </row>
    <row r="13638" spans="9:13" x14ac:dyDescent="0.3">
      <c r="I13638" s="82"/>
      <c r="M13638" s="85"/>
    </row>
    <row r="13639" spans="9:13" x14ac:dyDescent="0.3">
      <c r="I13639" s="82"/>
      <c r="M13639" s="85"/>
    </row>
    <row r="13640" spans="9:13" x14ac:dyDescent="0.3">
      <c r="I13640" s="82"/>
      <c r="M13640" s="85"/>
    </row>
    <row r="13641" spans="9:13" x14ac:dyDescent="0.3">
      <c r="I13641" s="82"/>
      <c r="M13641" s="85"/>
    </row>
    <row r="13642" spans="9:13" x14ac:dyDescent="0.3">
      <c r="I13642" s="82"/>
      <c r="M13642" s="85"/>
    </row>
    <row r="13643" spans="9:13" x14ac:dyDescent="0.3">
      <c r="I13643" s="82"/>
      <c r="M13643" s="85"/>
    </row>
    <row r="13644" spans="9:13" x14ac:dyDescent="0.3">
      <c r="I13644" s="82"/>
      <c r="M13644" s="85"/>
    </row>
    <row r="13645" spans="9:13" x14ac:dyDescent="0.3">
      <c r="I13645" s="82"/>
      <c r="M13645" s="85"/>
    </row>
    <row r="13646" spans="9:13" x14ac:dyDescent="0.3">
      <c r="I13646" s="82"/>
      <c r="M13646" s="85"/>
    </row>
    <row r="13647" spans="9:13" x14ac:dyDescent="0.3">
      <c r="I13647" s="82"/>
      <c r="M13647" s="85"/>
    </row>
    <row r="13648" spans="9:13" x14ac:dyDescent="0.3">
      <c r="I13648" s="82"/>
      <c r="M13648" s="85"/>
    </row>
    <row r="13649" spans="9:13" x14ac:dyDescent="0.3">
      <c r="I13649" s="82"/>
      <c r="M13649" s="85"/>
    </row>
    <row r="13650" spans="9:13" x14ac:dyDescent="0.3">
      <c r="I13650" s="82"/>
      <c r="M13650" s="85"/>
    </row>
    <row r="13651" spans="9:13" x14ac:dyDescent="0.3">
      <c r="I13651" s="82"/>
      <c r="M13651" s="85"/>
    </row>
    <row r="13652" spans="9:13" x14ac:dyDescent="0.3">
      <c r="I13652" s="82"/>
      <c r="M13652" s="85"/>
    </row>
    <row r="13653" spans="9:13" x14ac:dyDescent="0.3">
      <c r="I13653" s="82"/>
      <c r="M13653" s="85"/>
    </row>
    <row r="13654" spans="9:13" x14ac:dyDescent="0.3">
      <c r="I13654" s="82"/>
      <c r="M13654" s="85"/>
    </row>
    <row r="13655" spans="9:13" x14ac:dyDescent="0.3">
      <c r="I13655" s="82"/>
      <c r="M13655" s="85"/>
    </row>
    <row r="13656" spans="9:13" x14ac:dyDescent="0.3">
      <c r="I13656" s="82"/>
      <c r="M13656" s="85"/>
    </row>
    <row r="13657" spans="9:13" x14ac:dyDescent="0.3">
      <c r="I13657" s="82"/>
      <c r="M13657" s="85"/>
    </row>
    <row r="13658" spans="9:13" x14ac:dyDescent="0.3">
      <c r="I13658" s="82"/>
      <c r="M13658" s="85"/>
    </row>
    <row r="13659" spans="9:13" x14ac:dyDescent="0.3">
      <c r="I13659" s="82"/>
      <c r="M13659" s="85"/>
    </row>
    <row r="13660" spans="9:13" x14ac:dyDescent="0.3">
      <c r="I13660" s="82"/>
      <c r="M13660" s="85"/>
    </row>
    <row r="13661" spans="9:13" x14ac:dyDescent="0.3">
      <c r="I13661" s="82"/>
      <c r="M13661" s="85"/>
    </row>
    <row r="13662" spans="9:13" x14ac:dyDescent="0.3">
      <c r="I13662" s="82"/>
      <c r="M13662" s="85"/>
    </row>
    <row r="13663" spans="9:13" x14ac:dyDescent="0.3">
      <c r="I13663" s="82"/>
      <c r="M13663" s="85"/>
    </row>
    <row r="13664" spans="9:13" x14ac:dyDescent="0.3">
      <c r="I13664" s="82"/>
      <c r="M13664" s="85"/>
    </row>
    <row r="13665" spans="9:13" x14ac:dyDescent="0.3">
      <c r="I13665" s="82"/>
      <c r="M13665" s="85"/>
    </row>
    <row r="13666" spans="9:13" x14ac:dyDescent="0.3">
      <c r="I13666" s="82"/>
      <c r="M13666" s="85"/>
    </row>
    <row r="13667" spans="9:13" x14ac:dyDescent="0.3">
      <c r="I13667" s="82"/>
      <c r="M13667" s="85"/>
    </row>
    <row r="13668" spans="9:13" x14ac:dyDescent="0.3">
      <c r="I13668" s="82"/>
      <c r="M13668" s="85"/>
    </row>
    <row r="13669" spans="9:13" x14ac:dyDescent="0.3">
      <c r="I13669" s="82"/>
      <c r="M13669" s="85"/>
    </row>
    <row r="13670" spans="9:13" x14ac:dyDescent="0.3">
      <c r="I13670" s="82"/>
      <c r="M13670" s="85"/>
    </row>
    <row r="13671" spans="9:13" x14ac:dyDescent="0.3">
      <c r="I13671" s="82"/>
      <c r="M13671" s="85"/>
    </row>
    <row r="13672" spans="9:13" x14ac:dyDescent="0.3">
      <c r="I13672" s="82"/>
      <c r="M13672" s="85"/>
    </row>
    <row r="13673" spans="9:13" x14ac:dyDescent="0.3">
      <c r="I13673" s="82"/>
      <c r="M13673" s="85"/>
    </row>
    <row r="13674" spans="9:13" x14ac:dyDescent="0.3">
      <c r="I13674" s="82"/>
      <c r="M13674" s="85"/>
    </row>
    <row r="13675" spans="9:13" x14ac:dyDescent="0.3">
      <c r="I13675" s="82"/>
      <c r="M13675" s="85"/>
    </row>
    <row r="13676" spans="9:13" x14ac:dyDescent="0.3">
      <c r="I13676" s="82"/>
      <c r="M13676" s="85"/>
    </row>
    <row r="13677" spans="9:13" x14ac:dyDescent="0.3">
      <c r="I13677" s="82"/>
      <c r="M13677" s="85"/>
    </row>
    <row r="13678" spans="9:13" x14ac:dyDescent="0.3">
      <c r="I13678" s="82"/>
      <c r="M13678" s="85"/>
    </row>
    <row r="13679" spans="9:13" x14ac:dyDescent="0.3">
      <c r="I13679" s="82"/>
      <c r="M13679" s="85"/>
    </row>
    <row r="13680" spans="9:13" x14ac:dyDescent="0.3">
      <c r="I13680" s="82"/>
      <c r="M13680" s="85"/>
    </row>
    <row r="13681" spans="9:13" x14ac:dyDescent="0.3">
      <c r="I13681" s="82"/>
      <c r="M13681" s="85"/>
    </row>
    <row r="13682" spans="9:13" x14ac:dyDescent="0.3">
      <c r="I13682" s="82"/>
      <c r="M13682" s="85"/>
    </row>
    <row r="13683" spans="9:13" x14ac:dyDescent="0.3">
      <c r="I13683" s="82"/>
      <c r="M13683" s="85"/>
    </row>
    <row r="13684" spans="9:13" x14ac:dyDescent="0.3">
      <c r="I13684" s="82"/>
      <c r="M13684" s="85"/>
    </row>
    <row r="13685" spans="9:13" x14ac:dyDescent="0.3">
      <c r="I13685" s="82"/>
      <c r="M13685" s="85"/>
    </row>
    <row r="13686" spans="9:13" x14ac:dyDescent="0.3">
      <c r="I13686" s="82"/>
      <c r="M13686" s="85"/>
    </row>
    <row r="13687" spans="9:13" x14ac:dyDescent="0.3">
      <c r="I13687" s="82"/>
      <c r="M13687" s="85"/>
    </row>
    <row r="13688" spans="9:13" x14ac:dyDescent="0.3">
      <c r="I13688" s="82"/>
      <c r="M13688" s="85"/>
    </row>
    <row r="13689" spans="9:13" x14ac:dyDescent="0.3">
      <c r="I13689" s="82"/>
      <c r="M13689" s="85"/>
    </row>
    <row r="13690" spans="9:13" x14ac:dyDescent="0.3">
      <c r="I13690" s="82"/>
      <c r="M13690" s="85"/>
    </row>
    <row r="13691" spans="9:13" x14ac:dyDescent="0.3">
      <c r="I13691" s="82"/>
      <c r="M13691" s="85"/>
    </row>
    <row r="13692" spans="9:13" x14ac:dyDescent="0.3">
      <c r="I13692" s="82"/>
      <c r="M13692" s="85"/>
    </row>
    <row r="13693" spans="9:13" x14ac:dyDescent="0.3">
      <c r="I13693" s="82"/>
      <c r="M13693" s="85"/>
    </row>
    <row r="13694" spans="9:13" x14ac:dyDescent="0.3">
      <c r="I13694" s="82"/>
      <c r="M13694" s="85"/>
    </row>
    <row r="13695" spans="9:13" x14ac:dyDescent="0.3">
      <c r="I13695" s="82"/>
      <c r="M13695" s="85"/>
    </row>
    <row r="13696" spans="9:13" x14ac:dyDescent="0.3">
      <c r="I13696" s="82"/>
      <c r="M13696" s="85"/>
    </row>
    <row r="13697" spans="9:13" x14ac:dyDescent="0.3">
      <c r="I13697" s="82"/>
      <c r="M13697" s="85"/>
    </row>
    <row r="13698" spans="9:13" x14ac:dyDescent="0.3">
      <c r="I13698" s="82"/>
      <c r="M13698" s="85"/>
    </row>
    <row r="13699" spans="9:13" x14ac:dyDescent="0.3">
      <c r="I13699" s="82"/>
      <c r="M13699" s="85"/>
    </row>
    <row r="13700" spans="9:13" x14ac:dyDescent="0.3">
      <c r="I13700" s="82"/>
      <c r="M13700" s="85"/>
    </row>
    <row r="13701" spans="9:13" x14ac:dyDescent="0.3">
      <c r="I13701" s="82"/>
      <c r="M13701" s="85"/>
    </row>
    <row r="13702" spans="9:13" x14ac:dyDescent="0.3">
      <c r="I13702" s="82"/>
      <c r="M13702" s="85"/>
    </row>
    <row r="13703" spans="9:13" x14ac:dyDescent="0.3">
      <c r="I13703" s="82"/>
      <c r="M13703" s="85"/>
    </row>
    <row r="13704" spans="9:13" x14ac:dyDescent="0.3">
      <c r="I13704" s="82"/>
      <c r="M13704" s="85"/>
    </row>
    <row r="13705" spans="9:13" x14ac:dyDescent="0.3">
      <c r="I13705" s="82"/>
      <c r="M13705" s="85"/>
    </row>
    <row r="13706" spans="9:13" x14ac:dyDescent="0.3">
      <c r="I13706" s="82"/>
      <c r="M13706" s="85"/>
    </row>
    <row r="13707" spans="9:13" x14ac:dyDescent="0.3">
      <c r="I13707" s="82"/>
      <c r="M13707" s="85"/>
    </row>
    <row r="13708" spans="9:13" x14ac:dyDescent="0.3">
      <c r="I13708" s="82"/>
      <c r="M13708" s="85"/>
    </row>
    <row r="13709" spans="9:13" x14ac:dyDescent="0.3">
      <c r="I13709" s="82"/>
      <c r="M13709" s="85"/>
    </row>
    <row r="13710" spans="9:13" x14ac:dyDescent="0.3">
      <c r="I13710" s="82"/>
      <c r="M13710" s="85"/>
    </row>
    <row r="13711" spans="9:13" x14ac:dyDescent="0.3">
      <c r="I13711" s="82"/>
      <c r="M13711" s="85"/>
    </row>
    <row r="13712" spans="9:13" x14ac:dyDescent="0.3">
      <c r="I13712" s="82"/>
      <c r="M13712" s="85"/>
    </row>
    <row r="13713" spans="9:13" x14ac:dyDescent="0.3">
      <c r="I13713" s="82"/>
      <c r="M13713" s="85"/>
    </row>
    <row r="13714" spans="9:13" x14ac:dyDescent="0.3">
      <c r="I13714" s="82"/>
      <c r="M13714" s="85"/>
    </row>
    <row r="13715" spans="9:13" x14ac:dyDescent="0.3">
      <c r="I13715" s="82"/>
      <c r="M13715" s="85"/>
    </row>
    <row r="13716" spans="9:13" x14ac:dyDescent="0.3">
      <c r="I13716" s="82"/>
      <c r="M13716" s="85"/>
    </row>
    <row r="13717" spans="9:13" x14ac:dyDescent="0.3">
      <c r="I13717" s="82"/>
      <c r="M13717" s="85"/>
    </row>
    <row r="13718" spans="9:13" x14ac:dyDescent="0.3">
      <c r="I13718" s="82"/>
      <c r="M13718" s="85"/>
    </row>
    <row r="13719" spans="9:13" x14ac:dyDescent="0.3">
      <c r="I13719" s="82"/>
      <c r="M13719" s="85"/>
    </row>
    <row r="13720" spans="9:13" x14ac:dyDescent="0.3">
      <c r="I13720" s="82"/>
      <c r="M13720" s="85"/>
    </row>
    <row r="13721" spans="9:13" x14ac:dyDescent="0.3">
      <c r="I13721" s="82"/>
      <c r="M13721" s="85"/>
    </row>
    <row r="13722" spans="9:13" x14ac:dyDescent="0.3">
      <c r="I13722" s="82"/>
      <c r="M13722" s="85"/>
    </row>
    <row r="13723" spans="9:13" x14ac:dyDescent="0.3">
      <c r="I13723" s="82"/>
      <c r="M13723" s="85"/>
    </row>
    <row r="13724" spans="9:13" x14ac:dyDescent="0.3">
      <c r="I13724" s="82"/>
      <c r="M13724" s="85"/>
    </row>
    <row r="13725" spans="9:13" x14ac:dyDescent="0.3">
      <c r="I13725" s="82"/>
      <c r="M13725" s="85"/>
    </row>
    <row r="13726" spans="9:13" x14ac:dyDescent="0.3">
      <c r="I13726" s="82"/>
      <c r="M13726" s="85"/>
    </row>
    <row r="13727" spans="9:13" x14ac:dyDescent="0.3">
      <c r="I13727" s="82"/>
      <c r="M13727" s="85"/>
    </row>
    <row r="13728" spans="9:13" x14ac:dyDescent="0.3">
      <c r="I13728" s="82"/>
      <c r="M13728" s="85"/>
    </row>
    <row r="13729" spans="9:13" x14ac:dyDescent="0.3">
      <c r="I13729" s="82"/>
      <c r="M13729" s="85"/>
    </row>
    <row r="13730" spans="9:13" x14ac:dyDescent="0.3">
      <c r="I13730" s="82"/>
      <c r="M13730" s="85"/>
    </row>
    <row r="13731" spans="9:13" x14ac:dyDescent="0.3">
      <c r="I13731" s="82"/>
      <c r="M13731" s="85"/>
    </row>
    <row r="13732" spans="9:13" x14ac:dyDescent="0.3">
      <c r="I13732" s="82"/>
      <c r="M13732" s="85"/>
    </row>
    <row r="13733" spans="9:13" x14ac:dyDescent="0.3">
      <c r="I13733" s="82"/>
      <c r="M13733" s="85"/>
    </row>
    <row r="13734" spans="9:13" x14ac:dyDescent="0.3">
      <c r="I13734" s="82"/>
      <c r="M13734" s="85"/>
    </row>
    <row r="13735" spans="9:13" x14ac:dyDescent="0.3">
      <c r="I13735" s="82"/>
      <c r="M13735" s="85"/>
    </row>
    <row r="13736" spans="9:13" x14ac:dyDescent="0.3">
      <c r="I13736" s="82"/>
      <c r="M13736" s="85"/>
    </row>
    <row r="13737" spans="9:13" x14ac:dyDescent="0.3">
      <c r="I13737" s="82"/>
      <c r="M13737" s="85"/>
    </row>
    <row r="13738" spans="9:13" x14ac:dyDescent="0.3">
      <c r="I13738" s="82"/>
      <c r="M13738" s="85"/>
    </row>
    <row r="13739" spans="9:13" x14ac:dyDescent="0.3">
      <c r="I13739" s="82"/>
      <c r="M13739" s="85"/>
    </row>
    <row r="13740" spans="9:13" x14ac:dyDescent="0.3">
      <c r="I13740" s="82"/>
      <c r="M13740" s="85"/>
    </row>
    <row r="13741" spans="9:13" x14ac:dyDescent="0.3">
      <c r="I13741" s="82"/>
      <c r="M13741" s="85"/>
    </row>
    <row r="13742" spans="9:13" x14ac:dyDescent="0.3">
      <c r="I13742" s="82"/>
      <c r="M13742" s="85"/>
    </row>
    <row r="13743" spans="9:13" x14ac:dyDescent="0.3">
      <c r="I13743" s="82"/>
      <c r="M13743" s="85"/>
    </row>
    <row r="13744" spans="9:13" x14ac:dyDescent="0.3">
      <c r="I13744" s="82"/>
      <c r="M13744" s="85"/>
    </row>
    <row r="13745" spans="9:13" x14ac:dyDescent="0.3">
      <c r="I13745" s="82"/>
      <c r="M13745" s="85"/>
    </row>
    <row r="13746" spans="9:13" x14ac:dyDescent="0.3">
      <c r="I13746" s="82"/>
      <c r="M13746" s="85"/>
    </row>
    <row r="13747" spans="9:13" x14ac:dyDescent="0.3">
      <c r="I13747" s="82"/>
      <c r="M13747" s="85"/>
    </row>
    <row r="13748" spans="9:13" x14ac:dyDescent="0.3">
      <c r="I13748" s="82"/>
      <c r="M13748" s="85"/>
    </row>
    <row r="13749" spans="9:13" x14ac:dyDescent="0.3">
      <c r="I13749" s="82"/>
      <c r="M13749" s="85"/>
    </row>
    <row r="13750" spans="9:13" x14ac:dyDescent="0.3">
      <c r="I13750" s="82"/>
      <c r="M13750" s="85"/>
    </row>
    <row r="13751" spans="9:13" x14ac:dyDescent="0.3">
      <c r="I13751" s="82"/>
      <c r="M13751" s="85"/>
    </row>
    <row r="13752" spans="9:13" x14ac:dyDescent="0.3">
      <c r="I13752" s="82"/>
      <c r="M13752" s="85"/>
    </row>
    <row r="13753" spans="9:13" x14ac:dyDescent="0.3">
      <c r="I13753" s="82"/>
      <c r="M13753" s="85"/>
    </row>
    <row r="13754" spans="9:13" x14ac:dyDescent="0.3">
      <c r="I13754" s="82"/>
      <c r="M13754" s="85"/>
    </row>
    <row r="13755" spans="9:13" x14ac:dyDescent="0.3">
      <c r="I13755" s="82"/>
      <c r="M13755" s="85"/>
    </row>
    <row r="13756" spans="9:13" x14ac:dyDescent="0.3">
      <c r="I13756" s="82"/>
      <c r="M13756" s="85"/>
    </row>
    <row r="13757" spans="9:13" x14ac:dyDescent="0.3">
      <c r="I13757" s="82"/>
      <c r="M13757" s="85"/>
    </row>
    <row r="13758" spans="9:13" x14ac:dyDescent="0.3">
      <c r="I13758" s="82"/>
      <c r="M13758" s="85"/>
    </row>
    <row r="13759" spans="9:13" x14ac:dyDescent="0.3">
      <c r="I13759" s="82"/>
      <c r="M13759" s="85"/>
    </row>
    <row r="13760" spans="9:13" x14ac:dyDescent="0.3">
      <c r="I13760" s="82"/>
      <c r="M13760" s="85"/>
    </row>
    <row r="13761" spans="9:13" x14ac:dyDescent="0.3">
      <c r="I13761" s="82"/>
      <c r="M13761" s="85"/>
    </row>
    <row r="13762" spans="9:13" x14ac:dyDescent="0.3">
      <c r="I13762" s="82"/>
      <c r="M13762" s="85"/>
    </row>
    <row r="13763" spans="9:13" x14ac:dyDescent="0.3">
      <c r="I13763" s="82"/>
      <c r="M13763" s="85"/>
    </row>
    <row r="13764" spans="9:13" x14ac:dyDescent="0.3">
      <c r="I13764" s="82"/>
      <c r="M13764" s="85"/>
    </row>
    <row r="13765" spans="9:13" x14ac:dyDescent="0.3">
      <c r="I13765" s="82"/>
      <c r="M13765" s="85"/>
    </row>
    <row r="13766" spans="9:13" x14ac:dyDescent="0.3">
      <c r="I13766" s="82"/>
      <c r="M13766" s="85"/>
    </row>
    <row r="13767" spans="9:13" x14ac:dyDescent="0.3">
      <c r="I13767" s="82"/>
      <c r="M13767" s="85"/>
    </row>
    <row r="13768" spans="9:13" x14ac:dyDescent="0.3">
      <c r="I13768" s="82"/>
      <c r="M13768" s="85"/>
    </row>
    <row r="13769" spans="9:13" x14ac:dyDescent="0.3">
      <c r="I13769" s="82"/>
      <c r="M13769" s="85"/>
    </row>
    <row r="13770" spans="9:13" x14ac:dyDescent="0.3">
      <c r="I13770" s="82"/>
      <c r="M13770" s="85"/>
    </row>
    <row r="13771" spans="9:13" x14ac:dyDescent="0.3">
      <c r="I13771" s="82"/>
      <c r="M13771" s="85"/>
    </row>
    <row r="13772" spans="9:13" x14ac:dyDescent="0.3">
      <c r="I13772" s="82"/>
      <c r="M13772" s="85"/>
    </row>
    <row r="13773" spans="9:13" x14ac:dyDescent="0.3">
      <c r="I13773" s="82"/>
      <c r="M13773" s="85"/>
    </row>
    <row r="13774" spans="9:13" x14ac:dyDescent="0.3">
      <c r="I13774" s="82"/>
      <c r="M13774" s="85"/>
    </row>
    <row r="13775" spans="9:13" x14ac:dyDescent="0.3">
      <c r="I13775" s="82"/>
      <c r="M13775" s="85"/>
    </row>
    <row r="13776" spans="9:13" x14ac:dyDescent="0.3">
      <c r="I13776" s="82"/>
      <c r="M13776" s="85"/>
    </row>
    <row r="13777" spans="9:13" x14ac:dyDescent="0.3">
      <c r="I13777" s="82"/>
      <c r="M13777" s="85"/>
    </row>
    <row r="13778" spans="9:13" x14ac:dyDescent="0.3">
      <c r="I13778" s="82"/>
      <c r="M13778" s="85"/>
    </row>
    <row r="13779" spans="9:13" x14ac:dyDescent="0.3">
      <c r="I13779" s="82"/>
      <c r="M13779" s="85"/>
    </row>
    <row r="13780" spans="9:13" x14ac:dyDescent="0.3">
      <c r="I13780" s="82"/>
      <c r="M13780" s="85"/>
    </row>
    <row r="13781" spans="9:13" x14ac:dyDescent="0.3">
      <c r="I13781" s="82"/>
      <c r="M13781" s="85"/>
    </row>
    <row r="13782" spans="9:13" x14ac:dyDescent="0.3">
      <c r="I13782" s="82"/>
      <c r="M13782" s="85"/>
    </row>
    <row r="13783" spans="9:13" x14ac:dyDescent="0.3">
      <c r="I13783" s="82"/>
      <c r="M13783" s="85"/>
    </row>
    <row r="13784" spans="9:13" x14ac:dyDescent="0.3">
      <c r="I13784" s="82"/>
      <c r="M13784" s="85"/>
    </row>
    <row r="13785" spans="9:13" x14ac:dyDescent="0.3">
      <c r="I13785" s="82"/>
      <c r="M13785" s="85"/>
    </row>
    <row r="13786" spans="9:13" x14ac:dyDescent="0.3">
      <c r="I13786" s="82"/>
      <c r="M13786" s="85"/>
    </row>
    <row r="13787" spans="9:13" x14ac:dyDescent="0.3">
      <c r="I13787" s="82"/>
      <c r="M13787" s="85"/>
    </row>
    <row r="13788" spans="9:13" x14ac:dyDescent="0.3">
      <c r="I13788" s="82"/>
      <c r="M13788" s="85"/>
    </row>
    <row r="13789" spans="9:13" x14ac:dyDescent="0.3">
      <c r="I13789" s="82"/>
      <c r="M13789" s="85"/>
    </row>
    <row r="13790" spans="9:13" x14ac:dyDescent="0.3">
      <c r="I13790" s="82"/>
      <c r="M13790" s="85"/>
    </row>
    <row r="13791" spans="9:13" x14ac:dyDescent="0.3">
      <c r="I13791" s="82"/>
      <c r="M13791" s="85"/>
    </row>
    <row r="13792" spans="9:13" x14ac:dyDescent="0.3">
      <c r="I13792" s="82"/>
      <c r="M13792" s="85"/>
    </row>
    <row r="13793" spans="9:13" x14ac:dyDescent="0.3">
      <c r="I13793" s="82"/>
      <c r="M13793" s="85"/>
    </row>
    <row r="13794" spans="9:13" x14ac:dyDescent="0.3">
      <c r="I13794" s="82"/>
      <c r="M13794" s="85"/>
    </row>
    <row r="13795" spans="9:13" x14ac:dyDescent="0.3">
      <c r="I13795" s="82"/>
      <c r="M13795" s="85"/>
    </row>
    <row r="13796" spans="9:13" x14ac:dyDescent="0.3">
      <c r="I13796" s="82"/>
      <c r="M13796" s="85"/>
    </row>
    <row r="13797" spans="9:13" x14ac:dyDescent="0.3">
      <c r="I13797" s="82"/>
      <c r="M13797" s="85"/>
    </row>
    <row r="13798" spans="9:13" x14ac:dyDescent="0.3">
      <c r="I13798" s="82"/>
      <c r="M13798" s="85"/>
    </row>
    <row r="13799" spans="9:13" x14ac:dyDescent="0.3">
      <c r="I13799" s="82"/>
      <c r="M13799" s="85"/>
    </row>
    <row r="13800" spans="9:13" x14ac:dyDescent="0.3">
      <c r="I13800" s="82"/>
      <c r="M13800" s="85"/>
    </row>
    <row r="13801" spans="9:13" x14ac:dyDescent="0.3">
      <c r="I13801" s="82"/>
      <c r="M13801" s="85"/>
    </row>
    <row r="13802" spans="9:13" x14ac:dyDescent="0.3">
      <c r="I13802" s="82"/>
      <c r="M13802" s="85"/>
    </row>
    <row r="13803" spans="9:13" x14ac:dyDescent="0.3">
      <c r="I13803" s="82"/>
      <c r="M13803" s="85"/>
    </row>
    <row r="13804" spans="9:13" x14ac:dyDescent="0.3">
      <c r="I13804" s="82"/>
      <c r="M13804" s="85"/>
    </row>
    <row r="13805" spans="9:13" x14ac:dyDescent="0.3">
      <c r="I13805" s="82"/>
      <c r="M13805" s="85"/>
    </row>
    <row r="13806" spans="9:13" x14ac:dyDescent="0.3">
      <c r="I13806" s="82"/>
      <c r="M13806" s="85"/>
    </row>
    <row r="13807" spans="9:13" x14ac:dyDescent="0.3">
      <c r="I13807" s="82"/>
      <c r="M13807" s="85"/>
    </row>
    <row r="13808" spans="9:13" x14ac:dyDescent="0.3">
      <c r="I13808" s="82"/>
      <c r="M13808" s="85"/>
    </row>
    <row r="13809" spans="9:13" x14ac:dyDescent="0.3">
      <c r="I13809" s="82"/>
      <c r="M13809" s="85"/>
    </row>
    <row r="13810" spans="9:13" x14ac:dyDescent="0.3">
      <c r="I13810" s="82"/>
      <c r="M13810" s="85"/>
    </row>
    <row r="13811" spans="9:13" x14ac:dyDescent="0.3">
      <c r="I13811" s="82"/>
      <c r="M13811" s="85"/>
    </row>
    <row r="13812" spans="9:13" x14ac:dyDescent="0.3">
      <c r="I13812" s="82"/>
      <c r="M13812" s="85"/>
    </row>
    <row r="13813" spans="9:13" x14ac:dyDescent="0.3">
      <c r="I13813" s="82"/>
      <c r="M13813" s="85"/>
    </row>
    <row r="13814" spans="9:13" x14ac:dyDescent="0.3">
      <c r="I13814" s="82"/>
      <c r="M13814" s="85"/>
    </row>
    <row r="13815" spans="9:13" x14ac:dyDescent="0.3">
      <c r="I13815" s="82"/>
      <c r="M13815" s="85"/>
    </row>
    <row r="13816" spans="9:13" x14ac:dyDescent="0.3">
      <c r="I13816" s="82"/>
      <c r="M13816" s="85"/>
    </row>
    <row r="13817" spans="9:13" x14ac:dyDescent="0.3">
      <c r="I13817" s="82"/>
      <c r="M13817" s="85"/>
    </row>
    <row r="13818" spans="9:13" x14ac:dyDescent="0.3">
      <c r="I13818" s="82"/>
      <c r="M13818" s="85"/>
    </row>
    <row r="13819" spans="9:13" x14ac:dyDescent="0.3">
      <c r="I13819" s="82"/>
      <c r="M13819" s="85"/>
    </row>
    <row r="13820" spans="9:13" x14ac:dyDescent="0.3">
      <c r="I13820" s="82"/>
      <c r="M13820" s="85"/>
    </row>
    <row r="13821" spans="9:13" x14ac:dyDescent="0.3">
      <c r="I13821" s="82"/>
      <c r="M13821" s="85"/>
    </row>
    <row r="13822" spans="9:13" x14ac:dyDescent="0.3">
      <c r="I13822" s="82"/>
      <c r="M13822" s="85"/>
    </row>
    <row r="13823" spans="9:13" x14ac:dyDescent="0.3">
      <c r="I13823" s="82"/>
      <c r="M13823" s="85"/>
    </row>
    <row r="13824" spans="9:13" x14ac:dyDescent="0.3">
      <c r="I13824" s="82"/>
      <c r="M13824" s="85"/>
    </row>
    <row r="13825" spans="9:13" x14ac:dyDescent="0.3">
      <c r="I13825" s="82"/>
      <c r="M13825" s="85"/>
    </row>
    <row r="13826" spans="9:13" x14ac:dyDescent="0.3">
      <c r="I13826" s="82"/>
      <c r="M13826" s="85"/>
    </row>
    <row r="13827" spans="9:13" x14ac:dyDescent="0.3">
      <c r="I13827" s="82"/>
      <c r="M13827" s="85"/>
    </row>
    <row r="13828" spans="9:13" x14ac:dyDescent="0.3">
      <c r="I13828" s="82"/>
      <c r="M13828" s="85"/>
    </row>
    <row r="13829" spans="9:13" x14ac:dyDescent="0.3">
      <c r="I13829" s="82"/>
      <c r="M13829" s="85"/>
    </row>
    <row r="13830" spans="9:13" x14ac:dyDescent="0.3">
      <c r="I13830" s="82"/>
      <c r="M13830" s="85"/>
    </row>
    <row r="13831" spans="9:13" x14ac:dyDescent="0.3">
      <c r="I13831" s="82"/>
      <c r="M13831" s="85"/>
    </row>
    <row r="13832" spans="9:13" x14ac:dyDescent="0.3">
      <c r="I13832" s="82"/>
      <c r="M13832" s="85"/>
    </row>
    <row r="13833" spans="9:13" x14ac:dyDescent="0.3">
      <c r="I13833" s="82"/>
      <c r="M13833" s="85"/>
    </row>
    <row r="13834" spans="9:13" x14ac:dyDescent="0.3">
      <c r="I13834" s="82"/>
      <c r="M13834" s="85"/>
    </row>
    <row r="13835" spans="9:13" x14ac:dyDescent="0.3">
      <c r="I13835" s="82"/>
      <c r="M13835" s="85"/>
    </row>
    <row r="13836" spans="9:13" x14ac:dyDescent="0.3">
      <c r="I13836" s="82"/>
      <c r="M13836" s="85"/>
    </row>
    <row r="13837" spans="9:13" x14ac:dyDescent="0.3">
      <c r="I13837" s="82"/>
      <c r="M13837" s="85"/>
    </row>
    <row r="13838" spans="9:13" x14ac:dyDescent="0.3">
      <c r="I13838" s="82"/>
      <c r="M13838" s="85"/>
    </row>
    <row r="13839" spans="9:13" x14ac:dyDescent="0.3">
      <c r="I13839" s="82"/>
      <c r="M13839" s="85"/>
    </row>
    <row r="13840" spans="9:13" x14ac:dyDescent="0.3">
      <c r="I13840" s="82"/>
      <c r="M13840" s="85"/>
    </row>
    <row r="13841" spans="9:13" x14ac:dyDescent="0.3">
      <c r="I13841" s="82"/>
      <c r="M13841" s="85"/>
    </row>
    <row r="13842" spans="9:13" x14ac:dyDescent="0.3">
      <c r="I13842" s="82"/>
      <c r="M13842" s="85"/>
    </row>
    <row r="13843" spans="9:13" x14ac:dyDescent="0.3">
      <c r="I13843" s="82"/>
      <c r="M13843" s="85"/>
    </row>
    <row r="13844" spans="9:13" x14ac:dyDescent="0.3">
      <c r="I13844" s="82"/>
      <c r="M13844" s="85"/>
    </row>
    <row r="13845" spans="9:13" x14ac:dyDescent="0.3">
      <c r="I13845" s="82"/>
      <c r="M13845" s="85"/>
    </row>
    <row r="13846" spans="9:13" x14ac:dyDescent="0.3">
      <c r="I13846" s="82"/>
      <c r="M13846" s="85"/>
    </row>
    <row r="13847" spans="9:13" x14ac:dyDescent="0.3">
      <c r="I13847" s="82"/>
      <c r="M13847" s="85"/>
    </row>
    <row r="13848" spans="9:13" x14ac:dyDescent="0.3">
      <c r="I13848" s="82"/>
      <c r="M13848" s="85"/>
    </row>
    <row r="13849" spans="9:13" x14ac:dyDescent="0.3">
      <c r="I13849" s="82"/>
      <c r="M13849" s="85"/>
    </row>
    <row r="13850" spans="9:13" x14ac:dyDescent="0.3">
      <c r="I13850" s="82"/>
      <c r="M13850" s="85"/>
    </row>
    <row r="13851" spans="9:13" x14ac:dyDescent="0.3">
      <c r="I13851" s="82"/>
      <c r="M13851" s="85"/>
    </row>
    <row r="13852" spans="9:13" x14ac:dyDescent="0.3">
      <c r="I13852" s="82"/>
      <c r="M13852" s="85"/>
    </row>
    <row r="13853" spans="9:13" x14ac:dyDescent="0.3">
      <c r="I13853" s="82"/>
      <c r="M13853" s="85"/>
    </row>
    <row r="13854" spans="9:13" x14ac:dyDescent="0.3">
      <c r="I13854" s="82"/>
      <c r="M13854" s="85"/>
    </row>
    <row r="13855" spans="9:13" x14ac:dyDescent="0.3">
      <c r="I13855" s="82"/>
      <c r="M13855" s="85"/>
    </row>
    <row r="13856" spans="9:13" x14ac:dyDescent="0.3">
      <c r="I13856" s="82"/>
      <c r="M13856" s="85"/>
    </row>
    <row r="13857" spans="9:13" x14ac:dyDescent="0.3">
      <c r="I13857" s="82"/>
      <c r="M13857" s="85"/>
    </row>
    <row r="13858" spans="9:13" x14ac:dyDescent="0.3">
      <c r="I13858" s="82"/>
      <c r="M13858" s="85"/>
    </row>
    <row r="13859" spans="9:13" x14ac:dyDescent="0.3">
      <c r="I13859" s="82"/>
      <c r="M13859" s="85"/>
    </row>
    <row r="13860" spans="9:13" x14ac:dyDescent="0.3">
      <c r="I13860" s="82"/>
      <c r="M13860" s="85"/>
    </row>
    <row r="13861" spans="9:13" x14ac:dyDescent="0.3">
      <c r="I13861" s="82"/>
      <c r="M13861" s="85"/>
    </row>
    <row r="13862" spans="9:13" x14ac:dyDescent="0.3">
      <c r="I13862" s="82"/>
      <c r="M13862" s="85"/>
    </row>
    <row r="13863" spans="9:13" x14ac:dyDescent="0.3">
      <c r="I13863" s="82"/>
      <c r="M13863" s="85"/>
    </row>
    <row r="13864" spans="9:13" x14ac:dyDescent="0.3">
      <c r="I13864" s="82"/>
      <c r="M13864" s="85"/>
    </row>
    <row r="13865" spans="9:13" x14ac:dyDescent="0.3">
      <c r="I13865" s="82"/>
      <c r="M13865" s="85"/>
    </row>
    <row r="13866" spans="9:13" x14ac:dyDescent="0.3">
      <c r="I13866" s="82"/>
      <c r="M13866" s="85"/>
    </row>
    <row r="13867" spans="9:13" x14ac:dyDescent="0.3">
      <c r="I13867" s="82"/>
      <c r="M13867" s="85"/>
    </row>
    <row r="13868" spans="9:13" x14ac:dyDescent="0.3">
      <c r="I13868" s="82"/>
      <c r="M13868" s="85"/>
    </row>
    <row r="13869" spans="9:13" x14ac:dyDescent="0.3">
      <c r="I13869" s="82"/>
      <c r="M13869" s="85"/>
    </row>
    <row r="13870" spans="9:13" x14ac:dyDescent="0.3">
      <c r="I13870" s="82"/>
      <c r="M13870" s="85"/>
    </row>
    <row r="13871" spans="9:13" x14ac:dyDescent="0.3">
      <c r="I13871" s="82"/>
      <c r="M13871" s="85"/>
    </row>
    <row r="13872" spans="9:13" x14ac:dyDescent="0.3">
      <c r="I13872" s="82"/>
      <c r="M13872" s="85"/>
    </row>
    <row r="13873" spans="9:13" x14ac:dyDescent="0.3">
      <c r="I13873" s="82"/>
      <c r="M13873" s="85"/>
    </row>
    <row r="13874" spans="9:13" x14ac:dyDescent="0.3">
      <c r="I13874" s="82"/>
      <c r="M13874" s="85"/>
    </row>
    <row r="13875" spans="9:13" x14ac:dyDescent="0.3">
      <c r="I13875" s="82"/>
      <c r="M13875" s="85"/>
    </row>
    <row r="13876" spans="9:13" x14ac:dyDescent="0.3">
      <c r="I13876" s="82"/>
      <c r="M13876" s="85"/>
    </row>
    <row r="13877" spans="9:13" x14ac:dyDescent="0.3">
      <c r="I13877" s="82"/>
      <c r="M13877" s="85"/>
    </row>
    <row r="13878" spans="9:13" x14ac:dyDescent="0.3">
      <c r="I13878" s="82"/>
      <c r="M13878" s="85"/>
    </row>
    <row r="13879" spans="9:13" x14ac:dyDescent="0.3">
      <c r="I13879" s="82"/>
      <c r="M13879" s="85"/>
    </row>
    <row r="13880" spans="9:13" x14ac:dyDescent="0.3">
      <c r="I13880" s="82"/>
      <c r="M13880" s="85"/>
    </row>
    <row r="13881" spans="9:13" x14ac:dyDescent="0.3">
      <c r="I13881" s="82"/>
      <c r="M13881" s="85"/>
    </row>
    <row r="13882" spans="9:13" x14ac:dyDescent="0.3">
      <c r="I13882" s="82"/>
      <c r="M13882" s="85"/>
    </row>
    <row r="13883" spans="9:13" x14ac:dyDescent="0.3">
      <c r="I13883" s="82"/>
      <c r="M13883" s="85"/>
    </row>
    <row r="13884" spans="9:13" x14ac:dyDescent="0.3">
      <c r="I13884" s="82"/>
      <c r="M13884" s="85"/>
    </row>
    <row r="13885" spans="9:13" x14ac:dyDescent="0.3">
      <c r="I13885" s="82"/>
      <c r="M13885" s="85"/>
    </row>
    <row r="13886" spans="9:13" x14ac:dyDescent="0.3">
      <c r="I13886" s="82"/>
      <c r="M13886" s="85"/>
    </row>
    <row r="13887" spans="9:13" x14ac:dyDescent="0.3">
      <c r="I13887" s="82"/>
      <c r="M13887" s="85"/>
    </row>
    <row r="13888" spans="9:13" x14ac:dyDescent="0.3">
      <c r="I13888" s="82"/>
      <c r="M13888" s="85"/>
    </row>
    <row r="13889" spans="9:13" x14ac:dyDescent="0.3">
      <c r="I13889" s="82"/>
      <c r="M13889" s="85"/>
    </row>
    <row r="13890" spans="9:13" x14ac:dyDescent="0.3">
      <c r="I13890" s="82"/>
      <c r="M13890" s="85"/>
    </row>
    <row r="13891" spans="9:13" x14ac:dyDescent="0.3">
      <c r="I13891" s="82"/>
      <c r="M13891" s="85"/>
    </row>
    <row r="13892" spans="9:13" x14ac:dyDescent="0.3">
      <c r="I13892" s="82"/>
      <c r="M13892" s="85"/>
    </row>
    <row r="13893" spans="9:13" x14ac:dyDescent="0.3">
      <c r="I13893" s="82"/>
      <c r="M13893" s="85"/>
    </row>
    <row r="13894" spans="9:13" x14ac:dyDescent="0.3">
      <c r="I13894" s="82"/>
      <c r="M13894" s="85"/>
    </row>
    <row r="13895" spans="9:13" x14ac:dyDescent="0.3">
      <c r="I13895" s="82"/>
      <c r="M13895" s="85"/>
    </row>
    <row r="13896" spans="9:13" x14ac:dyDescent="0.3">
      <c r="I13896" s="82"/>
      <c r="M13896" s="85"/>
    </row>
    <row r="13897" spans="9:13" x14ac:dyDescent="0.3">
      <c r="I13897" s="82"/>
      <c r="M13897" s="85"/>
    </row>
    <row r="13898" spans="9:13" x14ac:dyDescent="0.3">
      <c r="I13898" s="82"/>
      <c r="M13898" s="85"/>
    </row>
    <row r="13899" spans="9:13" x14ac:dyDescent="0.3">
      <c r="I13899" s="82"/>
      <c r="M13899" s="85"/>
    </row>
    <row r="13900" spans="9:13" x14ac:dyDescent="0.3">
      <c r="I13900" s="82"/>
      <c r="M13900" s="85"/>
    </row>
    <row r="13901" spans="9:13" x14ac:dyDescent="0.3">
      <c r="I13901" s="82"/>
      <c r="M13901" s="85"/>
    </row>
    <row r="13902" spans="9:13" x14ac:dyDescent="0.3">
      <c r="I13902" s="82"/>
      <c r="M13902" s="85"/>
    </row>
    <row r="13903" spans="9:13" x14ac:dyDescent="0.3">
      <c r="I13903" s="82"/>
      <c r="M13903" s="85"/>
    </row>
    <row r="13904" spans="9:13" x14ac:dyDescent="0.3">
      <c r="I13904" s="82"/>
      <c r="M13904" s="85"/>
    </row>
    <row r="13905" spans="9:13" x14ac:dyDescent="0.3">
      <c r="I13905" s="82"/>
      <c r="M13905" s="85"/>
    </row>
    <row r="13906" spans="9:13" x14ac:dyDescent="0.3">
      <c r="I13906" s="82"/>
      <c r="M13906" s="85"/>
    </row>
    <row r="13907" spans="9:13" x14ac:dyDescent="0.3">
      <c r="I13907" s="82"/>
      <c r="M13907" s="85"/>
    </row>
    <row r="13908" spans="9:13" x14ac:dyDescent="0.3">
      <c r="I13908" s="82"/>
      <c r="M13908" s="85"/>
    </row>
    <row r="13909" spans="9:13" x14ac:dyDescent="0.3">
      <c r="I13909" s="82"/>
      <c r="M13909" s="85"/>
    </row>
    <row r="13910" spans="9:13" x14ac:dyDescent="0.3">
      <c r="I13910" s="82"/>
      <c r="M13910" s="85"/>
    </row>
    <row r="13911" spans="9:13" x14ac:dyDescent="0.3">
      <c r="I13911" s="82"/>
      <c r="M13911" s="85"/>
    </row>
    <row r="13912" spans="9:13" x14ac:dyDescent="0.3">
      <c r="I13912" s="82"/>
      <c r="M13912" s="85"/>
    </row>
    <row r="13913" spans="9:13" x14ac:dyDescent="0.3">
      <c r="I13913" s="82"/>
      <c r="M13913" s="85"/>
    </row>
    <row r="13914" spans="9:13" x14ac:dyDescent="0.3">
      <c r="I13914" s="82"/>
      <c r="M13914" s="85"/>
    </row>
    <row r="13915" spans="9:13" x14ac:dyDescent="0.3">
      <c r="I13915" s="82"/>
      <c r="M13915" s="85"/>
    </row>
    <row r="13916" spans="9:13" x14ac:dyDescent="0.3">
      <c r="I13916" s="82"/>
      <c r="M13916" s="85"/>
    </row>
    <row r="13917" spans="9:13" x14ac:dyDescent="0.3">
      <c r="I13917" s="82"/>
      <c r="M13917" s="85"/>
    </row>
    <row r="13918" spans="9:13" x14ac:dyDescent="0.3">
      <c r="I13918" s="82"/>
      <c r="M13918" s="85"/>
    </row>
    <row r="13919" spans="9:13" x14ac:dyDescent="0.3">
      <c r="I13919" s="82"/>
      <c r="M13919" s="85"/>
    </row>
    <row r="13920" spans="9:13" x14ac:dyDescent="0.3">
      <c r="I13920" s="82"/>
      <c r="M13920" s="85"/>
    </row>
    <row r="13921" spans="9:13" x14ac:dyDescent="0.3">
      <c r="I13921" s="82"/>
      <c r="M13921" s="85"/>
    </row>
    <row r="13922" spans="9:13" x14ac:dyDescent="0.3">
      <c r="I13922" s="82"/>
      <c r="M13922" s="85"/>
    </row>
    <row r="13923" spans="9:13" x14ac:dyDescent="0.3">
      <c r="I13923" s="82"/>
      <c r="M13923" s="85"/>
    </row>
    <row r="13924" spans="9:13" x14ac:dyDescent="0.3">
      <c r="I13924" s="82"/>
      <c r="M13924" s="85"/>
    </row>
    <row r="13925" spans="9:13" x14ac:dyDescent="0.3">
      <c r="I13925" s="82"/>
      <c r="M13925" s="85"/>
    </row>
    <row r="13926" spans="9:13" x14ac:dyDescent="0.3">
      <c r="I13926" s="82"/>
      <c r="M13926" s="85"/>
    </row>
    <row r="13927" spans="9:13" x14ac:dyDescent="0.3">
      <c r="I13927" s="82"/>
      <c r="M13927" s="85"/>
    </row>
    <row r="13928" spans="9:13" x14ac:dyDescent="0.3">
      <c r="I13928" s="82"/>
      <c r="M13928" s="85"/>
    </row>
    <row r="13929" spans="9:13" x14ac:dyDescent="0.3">
      <c r="I13929" s="82"/>
      <c r="M13929" s="85"/>
    </row>
    <row r="13930" spans="9:13" x14ac:dyDescent="0.3">
      <c r="I13930" s="82"/>
      <c r="M13930" s="85"/>
    </row>
    <row r="13931" spans="9:13" x14ac:dyDescent="0.3">
      <c r="I13931" s="82"/>
      <c r="M13931" s="85"/>
    </row>
    <row r="13932" spans="9:13" x14ac:dyDescent="0.3">
      <c r="I13932" s="82"/>
      <c r="M13932" s="85"/>
    </row>
    <row r="13933" spans="9:13" x14ac:dyDescent="0.3">
      <c r="I13933" s="82"/>
      <c r="M13933" s="85"/>
    </row>
    <row r="13934" spans="9:13" x14ac:dyDescent="0.3">
      <c r="I13934" s="82"/>
      <c r="M13934" s="85"/>
    </row>
    <row r="13935" spans="9:13" x14ac:dyDescent="0.3">
      <c r="I13935" s="82"/>
      <c r="M13935" s="85"/>
    </row>
    <row r="13936" spans="9:13" x14ac:dyDescent="0.3">
      <c r="I13936" s="82"/>
      <c r="M13936" s="85"/>
    </row>
    <row r="13937" spans="9:13" x14ac:dyDescent="0.3">
      <c r="I13937" s="82"/>
      <c r="M13937" s="85"/>
    </row>
    <row r="13938" spans="9:13" x14ac:dyDescent="0.3">
      <c r="I13938" s="82"/>
      <c r="M13938" s="85"/>
    </row>
    <row r="13939" spans="9:13" x14ac:dyDescent="0.3">
      <c r="I13939" s="82"/>
      <c r="M13939" s="85"/>
    </row>
    <row r="13940" spans="9:13" x14ac:dyDescent="0.3">
      <c r="I13940" s="82"/>
      <c r="M13940" s="85"/>
    </row>
    <row r="13941" spans="9:13" x14ac:dyDescent="0.3">
      <c r="I13941" s="82"/>
      <c r="M13941" s="85"/>
    </row>
    <row r="13942" spans="9:13" x14ac:dyDescent="0.3">
      <c r="I13942" s="82"/>
      <c r="M13942" s="85"/>
    </row>
    <row r="13943" spans="9:13" x14ac:dyDescent="0.3">
      <c r="I13943" s="82"/>
      <c r="M13943" s="85"/>
    </row>
    <row r="13944" spans="9:13" x14ac:dyDescent="0.3">
      <c r="I13944" s="82"/>
      <c r="M13944" s="85"/>
    </row>
    <row r="13945" spans="9:13" x14ac:dyDescent="0.3">
      <c r="I13945" s="82"/>
      <c r="M13945" s="85"/>
    </row>
    <row r="13946" spans="9:13" x14ac:dyDescent="0.3">
      <c r="I13946" s="82"/>
      <c r="M13946" s="85"/>
    </row>
    <row r="13947" spans="9:13" x14ac:dyDescent="0.3">
      <c r="I13947" s="82"/>
      <c r="M13947" s="85"/>
    </row>
    <row r="13948" spans="9:13" x14ac:dyDescent="0.3">
      <c r="I13948" s="82"/>
      <c r="M13948" s="85"/>
    </row>
    <row r="13949" spans="9:13" x14ac:dyDescent="0.3">
      <c r="I13949" s="82"/>
      <c r="M13949" s="85"/>
    </row>
    <row r="13950" spans="9:13" x14ac:dyDescent="0.3">
      <c r="I13950" s="82"/>
      <c r="M13950" s="85"/>
    </row>
    <row r="13951" spans="9:13" x14ac:dyDescent="0.3">
      <c r="I13951" s="82"/>
      <c r="M13951" s="85"/>
    </row>
    <row r="13952" spans="9:13" x14ac:dyDescent="0.3">
      <c r="I13952" s="82"/>
      <c r="M13952" s="85"/>
    </row>
    <row r="13953" spans="9:13" x14ac:dyDescent="0.3">
      <c r="I13953" s="82"/>
      <c r="M13953" s="85"/>
    </row>
    <row r="13954" spans="9:13" x14ac:dyDescent="0.3">
      <c r="I13954" s="82"/>
      <c r="M13954" s="85"/>
    </row>
    <row r="13955" spans="9:13" x14ac:dyDescent="0.3">
      <c r="I13955" s="82"/>
      <c r="M13955" s="85"/>
    </row>
    <row r="13956" spans="9:13" x14ac:dyDescent="0.3">
      <c r="I13956" s="82"/>
      <c r="M13956" s="85"/>
    </row>
    <row r="13957" spans="9:13" x14ac:dyDescent="0.3">
      <c r="I13957" s="82"/>
      <c r="M13957" s="85"/>
    </row>
    <row r="13958" spans="9:13" x14ac:dyDescent="0.3">
      <c r="I13958" s="82"/>
      <c r="M13958" s="85"/>
    </row>
    <row r="13959" spans="9:13" x14ac:dyDescent="0.3">
      <c r="I13959" s="82"/>
      <c r="M13959" s="85"/>
    </row>
    <row r="13960" spans="9:13" x14ac:dyDescent="0.3">
      <c r="I13960" s="82"/>
      <c r="M13960" s="85"/>
    </row>
    <row r="13961" spans="9:13" x14ac:dyDescent="0.3">
      <c r="I13961" s="82"/>
      <c r="M13961" s="85"/>
    </row>
    <row r="13962" spans="9:13" x14ac:dyDescent="0.3">
      <c r="I13962" s="82"/>
      <c r="M13962" s="85"/>
    </row>
    <row r="13963" spans="9:13" x14ac:dyDescent="0.3">
      <c r="I13963" s="82"/>
      <c r="M13963" s="85"/>
    </row>
    <row r="13964" spans="9:13" x14ac:dyDescent="0.3">
      <c r="I13964" s="82"/>
      <c r="M13964" s="85"/>
    </row>
    <row r="13965" spans="9:13" x14ac:dyDescent="0.3">
      <c r="I13965" s="82"/>
      <c r="M13965" s="85"/>
    </row>
    <row r="13966" spans="9:13" x14ac:dyDescent="0.3">
      <c r="I13966" s="82"/>
      <c r="M13966" s="85"/>
    </row>
    <row r="13967" spans="9:13" x14ac:dyDescent="0.3">
      <c r="I13967" s="82"/>
      <c r="M13967" s="85"/>
    </row>
    <row r="13968" spans="9:13" x14ac:dyDescent="0.3">
      <c r="I13968" s="82"/>
      <c r="M13968" s="85"/>
    </row>
    <row r="13969" spans="9:13" x14ac:dyDescent="0.3">
      <c r="I13969" s="82"/>
      <c r="M13969" s="85"/>
    </row>
    <row r="13970" spans="9:13" x14ac:dyDescent="0.3">
      <c r="I13970" s="82"/>
      <c r="M13970" s="85"/>
    </row>
    <row r="13971" spans="9:13" x14ac:dyDescent="0.3">
      <c r="I13971" s="82"/>
      <c r="M13971" s="85"/>
    </row>
    <row r="13972" spans="9:13" x14ac:dyDescent="0.3">
      <c r="I13972" s="82"/>
      <c r="M13972" s="85"/>
    </row>
    <row r="13973" spans="9:13" x14ac:dyDescent="0.3">
      <c r="I13973" s="82"/>
      <c r="M13973" s="85"/>
    </row>
    <row r="13974" spans="9:13" x14ac:dyDescent="0.3">
      <c r="I13974" s="82"/>
      <c r="M13974" s="85"/>
    </row>
    <row r="13975" spans="9:13" x14ac:dyDescent="0.3">
      <c r="I13975" s="82"/>
      <c r="M13975" s="85"/>
    </row>
    <row r="13976" spans="9:13" x14ac:dyDescent="0.3">
      <c r="I13976" s="82"/>
      <c r="M13976" s="85"/>
    </row>
    <row r="13977" spans="9:13" x14ac:dyDescent="0.3">
      <c r="I13977" s="82"/>
      <c r="M13977" s="85"/>
    </row>
    <row r="13978" spans="9:13" x14ac:dyDescent="0.3">
      <c r="I13978" s="82"/>
      <c r="M13978" s="85"/>
    </row>
    <row r="13979" spans="9:13" x14ac:dyDescent="0.3">
      <c r="I13979" s="82"/>
      <c r="M13979" s="85"/>
    </row>
    <row r="13980" spans="9:13" x14ac:dyDescent="0.3">
      <c r="I13980" s="82"/>
      <c r="M13980" s="85"/>
    </row>
    <row r="13981" spans="9:13" x14ac:dyDescent="0.3">
      <c r="I13981" s="82"/>
      <c r="M13981" s="85"/>
    </row>
    <row r="13982" spans="9:13" x14ac:dyDescent="0.3">
      <c r="I13982" s="82"/>
      <c r="M13982" s="85"/>
    </row>
    <row r="13983" spans="9:13" x14ac:dyDescent="0.3">
      <c r="I13983" s="82"/>
      <c r="M13983" s="85"/>
    </row>
    <row r="13984" spans="9:13" x14ac:dyDescent="0.3">
      <c r="I13984" s="82"/>
      <c r="M13984" s="85"/>
    </row>
    <row r="13985" spans="9:13" x14ac:dyDescent="0.3">
      <c r="I13985" s="82"/>
      <c r="M13985" s="85"/>
    </row>
    <row r="13986" spans="9:13" x14ac:dyDescent="0.3">
      <c r="I13986" s="82"/>
      <c r="M13986" s="85"/>
    </row>
    <row r="13987" spans="9:13" x14ac:dyDescent="0.3">
      <c r="I13987" s="82"/>
      <c r="M13987" s="85"/>
    </row>
    <row r="13988" spans="9:13" x14ac:dyDescent="0.3">
      <c r="I13988" s="82"/>
      <c r="M13988" s="85"/>
    </row>
    <row r="13989" spans="9:13" x14ac:dyDescent="0.3">
      <c r="I13989" s="82"/>
      <c r="M13989" s="85"/>
    </row>
    <row r="13990" spans="9:13" x14ac:dyDescent="0.3">
      <c r="I13990" s="82"/>
      <c r="M13990" s="85"/>
    </row>
    <row r="13991" spans="9:13" x14ac:dyDescent="0.3">
      <c r="I13991" s="82"/>
      <c r="M13991" s="85"/>
    </row>
    <row r="13992" spans="9:13" x14ac:dyDescent="0.3">
      <c r="I13992" s="82"/>
      <c r="M13992" s="85"/>
    </row>
    <row r="13993" spans="9:13" x14ac:dyDescent="0.3">
      <c r="I13993" s="82"/>
      <c r="M13993" s="85"/>
    </row>
    <row r="13994" spans="9:13" x14ac:dyDescent="0.3">
      <c r="I13994" s="82"/>
      <c r="M13994" s="85"/>
    </row>
    <row r="13995" spans="9:13" x14ac:dyDescent="0.3">
      <c r="I13995" s="82"/>
      <c r="M13995" s="85"/>
    </row>
    <row r="13996" spans="9:13" x14ac:dyDescent="0.3">
      <c r="I13996" s="82"/>
      <c r="M13996" s="85"/>
    </row>
    <row r="13997" spans="9:13" x14ac:dyDescent="0.3">
      <c r="I13997" s="82"/>
      <c r="M13997" s="85"/>
    </row>
    <row r="13998" spans="9:13" x14ac:dyDescent="0.3">
      <c r="I13998" s="82"/>
      <c r="M13998" s="85"/>
    </row>
    <row r="13999" spans="9:13" x14ac:dyDescent="0.3">
      <c r="I13999" s="82"/>
      <c r="M13999" s="85"/>
    </row>
    <row r="14000" spans="9:13" x14ac:dyDescent="0.3">
      <c r="I14000" s="82"/>
      <c r="M14000" s="85"/>
    </row>
    <row r="14001" spans="9:13" x14ac:dyDescent="0.3">
      <c r="I14001" s="82"/>
      <c r="M14001" s="85"/>
    </row>
    <row r="14002" spans="9:13" x14ac:dyDescent="0.3">
      <c r="I14002" s="82"/>
      <c r="M14002" s="85"/>
    </row>
    <row r="14003" spans="9:13" x14ac:dyDescent="0.3">
      <c r="I14003" s="82"/>
      <c r="M14003" s="85"/>
    </row>
    <row r="14004" spans="9:13" x14ac:dyDescent="0.3">
      <c r="I14004" s="82"/>
      <c r="M14004" s="85"/>
    </row>
    <row r="14005" spans="9:13" x14ac:dyDescent="0.3">
      <c r="I14005" s="82"/>
      <c r="M14005" s="85"/>
    </row>
    <row r="14006" spans="9:13" x14ac:dyDescent="0.3">
      <c r="I14006" s="82"/>
      <c r="M14006" s="85"/>
    </row>
    <row r="14007" spans="9:13" x14ac:dyDescent="0.3">
      <c r="I14007" s="82"/>
      <c r="M14007" s="85"/>
    </row>
    <row r="14008" spans="9:13" x14ac:dyDescent="0.3">
      <c r="I14008" s="82"/>
      <c r="M14008" s="85"/>
    </row>
    <row r="14009" spans="9:13" x14ac:dyDescent="0.3">
      <c r="I14009" s="82"/>
      <c r="M14009" s="85"/>
    </row>
    <row r="14010" spans="9:13" x14ac:dyDescent="0.3">
      <c r="I14010" s="82"/>
      <c r="M14010" s="85"/>
    </row>
    <row r="14011" spans="9:13" x14ac:dyDescent="0.3">
      <c r="I14011" s="82"/>
      <c r="M14011" s="85"/>
    </row>
    <row r="14012" spans="9:13" x14ac:dyDescent="0.3">
      <c r="I14012" s="82"/>
      <c r="M14012" s="85"/>
    </row>
    <row r="14013" spans="9:13" x14ac:dyDescent="0.3">
      <c r="I14013" s="82"/>
      <c r="M14013" s="85"/>
    </row>
    <row r="14014" spans="9:13" x14ac:dyDescent="0.3">
      <c r="I14014" s="82"/>
      <c r="M14014" s="85"/>
    </row>
    <row r="14015" spans="9:13" x14ac:dyDescent="0.3">
      <c r="I14015" s="82"/>
      <c r="M14015" s="85"/>
    </row>
    <row r="14016" spans="9:13" x14ac:dyDescent="0.3">
      <c r="I14016" s="82"/>
      <c r="M14016" s="85"/>
    </row>
    <row r="14017" spans="9:13" x14ac:dyDescent="0.3">
      <c r="I14017" s="82"/>
      <c r="M14017" s="85"/>
    </row>
    <row r="14018" spans="9:13" x14ac:dyDescent="0.3">
      <c r="I14018" s="82"/>
      <c r="M14018" s="85"/>
    </row>
    <row r="14019" spans="9:13" x14ac:dyDescent="0.3">
      <c r="I14019" s="82"/>
      <c r="M14019" s="85"/>
    </row>
    <row r="14020" spans="9:13" x14ac:dyDescent="0.3">
      <c r="I14020" s="82"/>
      <c r="M14020" s="85"/>
    </row>
    <row r="14021" spans="9:13" x14ac:dyDescent="0.3">
      <c r="I14021" s="82"/>
      <c r="M14021" s="85"/>
    </row>
    <row r="14022" spans="9:13" x14ac:dyDescent="0.3">
      <c r="I14022" s="82"/>
      <c r="M14022" s="85"/>
    </row>
    <row r="14023" spans="9:13" x14ac:dyDescent="0.3">
      <c r="I14023" s="82"/>
      <c r="M14023" s="85"/>
    </row>
    <row r="14024" spans="9:13" x14ac:dyDescent="0.3">
      <c r="I14024" s="82"/>
      <c r="M14024" s="85"/>
    </row>
    <row r="14025" spans="9:13" x14ac:dyDescent="0.3">
      <c r="I14025" s="82"/>
      <c r="M14025" s="85"/>
    </row>
    <row r="14026" spans="9:13" x14ac:dyDescent="0.3">
      <c r="I14026" s="82"/>
      <c r="M14026" s="85"/>
    </row>
    <row r="14027" spans="9:13" x14ac:dyDescent="0.3">
      <c r="I14027" s="82"/>
      <c r="M14027" s="85"/>
    </row>
    <row r="14028" spans="9:13" x14ac:dyDescent="0.3">
      <c r="I14028" s="82"/>
      <c r="M14028" s="85"/>
    </row>
    <row r="14029" spans="9:13" x14ac:dyDescent="0.3">
      <c r="I14029" s="82"/>
      <c r="M14029" s="85"/>
    </row>
    <row r="14030" spans="9:13" x14ac:dyDescent="0.3">
      <c r="I14030" s="82"/>
      <c r="M14030" s="85"/>
    </row>
    <row r="14031" spans="9:13" x14ac:dyDescent="0.3">
      <c r="I14031" s="82"/>
      <c r="M14031" s="85"/>
    </row>
    <row r="14032" spans="9:13" x14ac:dyDescent="0.3">
      <c r="I14032" s="82"/>
      <c r="M14032" s="85"/>
    </row>
    <row r="14033" spans="9:13" x14ac:dyDescent="0.3">
      <c r="I14033" s="82"/>
      <c r="M14033" s="85"/>
    </row>
    <row r="14034" spans="9:13" x14ac:dyDescent="0.3">
      <c r="I14034" s="82"/>
      <c r="M14034" s="85"/>
    </row>
    <row r="14035" spans="9:13" x14ac:dyDescent="0.3">
      <c r="I14035" s="82"/>
      <c r="M14035" s="85"/>
    </row>
    <row r="14036" spans="9:13" x14ac:dyDescent="0.3">
      <c r="I14036" s="82"/>
      <c r="M14036" s="85"/>
    </row>
    <row r="14037" spans="9:13" x14ac:dyDescent="0.3">
      <c r="I14037" s="82"/>
      <c r="M14037" s="85"/>
    </row>
    <row r="14038" spans="9:13" x14ac:dyDescent="0.3">
      <c r="I14038" s="82"/>
      <c r="M14038" s="85"/>
    </row>
    <row r="14039" spans="9:13" x14ac:dyDescent="0.3">
      <c r="I14039" s="82"/>
      <c r="M14039" s="85"/>
    </row>
    <row r="14040" spans="9:13" x14ac:dyDescent="0.3">
      <c r="I14040" s="82"/>
      <c r="M14040" s="85"/>
    </row>
    <row r="14041" spans="9:13" x14ac:dyDescent="0.3">
      <c r="I14041" s="82"/>
      <c r="M14041" s="85"/>
    </row>
    <row r="14042" spans="9:13" x14ac:dyDescent="0.3">
      <c r="I14042" s="82"/>
      <c r="M14042" s="85"/>
    </row>
    <row r="14043" spans="9:13" x14ac:dyDescent="0.3">
      <c r="I14043" s="82"/>
      <c r="M14043" s="85"/>
    </row>
    <row r="14044" spans="9:13" x14ac:dyDescent="0.3">
      <c r="I14044" s="82"/>
      <c r="M14044" s="85"/>
    </row>
    <row r="14045" spans="9:13" x14ac:dyDescent="0.3">
      <c r="I14045" s="82"/>
      <c r="M14045" s="85"/>
    </row>
    <row r="14046" spans="9:13" x14ac:dyDescent="0.3">
      <c r="I14046" s="82"/>
      <c r="M14046" s="85"/>
    </row>
    <row r="14047" spans="9:13" x14ac:dyDescent="0.3">
      <c r="I14047" s="82"/>
      <c r="M14047" s="85"/>
    </row>
    <row r="14048" spans="9:13" x14ac:dyDescent="0.3">
      <c r="I14048" s="82"/>
      <c r="M14048" s="85"/>
    </row>
    <row r="14049" spans="9:13" x14ac:dyDescent="0.3">
      <c r="I14049" s="82"/>
      <c r="M14049" s="85"/>
    </row>
    <row r="14050" spans="9:13" x14ac:dyDescent="0.3">
      <c r="I14050" s="82"/>
      <c r="M14050" s="85"/>
    </row>
    <row r="14051" spans="9:13" x14ac:dyDescent="0.3">
      <c r="I14051" s="82"/>
      <c r="M14051" s="85"/>
    </row>
    <row r="14052" spans="9:13" x14ac:dyDescent="0.3">
      <c r="I14052" s="82"/>
      <c r="M14052" s="85"/>
    </row>
    <row r="14053" spans="9:13" x14ac:dyDescent="0.3">
      <c r="I14053" s="82"/>
      <c r="M14053" s="85"/>
    </row>
    <row r="14054" spans="9:13" x14ac:dyDescent="0.3">
      <c r="I14054" s="82"/>
      <c r="M14054" s="85"/>
    </row>
    <row r="14055" spans="9:13" x14ac:dyDescent="0.3">
      <c r="I14055" s="82"/>
      <c r="M14055" s="85"/>
    </row>
    <row r="14056" spans="9:13" x14ac:dyDescent="0.3">
      <c r="I14056" s="82"/>
      <c r="M14056" s="85"/>
    </row>
    <row r="14057" spans="9:13" x14ac:dyDescent="0.3">
      <c r="I14057" s="82"/>
      <c r="M14057" s="85"/>
    </row>
    <row r="14058" spans="9:13" x14ac:dyDescent="0.3">
      <c r="I14058" s="82"/>
      <c r="M14058" s="85"/>
    </row>
    <row r="14059" spans="9:13" x14ac:dyDescent="0.3">
      <c r="I14059" s="82"/>
      <c r="M14059" s="85"/>
    </row>
    <row r="14060" spans="9:13" x14ac:dyDescent="0.3">
      <c r="I14060" s="82"/>
      <c r="M14060" s="85"/>
    </row>
    <row r="14061" spans="9:13" x14ac:dyDescent="0.3">
      <c r="I14061" s="82"/>
      <c r="M14061" s="85"/>
    </row>
    <row r="14062" spans="9:13" x14ac:dyDescent="0.3">
      <c r="I14062" s="82"/>
      <c r="M14062" s="85"/>
    </row>
    <row r="14063" spans="9:13" x14ac:dyDescent="0.3">
      <c r="I14063" s="82"/>
      <c r="M14063" s="85"/>
    </row>
    <row r="14064" spans="9:13" x14ac:dyDescent="0.3">
      <c r="I14064" s="82"/>
      <c r="M14064" s="85"/>
    </row>
    <row r="14065" spans="9:13" x14ac:dyDescent="0.3">
      <c r="I14065" s="82"/>
      <c r="M14065" s="85"/>
    </row>
    <row r="14066" spans="9:13" x14ac:dyDescent="0.3">
      <c r="I14066" s="82"/>
      <c r="M14066" s="85"/>
    </row>
    <row r="14067" spans="9:13" x14ac:dyDescent="0.3">
      <c r="I14067" s="82"/>
      <c r="M14067" s="85"/>
    </row>
    <row r="14068" spans="9:13" x14ac:dyDescent="0.3">
      <c r="I14068" s="82"/>
      <c r="M14068" s="85"/>
    </row>
    <row r="14069" spans="9:13" x14ac:dyDescent="0.3">
      <c r="I14069" s="82"/>
      <c r="M14069" s="85"/>
    </row>
    <row r="14070" spans="9:13" x14ac:dyDescent="0.3">
      <c r="I14070" s="82"/>
      <c r="M14070" s="85"/>
    </row>
    <row r="14071" spans="9:13" x14ac:dyDescent="0.3">
      <c r="I14071" s="82"/>
      <c r="M14071" s="85"/>
    </row>
    <row r="14072" spans="9:13" x14ac:dyDescent="0.3">
      <c r="I14072" s="82"/>
      <c r="M14072" s="85"/>
    </row>
    <row r="14073" spans="9:13" x14ac:dyDescent="0.3">
      <c r="I14073" s="82"/>
      <c r="M14073" s="85"/>
    </row>
    <row r="14074" spans="9:13" x14ac:dyDescent="0.3">
      <c r="I14074" s="82"/>
      <c r="M14074" s="85"/>
    </row>
    <row r="14075" spans="9:13" x14ac:dyDescent="0.3">
      <c r="I14075" s="82"/>
      <c r="M14075" s="85"/>
    </row>
    <row r="14076" spans="9:13" x14ac:dyDescent="0.3">
      <c r="I14076" s="82"/>
      <c r="M14076" s="85"/>
    </row>
    <row r="14077" spans="9:13" x14ac:dyDescent="0.3">
      <c r="I14077" s="82"/>
      <c r="M14077" s="85"/>
    </row>
    <row r="14078" spans="9:13" x14ac:dyDescent="0.3">
      <c r="I14078" s="82"/>
      <c r="M14078" s="85"/>
    </row>
    <row r="14079" spans="9:13" x14ac:dyDescent="0.3">
      <c r="I14079" s="82"/>
      <c r="M14079" s="85"/>
    </row>
    <row r="14080" spans="9:13" x14ac:dyDescent="0.3">
      <c r="I14080" s="82"/>
      <c r="M14080" s="85"/>
    </row>
    <row r="14081" spans="9:13" x14ac:dyDescent="0.3">
      <c r="I14081" s="82"/>
      <c r="M14081" s="85"/>
    </row>
    <row r="14082" spans="9:13" x14ac:dyDescent="0.3">
      <c r="I14082" s="82"/>
      <c r="M14082" s="85"/>
    </row>
    <row r="14083" spans="9:13" x14ac:dyDescent="0.3">
      <c r="I14083" s="82"/>
      <c r="M14083" s="85"/>
    </row>
    <row r="14084" spans="9:13" x14ac:dyDescent="0.3">
      <c r="I14084" s="82"/>
      <c r="M14084" s="85"/>
    </row>
    <row r="14085" spans="9:13" x14ac:dyDescent="0.3">
      <c r="I14085" s="82"/>
      <c r="M14085" s="85"/>
    </row>
    <row r="14086" spans="9:13" x14ac:dyDescent="0.3">
      <c r="I14086" s="82"/>
      <c r="M14086" s="85"/>
    </row>
    <row r="14087" spans="9:13" x14ac:dyDescent="0.3">
      <c r="I14087" s="82"/>
      <c r="M14087" s="85"/>
    </row>
    <row r="14088" spans="9:13" x14ac:dyDescent="0.3">
      <c r="I14088" s="82"/>
      <c r="M14088" s="85"/>
    </row>
    <row r="14089" spans="9:13" x14ac:dyDescent="0.3">
      <c r="I14089" s="82"/>
      <c r="M14089" s="85"/>
    </row>
    <row r="14090" spans="9:13" x14ac:dyDescent="0.3">
      <c r="I14090" s="82"/>
      <c r="M14090" s="85"/>
    </row>
    <row r="14091" spans="9:13" x14ac:dyDescent="0.3">
      <c r="I14091" s="82"/>
      <c r="M14091" s="85"/>
    </row>
    <row r="14092" spans="9:13" x14ac:dyDescent="0.3">
      <c r="I14092" s="82"/>
      <c r="M14092" s="85"/>
    </row>
    <row r="14093" spans="9:13" x14ac:dyDescent="0.3">
      <c r="I14093" s="82"/>
      <c r="M14093" s="85"/>
    </row>
    <row r="14094" spans="9:13" x14ac:dyDescent="0.3">
      <c r="I14094" s="82"/>
      <c r="M14094" s="85"/>
    </row>
    <row r="14095" spans="9:13" x14ac:dyDescent="0.3">
      <c r="I14095" s="82"/>
      <c r="M14095" s="85"/>
    </row>
    <row r="14096" spans="9:13" x14ac:dyDescent="0.3">
      <c r="I14096" s="82"/>
      <c r="M14096" s="85"/>
    </row>
    <row r="14097" spans="9:13" x14ac:dyDescent="0.3">
      <c r="I14097" s="82"/>
      <c r="M14097" s="85"/>
    </row>
    <row r="14098" spans="9:13" x14ac:dyDescent="0.3">
      <c r="I14098" s="82"/>
      <c r="M14098" s="85"/>
    </row>
    <row r="14099" spans="9:13" x14ac:dyDescent="0.3">
      <c r="I14099" s="82"/>
      <c r="M14099" s="85"/>
    </row>
    <row r="14100" spans="9:13" x14ac:dyDescent="0.3">
      <c r="I14100" s="82"/>
      <c r="M14100" s="85"/>
    </row>
    <row r="14101" spans="9:13" x14ac:dyDescent="0.3">
      <c r="I14101" s="82"/>
      <c r="M14101" s="85"/>
    </row>
    <row r="14102" spans="9:13" x14ac:dyDescent="0.3">
      <c r="I14102" s="82"/>
      <c r="M14102" s="85"/>
    </row>
    <row r="14103" spans="9:13" x14ac:dyDescent="0.3">
      <c r="I14103" s="82"/>
      <c r="M14103" s="85"/>
    </row>
    <row r="14104" spans="9:13" x14ac:dyDescent="0.3">
      <c r="I14104" s="82"/>
      <c r="M14104" s="85"/>
    </row>
    <row r="14105" spans="9:13" x14ac:dyDescent="0.3">
      <c r="I14105" s="82"/>
      <c r="M14105" s="85"/>
    </row>
    <row r="14106" spans="9:13" x14ac:dyDescent="0.3">
      <c r="I14106" s="82"/>
      <c r="M14106" s="85"/>
    </row>
    <row r="14107" spans="9:13" x14ac:dyDescent="0.3">
      <c r="I14107" s="82"/>
      <c r="M14107" s="85"/>
    </row>
    <row r="14108" spans="9:13" x14ac:dyDescent="0.3">
      <c r="I14108" s="82"/>
      <c r="M14108" s="85"/>
    </row>
    <row r="14109" spans="9:13" x14ac:dyDescent="0.3">
      <c r="I14109" s="82"/>
      <c r="M14109" s="85"/>
    </row>
    <row r="14110" spans="9:13" x14ac:dyDescent="0.3">
      <c r="I14110" s="82"/>
      <c r="M14110" s="85"/>
    </row>
    <row r="14111" spans="9:13" x14ac:dyDescent="0.3">
      <c r="I14111" s="82"/>
      <c r="M14111" s="85"/>
    </row>
    <row r="14112" spans="9:13" x14ac:dyDescent="0.3">
      <c r="I14112" s="82"/>
      <c r="M14112" s="85"/>
    </row>
    <row r="14113" spans="9:13" x14ac:dyDescent="0.3">
      <c r="I14113" s="82"/>
      <c r="M14113" s="85"/>
    </row>
    <row r="14114" spans="9:13" x14ac:dyDescent="0.3">
      <c r="I14114" s="82"/>
      <c r="M14114" s="85"/>
    </row>
    <row r="14115" spans="9:13" x14ac:dyDescent="0.3">
      <c r="I14115" s="82"/>
      <c r="M14115" s="85"/>
    </row>
    <row r="14116" spans="9:13" x14ac:dyDescent="0.3">
      <c r="I14116" s="82"/>
      <c r="M14116" s="85"/>
    </row>
    <row r="14117" spans="9:13" x14ac:dyDescent="0.3">
      <c r="I14117" s="82"/>
      <c r="M14117" s="85"/>
    </row>
    <row r="14118" spans="9:13" x14ac:dyDescent="0.3">
      <c r="I14118" s="82"/>
      <c r="M14118" s="85"/>
    </row>
    <row r="14119" spans="9:13" x14ac:dyDescent="0.3">
      <c r="I14119" s="82"/>
      <c r="M14119" s="85"/>
    </row>
    <row r="14120" spans="9:13" x14ac:dyDescent="0.3">
      <c r="I14120" s="82"/>
      <c r="M14120" s="85"/>
    </row>
    <row r="14121" spans="9:13" x14ac:dyDescent="0.3">
      <c r="I14121" s="82"/>
      <c r="M14121" s="85"/>
    </row>
    <row r="14122" spans="9:13" x14ac:dyDescent="0.3">
      <c r="I14122" s="82"/>
      <c r="M14122" s="85"/>
    </row>
    <row r="14123" spans="9:13" x14ac:dyDescent="0.3">
      <c r="I14123" s="82"/>
      <c r="M14123" s="85"/>
    </row>
    <row r="14124" spans="9:13" x14ac:dyDescent="0.3">
      <c r="I14124" s="82"/>
      <c r="M14124" s="85"/>
    </row>
    <row r="14125" spans="9:13" x14ac:dyDescent="0.3">
      <c r="I14125" s="82"/>
      <c r="M14125" s="85"/>
    </row>
    <row r="14126" spans="9:13" x14ac:dyDescent="0.3">
      <c r="I14126" s="82"/>
      <c r="M14126" s="85"/>
    </row>
    <row r="14127" spans="9:13" x14ac:dyDescent="0.3">
      <c r="I14127" s="82"/>
      <c r="M14127" s="85"/>
    </row>
    <row r="14128" spans="9:13" x14ac:dyDescent="0.3">
      <c r="I14128" s="82"/>
      <c r="M14128" s="85"/>
    </row>
    <row r="14129" spans="9:13" x14ac:dyDescent="0.3">
      <c r="I14129" s="82"/>
      <c r="M14129" s="85"/>
    </row>
    <row r="14130" spans="9:13" x14ac:dyDescent="0.3">
      <c r="I14130" s="82"/>
      <c r="M14130" s="85"/>
    </row>
    <row r="14131" spans="9:13" x14ac:dyDescent="0.3">
      <c r="I14131" s="82"/>
      <c r="M14131" s="85"/>
    </row>
    <row r="14132" spans="9:13" x14ac:dyDescent="0.3">
      <c r="I14132" s="82"/>
      <c r="M14132" s="85"/>
    </row>
    <row r="14133" spans="9:13" x14ac:dyDescent="0.3">
      <c r="I14133" s="82"/>
      <c r="M14133" s="85"/>
    </row>
    <row r="14134" spans="9:13" x14ac:dyDescent="0.3">
      <c r="I14134" s="82"/>
      <c r="M14134" s="85"/>
    </row>
    <row r="14135" spans="9:13" x14ac:dyDescent="0.3">
      <c r="I14135" s="82"/>
      <c r="M14135" s="85"/>
    </row>
    <row r="14136" spans="9:13" x14ac:dyDescent="0.3">
      <c r="I14136" s="82"/>
      <c r="M14136" s="85"/>
    </row>
    <row r="14137" spans="9:13" x14ac:dyDescent="0.3">
      <c r="I14137" s="82"/>
      <c r="M14137" s="85"/>
    </row>
    <row r="14138" spans="9:13" x14ac:dyDescent="0.3">
      <c r="I14138" s="82"/>
      <c r="M14138" s="85"/>
    </row>
    <row r="14139" spans="9:13" x14ac:dyDescent="0.3">
      <c r="I14139" s="82"/>
      <c r="M14139" s="85"/>
    </row>
    <row r="14140" spans="9:13" x14ac:dyDescent="0.3">
      <c r="I14140" s="82"/>
      <c r="M14140" s="85"/>
    </row>
    <row r="14141" spans="9:13" x14ac:dyDescent="0.3">
      <c r="I14141" s="82"/>
      <c r="M14141" s="85"/>
    </row>
    <row r="14142" spans="9:13" x14ac:dyDescent="0.3">
      <c r="I14142" s="82"/>
      <c r="M14142" s="85"/>
    </row>
    <row r="14143" spans="9:13" x14ac:dyDescent="0.3">
      <c r="I14143" s="82"/>
      <c r="M14143" s="85"/>
    </row>
    <row r="14144" spans="9:13" x14ac:dyDescent="0.3">
      <c r="I14144" s="82"/>
      <c r="M14144" s="85"/>
    </row>
    <row r="14145" spans="9:13" x14ac:dyDescent="0.3">
      <c r="I14145" s="82"/>
      <c r="M14145" s="85"/>
    </row>
    <row r="14146" spans="9:13" x14ac:dyDescent="0.3">
      <c r="I14146" s="82"/>
      <c r="M14146" s="85"/>
    </row>
    <row r="14147" spans="9:13" x14ac:dyDescent="0.3">
      <c r="I14147" s="82"/>
      <c r="M14147" s="85"/>
    </row>
    <row r="14148" spans="9:13" x14ac:dyDescent="0.3">
      <c r="I14148" s="82"/>
      <c r="M14148" s="85"/>
    </row>
    <row r="14149" spans="9:13" x14ac:dyDescent="0.3">
      <c r="I14149" s="82"/>
      <c r="M14149" s="85"/>
    </row>
    <row r="14150" spans="9:13" x14ac:dyDescent="0.3">
      <c r="I14150" s="82"/>
      <c r="M14150" s="85"/>
    </row>
    <row r="14151" spans="9:13" x14ac:dyDescent="0.3">
      <c r="I14151" s="82"/>
      <c r="M14151" s="85"/>
    </row>
    <row r="14152" spans="9:13" x14ac:dyDescent="0.3">
      <c r="I14152" s="82"/>
      <c r="M14152" s="85"/>
    </row>
    <row r="14153" spans="9:13" x14ac:dyDescent="0.3">
      <c r="I14153" s="82"/>
      <c r="M14153" s="85"/>
    </row>
    <row r="14154" spans="9:13" x14ac:dyDescent="0.3">
      <c r="I14154" s="82"/>
      <c r="M14154" s="85"/>
    </row>
    <row r="14155" spans="9:13" x14ac:dyDescent="0.3">
      <c r="I14155" s="82"/>
      <c r="M14155" s="85"/>
    </row>
    <row r="14156" spans="9:13" x14ac:dyDescent="0.3">
      <c r="I14156" s="82"/>
      <c r="M14156" s="85"/>
    </row>
    <row r="14157" spans="9:13" x14ac:dyDescent="0.3">
      <c r="I14157" s="82"/>
      <c r="M14157" s="85"/>
    </row>
    <row r="14158" spans="9:13" x14ac:dyDescent="0.3">
      <c r="I14158" s="82"/>
      <c r="M14158" s="85"/>
    </row>
    <row r="14159" spans="9:13" x14ac:dyDescent="0.3">
      <c r="I14159" s="82"/>
      <c r="M14159" s="85"/>
    </row>
    <row r="14160" spans="9:13" x14ac:dyDescent="0.3">
      <c r="I14160" s="82"/>
      <c r="M14160" s="85"/>
    </row>
    <row r="14161" spans="9:13" x14ac:dyDescent="0.3">
      <c r="I14161" s="82"/>
      <c r="M14161" s="85"/>
    </row>
    <row r="14162" spans="9:13" x14ac:dyDescent="0.3">
      <c r="I14162" s="82"/>
      <c r="M14162" s="85"/>
    </row>
    <row r="14163" spans="9:13" x14ac:dyDescent="0.3">
      <c r="I14163" s="82"/>
      <c r="M14163" s="85"/>
    </row>
    <row r="14164" spans="9:13" x14ac:dyDescent="0.3">
      <c r="I14164" s="82"/>
      <c r="M14164" s="85"/>
    </row>
    <row r="14165" spans="9:13" x14ac:dyDescent="0.3">
      <c r="I14165" s="82"/>
      <c r="M14165" s="85"/>
    </row>
    <row r="14166" spans="9:13" x14ac:dyDescent="0.3">
      <c r="I14166" s="82"/>
      <c r="M14166" s="85"/>
    </row>
    <row r="14167" spans="9:13" x14ac:dyDescent="0.3">
      <c r="I14167" s="82"/>
      <c r="M14167" s="85"/>
    </row>
    <row r="14168" spans="9:13" x14ac:dyDescent="0.3">
      <c r="I14168" s="82"/>
      <c r="M14168" s="85"/>
    </row>
    <row r="14169" spans="9:13" x14ac:dyDescent="0.3">
      <c r="I14169" s="82"/>
      <c r="M14169" s="85"/>
    </row>
    <row r="14170" spans="9:13" x14ac:dyDescent="0.3">
      <c r="I14170" s="82"/>
      <c r="M14170" s="85"/>
    </row>
    <row r="14171" spans="9:13" x14ac:dyDescent="0.3">
      <c r="I14171" s="82"/>
      <c r="M14171" s="85"/>
    </row>
    <row r="14172" spans="9:13" x14ac:dyDescent="0.3">
      <c r="I14172" s="82"/>
      <c r="M14172" s="85"/>
    </row>
    <row r="14173" spans="9:13" x14ac:dyDescent="0.3">
      <c r="I14173" s="82"/>
      <c r="M14173" s="85"/>
    </row>
    <row r="14174" spans="9:13" x14ac:dyDescent="0.3">
      <c r="I14174" s="82"/>
      <c r="M14174" s="85"/>
    </row>
    <row r="14175" spans="9:13" x14ac:dyDescent="0.3">
      <c r="I14175" s="82"/>
      <c r="M14175" s="85"/>
    </row>
    <row r="14176" spans="9:13" x14ac:dyDescent="0.3">
      <c r="I14176" s="82"/>
      <c r="M14176" s="85"/>
    </row>
    <row r="14177" spans="9:13" x14ac:dyDescent="0.3">
      <c r="I14177" s="82"/>
      <c r="M14177" s="85"/>
    </row>
    <row r="14178" spans="9:13" x14ac:dyDescent="0.3">
      <c r="I14178" s="82"/>
      <c r="M14178" s="85"/>
    </row>
    <row r="14179" spans="9:13" x14ac:dyDescent="0.3">
      <c r="I14179" s="82"/>
      <c r="M14179" s="85"/>
    </row>
    <row r="14180" spans="9:13" x14ac:dyDescent="0.3">
      <c r="I14180" s="82"/>
      <c r="M14180" s="85"/>
    </row>
    <row r="14181" spans="9:13" x14ac:dyDescent="0.3">
      <c r="I14181" s="82"/>
      <c r="M14181" s="85"/>
    </row>
    <row r="14182" spans="9:13" x14ac:dyDescent="0.3">
      <c r="I14182" s="82"/>
      <c r="M14182" s="85"/>
    </row>
    <row r="14183" spans="9:13" x14ac:dyDescent="0.3">
      <c r="I14183" s="82"/>
      <c r="M14183" s="85"/>
    </row>
    <row r="14184" spans="9:13" x14ac:dyDescent="0.3">
      <c r="I14184" s="82"/>
      <c r="M14184" s="85"/>
    </row>
    <row r="14185" spans="9:13" x14ac:dyDescent="0.3">
      <c r="I14185" s="82"/>
      <c r="M14185" s="85"/>
    </row>
    <row r="14186" spans="9:13" x14ac:dyDescent="0.3">
      <c r="I14186" s="82"/>
      <c r="M14186" s="85"/>
    </row>
    <row r="14187" spans="9:13" x14ac:dyDescent="0.3">
      <c r="I14187" s="82"/>
      <c r="M14187" s="85"/>
    </row>
    <row r="14188" spans="9:13" x14ac:dyDescent="0.3">
      <c r="I14188" s="82"/>
      <c r="M14188" s="85"/>
    </row>
    <row r="14189" spans="9:13" x14ac:dyDescent="0.3">
      <c r="I14189" s="82"/>
      <c r="M14189" s="85"/>
    </row>
    <row r="14190" spans="9:13" x14ac:dyDescent="0.3">
      <c r="I14190" s="82"/>
      <c r="M14190" s="85"/>
    </row>
    <row r="14191" spans="9:13" x14ac:dyDescent="0.3">
      <c r="I14191" s="82"/>
      <c r="M14191" s="85"/>
    </row>
    <row r="14192" spans="9:13" x14ac:dyDescent="0.3">
      <c r="I14192" s="82"/>
      <c r="M14192" s="85"/>
    </row>
    <row r="14193" spans="9:13" x14ac:dyDescent="0.3">
      <c r="I14193" s="82"/>
      <c r="M14193" s="85"/>
    </row>
    <row r="14194" spans="9:13" x14ac:dyDescent="0.3">
      <c r="I14194" s="82"/>
      <c r="M14194" s="85"/>
    </row>
    <row r="14195" spans="9:13" x14ac:dyDescent="0.3">
      <c r="I14195" s="82"/>
      <c r="M14195" s="85"/>
    </row>
    <row r="14196" spans="9:13" x14ac:dyDescent="0.3">
      <c r="I14196" s="82"/>
      <c r="M14196" s="85"/>
    </row>
    <row r="14197" spans="9:13" x14ac:dyDescent="0.3">
      <c r="I14197" s="82"/>
      <c r="M14197" s="85"/>
    </row>
    <row r="14198" spans="9:13" x14ac:dyDescent="0.3">
      <c r="I14198" s="82"/>
      <c r="M14198" s="85"/>
    </row>
    <row r="14199" spans="9:13" x14ac:dyDescent="0.3">
      <c r="I14199" s="82"/>
      <c r="M14199" s="85"/>
    </row>
    <row r="14200" spans="9:13" x14ac:dyDescent="0.3">
      <c r="I14200" s="82"/>
      <c r="M14200" s="85"/>
    </row>
    <row r="14201" spans="9:13" x14ac:dyDescent="0.3">
      <c r="I14201" s="82"/>
      <c r="M14201" s="85"/>
    </row>
    <row r="14202" spans="9:13" x14ac:dyDescent="0.3">
      <c r="I14202" s="82"/>
      <c r="M14202" s="85"/>
    </row>
    <row r="14203" spans="9:13" x14ac:dyDescent="0.3">
      <c r="I14203" s="82"/>
      <c r="M14203" s="85"/>
    </row>
    <row r="14204" spans="9:13" x14ac:dyDescent="0.3">
      <c r="I14204" s="82"/>
      <c r="M14204" s="85"/>
    </row>
    <row r="14205" spans="9:13" x14ac:dyDescent="0.3">
      <c r="I14205" s="82"/>
      <c r="M14205" s="85"/>
    </row>
    <row r="14206" spans="9:13" x14ac:dyDescent="0.3">
      <c r="I14206" s="82"/>
      <c r="M14206" s="85"/>
    </row>
    <row r="14207" spans="9:13" x14ac:dyDescent="0.3">
      <c r="I14207" s="82"/>
      <c r="M14207" s="85"/>
    </row>
    <row r="14208" spans="9:13" x14ac:dyDescent="0.3">
      <c r="I14208" s="82"/>
      <c r="M14208" s="85"/>
    </row>
    <row r="14209" spans="9:13" x14ac:dyDescent="0.3">
      <c r="I14209" s="82"/>
      <c r="M14209" s="85"/>
    </row>
    <row r="14210" spans="9:13" x14ac:dyDescent="0.3">
      <c r="I14210" s="82"/>
      <c r="M14210" s="85"/>
    </row>
    <row r="14211" spans="9:13" x14ac:dyDescent="0.3">
      <c r="I14211" s="82"/>
      <c r="M14211" s="85"/>
    </row>
    <row r="14212" spans="9:13" x14ac:dyDescent="0.3">
      <c r="I14212" s="82"/>
      <c r="M14212" s="85"/>
    </row>
    <row r="14213" spans="9:13" x14ac:dyDescent="0.3">
      <c r="I14213" s="82"/>
      <c r="M14213" s="85"/>
    </row>
    <row r="14214" spans="9:13" x14ac:dyDescent="0.3">
      <c r="I14214" s="82"/>
      <c r="M14214" s="85"/>
    </row>
    <row r="14215" spans="9:13" x14ac:dyDescent="0.3">
      <c r="I14215" s="82"/>
      <c r="M14215" s="85"/>
    </row>
    <row r="14216" spans="9:13" x14ac:dyDescent="0.3">
      <c r="I14216" s="82"/>
      <c r="M14216" s="85"/>
    </row>
    <row r="14217" spans="9:13" x14ac:dyDescent="0.3">
      <c r="I14217" s="82"/>
      <c r="M14217" s="85"/>
    </row>
    <row r="14218" spans="9:13" x14ac:dyDescent="0.3">
      <c r="I14218" s="82"/>
      <c r="M14218" s="85"/>
    </row>
    <row r="14219" spans="9:13" x14ac:dyDescent="0.3">
      <c r="I14219" s="82"/>
      <c r="M14219" s="85"/>
    </row>
    <row r="14220" spans="9:13" x14ac:dyDescent="0.3">
      <c r="I14220" s="82"/>
      <c r="M14220" s="85"/>
    </row>
    <row r="14221" spans="9:13" x14ac:dyDescent="0.3">
      <c r="I14221" s="82"/>
      <c r="M14221" s="85"/>
    </row>
    <row r="14222" spans="9:13" x14ac:dyDescent="0.3">
      <c r="I14222" s="82"/>
      <c r="M14222" s="85"/>
    </row>
    <row r="14223" spans="9:13" x14ac:dyDescent="0.3">
      <c r="I14223" s="82"/>
      <c r="M14223" s="85"/>
    </row>
    <row r="14224" spans="9:13" x14ac:dyDescent="0.3">
      <c r="I14224" s="82"/>
      <c r="M14224" s="85"/>
    </row>
    <row r="14225" spans="9:13" x14ac:dyDescent="0.3">
      <c r="I14225" s="82"/>
      <c r="M14225" s="85"/>
    </row>
    <row r="14226" spans="9:13" x14ac:dyDescent="0.3">
      <c r="I14226" s="82"/>
      <c r="M14226" s="85"/>
    </row>
    <row r="14227" spans="9:13" x14ac:dyDescent="0.3">
      <c r="I14227" s="82"/>
      <c r="M14227" s="85"/>
    </row>
    <row r="14228" spans="9:13" x14ac:dyDescent="0.3">
      <c r="I14228" s="82"/>
      <c r="M14228" s="85"/>
    </row>
    <row r="14229" spans="9:13" x14ac:dyDescent="0.3">
      <c r="I14229" s="82"/>
      <c r="M14229" s="85"/>
    </row>
    <row r="14230" spans="9:13" x14ac:dyDescent="0.3">
      <c r="I14230" s="82"/>
      <c r="M14230" s="85"/>
    </row>
    <row r="14231" spans="9:13" x14ac:dyDescent="0.3">
      <c r="I14231" s="82"/>
      <c r="M14231" s="85"/>
    </row>
    <row r="14232" spans="9:13" x14ac:dyDescent="0.3">
      <c r="I14232" s="82"/>
      <c r="M14232" s="85"/>
    </row>
    <row r="14233" spans="9:13" x14ac:dyDescent="0.3">
      <c r="I14233" s="82"/>
      <c r="M14233" s="85"/>
    </row>
    <row r="14234" spans="9:13" x14ac:dyDescent="0.3">
      <c r="I14234" s="82"/>
      <c r="M14234" s="85"/>
    </row>
    <row r="14235" spans="9:13" x14ac:dyDescent="0.3">
      <c r="I14235" s="82"/>
      <c r="M14235" s="85"/>
    </row>
    <row r="14236" spans="9:13" x14ac:dyDescent="0.3">
      <c r="I14236" s="82"/>
      <c r="M14236" s="85"/>
    </row>
    <row r="14237" spans="9:13" x14ac:dyDescent="0.3">
      <c r="I14237" s="82"/>
      <c r="M14237" s="85"/>
    </row>
    <row r="14238" spans="9:13" x14ac:dyDescent="0.3">
      <c r="I14238" s="82"/>
      <c r="M14238" s="85"/>
    </row>
    <row r="14239" spans="9:13" x14ac:dyDescent="0.3">
      <c r="I14239" s="82"/>
      <c r="M14239" s="85"/>
    </row>
    <row r="14240" spans="9:13" x14ac:dyDescent="0.3">
      <c r="I14240" s="82"/>
      <c r="M14240" s="85"/>
    </row>
    <row r="14241" spans="9:13" x14ac:dyDescent="0.3">
      <c r="I14241" s="82"/>
      <c r="M14241" s="85"/>
    </row>
    <row r="14242" spans="9:13" x14ac:dyDescent="0.3">
      <c r="I14242" s="82"/>
      <c r="M14242" s="85"/>
    </row>
    <row r="14243" spans="9:13" x14ac:dyDescent="0.3">
      <c r="I14243" s="82"/>
      <c r="M14243" s="85"/>
    </row>
    <row r="14244" spans="9:13" x14ac:dyDescent="0.3">
      <c r="I14244" s="82"/>
      <c r="M14244" s="85"/>
    </row>
    <row r="14245" spans="9:13" x14ac:dyDescent="0.3">
      <c r="I14245" s="82"/>
      <c r="M14245" s="85"/>
    </row>
    <row r="14246" spans="9:13" x14ac:dyDescent="0.3">
      <c r="I14246" s="82"/>
      <c r="M14246" s="85"/>
    </row>
    <row r="14247" spans="9:13" x14ac:dyDescent="0.3">
      <c r="I14247" s="82"/>
      <c r="M14247" s="85"/>
    </row>
    <row r="14248" spans="9:13" x14ac:dyDescent="0.3">
      <c r="I14248" s="82"/>
      <c r="M14248" s="85"/>
    </row>
    <row r="14249" spans="9:13" x14ac:dyDescent="0.3">
      <c r="I14249" s="82"/>
      <c r="M14249" s="85"/>
    </row>
    <row r="14250" spans="9:13" x14ac:dyDescent="0.3">
      <c r="I14250" s="82"/>
      <c r="M14250" s="85"/>
    </row>
    <row r="14251" spans="9:13" x14ac:dyDescent="0.3">
      <c r="I14251" s="82"/>
      <c r="M14251" s="85"/>
    </row>
    <row r="14252" spans="9:13" x14ac:dyDescent="0.3">
      <c r="I14252" s="82"/>
      <c r="M14252" s="85"/>
    </row>
    <row r="14253" spans="9:13" x14ac:dyDescent="0.3">
      <c r="I14253" s="82"/>
      <c r="M14253" s="85"/>
    </row>
    <row r="14254" spans="9:13" x14ac:dyDescent="0.3">
      <c r="I14254" s="82"/>
      <c r="M14254" s="85"/>
    </row>
    <row r="14255" spans="9:13" x14ac:dyDescent="0.3">
      <c r="I14255" s="82"/>
      <c r="M14255" s="85"/>
    </row>
    <row r="14256" spans="9:13" x14ac:dyDescent="0.3">
      <c r="I14256" s="82"/>
      <c r="M14256" s="85"/>
    </row>
    <row r="14257" spans="9:13" x14ac:dyDescent="0.3">
      <c r="I14257" s="82"/>
      <c r="M14257" s="85"/>
    </row>
    <row r="14258" spans="9:13" x14ac:dyDescent="0.3">
      <c r="I14258" s="82"/>
      <c r="M14258" s="85"/>
    </row>
    <row r="14259" spans="9:13" x14ac:dyDescent="0.3">
      <c r="I14259" s="82"/>
      <c r="M14259" s="85"/>
    </row>
    <row r="14260" spans="9:13" x14ac:dyDescent="0.3">
      <c r="I14260" s="82"/>
      <c r="M14260" s="85"/>
    </row>
    <row r="14261" spans="9:13" x14ac:dyDescent="0.3">
      <c r="I14261" s="82"/>
      <c r="M14261" s="85"/>
    </row>
    <row r="14262" spans="9:13" x14ac:dyDescent="0.3">
      <c r="I14262" s="82"/>
      <c r="M14262" s="85"/>
    </row>
    <row r="14263" spans="9:13" x14ac:dyDescent="0.3">
      <c r="I14263" s="82"/>
      <c r="M14263" s="85"/>
    </row>
    <row r="14264" spans="9:13" x14ac:dyDescent="0.3">
      <c r="I14264" s="82"/>
      <c r="M14264" s="85"/>
    </row>
    <row r="14265" spans="9:13" x14ac:dyDescent="0.3">
      <c r="I14265" s="82"/>
      <c r="M14265" s="85"/>
    </row>
    <row r="14266" spans="9:13" x14ac:dyDescent="0.3">
      <c r="I14266" s="82"/>
      <c r="M14266" s="85"/>
    </row>
    <row r="14267" spans="9:13" x14ac:dyDescent="0.3">
      <c r="I14267" s="82"/>
      <c r="M14267" s="85"/>
    </row>
    <row r="14268" spans="9:13" x14ac:dyDescent="0.3">
      <c r="I14268" s="82"/>
      <c r="M14268" s="85"/>
    </row>
    <row r="14269" spans="9:13" x14ac:dyDescent="0.3">
      <c r="I14269" s="82"/>
      <c r="M14269" s="85"/>
    </row>
    <row r="14270" spans="9:13" x14ac:dyDescent="0.3">
      <c r="I14270" s="82"/>
      <c r="M14270" s="85"/>
    </row>
    <row r="14271" spans="9:13" x14ac:dyDescent="0.3">
      <c r="I14271" s="82"/>
      <c r="M14271" s="85"/>
    </row>
    <row r="14272" spans="9:13" x14ac:dyDescent="0.3">
      <c r="I14272" s="82"/>
      <c r="M14272" s="85"/>
    </row>
    <row r="14273" spans="9:13" x14ac:dyDescent="0.3">
      <c r="I14273" s="82"/>
      <c r="M14273" s="85"/>
    </row>
    <row r="14274" spans="9:13" x14ac:dyDescent="0.3">
      <c r="I14274" s="82"/>
      <c r="M14274" s="85"/>
    </row>
    <row r="14275" spans="9:13" x14ac:dyDescent="0.3">
      <c r="I14275" s="82"/>
      <c r="M14275" s="85"/>
    </row>
    <row r="14276" spans="9:13" x14ac:dyDescent="0.3">
      <c r="I14276" s="82"/>
      <c r="M14276" s="85"/>
    </row>
    <row r="14277" spans="9:13" x14ac:dyDescent="0.3">
      <c r="I14277" s="82"/>
      <c r="M14277" s="85"/>
    </row>
    <row r="14278" spans="9:13" x14ac:dyDescent="0.3">
      <c r="I14278" s="82"/>
      <c r="M14278" s="85"/>
    </row>
    <row r="14279" spans="9:13" x14ac:dyDescent="0.3">
      <c r="I14279" s="82"/>
      <c r="M14279" s="85"/>
    </row>
    <row r="14280" spans="9:13" x14ac:dyDescent="0.3">
      <c r="I14280" s="82"/>
      <c r="M14280" s="85"/>
    </row>
    <row r="14281" spans="9:13" x14ac:dyDescent="0.3">
      <c r="I14281" s="82"/>
      <c r="M14281" s="85"/>
    </row>
    <row r="14282" spans="9:13" x14ac:dyDescent="0.3">
      <c r="I14282" s="82"/>
      <c r="M14282" s="85"/>
    </row>
    <row r="14283" spans="9:13" x14ac:dyDescent="0.3">
      <c r="I14283" s="82"/>
      <c r="M14283" s="85"/>
    </row>
    <row r="14284" spans="9:13" x14ac:dyDescent="0.3">
      <c r="I14284" s="82"/>
      <c r="M14284" s="85"/>
    </row>
    <row r="14285" spans="9:13" x14ac:dyDescent="0.3">
      <c r="I14285" s="82"/>
      <c r="M14285" s="85"/>
    </row>
    <row r="14286" spans="9:13" x14ac:dyDescent="0.3">
      <c r="I14286" s="82"/>
      <c r="M14286" s="85"/>
    </row>
    <row r="14287" spans="9:13" x14ac:dyDescent="0.3">
      <c r="I14287" s="82"/>
      <c r="M14287" s="85"/>
    </row>
    <row r="14288" spans="9:13" x14ac:dyDescent="0.3">
      <c r="I14288" s="82"/>
      <c r="M14288" s="85"/>
    </row>
    <row r="14289" spans="9:13" x14ac:dyDescent="0.3">
      <c r="I14289" s="82"/>
      <c r="M14289" s="85"/>
    </row>
    <row r="14290" spans="9:13" x14ac:dyDescent="0.3">
      <c r="I14290" s="82"/>
      <c r="M14290" s="85"/>
    </row>
    <row r="14291" spans="9:13" x14ac:dyDescent="0.3">
      <c r="I14291" s="82"/>
      <c r="M14291" s="85"/>
    </row>
    <row r="14292" spans="9:13" x14ac:dyDescent="0.3">
      <c r="I14292" s="82"/>
      <c r="M14292" s="85"/>
    </row>
    <row r="14293" spans="9:13" x14ac:dyDescent="0.3">
      <c r="I14293" s="82"/>
      <c r="M14293" s="85"/>
    </row>
    <row r="14294" spans="9:13" x14ac:dyDescent="0.3">
      <c r="I14294" s="82"/>
      <c r="M14294" s="85"/>
    </row>
    <row r="14295" spans="9:13" x14ac:dyDescent="0.3">
      <c r="I14295" s="82"/>
      <c r="M14295" s="85"/>
    </row>
    <row r="14296" spans="9:13" x14ac:dyDescent="0.3">
      <c r="I14296" s="82"/>
      <c r="M14296" s="85"/>
    </row>
    <row r="14297" spans="9:13" x14ac:dyDescent="0.3">
      <c r="I14297" s="82"/>
      <c r="M14297" s="85"/>
    </row>
    <row r="14298" spans="9:13" x14ac:dyDescent="0.3">
      <c r="I14298" s="82"/>
      <c r="M14298" s="85"/>
    </row>
    <row r="14299" spans="9:13" x14ac:dyDescent="0.3">
      <c r="I14299" s="82"/>
      <c r="M14299" s="85"/>
    </row>
    <row r="14300" spans="9:13" x14ac:dyDescent="0.3">
      <c r="I14300" s="82"/>
      <c r="M14300" s="85"/>
    </row>
    <row r="14301" spans="9:13" x14ac:dyDescent="0.3">
      <c r="I14301" s="82"/>
      <c r="M14301" s="85"/>
    </row>
    <row r="14302" spans="9:13" x14ac:dyDescent="0.3">
      <c r="I14302" s="82"/>
      <c r="M14302" s="85"/>
    </row>
    <row r="14303" spans="9:13" x14ac:dyDescent="0.3">
      <c r="I14303" s="82"/>
      <c r="M14303" s="85"/>
    </row>
    <row r="14304" spans="9:13" x14ac:dyDescent="0.3">
      <c r="I14304" s="82"/>
      <c r="M14304" s="85"/>
    </row>
    <row r="14305" spans="9:13" x14ac:dyDescent="0.3">
      <c r="I14305" s="82"/>
      <c r="M14305" s="85"/>
    </row>
    <row r="14306" spans="9:13" x14ac:dyDescent="0.3">
      <c r="I14306" s="82"/>
      <c r="M14306" s="85"/>
    </row>
    <row r="14307" spans="9:13" x14ac:dyDescent="0.3">
      <c r="I14307" s="82"/>
      <c r="M14307" s="85"/>
    </row>
    <row r="14308" spans="9:13" x14ac:dyDescent="0.3">
      <c r="I14308" s="82"/>
      <c r="M14308" s="85"/>
    </row>
    <row r="14309" spans="9:13" x14ac:dyDescent="0.3">
      <c r="I14309" s="82"/>
      <c r="M14309" s="85"/>
    </row>
    <row r="14310" spans="9:13" x14ac:dyDescent="0.3">
      <c r="I14310" s="82"/>
      <c r="M14310" s="85"/>
    </row>
    <row r="14311" spans="9:13" x14ac:dyDescent="0.3">
      <c r="I14311" s="82"/>
      <c r="M14311" s="85"/>
    </row>
    <row r="14312" spans="9:13" x14ac:dyDescent="0.3">
      <c r="I14312" s="82"/>
      <c r="M14312" s="85"/>
    </row>
    <row r="14313" spans="9:13" x14ac:dyDescent="0.3">
      <c r="I14313" s="82"/>
      <c r="M14313" s="85"/>
    </row>
    <row r="14314" spans="9:13" x14ac:dyDescent="0.3">
      <c r="I14314" s="82"/>
      <c r="M14314" s="85"/>
    </row>
    <row r="14315" spans="9:13" x14ac:dyDescent="0.3">
      <c r="I14315" s="82"/>
      <c r="M14315" s="85"/>
    </row>
    <row r="14316" spans="9:13" x14ac:dyDescent="0.3">
      <c r="I14316" s="82"/>
      <c r="M14316" s="85"/>
    </row>
    <row r="14317" spans="9:13" x14ac:dyDescent="0.3">
      <c r="I14317" s="82"/>
      <c r="M14317" s="85"/>
    </row>
    <row r="14318" spans="9:13" x14ac:dyDescent="0.3">
      <c r="I14318" s="82"/>
      <c r="M14318" s="85"/>
    </row>
    <row r="14319" spans="9:13" x14ac:dyDescent="0.3">
      <c r="I14319" s="82"/>
      <c r="M14319" s="85"/>
    </row>
    <row r="14320" spans="9:13" x14ac:dyDescent="0.3">
      <c r="I14320" s="82"/>
      <c r="M14320" s="85"/>
    </row>
    <row r="14321" spans="9:13" x14ac:dyDescent="0.3">
      <c r="I14321" s="82"/>
      <c r="M14321" s="85"/>
    </row>
    <row r="14322" spans="9:13" x14ac:dyDescent="0.3">
      <c r="I14322" s="82"/>
      <c r="M14322" s="85"/>
    </row>
    <row r="14323" spans="9:13" x14ac:dyDescent="0.3">
      <c r="I14323" s="82"/>
      <c r="M14323" s="85"/>
    </row>
    <row r="14324" spans="9:13" x14ac:dyDescent="0.3">
      <c r="I14324" s="82"/>
      <c r="M14324" s="85"/>
    </row>
    <row r="14325" spans="9:13" x14ac:dyDescent="0.3">
      <c r="I14325" s="82"/>
      <c r="M14325" s="85"/>
    </row>
    <row r="14326" spans="9:13" x14ac:dyDescent="0.3">
      <c r="I14326" s="82"/>
      <c r="M14326" s="85"/>
    </row>
    <row r="14327" spans="9:13" x14ac:dyDescent="0.3">
      <c r="I14327" s="82"/>
      <c r="M14327" s="85"/>
    </row>
    <row r="14328" spans="9:13" x14ac:dyDescent="0.3">
      <c r="I14328" s="82"/>
      <c r="M14328" s="85"/>
    </row>
    <row r="14329" spans="9:13" x14ac:dyDescent="0.3">
      <c r="I14329" s="82"/>
      <c r="M14329" s="85"/>
    </row>
    <row r="14330" spans="9:13" x14ac:dyDescent="0.3">
      <c r="I14330" s="82"/>
      <c r="M14330" s="85"/>
    </row>
    <row r="14331" spans="9:13" x14ac:dyDescent="0.3">
      <c r="I14331" s="82"/>
      <c r="M14331" s="85"/>
    </row>
    <row r="14332" spans="9:13" x14ac:dyDescent="0.3">
      <c r="I14332" s="82"/>
      <c r="M14332" s="85"/>
    </row>
    <row r="14333" spans="9:13" x14ac:dyDescent="0.3">
      <c r="I14333" s="82"/>
      <c r="M14333" s="85"/>
    </row>
    <row r="14334" spans="9:13" x14ac:dyDescent="0.3">
      <c r="I14334" s="82"/>
      <c r="M14334" s="85"/>
    </row>
    <row r="14335" spans="9:13" x14ac:dyDescent="0.3">
      <c r="I14335" s="82"/>
      <c r="M14335" s="85"/>
    </row>
    <row r="14336" spans="9:13" x14ac:dyDescent="0.3">
      <c r="I14336" s="82"/>
      <c r="M14336" s="85"/>
    </row>
    <row r="14337" spans="9:13" x14ac:dyDescent="0.3">
      <c r="I14337" s="82"/>
      <c r="M14337" s="85"/>
    </row>
    <row r="14338" spans="9:13" x14ac:dyDescent="0.3">
      <c r="I14338" s="82"/>
      <c r="M14338" s="85"/>
    </row>
    <row r="14339" spans="9:13" x14ac:dyDescent="0.3">
      <c r="I14339" s="82"/>
      <c r="M14339" s="85"/>
    </row>
    <row r="14340" spans="9:13" x14ac:dyDescent="0.3">
      <c r="I14340" s="82"/>
      <c r="M14340" s="85"/>
    </row>
    <row r="14341" spans="9:13" x14ac:dyDescent="0.3">
      <c r="I14341" s="82"/>
      <c r="M14341" s="85"/>
    </row>
    <row r="14342" spans="9:13" x14ac:dyDescent="0.3">
      <c r="I14342" s="82"/>
      <c r="M14342" s="85"/>
    </row>
    <row r="14343" spans="9:13" x14ac:dyDescent="0.3">
      <c r="I14343" s="82"/>
      <c r="M14343" s="85"/>
    </row>
    <row r="14344" spans="9:13" x14ac:dyDescent="0.3">
      <c r="I14344" s="82"/>
      <c r="M14344" s="85"/>
    </row>
    <row r="14345" spans="9:13" x14ac:dyDescent="0.3">
      <c r="I14345" s="82"/>
      <c r="M14345" s="85"/>
    </row>
    <row r="14346" spans="9:13" x14ac:dyDescent="0.3">
      <c r="I14346" s="82"/>
      <c r="M14346" s="85"/>
    </row>
    <row r="14347" spans="9:13" x14ac:dyDescent="0.3">
      <c r="I14347" s="82"/>
      <c r="M14347" s="85"/>
    </row>
    <row r="14348" spans="9:13" x14ac:dyDescent="0.3">
      <c r="I14348" s="82"/>
      <c r="M14348" s="85"/>
    </row>
    <row r="14349" spans="9:13" x14ac:dyDescent="0.3">
      <c r="I14349" s="82"/>
      <c r="M14349" s="85"/>
    </row>
    <row r="14350" spans="9:13" x14ac:dyDescent="0.3">
      <c r="I14350" s="82"/>
      <c r="M14350" s="85"/>
    </row>
    <row r="14351" spans="9:13" x14ac:dyDescent="0.3">
      <c r="I14351" s="82"/>
      <c r="M14351" s="85"/>
    </row>
    <row r="14352" spans="9:13" x14ac:dyDescent="0.3">
      <c r="I14352" s="82"/>
      <c r="M14352" s="85"/>
    </row>
    <row r="14353" spans="9:13" x14ac:dyDescent="0.3">
      <c r="I14353" s="82"/>
      <c r="M14353" s="85"/>
    </row>
    <row r="14354" spans="9:13" x14ac:dyDescent="0.3">
      <c r="I14354" s="82"/>
      <c r="M14354" s="85"/>
    </row>
    <row r="14355" spans="9:13" x14ac:dyDescent="0.3">
      <c r="I14355" s="82"/>
      <c r="M14355" s="85"/>
    </row>
    <row r="14356" spans="9:13" x14ac:dyDescent="0.3">
      <c r="I14356" s="82"/>
      <c r="M14356" s="85"/>
    </row>
    <row r="14357" spans="9:13" x14ac:dyDescent="0.3">
      <c r="I14357" s="82"/>
      <c r="M14357" s="85"/>
    </row>
    <row r="14358" spans="9:13" x14ac:dyDescent="0.3">
      <c r="I14358" s="82"/>
      <c r="M14358" s="85"/>
    </row>
    <row r="14359" spans="9:13" x14ac:dyDescent="0.3">
      <c r="I14359" s="82"/>
      <c r="M14359" s="85"/>
    </row>
    <row r="14360" spans="9:13" x14ac:dyDescent="0.3">
      <c r="I14360" s="82"/>
      <c r="M14360" s="85"/>
    </row>
    <row r="14361" spans="9:13" x14ac:dyDescent="0.3">
      <c r="I14361" s="82"/>
      <c r="M14361" s="85"/>
    </row>
    <row r="14362" spans="9:13" x14ac:dyDescent="0.3">
      <c r="I14362" s="82"/>
      <c r="M14362" s="85"/>
    </row>
    <row r="14363" spans="9:13" x14ac:dyDescent="0.3">
      <c r="I14363" s="82"/>
      <c r="M14363" s="85"/>
    </row>
    <row r="14364" spans="9:13" x14ac:dyDescent="0.3">
      <c r="I14364" s="82"/>
      <c r="M14364" s="85"/>
    </row>
    <row r="14365" spans="9:13" x14ac:dyDescent="0.3">
      <c r="I14365" s="82"/>
      <c r="M14365" s="85"/>
    </row>
    <row r="14366" spans="9:13" x14ac:dyDescent="0.3">
      <c r="I14366" s="82"/>
      <c r="M14366" s="85"/>
    </row>
    <row r="14367" spans="9:13" x14ac:dyDescent="0.3">
      <c r="I14367" s="82"/>
      <c r="M14367" s="85"/>
    </row>
    <row r="14368" spans="9:13" x14ac:dyDescent="0.3">
      <c r="I14368" s="82"/>
      <c r="M14368" s="85"/>
    </row>
    <row r="14369" spans="9:13" x14ac:dyDescent="0.3">
      <c r="I14369" s="82"/>
      <c r="M14369" s="85"/>
    </row>
    <row r="14370" spans="9:13" x14ac:dyDescent="0.3">
      <c r="I14370" s="82"/>
      <c r="M14370" s="85"/>
    </row>
    <row r="14371" spans="9:13" x14ac:dyDescent="0.3">
      <c r="I14371" s="82"/>
      <c r="M14371" s="85"/>
    </row>
    <row r="14372" spans="9:13" x14ac:dyDescent="0.3">
      <c r="I14372" s="82"/>
      <c r="M14372" s="85"/>
    </row>
    <row r="14373" spans="9:13" x14ac:dyDescent="0.3">
      <c r="I14373" s="82"/>
      <c r="M14373" s="85"/>
    </row>
    <row r="14374" spans="9:13" x14ac:dyDescent="0.3">
      <c r="I14374" s="82"/>
      <c r="M14374" s="85"/>
    </row>
    <row r="14375" spans="9:13" x14ac:dyDescent="0.3">
      <c r="I14375" s="82"/>
      <c r="M14375" s="85"/>
    </row>
    <row r="14376" spans="9:13" x14ac:dyDescent="0.3">
      <c r="I14376" s="82"/>
      <c r="M14376" s="85"/>
    </row>
    <row r="14377" spans="9:13" x14ac:dyDescent="0.3">
      <c r="I14377" s="82"/>
      <c r="M14377" s="85"/>
    </row>
    <row r="14378" spans="9:13" x14ac:dyDescent="0.3">
      <c r="I14378" s="82"/>
      <c r="M14378" s="85"/>
    </row>
    <row r="14379" spans="9:13" x14ac:dyDescent="0.3">
      <c r="I14379" s="82"/>
      <c r="M14379" s="85"/>
    </row>
    <row r="14380" spans="9:13" x14ac:dyDescent="0.3">
      <c r="I14380" s="82"/>
      <c r="M14380" s="85"/>
    </row>
    <row r="14381" spans="9:13" x14ac:dyDescent="0.3">
      <c r="I14381" s="82"/>
      <c r="M14381" s="85"/>
    </row>
    <row r="14382" spans="9:13" x14ac:dyDescent="0.3">
      <c r="I14382" s="82"/>
      <c r="M14382" s="85"/>
    </row>
    <row r="14383" spans="9:13" x14ac:dyDescent="0.3">
      <c r="I14383" s="82"/>
      <c r="M14383" s="85"/>
    </row>
    <row r="14384" spans="9:13" x14ac:dyDescent="0.3">
      <c r="I14384" s="82"/>
      <c r="M14384" s="85"/>
    </row>
    <row r="14385" spans="9:13" x14ac:dyDescent="0.3">
      <c r="I14385" s="82"/>
      <c r="M14385" s="85"/>
    </row>
    <row r="14386" spans="9:13" x14ac:dyDescent="0.3">
      <c r="I14386" s="82"/>
      <c r="M14386" s="85"/>
    </row>
    <row r="14387" spans="9:13" x14ac:dyDescent="0.3">
      <c r="I14387" s="82"/>
      <c r="M14387" s="85"/>
    </row>
    <row r="14388" spans="9:13" x14ac:dyDescent="0.3">
      <c r="I14388" s="82"/>
      <c r="M14388" s="85"/>
    </row>
    <row r="14389" spans="9:13" x14ac:dyDescent="0.3">
      <c r="I14389" s="82"/>
      <c r="M14389" s="85"/>
    </row>
    <row r="14390" spans="9:13" x14ac:dyDescent="0.3">
      <c r="I14390" s="82"/>
      <c r="M14390" s="85"/>
    </row>
    <row r="14391" spans="9:13" x14ac:dyDescent="0.3">
      <c r="I14391" s="82"/>
      <c r="M14391" s="85"/>
    </row>
    <row r="14392" spans="9:13" x14ac:dyDescent="0.3">
      <c r="I14392" s="82"/>
      <c r="M14392" s="85"/>
    </row>
    <row r="14393" spans="9:13" x14ac:dyDescent="0.3">
      <c r="I14393" s="82"/>
      <c r="M14393" s="85"/>
    </row>
    <row r="14394" spans="9:13" x14ac:dyDescent="0.3">
      <c r="I14394" s="82"/>
      <c r="M14394" s="85"/>
    </row>
    <row r="14395" spans="9:13" x14ac:dyDescent="0.3">
      <c r="I14395" s="82"/>
      <c r="M14395" s="85"/>
    </row>
    <row r="14396" spans="9:13" x14ac:dyDescent="0.3">
      <c r="I14396" s="82"/>
      <c r="M14396" s="85"/>
    </row>
    <row r="14397" spans="9:13" x14ac:dyDescent="0.3">
      <c r="I14397" s="82"/>
      <c r="M14397" s="85"/>
    </row>
    <row r="14398" spans="9:13" x14ac:dyDescent="0.3">
      <c r="I14398" s="82"/>
      <c r="M14398" s="85"/>
    </row>
    <row r="14399" spans="9:13" x14ac:dyDescent="0.3">
      <c r="I14399" s="82"/>
      <c r="M14399" s="85"/>
    </row>
    <row r="14400" spans="9:13" x14ac:dyDescent="0.3">
      <c r="I14400" s="82"/>
      <c r="M14400" s="85"/>
    </row>
    <row r="14401" spans="9:13" x14ac:dyDescent="0.3">
      <c r="I14401" s="82"/>
      <c r="M14401" s="85"/>
    </row>
    <row r="14402" spans="9:13" x14ac:dyDescent="0.3">
      <c r="I14402" s="82"/>
      <c r="M14402" s="85"/>
    </row>
    <row r="14403" spans="9:13" x14ac:dyDescent="0.3">
      <c r="I14403" s="82"/>
      <c r="M14403" s="85"/>
    </row>
    <row r="14404" spans="9:13" x14ac:dyDescent="0.3">
      <c r="I14404" s="82"/>
      <c r="M14404" s="85"/>
    </row>
    <row r="14405" spans="9:13" x14ac:dyDescent="0.3">
      <c r="I14405" s="82"/>
      <c r="M14405" s="85"/>
    </row>
    <row r="14406" spans="9:13" x14ac:dyDescent="0.3">
      <c r="I14406" s="82"/>
      <c r="M14406" s="85"/>
    </row>
    <row r="14407" spans="9:13" x14ac:dyDescent="0.3">
      <c r="I14407" s="82"/>
      <c r="M14407" s="85"/>
    </row>
    <row r="14408" spans="9:13" x14ac:dyDescent="0.3">
      <c r="I14408" s="82"/>
      <c r="M14408" s="85"/>
    </row>
    <row r="14409" spans="9:13" x14ac:dyDescent="0.3">
      <c r="I14409" s="82"/>
      <c r="M14409" s="85"/>
    </row>
    <row r="14410" spans="9:13" x14ac:dyDescent="0.3">
      <c r="I14410" s="82"/>
      <c r="M14410" s="85"/>
    </row>
    <row r="14411" spans="9:13" x14ac:dyDescent="0.3">
      <c r="I14411" s="82"/>
      <c r="M14411" s="85"/>
    </row>
    <row r="14412" spans="9:13" x14ac:dyDescent="0.3">
      <c r="I14412" s="82"/>
      <c r="M14412" s="85"/>
    </row>
    <row r="14413" spans="9:13" x14ac:dyDescent="0.3">
      <c r="I14413" s="82"/>
      <c r="M14413" s="85"/>
    </row>
    <row r="14414" spans="9:13" x14ac:dyDescent="0.3">
      <c r="I14414" s="82"/>
      <c r="M14414" s="85"/>
    </row>
    <row r="14415" spans="9:13" x14ac:dyDescent="0.3">
      <c r="I14415" s="82"/>
      <c r="M14415" s="85"/>
    </row>
    <row r="14416" spans="9:13" x14ac:dyDescent="0.3">
      <c r="I14416" s="82"/>
      <c r="M14416" s="85"/>
    </row>
    <row r="14417" spans="9:13" x14ac:dyDescent="0.3">
      <c r="I14417" s="82"/>
      <c r="M14417" s="85"/>
    </row>
    <row r="14418" spans="9:13" x14ac:dyDescent="0.3">
      <c r="I14418" s="82"/>
      <c r="M14418" s="85"/>
    </row>
    <row r="14419" spans="9:13" x14ac:dyDescent="0.3">
      <c r="I14419" s="82"/>
      <c r="M14419" s="85"/>
    </row>
    <row r="14420" spans="9:13" x14ac:dyDescent="0.3">
      <c r="I14420" s="82"/>
      <c r="M14420" s="85"/>
    </row>
    <row r="14421" spans="9:13" x14ac:dyDescent="0.3">
      <c r="I14421" s="82"/>
      <c r="M14421" s="85"/>
    </row>
    <row r="14422" spans="9:13" x14ac:dyDescent="0.3">
      <c r="I14422" s="82"/>
      <c r="M14422" s="85"/>
    </row>
    <row r="14423" spans="9:13" x14ac:dyDescent="0.3">
      <c r="I14423" s="82"/>
      <c r="M14423" s="85"/>
    </row>
    <row r="14424" spans="9:13" x14ac:dyDescent="0.3">
      <c r="I14424" s="82"/>
      <c r="M14424" s="85"/>
    </row>
    <row r="14425" spans="9:13" x14ac:dyDescent="0.3">
      <c r="I14425" s="82"/>
      <c r="M14425" s="85"/>
    </row>
    <row r="14426" spans="9:13" x14ac:dyDescent="0.3">
      <c r="I14426" s="82"/>
      <c r="M14426" s="85"/>
    </row>
    <row r="14427" spans="9:13" x14ac:dyDescent="0.3">
      <c r="I14427" s="82"/>
      <c r="M14427" s="85"/>
    </row>
    <row r="14428" spans="9:13" x14ac:dyDescent="0.3">
      <c r="I14428" s="82"/>
      <c r="M14428" s="85"/>
    </row>
    <row r="14429" spans="9:13" x14ac:dyDescent="0.3">
      <c r="I14429" s="82"/>
      <c r="M14429" s="85"/>
    </row>
    <row r="14430" spans="9:13" x14ac:dyDescent="0.3">
      <c r="I14430" s="82"/>
      <c r="M14430" s="85"/>
    </row>
    <row r="14431" spans="9:13" x14ac:dyDescent="0.3">
      <c r="I14431" s="82"/>
      <c r="M14431" s="85"/>
    </row>
    <row r="14432" spans="9:13" x14ac:dyDescent="0.3">
      <c r="I14432" s="82"/>
      <c r="M14432" s="85"/>
    </row>
    <row r="14433" spans="9:13" x14ac:dyDescent="0.3">
      <c r="I14433" s="82"/>
      <c r="M14433" s="85"/>
    </row>
    <row r="14434" spans="9:13" x14ac:dyDescent="0.3">
      <c r="I14434" s="82"/>
      <c r="M14434" s="85"/>
    </row>
    <row r="14435" spans="9:13" x14ac:dyDescent="0.3">
      <c r="I14435" s="82"/>
      <c r="M14435" s="85"/>
    </row>
    <row r="14436" spans="9:13" x14ac:dyDescent="0.3">
      <c r="I14436" s="82"/>
      <c r="M14436" s="85"/>
    </row>
    <row r="14437" spans="9:13" x14ac:dyDescent="0.3">
      <c r="I14437" s="82"/>
      <c r="M14437" s="85"/>
    </row>
    <row r="14438" spans="9:13" x14ac:dyDescent="0.3">
      <c r="I14438" s="82"/>
      <c r="M14438" s="85"/>
    </row>
    <row r="14439" spans="9:13" x14ac:dyDescent="0.3">
      <c r="I14439" s="82"/>
      <c r="M14439" s="85"/>
    </row>
    <row r="14440" spans="9:13" x14ac:dyDescent="0.3">
      <c r="I14440" s="82"/>
      <c r="M14440" s="85"/>
    </row>
    <row r="14441" spans="9:13" x14ac:dyDescent="0.3">
      <c r="I14441" s="82"/>
      <c r="M14441" s="85"/>
    </row>
    <row r="14442" spans="9:13" x14ac:dyDescent="0.3">
      <c r="I14442" s="82"/>
      <c r="M14442" s="85"/>
    </row>
    <row r="14443" spans="9:13" x14ac:dyDescent="0.3">
      <c r="I14443" s="82"/>
      <c r="M14443" s="85"/>
    </row>
    <row r="14444" spans="9:13" x14ac:dyDescent="0.3">
      <c r="I14444" s="82"/>
      <c r="M14444" s="85"/>
    </row>
    <row r="14445" spans="9:13" x14ac:dyDescent="0.3">
      <c r="I14445" s="82"/>
      <c r="M14445" s="85"/>
    </row>
    <row r="14446" spans="9:13" x14ac:dyDescent="0.3">
      <c r="I14446" s="82"/>
      <c r="M14446" s="85"/>
    </row>
    <row r="14447" spans="9:13" x14ac:dyDescent="0.3">
      <c r="I14447" s="82"/>
      <c r="M14447" s="85"/>
    </row>
    <row r="14448" spans="9:13" x14ac:dyDescent="0.3">
      <c r="I14448" s="82"/>
      <c r="M14448" s="85"/>
    </row>
    <row r="14449" spans="9:13" x14ac:dyDescent="0.3">
      <c r="I14449" s="82"/>
      <c r="M14449" s="85"/>
    </row>
    <row r="14450" spans="9:13" x14ac:dyDescent="0.3">
      <c r="I14450" s="82"/>
      <c r="M14450" s="85"/>
    </row>
    <row r="14451" spans="9:13" x14ac:dyDescent="0.3">
      <c r="I14451" s="82"/>
      <c r="M14451" s="85"/>
    </row>
    <row r="14452" spans="9:13" x14ac:dyDescent="0.3">
      <c r="I14452" s="82"/>
      <c r="M14452" s="85"/>
    </row>
    <row r="14453" spans="9:13" x14ac:dyDescent="0.3">
      <c r="I14453" s="82"/>
      <c r="M14453" s="85"/>
    </row>
    <row r="14454" spans="9:13" x14ac:dyDescent="0.3">
      <c r="I14454" s="82"/>
      <c r="M14454" s="85"/>
    </row>
    <row r="14455" spans="9:13" x14ac:dyDescent="0.3">
      <c r="I14455" s="82"/>
      <c r="M14455" s="85"/>
    </row>
    <row r="14456" spans="9:13" x14ac:dyDescent="0.3">
      <c r="I14456" s="82"/>
      <c r="M14456" s="85"/>
    </row>
    <row r="14457" spans="9:13" x14ac:dyDescent="0.3">
      <c r="I14457" s="82"/>
      <c r="M14457" s="85"/>
    </row>
    <row r="14458" spans="9:13" x14ac:dyDescent="0.3">
      <c r="I14458" s="82"/>
      <c r="M14458" s="85"/>
    </row>
    <row r="14459" spans="9:13" x14ac:dyDescent="0.3">
      <c r="I14459" s="82"/>
      <c r="M14459" s="85"/>
    </row>
    <row r="14460" spans="9:13" x14ac:dyDescent="0.3">
      <c r="I14460" s="82"/>
      <c r="M14460" s="85"/>
    </row>
    <row r="14461" spans="9:13" x14ac:dyDescent="0.3">
      <c r="I14461" s="82"/>
      <c r="M14461" s="85"/>
    </row>
    <row r="14462" spans="9:13" x14ac:dyDescent="0.3">
      <c r="I14462" s="82"/>
      <c r="M14462" s="85"/>
    </row>
    <row r="14463" spans="9:13" x14ac:dyDescent="0.3">
      <c r="I14463" s="82"/>
      <c r="M14463" s="85"/>
    </row>
    <row r="14464" spans="9:13" x14ac:dyDescent="0.3">
      <c r="I14464" s="82"/>
      <c r="M14464" s="85"/>
    </row>
    <row r="14465" spans="9:13" x14ac:dyDescent="0.3">
      <c r="I14465" s="82"/>
      <c r="M14465" s="85"/>
    </row>
    <row r="14466" spans="9:13" x14ac:dyDescent="0.3">
      <c r="I14466" s="82"/>
      <c r="M14466" s="85"/>
    </row>
    <row r="14467" spans="9:13" x14ac:dyDescent="0.3">
      <c r="I14467" s="82"/>
      <c r="M14467" s="85"/>
    </row>
    <row r="14468" spans="9:13" x14ac:dyDescent="0.3">
      <c r="I14468" s="82"/>
      <c r="M14468" s="85"/>
    </row>
    <row r="14469" spans="9:13" x14ac:dyDescent="0.3">
      <c r="I14469" s="82"/>
      <c r="M14469" s="85"/>
    </row>
    <row r="14470" spans="9:13" x14ac:dyDescent="0.3">
      <c r="I14470" s="82"/>
      <c r="M14470" s="85"/>
    </row>
    <row r="14471" spans="9:13" x14ac:dyDescent="0.3">
      <c r="I14471" s="82"/>
      <c r="M14471" s="85"/>
    </row>
    <row r="14472" spans="9:13" x14ac:dyDescent="0.3">
      <c r="I14472" s="82"/>
      <c r="M14472" s="85"/>
    </row>
    <row r="14473" spans="9:13" x14ac:dyDescent="0.3">
      <c r="I14473" s="82"/>
      <c r="M14473" s="85"/>
    </row>
    <row r="14474" spans="9:13" x14ac:dyDescent="0.3">
      <c r="I14474" s="82"/>
      <c r="M14474" s="85"/>
    </row>
    <row r="14475" spans="9:13" x14ac:dyDescent="0.3">
      <c r="I14475" s="82"/>
      <c r="M14475" s="85"/>
    </row>
    <row r="14476" spans="9:13" x14ac:dyDescent="0.3">
      <c r="I14476" s="82"/>
      <c r="M14476" s="85"/>
    </row>
    <row r="14477" spans="9:13" x14ac:dyDescent="0.3">
      <c r="I14477" s="82"/>
      <c r="M14477" s="85"/>
    </row>
    <row r="14478" spans="9:13" x14ac:dyDescent="0.3">
      <c r="I14478" s="82"/>
      <c r="M14478" s="85"/>
    </row>
    <row r="14479" spans="9:13" x14ac:dyDescent="0.3">
      <c r="I14479" s="82"/>
      <c r="M14479" s="85"/>
    </row>
    <row r="14480" spans="9:13" x14ac:dyDescent="0.3">
      <c r="I14480" s="82"/>
      <c r="M14480" s="85"/>
    </row>
    <row r="14481" spans="9:13" x14ac:dyDescent="0.3">
      <c r="I14481" s="82"/>
      <c r="M14481" s="85"/>
    </row>
    <row r="14482" spans="9:13" x14ac:dyDescent="0.3">
      <c r="I14482" s="82"/>
      <c r="M14482" s="85"/>
    </row>
    <row r="14483" spans="9:13" x14ac:dyDescent="0.3">
      <c r="I14483" s="82"/>
      <c r="M14483" s="85"/>
    </row>
    <row r="14484" spans="9:13" x14ac:dyDescent="0.3">
      <c r="I14484" s="82"/>
      <c r="M14484" s="85"/>
    </row>
    <row r="14485" spans="9:13" x14ac:dyDescent="0.3">
      <c r="I14485" s="82"/>
      <c r="M14485" s="85"/>
    </row>
    <row r="14486" spans="9:13" x14ac:dyDescent="0.3">
      <c r="I14486" s="82"/>
      <c r="M14486" s="85"/>
    </row>
    <row r="14487" spans="9:13" x14ac:dyDescent="0.3">
      <c r="I14487" s="82"/>
      <c r="M14487" s="85"/>
    </row>
    <row r="14488" spans="9:13" x14ac:dyDescent="0.3">
      <c r="I14488" s="82"/>
      <c r="M14488" s="85"/>
    </row>
    <row r="14489" spans="9:13" x14ac:dyDescent="0.3">
      <c r="I14489" s="82"/>
      <c r="M14489" s="85"/>
    </row>
    <row r="14490" spans="9:13" x14ac:dyDescent="0.3">
      <c r="I14490" s="82"/>
      <c r="M14490" s="85"/>
    </row>
    <row r="14491" spans="9:13" x14ac:dyDescent="0.3">
      <c r="I14491" s="82"/>
      <c r="M14491" s="85"/>
    </row>
    <row r="14492" spans="9:13" x14ac:dyDescent="0.3">
      <c r="I14492" s="82"/>
      <c r="M14492" s="85"/>
    </row>
    <row r="14493" spans="9:13" x14ac:dyDescent="0.3">
      <c r="I14493" s="82"/>
      <c r="M14493" s="85"/>
    </row>
    <row r="14494" spans="9:13" x14ac:dyDescent="0.3">
      <c r="I14494" s="82"/>
      <c r="M14494" s="85"/>
    </row>
    <row r="14495" spans="9:13" x14ac:dyDescent="0.3">
      <c r="I14495" s="82"/>
      <c r="M14495" s="85"/>
    </row>
    <row r="14496" spans="9:13" x14ac:dyDescent="0.3">
      <c r="I14496" s="82"/>
      <c r="M14496" s="85"/>
    </row>
    <row r="14497" spans="9:13" x14ac:dyDescent="0.3">
      <c r="I14497" s="82"/>
      <c r="M14497" s="85"/>
    </row>
    <row r="14498" spans="9:13" x14ac:dyDescent="0.3">
      <c r="I14498" s="82"/>
      <c r="M14498" s="85"/>
    </row>
    <row r="14499" spans="9:13" x14ac:dyDescent="0.3">
      <c r="I14499" s="82"/>
      <c r="M14499" s="85"/>
    </row>
    <row r="14500" spans="9:13" x14ac:dyDescent="0.3">
      <c r="I14500" s="82"/>
      <c r="M14500" s="85"/>
    </row>
    <row r="14501" spans="9:13" x14ac:dyDescent="0.3">
      <c r="I14501" s="82"/>
      <c r="M14501" s="85"/>
    </row>
    <row r="14502" spans="9:13" x14ac:dyDescent="0.3">
      <c r="I14502" s="82"/>
      <c r="M14502" s="85"/>
    </row>
    <row r="14503" spans="9:13" x14ac:dyDescent="0.3">
      <c r="I14503" s="82"/>
      <c r="M14503" s="85"/>
    </row>
    <row r="14504" spans="9:13" x14ac:dyDescent="0.3">
      <c r="I14504" s="82"/>
      <c r="M14504" s="85"/>
    </row>
    <row r="14505" spans="9:13" x14ac:dyDescent="0.3">
      <c r="I14505" s="82"/>
      <c r="M14505" s="85"/>
    </row>
    <row r="14506" spans="9:13" x14ac:dyDescent="0.3">
      <c r="I14506" s="82"/>
      <c r="M14506" s="85"/>
    </row>
    <row r="14507" spans="9:13" x14ac:dyDescent="0.3">
      <c r="I14507" s="82"/>
      <c r="M14507" s="85"/>
    </row>
    <row r="14508" spans="9:13" x14ac:dyDescent="0.3">
      <c r="I14508" s="82"/>
      <c r="M14508" s="85"/>
    </row>
    <row r="14509" spans="9:13" x14ac:dyDescent="0.3">
      <c r="I14509" s="82"/>
      <c r="M14509" s="85"/>
    </row>
    <row r="14510" spans="9:13" x14ac:dyDescent="0.3">
      <c r="I14510" s="82"/>
      <c r="M14510" s="85"/>
    </row>
    <row r="14511" spans="9:13" x14ac:dyDescent="0.3">
      <c r="I14511" s="82"/>
      <c r="M14511" s="85"/>
    </row>
    <row r="14512" spans="9:13" x14ac:dyDescent="0.3">
      <c r="I14512" s="82"/>
      <c r="M14512" s="85"/>
    </row>
    <row r="14513" spans="9:13" x14ac:dyDescent="0.3">
      <c r="I14513" s="82"/>
      <c r="M14513" s="85"/>
    </row>
    <row r="14514" spans="9:13" x14ac:dyDescent="0.3">
      <c r="I14514" s="82"/>
      <c r="M14514" s="85"/>
    </row>
    <row r="14515" spans="9:13" x14ac:dyDescent="0.3">
      <c r="I14515" s="82"/>
      <c r="M14515" s="85"/>
    </row>
    <row r="14516" spans="9:13" x14ac:dyDescent="0.3">
      <c r="I14516" s="82"/>
      <c r="M14516" s="85"/>
    </row>
    <row r="14517" spans="9:13" x14ac:dyDescent="0.3">
      <c r="I14517" s="82"/>
      <c r="M14517" s="85"/>
    </row>
    <row r="14518" spans="9:13" x14ac:dyDescent="0.3">
      <c r="I14518" s="82"/>
      <c r="M14518" s="85"/>
    </row>
    <row r="14519" spans="9:13" x14ac:dyDescent="0.3">
      <c r="I14519" s="82"/>
      <c r="M14519" s="85"/>
    </row>
    <row r="14520" spans="9:13" x14ac:dyDescent="0.3">
      <c r="I14520" s="82"/>
      <c r="M14520" s="85"/>
    </row>
    <row r="14521" spans="9:13" x14ac:dyDescent="0.3">
      <c r="I14521" s="82"/>
      <c r="M14521" s="85"/>
    </row>
    <row r="14522" spans="9:13" x14ac:dyDescent="0.3">
      <c r="I14522" s="82"/>
      <c r="M14522" s="85"/>
    </row>
    <row r="14523" spans="9:13" x14ac:dyDescent="0.3">
      <c r="I14523" s="82"/>
      <c r="M14523" s="85"/>
    </row>
    <row r="14524" spans="9:13" x14ac:dyDescent="0.3">
      <c r="I14524" s="82"/>
      <c r="M14524" s="85"/>
    </row>
    <row r="14525" spans="9:13" x14ac:dyDescent="0.3">
      <c r="I14525" s="82"/>
      <c r="M14525" s="85"/>
    </row>
    <row r="14526" spans="9:13" x14ac:dyDescent="0.3">
      <c r="I14526" s="82"/>
      <c r="M14526" s="85"/>
    </row>
    <row r="14527" spans="9:13" x14ac:dyDescent="0.3">
      <c r="I14527" s="82"/>
      <c r="M14527" s="85"/>
    </row>
    <row r="14528" spans="9:13" x14ac:dyDescent="0.3">
      <c r="I14528" s="82"/>
      <c r="M14528" s="85"/>
    </row>
    <row r="14529" spans="9:13" x14ac:dyDescent="0.3">
      <c r="I14529" s="82"/>
      <c r="M14529" s="85"/>
    </row>
    <row r="14530" spans="9:13" x14ac:dyDescent="0.3">
      <c r="I14530" s="82"/>
      <c r="M14530" s="85"/>
    </row>
    <row r="14531" spans="9:13" x14ac:dyDescent="0.3">
      <c r="I14531" s="82"/>
      <c r="M14531" s="85"/>
    </row>
    <row r="14532" spans="9:13" x14ac:dyDescent="0.3">
      <c r="I14532" s="82"/>
      <c r="M14532" s="85"/>
    </row>
    <row r="14533" spans="9:13" x14ac:dyDescent="0.3">
      <c r="I14533" s="82"/>
      <c r="M14533" s="85"/>
    </row>
    <row r="14534" spans="9:13" x14ac:dyDescent="0.3">
      <c r="I14534" s="82"/>
      <c r="M14534" s="85"/>
    </row>
    <row r="14535" spans="9:13" x14ac:dyDescent="0.3">
      <c r="I14535" s="82"/>
      <c r="M14535" s="85"/>
    </row>
    <row r="14536" spans="9:13" x14ac:dyDescent="0.3">
      <c r="I14536" s="82"/>
      <c r="M14536" s="85"/>
    </row>
    <row r="14537" spans="9:13" x14ac:dyDescent="0.3">
      <c r="I14537" s="82"/>
      <c r="M14537" s="85"/>
    </row>
    <row r="14538" spans="9:13" x14ac:dyDescent="0.3">
      <c r="I14538" s="82"/>
      <c r="M14538" s="85"/>
    </row>
    <row r="14539" spans="9:13" x14ac:dyDescent="0.3">
      <c r="I14539" s="82"/>
      <c r="M14539" s="85"/>
    </row>
    <row r="14540" spans="9:13" x14ac:dyDescent="0.3">
      <c r="I14540" s="82"/>
      <c r="M14540" s="85"/>
    </row>
    <row r="14541" spans="9:13" x14ac:dyDescent="0.3">
      <c r="I14541" s="82"/>
      <c r="M14541" s="85"/>
    </row>
    <row r="14542" spans="9:13" x14ac:dyDescent="0.3">
      <c r="I14542" s="82"/>
      <c r="M14542" s="85"/>
    </row>
    <row r="14543" spans="9:13" x14ac:dyDescent="0.3">
      <c r="I14543" s="82"/>
      <c r="M14543" s="85"/>
    </row>
    <row r="14544" spans="9:13" x14ac:dyDescent="0.3">
      <c r="I14544" s="82"/>
      <c r="M14544" s="85"/>
    </row>
    <row r="14545" spans="9:13" x14ac:dyDescent="0.3">
      <c r="I14545" s="82"/>
      <c r="M14545" s="85"/>
    </row>
    <row r="14546" spans="9:13" x14ac:dyDescent="0.3">
      <c r="I14546" s="82"/>
      <c r="M14546" s="85"/>
    </row>
    <row r="14547" spans="9:13" x14ac:dyDescent="0.3">
      <c r="I14547" s="82"/>
      <c r="M14547" s="85"/>
    </row>
    <row r="14548" spans="9:13" x14ac:dyDescent="0.3">
      <c r="I14548" s="82"/>
      <c r="M14548" s="85"/>
    </row>
    <row r="14549" spans="9:13" x14ac:dyDescent="0.3">
      <c r="I14549" s="82"/>
      <c r="M14549" s="85"/>
    </row>
    <row r="14550" spans="9:13" x14ac:dyDescent="0.3">
      <c r="I14550" s="82"/>
      <c r="M14550" s="85"/>
    </row>
    <row r="14551" spans="9:13" x14ac:dyDescent="0.3">
      <c r="I14551" s="82"/>
      <c r="M14551" s="85"/>
    </row>
    <row r="14552" spans="9:13" x14ac:dyDescent="0.3">
      <c r="I14552" s="82"/>
      <c r="M14552" s="85"/>
    </row>
    <row r="14553" spans="9:13" x14ac:dyDescent="0.3">
      <c r="I14553" s="82"/>
      <c r="M14553" s="85"/>
    </row>
    <row r="14554" spans="9:13" x14ac:dyDescent="0.3">
      <c r="I14554" s="82"/>
      <c r="M14554" s="85"/>
    </row>
    <row r="14555" spans="9:13" x14ac:dyDescent="0.3">
      <c r="I14555" s="82"/>
      <c r="M14555" s="85"/>
    </row>
    <row r="14556" spans="9:13" x14ac:dyDescent="0.3">
      <c r="I14556" s="82"/>
      <c r="M14556" s="85"/>
    </row>
    <row r="14557" spans="9:13" x14ac:dyDescent="0.3">
      <c r="I14557" s="82"/>
      <c r="M14557" s="85"/>
    </row>
    <row r="14558" spans="9:13" x14ac:dyDescent="0.3">
      <c r="I14558" s="82"/>
      <c r="M14558" s="85"/>
    </row>
    <row r="14559" spans="9:13" x14ac:dyDescent="0.3">
      <c r="I14559" s="82"/>
      <c r="M14559" s="85"/>
    </row>
    <row r="14560" spans="9:13" x14ac:dyDescent="0.3">
      <c r="I14560" s="82"/>
      <c r="M14560" s="85"/>
    </row>
    <row r="14561" spans="9:13" x14ac:dyDescent="0.3">
      <c r="I14561" s="82"/>
      <c r="M14561" s="85"/>
    </row>
    <row r="14562" spans="9:13" x14ac:dyDescent="0.3">
      <c r="I14562" s="82"/>
      <c r="M14562" s="85"/>
    </row>
    <row r="14563" spans="9:13" x14ac:dyDescent="0.3">
      <c r="I14563" s="82"/>
      <c r="M14563" s="85"/>
    </row>
    <row r="14564" spans="9:13" x14ac:dyDescent="0.3">
      <c r="I14564" s="82"/>
      <c r="M14564" s="85"/>
    </row>
    <row r="14565" spans="9:13" x14ac:dyDescent="0.3">
      <c r="I14565" s="82"/>
      <c r="M14565" s="85"/>
    </row>
    <row r="14566" spans="9:13" x14ac:dyDescent="0.3">
      <c r="I14566" s="82"/>
      <c r="M14566" s="85"/>
    </row>
    <row r="14567" spans="9:13" x14ac:dyDescent="0.3">
      <c r="I14567" s="82"/>
      <c r="M14567" s="85"/>
    </row>
    <row r="14568" spans="9:13" x14ac:dyDescent="0.3">
      <c r="I14568" s="82"/>
      <c r="M14568" s="85"/>
    </row>
    <row r="14569" spans="9:13" x14ac:dyDescent="0.3">
      <c r="I14569" s="82"/>
      <c r="M14569" s="85"/>
    </row>
    <row r="14570" spans="9:13" x14ac:dyDescent="0.3">
      <c r="I14570" s="82"/>
      <c r="M14570" s="85"/>
    </row>
    <row r="14571" spans="9:13" x14ac:dyDescent="0.3">
      <c r="I14571" s="82"/>
      <c r="M14571" s="85"/>
    </row>
    <row r="14572" spans="9:13" x14ac:dyDescent="0.3">
      <c r="I14572" s="82"/>
      <c r="M14572" s="85"/>
    </row>
    <row r="14573" spans="9:13" x14ac:dyDescent="0.3">
      <c r="I14573" s="82"/>
      <c r="M14573" s="85"/>
    </row>
    <row r="14574" spans="9:13" x14ac:dyDescent="0.3">
      <c r="I14574" s="82"/>
      <c r="M14574" s="85"/>
    </row>
    <row r="14575" spans="9:13" x14ac:dyDescent="0.3">
      <c r="I14575" s="82"/>
      <c r="M14575" s="85"/>
    </row>
    <row r="14576" spans="9:13" x14ac:dyDescent="0.3">
      <c r="I14576" s="82"/>
      <c r="M14576" s="85"/>
    </row>
    <row r="14577" spans="9:13" x14ac:dyDescent="0.3">
      <c r="I14577" s="82"/>
      <c r="M14577" s="85"/>
    </row>
    <row r="14578" spans="9:13" x14ac:dyDescent="0.3">
      <c r="I14578" s="82"/>
      <c r="M14578" s="85"/>
    </row>
    <row r="14579" spans="9:13" x14ac:dyDescent="0.3">
      <c r="I14579" s="82"/>
      <c r="M14579" s="85"/>
    </row>
    <row r="14580" spans="9:13" x14ac:dyDescent="0.3">
      <c r="I14580" s="82"/>
      <c r="M14580" s="85"/>
    </row>
    <row r="14581" spans="9:13" x14ac:dyDescent="0.3">
      <c r="I14581" s="82"/>
      <c r="M14581" s="85"/>
    </row>
    <row r="14582" spans="9:13" x14ac:dyDescent="0.3">
      <c r="I14582" s="82"/>
      <c r="M14582" s="85"/>
    </row>
    <row r="14583" spans="9:13" x14ac:dyDescent="0.3">
      <c r="I14583" s="82"/>
      <c r="M14583" s="85"/>
    </row>
    <row r="14584" spans="9:13" x14ac:dyDescent="0.3">
      <c r="I14584" s="82"/>
      <c r="M14584" s="85"/>
    </row>
    <row r="14585" spans="9:13" x14ac:dyDescent="0.3">
      <c r="I14585" s="82"/>
      <c r="M14585" s="85"/>
    </row>
    <row r="14586" spans="9:13" x14ac:dyDescent="0.3">
      <c r="I14586" s="82"/>
      <c r="M14586" s="85"/>
    </row>
    <row r="14587" spans="9:13" x14ac:dyDescent="0.3">
      <c r="I14587" s="82"/>
      <c r="M14587" s="85"/>
    </row>
    <row r="14588" spans="9:13" x14ac:dyDescent="0.3">
      <c r="I14588" s="82"/>
      <c r="M14588" s="85"/>
    </row>
    <row r="14589" spans="9:13" x14ac:dyDescent="0.3">
      <c r="I14589" s="82"/>
      <c r="M14589" s="85"/>
    </row>
    <row r="14590" spans="9:13" x14ac:dyDescent="0.3">
      <c r="I14590" s="82"/>
      <c r="M14590" s="85"/>
    </row>
    <row r="14591" spans="9:13" x14ac:dyDescent="0.3">
      <c r="I14591" s="82"/>
      <c r="M14591" s="85"/>
    </row>
    <row r="14592" spans="9:13" x14ac:dyDescent="0.3">
      <c r="I14592" s="82"/>
      <c r="M14592" s="85"/>
    </row>
    <row r="14593" spans="9:13" x14ac:dyDescent="0.3">
      <c r="I14593" s="82"/>
      <c r="M14593" s="85"/>
    </row>
    <row r="14594" spans="9:13" x14ac:dyDescent="0.3">
      <c r="I14594" s="82"/>
      <c r="M14594" s="85"/>
    </row>
    <row r="14595" spans="9:13" x14ac:dyDescent="0.3">
      <c r="I14595" s="82"/>
      <c r="M14595" s="85"/>
    </row>
    <row r="14596" spans="9:13" x14ac:dyDescent="0.3">
      <c r="I14596" s="82"/>
      <c r="M14596" s="85"/>
    </row>
    <row r="14597" spans="9:13" x14ac:dyDescent="0.3">
      <c r="I14597" s="82"/>
      <c r="M14597" s="85"/>
    </row>
    <row r="14598" spans="9:13" x14ac:dyDescent="0.3">
      <c r="I14598" s="82"/>
      <c r="M14598" s="85"/>
    </row>
    <row r="14599" spans="9:13" x14ac:dyDescent="0.3">
      <c r="I14599" s="82"/>
      <c r="M14599" s="85"/>
    </row>
    <row r="14600" spans="9:13" x14ac:dyDescent="0.3">
      <c r="I14600" s="82"/>
      <c r="M14600" s="85"/>
    </row>
    <row r="14601" spans="9:13" x14ac:dyDescent="0.3">
      <c r="I14601" s="82"/>
      <c r="M14601" s="85"/>
    </row>
    <row r="14602" spans="9:13" x14ac:dyDescent="0.3">
      <c r="I14602" s="82"/>
      <c r="M14602" s="85"/>
    </row>
    <row r="14603" spans="9:13" x14ac:dyDescent="0.3">
      <c r="I14603" s="82"/>
      <c r="M14603" s="85"/>
    </row>
    <row r="14604" spans="9:13" x14ac:dyDescent="0.3">
      <c r="I14604" s="82"/>
      <c r="M14604" s="85"/>
    </row>
    <row r="14605" spans="9:13" x14ac:dyDescent="0.3">
      <c r="I14605" s="82"/>
      <c r="M14605" s="85"/>
    </row>
    <row r="14606" spans="9:13" x14ac:dyDescent="0.3">
      <c r="I14606" s="82"/>
      <c r="M14606" s="85"/>
    </row>
    <row r="14607" spans="9:13" x14ac:dyDescent="0.3">
      <c r="I14607" s="82"/>
      <c r="M14607" s="85"/>
    </row>
    <row r="14608" spans="9:13" x14ac:dyDescent="0.3">
      <c r="I14608" s="82"/>
      <c r="M14608" s="85"/>
    </row>
    <row r="14609" spans="9:13" x14ac:dyDescent="0.3">
      <c r="I14609" s="82"/>
      <c r="M14609" s="85"/>
    </row>
    <row r="14610" spans="9:13" x14ac:dyDescent="0.3">
      <c r="I14610" s="82"/>
      <c r="M14610" s="85"/>
    </row>
    <row r="14611" spans="9:13" x14ac:dyDescent="0.3">
      <c r="I14611" s="82"/>
      <c r="M14611" s="85"/>
    </row>
    <row r="14612" spans="9:13" x14ac:dyDescent="0.3">
      <c r="I14612" s="82"/>
      <c r="M14612" s="85"/>
    </row>
    <row r="14613" spans="9:13" x14ac:dyDescent="0.3">
      <c r="I14613" s="82"/>
      <c r="M14613" s="85"/>
    </row>
    <row r="14614" spans="9:13" x14ac:dyDescent="0.3">
      <c r="I14614" s="82"/>
      <c r="M14614" s="85"/>
    </row>
    <row r="14615" spans="9:13" x14ac:dyDescent="0.3">
      <c r="I14615" s="82"/>
      <c r="M14615" s="85"/>
    </row>
    <row r="14616" spans="9:13" x14ac:dyDescent="0.3">
      <c r="I14616" s="82"/>
      <c r="M14616" s="85"/>
    </row>
    <row r="14617" spans="9:13" x14ac:dyDescent="0.3">
      <c r="I14617" s="82"/>
      <c r="M14617" s="85"/>
    </row>
    <row r="14618" spans="9:13" x14ac:dyDescent="0.3">
      <c r="I14618" s="82"/>
      <c r="M14618" s="85"/>
    </row>
    <row r="14619" spans="9:13" x14ac:dyDescent="0.3">
      <c r="I14619" s="82"/>
      <c r="M14619" s="85"/>
    </row>
    <row r="14620" spans="9:13" x14ac:dyDescent="0.3">
      <c r="I14620" s="82"/>
      <c r="M14620" s="85"/>
    </row>
    <row r="14621" spans="9:13" x14ac:dyDescent="0.3">
      <c r="I14621" s="82"/>
      <c r="M14621" s="85"/>
    </row>
    <row r="14622" spans="9:13" x14ac:dyDescent="0.3">
      <c r="I14622" s="82"/>
      <c r="M14622" s="85"/>
    </row>
    <row r="14623" spans="9:13" x14ac:dyDescent="0.3">
      <c r="I14623" s="82"/>
      <c r="M14623" s="85"/>
    </row>
    <row r="14624" spans="9:13" x14ac:dyDescent="0.3">
      <c r="I14624" s="82"/>
      <c r="M14624" s="85"/>
    </row>
    <row r="14625" spans="9:13" x14ac:dyDescent="0.3">
      <c r="I14625" s="82"/>
      <c r="M14625" s="85"/>
    </row>
    <row r="14626" spans="9:13" x14ac:dyDescent="0.3">
      <c r="I14626" s="82"/>
      <c r="M14626" s="85"/>
    </row>
    <row r="14627" spans="9:13" x14ac:dyDescent="0.3">
      <c r="I14627" s="82"/>
      <c r="M14627" s="85"/>
    </row>
    <row r="14628" spans="9:13" x14ac:dyDescent="0.3">
      <c r="I14628" s="82"/>
      <c r="M14628" s="85"/>
    </row>
    <row r="14629" spans="9:13" x14ac:dyDescent="0.3">
      <c r="I14629" s="82"/>
      <c r="M14629" s="85"/>
    </row>
    <row r="14630" spans="9:13" x14ac:dyDescent="0.3">
      <c r="I14630" s="82"/>
      <c r="M14630" s="85"/>
    </row>
    <row r="14631" spans="9:13" x14ac:dyDescent="0.3">
      <c r="I14631" s="82"/>
      <c r="M14631" s="85"/>
    </row>
    <row r="14632" spans="9:13" x14ac:dyDescent="0.3">
      <c r="I14632" s="82"/>
      <c r="M14632" s="85"/>
    </row>
    <row r="14633" spans="9:13" x14ac:dyDescent="0.3">
      <c r="I14633" s="82"/>
      <c r="M14633" s="85"/>
    </row>
    <row r="14634" spans="9:13" x14ac:dyDescent="0.3">
      <c r="I14634" s="82"/>
      <c r="M14634" s="85"/>
    </row>
    <row r="14635" spans="9:13" x14ac:dyDescent="0.3">
      <c r="I14635" s="82"/>
      <c r="M14635" s="85"/>
    </row>
    <row r="14636" spans="9:13" x14ac:dyDescent="0.3">
      <c r="I14636" s="82"/>
      <c r="M14636" s="85"/>
    </row>
    <row r="14637" spans="9:13" x14ac:dyDescent="0.3">
      <c r="I14637" s="82"/>
      <c r="M14637" s="85"/>
    </row>
    <row r="14638" spans="9:13" x14ac:dyDescent="0.3">
      <c r="I14638" s="82"/>
      <c r="M14638" s="85"/>
    </row>
    <row r="14639" spans="9:13" x14ac:dyDescent="0.3">
      <c r="I14639" s="82"/>
      <c r="M14639" s="85"/>
    </row>
    <row r="14640" spans="9:13" x14ac:dyDescent="0.3">
      <c r="I14640" s="82"/>
      <c r="M14640" s="85"/>
    </row>
    <row r="14641" spans="9:13" x14ac:dyDescent="0.3">
      <c r="I14641" s="82"/>
      <c r="M14641" s="85"/>
    </row>
    <row r="14642" spans="9:13" x14ac:dyDescent="0.3">
      <c r="I14642" s="82"/>
      <c r="M14642" s="85"/>
    </row>
    <row r="14643" spans="9:13" x14ac:dyDescent="0.3">
      <c r="I14643" s="82"/>
      <c r="M14643" s="85"/>
    </row>
    <row r="14644" spans="9:13" x14ac:dyDescent="0.3">
      <c r="I14644" s="82"/>
      <c r="M14644" s="85"/>
    </row>
    <row r="14645" spans="9:13" x14ac:dyDescent="0.3">
      <c r="I14645" s="82"/>
      <c r="M14645" s="85"/>
    </row>
    <row r="14646" spans="9:13" x14ac:dyDescent="0.3">
      <c r="I14646" s="82"/>
      <c r="M14646" s="85"/>
    </row>
    <row r="14647" spans="9:13" x14ac:dyDescent="0.3">
      <c r="I14647" s="82"/>
      <c r="M14647" s="85"/>
    </row>
    <row r="14648" spans="9:13" x14ac:dyDescent="0.3">
      <c r="I14648" s="82"/>
      <c r="M14648" s="85"/>
    </row>
    <row r="14649" spans="9:13" x14ac:dyDescent="0.3">
      <c r="I14649" s="82"/>
      <c r="M14649" s="85"/>
    </row>
    <row r="14650" spans="9:13" x14ac:dyDescent="0.3">
      <c r="I14650" s="82"/>
      <c r="M14650" s="85"/>
    </row>
    <row r="14651" spans="9:13" x14ac:dyDescent="0.3">
      <c r="I14651" s="82"/>
      <c r="M14651" s="85"/>
    </row>
    <row r="14652" spans="9:13" x14ac:dyDescent="0.3">
      <c r="I14652" s="82"/>
      <c r="M14652" s="85"/>
    </row>
    <row r="14653" spans="9:13" x14ac:dyDescent="0.3">
      <c r="I14653" s="82"/>
      <c r="M14653" s="85"/>
    </row>
    <row r="14654" spans="9:13" x14ac:dyDescent="0.3">
      <c r="I14654" s="82"/>
      <c r="M14654" s="85"/>
    </row>
    <row r="14655" spans="9:13" x14ac:dyDescent="0.3">
      <c r="I14655" s="82"/>
      <c r="M14655" s="85"/>
    </row>
    <row r="14656" spans="9:13" x14ac:dyDescent="0.3">
      <c r="I14656" s="82"/>
      <c r="M14656" s="85"/>
    </row>
    <row r="14657" spans="9:13" x14ac:dyDescent="0.3">
      <c r="I14657" s="82"/>
      <c r="M14657" s="85"/>
    </row>
    <row r="14658" spans="9:13" x14ac:dyDescent="0.3">
      <c r="I14658" s="82"/>
      <c r="M14658" s="85"/>
    </row>
    <row r="14659" spans="9:13" x14ac:dyDescent="0.3">
      <c r="I14659" s="82"/>
      <c r="M14659" s="85"/>
    </row>
    <row r="14660" spans="9:13" x14ac:dyDescent="0.3">
      <c r="I14660" s="82"/>
      <c r="M14660" s="85"/>
    </row>
    <row r="14661" spans="9:13" x14ac:dyDescent="0.3">
      <c r="I14661" s="82"/>
      <c r="M14661" s="85"/>
    </row>
    <row r="14662" spans="9:13" x14ac:dyDescent="0.3">
      <c r="I14662" s="82"/>
      <c r="M14662" s="85"/>
    </row>
    <row r="14663" spans="9:13" x14ac:dyDescent="0.3">
      <c r="I14663" s="82"/>
      <c r="M14663" s="85"/>
    </row>
    <row r="14664" spans="9:13" x14ac:dyDescent="0.3">
      <c r="I14664" s="82"/>
      <c r="M14664" s="85"/>
    </row>
    <row r="14665" spans="9:13" x14ac:dyDescent="0.3">
      <c r="I14665" s="82"/>
      <c r="M14665" s="85"/>
    </row>
    <row r="14666" spans="9:13" x14ac:dyDescent="0.3">
      <c r="I14666" s="82"/>
      <c r="M14666" s="85"/>
    </row>
    <row r="14667" spans="9:13" x14ac:dyDescent="0.3">
      <c r="I14667" s="82"/>
      <c r="M14667" s="85"/>
    </row>
    <row r="14668" spans="9:13" x14ac:dyDescent="0.3">
      <c r="I14668" s="82"/>
      <c r="M14668" s="85"/>
    </row>
    <row r="14669" spans="9:13" x14ac:dyDescent="0.3">
      <c r="I14669" s="82"/>
      <c r="M14669" s="85"/>
    </row>
    <row r="14670" spans="9:13" x14ac:dyDescent="0.3">
      <c r="I14670" s="82"/>
      <c r="M14670" s="85"/>
    </row>
    <row r="14671" spans="9:13" x14ac:dyDescent="0.3">
      <c r="I14671" s="82"/>
      <c r="M14671" s="85"/>
    </row>
    <row r="14672" spans="9:13" x14ac:dyDescent="0.3">
      <c r="I14672" s="82"/>
      <c r="M14672" s="85"/>
    </row>
    <row r="14673" spans="9:13" x14ac:dyDescent="0.3">
      <c r="I14673" s="82"/>
      <c r="M14673" s="85"/>
    </row>
    <row r="14674" spans="9:13" x14ac:dyDescent="0.3">
      <c r="I14674" s="82"/>
      <c r="M14674" s="85"/>
    </row>
    <row r="14675" spans="9:13" x14ac:dyDescent="0.3">
      <c r="I14675" s="82"/>
      <c r="M14675" s="85"/>
    </row>
    <row r="14676" spans="9:13" x14ac:dyDescent="0.3">
      <c r="I14676" s="82"/>
      <c r="M14676" s="85"/>
    </row>
    <row r="14677" spans="9:13" x14ac:dyDescent="0.3">
      <c r="I14677" s="82"/>
      <c r="M14677" s="85"/>
    </row>
    <row r="14678" spans="9:13" x14ac:dyDescent="0.3">
      <c r="I14678" s="82"/>
      <c r="M14678" s="85"/>
    </row>
    <row r="14679" spans="9:13" x14ac:dyDescent="0.3">
      <c r="I14679" s="82"/>
      <c r="M14679" s="85"/>
    </row>
    <row r="14680" spans="9:13" x14ac:dyDescent="0.3">
      <c r="I14680" s="82"/>
      <c r="M14680" s="85"/>
    </row>
    <row r="14681" spans="9:13" x14ac:dyDescent="0.3">
      <c r="I14681" s="82"/>
      <c r="M14681" s="85"/>
    </row>
    <row r="14682" spans="9:13" x14ac:dyDescent="0.3">
      <c r="I14682" s="82"/>
      <c r="M14682" s="85"/>
    </row>
    <row r="14683" spans="9:13" x14ac:dyDescent="0.3">
      <c r="I14683" s="82"/>
      <c r="M14683" s="85"/>
    </row>
    <row r="14684" spans="9:13" x14ac:dyDescent="0.3">
      <c r="I14684" s="82"/>
      <c r="M14684" s="85"/>
    </row>
    <row r="14685" spans="9:13" x14ac:dyDescent="0.3">
      <c r="I14685" s="82"/>
      <c r="M14685" s="85"/>
    </row>
    <row r="14686" spans="9:13" x14ac:dyDescent="0.3">
      <c r="I14686" s="82"/>
      <c r="M14686" s="85"/>
    </row>
    <row r="14687" spans="9:13" x14ac:dyDescent="0.3">
      <c r="I14687" s="82"/>
      <c r="M14687" s="85"/>
    </row>
    <row r="14688" spans="9:13" x14ac:dyDescent="0.3">
      <c r="I14688" s="82"/>
      <c r="M14688" s="85"/>
    </row>
    <row r="14689" spans="9:13" x14ac:dyDescent="0.3">
      <c r="I14689" s="82"/>
      <c r="M14689" s="85"/>
    </row>
    <row r="14690" spans="9:13" x14ac:dyDescent="0.3">
      <c r="I14690" s="82"/>
      <c r="M14690" s="85"/>
    </row>
    <row r="14691" spans="9:13" x14ac:dyDescent="0.3">
      <c r="I14691" s="82"/>
      <c r="M14691" s="85"/>
    </row>
    <row r="14692" spans="9:13" x14ac:dyDescent="0.3">
      <c r="I14692" s="82"/>
      <c r="M14692" s="85"/>
    </row>
    <row r="14693" spans="9:13" x14ac:dyDescent="0.3">
      <c r="I14693" s="82"/>
      <c r="M14693" s="85"/>
    </row>
    <row r="14694" spans="9:13" x14ac:dyDescent="0.3">
      <c r="I14694" s="82"/>
      <c r="M14694" s="85"/>
    </row>
    <row r="14695" spans="9:13" x14ac:dyDescent="0.3">
      <c r="I14695" s="82"/>
      <c r="M14695" s="85"/>
    </row>
    <row r="14696" spans="9:13" x14ac:dyDescent="0.3">
      <c r="I14696" s="82"/>
      <c r="M14696" s="85"/>
    </row>
    <row r="14697" spans="9:13" x14ac:dyDescent="0.3">
      <c r="I14697" s="82"/>
      <c r="M14697" s="85"/>
    </row>
    <row r="14698" spans="9:13" x14ac:dyDescent="0.3">
      <c r="I14698" s="82"/>
      <c r="M14698" s="85"/>
    </row>
    <row r="14699" spans="9:13" x14ac:dyDescent="0.3">
      <c r="I14699" s="82"/>
      <c r="M14699" s="85"/>
    </row>
    <row r="14700" spans="9:13" x14ac:dyDescent="0.3">
      <c r="I14700" s="82"/>
      <c r="M14700" s="85"/>
    </row>
    <row r="14701" spans="9:13" x14ac:dyDescent="0.3">
      <c r="I14701" s="82"/>
      <c r="M14701" s="85"/>
    </row>
    <row r="14702" spans="9:13" x14ac:dyDescent="0.3">
      <c r="I14702" s="82"/>
      <c r="M14702" s="85"/>
    </row>
    <row r="14703" spans="9:13" x14ac:dyDescent="0.3">
      <c r="I14703" s="82"/>
      <c r="M14703" s="85"/>
    </row>
    <row r="14704" spans="9:13" x14ac:dyDescent="0.3">
      <c r="I14704" s="82"/>
      <c r="M14704" s="85"/>
    </row>
    <row r="14705" spans="9:13" x14ac:dyDescent="0.3">
      <c r="I14705" s="82"/>
      <c r="M14705" s="85"/>
    </row>
    <row r="14706" spans="9:13" x14ac:dyDescent="0.3">
      <c r="I14706" s="82"/>
      <c r="M14706" s="85"/>
    </row>
    <row r="14707" spans="9:13" x14ac:dyDescent="0.3">
      <c r="I14707" s="82"/>
      <c r="M14707" s="85"/>
    </row>
    <row r="14708" spans="9:13" x14ac:dyDescent="0.3">
      <c r="I14708" s="82"/>
      <c r="M14708" s="85"/>
    </row>
    <row r="14709" spans="9:13" x14ac:dyDescent="0.3">
      <c r="I14709" s="82"/>
      <c r="M14709" s="85"/>
    </row>
    <row r="14710" spans="9:13" x14ac:dyDescent="0.3">
      <c r="I14710" s="82"/>
      <c r="M14710" s="85"/>
    </row>
    <row r="14711" spans="9:13" x14ac:dyDescent="0.3">
      <c r="I14711" s="82"/>
      <c r="M14711" s="85"/>
    </row>
    <row r="14712" spans="9:13" x14ac:dyDescent="0.3">
      <c r="I14712" s="82"/>
      <c r="M14712" s="85"/>
    </row>
    <row r="14713" spans="9:13" x14ac:dyDescent="0.3">
      <c r="I14713" s="82"/>
      <c r="M14713" s="85"/>
    </row>
    <row r="14714" spans="9:13" x14ac:dyDescent="0.3">
      <c r="I14714" s="82"/>
      <c r="M14714" s="85"/>
    </row>
    <row r="14715" spans="9:13" x14ac:dyDescent="0.3">
      <c r="I14715" s="82"/>
      <c r="M14715" s="85"/>
    </row>
    <row r="14716" spans="9:13" x14ac:dyDescent="0.3">
      <c r="I14716" s="82"/>
      <c r="M14716" s="85"/>
    </row>
    <row r="14717" spans="9:13" x14ac:dyDescent="0.3">
      <c r="I14717" s="82"/>
      <c r="M14717" s="85"/>
    </row>
    <row r="14718" spans="9:13" x14ac:dyDescent="0.3">
      <c r="I14718" s="82"/>
      <c r="M14718" s="85"/>
    </row>
    <row r="14719" spans="9:13" x14ac:dyDescent="0.3">
      <c r="I14719" s="82"/>
      <c r="M14719" s="85"/>
    </row>
    <row r="14720" spans="9:13" x14ac:dyDescent="0.3">
      <c r="I14720" s="82"/>
      <c r="M14720" s="85"/>
    </row>
    <row r="14721" spans="9:13" x14ac:dyDescent="0.3">
      <c r="I14721" s="82"/>
      <c r="M14721" s="85"/>
    </row>
    <row r="14722" spans="9:13" x14ac:dyDescent="0.3">
      <c r="I14722" s="82"/>
      <c r="M14722" s="85"/>
    </row>
    <row r="14723" spans="9:13" x14ac:dyDescent="0.3">
      <c r="I14723" s="82"/>
      <c r="M14723" s="85"/>
    </row>
    <row r="14724" spans="9:13" x14ac:dyDescent="0.3">
      <c r="I14724" s="82"/>
      <c r="M14724" s="85"/>
    </row>
    <row r="14725" spans="9:13" x14ac:dyDescent="0.3">
      <c r="I14725" s="82"/>
      <c r="M14725" s="85"/>
    </row>
    <row r="14726" spans="9:13" x14ac:dyDescent="0.3">
      <c r="I14726" s="82"/>
      <c r="M14726" s="85"/>
    </row>
    <row r="14727" spans="9:13" x14ac:dyDescent="0.3">
      <c r="I14727" s="82"/>
      <c r="M14727" s="85"/>
    </row>
    <row r="14728" spans="9:13" x14ac:dyDescent="0.3">
      <c r="I14728" s="82"/>
      <c r="M14728" s="85"/>
    </row>
    <row r="14729" spans="9:13" x14ac:dyDescent="0.3">
      <c r="I14729" s="82"/>
      <c r="M14729" s="85"/>
    </row>
    <row r="14730" spans="9:13" x14ac:dyDescent="0.3">
      <c r="I14730" s="82"/>
      <c r="M14730" s="85"/>
    </row>
    <row r="14731" spans="9:13" x14ac:dyDescent="0.3">
      <c r="I14731" s="82"/>
      <c r="M14731" s="85"/>
    </row>
    <row r="14732" spans="9:13" x14ac:dyDescent="0.3">
      <c r="I14732" s="82"/>
      <c r="M14732" s="85"/>
    </row>
    <row r="14733" spans="9:13" x14ac:dyDescent="0.3">
      <c r="I14733" s="82"/>
      <c r="M14733" s="85"/>
    </row>
    <row r="14734" spans="9:13" x14ac:dyDescent="0.3">
      <c r="I14734" s="82"/>
      <c r="M14734" s="85"/>
    </row>
    <row r="14735" spans="9:13" x14ac:dyDescent="0.3">
      <c r="I14735" s="82"/>
      <c r="M14735" s="85"/>
    </row>
    <row r="14736" spans="9:13" x14ac:dyDescent="0.3">
      <c r="I14736" s="82"/>
      <c r="M14736" s="85"/>
    </row>
    <row r="14737" spans="9:13" x14ac:dyDescent="0.3">
      <c r="I14737" s="82"/>
      <c r="M14737" s="85"/>
    </row>
    <row r="14738" spans="9:13" x14ac:dyDescent="0.3">
      <c r="I14738" s="82"/>
      <c r="M14738" s="85"/>
    </row>
    <row r="14739" spans="9:13" x14ac:dyDescent="0.3">
      <c r="I14739" s="82"/>
      <c r="M14739" s="85"/>
    </row>
    <row r="14740" spans="9:13" x14ac:dyDescent="0.3">
      <c r="I14740" s="82"/>
      <c r="M14740" s="85"/>
    </row>
    <row r="14741" spans="9:13" x14ac:dyDescent="0.3">
      <c r="I14741" s="82"/>
      <c r="M14741" s="85"/>
    </row>
    <row r="14742" spans="9:13" x14ac:dyDescent="0.3">
      <c r="I14742" s="82"/>
      <c r="M14742" s="85"/>
    </row>
    <row r="14743" spans="9:13" x14ac:dyDescent="0.3">
      <c r="I14743" s="82"/>
      <c r="M14743" s="85"/>
    </row>
    <row r="14744" spans="9:13" x14ac:dyDescent="0.3">
      <c r="I14744" s="82"/>
      <c r="M14744" s="85"/>
    </row>
    <row r="14745" spans="9:13" x14ac:dyDescent="0.3">
      <c r="I14745" s="82"/>
      <c r="M14745" s="85"/>
    </row>
    <row r="14746" spans="9:13" x14ac:dyDescent="0.3">
      <c r="I14746" s="82"/>
      <c r="M14746" s="85"/>
    </row>
    <row r="14747" spans="9:13" x14ac:dyDescent="0.3">
      <c r="I14747" s="82"/>
      <c r="M14747" s="85"/>
    </row>
    <row r="14748" spans="9:13" x14ac:dyDescent="0.3">
      <c r="I14748" s="82"/>
      <c r="M14748" s="85"/>
    </row>
    <row r="14749" spans="9:13" x14ac:dyDescent="0.3">
      <c r="I14749" s="82"/>
      <c r="M14749" s="85"/>
    </row>
    <row r="14750" spans="9:13" x14ac:dyDescent="0.3">
      <c r="I14750" s="82"/>
      <c r="M14750" s="85"/>
    </row>
    <row r="14751" spans="9:13" x14ac:dyDescent="0.3">
      <c r="I14751" s="82"/>
      <c r="M14751" s="85"/>
    </row>
    <row r="14752" spans="9:13" x14ac:dyDescent="0.3">
      <c r="I14752" s="82"/>
      <c r="M14752" s="85"/>
    </row>
    <row r="14753" spans="9:13" x14ac:dyDescent="0.3">
      <c r="I14753" s="82"/>
      <c r="M14753" s="85"/>
    </row>
    <row r="14754" spans="9:13" x14ac:dyDescent="0.3">
      <c r="I14754" s="82"/>
      <c r="M14754" s="85"/>
    </row>
    <row r="14755" spans="9:13" x14ac:dyDescent="0.3">
      <c r="I14755" s="82"/>
      <c r="M14755" s="85"/>
    </row>
    <row r="14756" spans="9:13" x14ac:dyDescent="0.3">
      <c r="I14756" s="82"/>
      <c r="M14756" s="85"/>
    </row>
    <row r="14757" spans="9:13" x14ac:dyDescent="0.3">
      <c r="I14757" s="82"/>
      <c r="M14757" s="85"/>
    </row>
    <row r="14758" spans="9:13" x14ac:dyDescent="0.3">
      <c r="I14758" s="82"/>
      <c r="M14758" s="85"/>
    </row>
    <row r="14759" spans="9:13" x14ac:dyDescent="0.3">
      <c r="I14759" s="82"/>
      <c r="M14759" s="85"/>
    </row>
    <row r="14760" spans="9:13" x14ac:dyDescent="0.3">
      <c r="I14760" s="82"/>
      <c r="M14760" s="85"/>
    </row>
    <row r="14761" spans="9:13" x14ac:dyDescent="0.3">
      <c r="I14761" s="82"/>
      <c r="M14761" s="85"/>
    </row>
    <row r="14762" spans="9:13" x14ac:dyDescent="0.3">
      <c r="I14762" s="82"/>
      <c r="M14762" s="85"/>
    </row>
    <row r="14763" spans="9:13" x14ac:dyDescent="0.3">
      <c r="I14763" s="82"/>
      <c r="M14763" s="85"/>
    </row>
    <row r="14764" spans="9:13" x14ac:dyDescent="0.3">
      <c r="I14764" s="82"/>
      <c r="M14764" s="85"/>
    </row>
    <row r="14765" spans="9:13" x14ac:dyDescent="0.3">
      <c r="I14765" s="82"/>
      <c r="M14765" s="85"/>
    </row>
    <row r="14766" spans="9:13" x14ac:dyDescent="0.3">
      <c r="I14766" s="82"/>
      <c r="M14766" s="85"/>
    </row>
    <row r="14767" spans="9:13" x14ac:dyDescent="0.3">
      <c r="I14767" s="82"/>
      <c r="M14767" s="85"/>
    </row>
    <row r="14768" spans="9:13" x14ac:dyDescent="0.3">
      <c r="I14768" s="82"/>
      <c r="M14768" s="85"/>
    </row>
    <row r="14769" spans="9:13" x14ac:dyDescent="0.3">
      <c r="I14769" s="82"/>
      <c r="M14769" s="85"/>
    </row>
    <row r="14770" spans="9:13" x14ac:dyDescent="0.3">
      <c r="I14770" s="82"/>
      <c r="M14770" s="85"/>
    </row>
    <row r="14771" spans="9:13" x14ac:dyDescent="0.3">
      <c r="I14771" s="82"/>
      <c r="M14771" s="85"/>
    </row>
    <row r="14772" spans="9:13" x14ac:dyDescent="0.3">
      <c r="I14772" s="82"/>
      <c r="M14772" s="85"/>
    </row>
    <row r="14773" spans="9:13" x14ac:dyDescent="0.3">
      <c r="I14773" s="82"/>
      <c r="M14773" s="85"/>
    </row>
    <row r="14774" spans="9:13" x14ac:dyDescent="0.3">
      <c r="I14774" s="82"/>
      <c r="M14774" s="85"/>
    </row>
    <row r="14775" spans="9:13" x14ac:dyDescent="0.3">
      <c r="I14775" s="82"/>
      <c r="M14775" s="85"/>
    </row>
    <row r="14776" spans="9:13" x14ac:dyDescent="0.3">
      <c r="I14776" s="82"/>
      <c r="M14776" s="85"/>
    </row>
    <row r="14777" spans="9:13" x14ac:dyDescent="0.3">
      <c r="I14777" s="82"/>
      <c r="M14777" s="85"/>
    </row>
    <row r="14778" spans="9:13" x14ac:dyDescent="0.3">
      <c r="I14778" s="82"/>
      <c r="M14778" s="85"/>
    </row>
    <row r="14779" spans="9:13" x14ac:dyDescent="0.3">
      <c r="I14779" s="82"/>
      <c r="M14779" s="85"/>
    </row>
    <row r="14780" spans="9:13" x14ac:dyDescent="0.3">
      <c r="I14780" s="82"/>
      <c r="M14780" s="85"/>
    </row>
    <row r="14781" spans="9:13" x14ac:dyDescent="0.3">
      <c r="I14781" s="82"/>
      <c r="M14781" s="85"/>
    </row>
    <row r="14782" spans="9:13" x14ac:dyDescent="0.3">
      <c r="I14782" s="82"/>
      <c r="M14782" s="85"/>
    </row>
    <row r="14783" spans="9:13" x14ac:dyDescent="0.3">
      <c r="I14783" s="82"/>
      <c r="M14783" s="85"/>
    </row>
    <row r="14784" spans="9:13" x14ac:dyDescent="0.3">
      <c r="I14784" s="82"/>
      <c r="M14784" s="85"/>
    </row>
    <row r="14785" spans="9:13" x14ac:dyDescent="0.3">
      <c r="I14785" s="82"/>
      <c r="M14785" s="85"/>
    </row>
    <row r="14786" spans="9:13" x14ac:dyDescent="0.3">
      <c r="I14786" s="82"/>
      <c r="M14786" s="85"/>
    </row>
    <row r="14787" spans="9:13" x14ac:dyDescent="0.3">
      <c r="I14787" s="82"/>
      <c r="M14787" s="85"/>
    </row>
    <row r="14788" spans="9:13" x14ac:dyDescent="0.3">
      <c r="I14788" s="82"/>
      <c r="M14788" s="85"/>
    </row>
    <row r="14789" spans="9:13" x14ac:dyDescent="0.3">
      <c r="I14789" s="82"/>
      <c r="M14789" s="85"/>
    </row>
    <row r="14790" spans="9:13" x14ac:dyDescent="0.3">
      <c r="I14790" s="82"/>
      <c r="M14790" s="85"/>
    </row>
    <row r="14791" spans="9:13" x14ac:dyDescent="0.3">
      <c r="I14791" s="82"/>
      <c r="M14791" s="85"/>
    </row>
    <row r="14792" spans="9:13" x14ac:dyDescent="0.3">
      <c r="I14792" s="82"/>
      <c r="M14792" s="85"/>
    </row>
    <row r="14793" spans="9:13" x14ac:dyDescent="0.3">
      <c r="I14793" s="82"/>
      <c r="M14793" s="85"/>
    </row>
    <row r="14794" spans="9:13" x14ac:dyDescent="0.3">
      <c r="I14794" s="82"/>
      <c r="M14794" s="85"/>
    </row>
    <row r="14795" spans="9:13" x14ac:dyDescent="0.3">
      <c r="I14795" s="82"/>
      <c r="M14795" s="85"/>
    </row>
    <row r="14796" spans="9:13" x14ac:dyDescent="0.3">
      <c r="I14796" s="82"/>
      <c r="M14796" s="85"/>
    </row>
    <row r="14797" spans="9:13" x14ac:dyDescent="0.3">
      <c r="I14797" s="82"/>
      <c r="M14797" s="85"/>
    </row>
    <row r="14798" spans="9:13" x14ac:dyDescent="0.3">
      <c r="I14798" s="82"/>
      <c r="M14798" s="85"/>
    </row>
    <row r="14799" spans="9:13" x14ac:dyDescent="0.3">
      <c r="I14799" s="82"/>
      <c r="M14799" s="85"/>
    </row>
    <row r="14800" spans="9:13" x14ac:dyDescent="0.3">
      <c r="I14800" s="82"/>
      <c r="M14800" s="85"/>
    </row>
    <row r="14801" spans="9:13" x14ac:dyDescent="0.3">
      <c r="I14801" s="82"/>
      <c r="M14801" s="85"/>
    </row>
    <row r="14802" spans="9:13" x14ac:dyDescent="0.3">
      <c r="I14802" s="82"/>
      <c r="M14802" s="85"/>
    </row>
    <row r="14803" spans="9:13" x14ac:dyDescent="0.3">
      <c r="I14803" s="82"/>
      <c r="M14803" s="85"/>
    </row>
    <row r="14804" spans="9:13" x14ac:dyDescent="0.3">
      <c r="I14804" s="82"/>
      <c r="M14804" s="85"/>
    </row>
    <row r="14805" spans="9:13" x14ac:dyDescent="0.3">
      <c r="I14805" s="82"/>
      <c r="M14805" s="85"/>
    </row>
    <row r="14806" spans="9:13" x14ac:dyDescent="0.3">
      <c r="I14806" s="82"/>
      <c r="M14806" s="85"/>
    </row>
    <row r="14807" spans="9:13" x14ac:dyDescent="0.3">
      <c r="I14807" s="82"/>
      <c r="M14807" s="85"/>
    </row>
    <row r="14808" spans="9:13" x14ac:dyDescent="0.3">
      <c r="I14808" s="82"/>
      <c r="M14808" s="85"/>
    </row>
    <row r="14809" spans="9:13" x14ac:dyDescent="0.3">
      <c r="I14809" s="82"/>
      <c r="M14809" s="85"/>
    </row>
    <row r="14810" spans="9:13" x14ac:dyDescent="0.3">
      <c r="I14810" s="82"/>
      <c r="M14810" s="85"/>
    </row>
    <row r="14811" spans="9:13" x14ac:dyDescent="0.3">
      <c r="I14811" s="82"/>
      <c r="M14811" s="85"/>
    </row>
    <row r="14812" spans="9:13" x14ac:dyDescent="0.3">
      <c r="I14812" s="82"/>
      <c r="M14812" s="85"/>
    </row>
    <row r="14813" spans="9:13" x14ac:dyDescent="0.3">
      <c r="I14813" s="82"/>
      <c r="M14813" s="85"/>
    </row>
    <row r="14814" spans="9:13" x14ac:dyDescent="0.3">
      <c r="I14814" s="82"/>
      <c r="M14814" s="85"/>
    </row>
    <row r="14815" spans="9:13" x14ac:dyDescent="0.3">
      <c r="I14815" s="82"/>
      <c r="M14815" s="85"/>
    </row>
    <row r="14816" spans="9:13" x14ac:dyDescent="0.3">
      <c r="I14816" s="82"/>
      <c r="M14816" s="85"/>
    </row>
    <row r="14817" spans="9:13" x14ac:dyDescent="0.3">
      <c r="I14817" s="82"/>
      <c r="M14817" s="85"/>
    </row>
    <row r="14818" spans="9:13" x14ac:dyDescent="0.3">
      <c r="I14818" s="82"/>
      <c r="M14818" s="85"/>
    </row>
    <row r="14819" spans="9:13" x14ac:dyDescent="0.3">
      <c r="I14819" s="82"/>
      <c r="M14819" s="85"/>
    </row>
    <row r="14820" spans="9:13" x14ac:dyDescent="0.3">
      <c r="I14820" s="82"/>
      <c r="M14820" s="85"/>
    </row>
    <row r="14821" spans="9:13" x14ac:dyDescent="0.3">
      <c r="I14821" s="82"/>
      <c r="M14821" s="85"/>
    </row>
    <row r="14822" spans="9:13" x14ac:dyDescent="0.3">
      <c r="I14822" s="82"/>
      <c r="M14822" s="85"/>
    </row>
    <row r="14823" spans="9:13" x14ac:dyDescent="0.3">
      <c r="I14823" s="82"/>
      <c r="M14823" s="85"/>
    </row>
    <row r="14824" spans="9:13" x14ac:dyDescent="0.3">
      <c r="I14824" s="82"/>
      <c r="M14824" s="85"/>
    </row>
    <row r="14825" spans="9:13" x14ac:dyDescent="0.3">
      <c r="I14825" s="82"/>
      <c r="M14825" s="85"/>
    </row>
    <row r="14826" spans="9:13" x14ac:dyDescent="0.3">
      <c r="I14826" s="82"/>
      <c r="M14826" s="85"/>
    </row>
    <row r="14827" spans="9:13" x14ac:dyDescent="0.3">
      <c r="I14827" s="82"/>
      <c r="M14827" s="85"/>
    </row>
    <row r="14828" spans="9:13" x14ac:dyDescent="0.3">
      <c r="I14828" s="82"/>
      <c r="M14828" s="85"/>
    </row>
    <row r="14829" spans="9:13" x14ac:dyDescent="0.3">
      <c r="I14829" s="82"/>
      <c r="M14829" s="85"/>
    </row>
    <row r="14830" spans="9:13" x14ac:dyDescent="0.3">
      <c r="I14830" s="82"/>
      <c r="M14830" s="85"/>
    </row>
    <row r="14831" spans="9:13" x14ac:dyDescent="0.3">
      <c r="I14831" s="82"/>
      <c r="M14831" s="85"/>
    </row>
    <row r="14832" spans="9:13" x14ac:dyDescent="0.3">
      <c r="I14832" s="82"/>
      <c r="M14832" s="85"/>
    </row>
    <row r="14833" spans="9:13" x14ac:dyDescent="0.3">
      <c r="I14833" s="82"/>
      <c r="M14833" s="85"/>
    </row>
    <row r="14834" spans="9:13" x14ac:dyDescent="0.3">
      <c r="I14834" s="82"/>
      <c r="M14834" s="85"/>
    </row>
    <row r="14835" spans="9:13" x14ac:dyDescent="0.3">
      <c r="I14835" s="82"/>
      <c r="M14835" s="85"/>
    </row>
    <row r="14836" spans="9:13" x14ac:dyDescent="0.3">
      <c r="I14836" s="82"/>
      <c r="M14836" s="85"/>
    </row>
    <row r="14837" spans="9:13" x14ac:dyDescent="0.3">
      <c r="I14837" s="82"/>
      <c r="M14837" s="85"/>
    </row>
    <row r="14838" spans="9:13" x14ac:dyDescent="0.3">
      <c r="I14838" s="82"/>
      <c r="M14838" s="85"/>
    </row>
    <row r="14839" spans="9:13" x14ac:dyDescent="0.3">
      <c r="I14839" s="82"/>
      <c r="M14839" s="85"/>
    </row>
    <row r="14840" spans="9:13" x14ac:dyDescent="0.3">
      <c r="I14840" s="82"/>
      <c r="M14840" s="85"/>
    </row>
    <row r="14841" spans="9:13" x14ac:dyDescent="0.3">
      <c r="I14841" s="82"/>
      <c r="M14841" s="85"/>
    </row>
    <row r="14842" spans="9:13" x14ac:dyDescent="0.3">
      <c r="I14842" s="82"/>
      <c r="M14842" s="85"/>
    </row>
    <row r="14843" spans="9:13" x14ac:dyDescent="0.3">
      <c r="I14843" s="82"/>
      <c r="M14843" s="85"/>
    </row>
    <row r="14844" spans="9:13" x14ac:dyDescent="0.3">
      <c r="I14844" s="82"/>
      <c r="M14844" s="85"/>
    </row>
    <row r="14845" spans="9:13" x14ac:dyDescent="0.3">
      <c r="I14845" s="82"/>
      <c r="M14845" s="85"/>
    </row>
    <row r="14846" spans="9:13" x14ac:dyDescent="0.3">
      <c r="I14846" s="82"/>
      <c r="M14846" s="85"/>
    </row>
    <row r="14847" spans="9:13" x14ac:dyDescent="0.3">
      <c r="I14847" s="82"/>
      <c r="M14847" s="85"/>
    </row>
    <row r="14848" spans="9:13" x14ac:dyDescent="0.3">
      <c r="I14848" s="82"/>
      <c r="M14848" s="85"/>
    </row>
    <row r="14849" spans="9:13" x14ac:dyDescent="0.3">
      <c r="I14849" s="82"/>
      <c r="M14849" s="85"/>
    </row>
    <row r="14850" spans="9:13" x14ac:dyDescent="0.3">
      <c r="I14850" s="82"/>
      <c r="M14850" s="85"/>
    </row>
    <row r="14851" spans="9:13" x14ac:dyDescent="0.3">
      <c r="I14851" s="82"/>
      <c r="M14851" s="85"/>
    </row>
    <row r="14852" spans="9:13" x14ac:dyDescent="0.3">
      <c r="I14852" s="82"/>
      <c r="M14852" s="85"/>
    </row>
    <row r="14853" spans="9:13" x14ac:dyDescent="0.3">
      <c r="I14853" s="82"/>
      <c r="M14853" s="85"/>
    </row>
    <row r="14854" spans="9:13" x14ac:dyDescent="0.3">
      <c r="I14854" s="82"/>
      <c r="M14854" s="85"/>
    </row>
    <row r="14855" spans="9:13" x14ac:dyDescent="0.3">
      <c r="I14855" s="82"/>
      <c r="M14855" s="85"/>
    </row>
    <row r="14856" spans="9:13" x14ac:dyDescent="0.3">
      <c r="I14856" s="82"/>
      <c r="M14856" s="85"/>
    </row>
    <row r="14857" spans="9:13" x14ac:dyDescent="0.3">
      <c r="I14857" s="82"/>
      <c r="M14857" s="85"/>
    </row>
    <row r="14858" spans="9:13" x14ac:dyDescent="0.3">
      <c r="I14858" s="82"/>
      <c r="M14858" s="85"/>
    </row>
    <row r="14859" spans="9:13" x14ac:dyDescent="0.3">
      <c r="I14859" s="82"/>
      <c r="M14859" s="85"/>
    </row>
    <row r="14860" spans="9:13" x14ac:dyDescent="0.3">
      <c r="I14860" s="82"/>
      <c r="M14860" s="85"/>
    </row>
    <row r="14861" spans="9:13" x14ac:dyDescent="0.3">
      <c r="I14861" s="82"/>
      <c r="M14861" s="85"/>
    </row>
    <row r="14862" spans="9:13" x14ac:dyDescent="0.3">
      <c r="I14862" s="82"/>
      <c r="M14862" s="85"/>
    </row>
    <row r="14863" spans="9:13" x14ac:dyDescent="0.3">
      <c r="I14863" s="82"/>
      <c r="M14863" s="85"/>
    </row>
    <row r="14864" spans="9:13" x14ac:dyDescent="0.3">
      <c r="I14864" s="82"/>
      <c r="M14864" s="85"/>
    </row>
    <row r="14865" spans="9:13" x14ac:dyDescent="0.3">
      <c r="I14865" s="82"/>
      <c r="M14865" s="85"/>
    </row>
    <row r="14866" spans="9:13" x14ac:dyDescent="0.3">
      <c r="I14866" s="82"/>
      <c r="M14866" s="85"/>
    </row>
    <row r="14867" spans="9:13" x14ac:dyDescent="0.3">
      <c r="I14867" s="82"/>
      <c r="M14867" s="85"/>
    </row>
    <row r="14868" spans="9:13" x14ac:dyDescent="0.3">
      <c r="I14868" s="82"/>
      <c r="M14868" s="85"/>
    </row>
    <row r="14869" spans="9:13" x14ac:dyDescent="0.3">
      <c r="I14869" s="82"/>
      <c r="M14869" s="85"/>
    </row>
    <row r="14870" spans="9:13" x14ac:dyDescent="0.3">
      <c r="I14870" s="82"/>
      <c r="M14870" s="85"/>
    </row>
    <row r="14871" spans="9:13" x14ac:dyDescent="0.3">
      <c r="I14871" s="82"/>
      <c r="M14871" s="85"/>
    </row>
    <row r="14872" spans="9:13" x14ac:dyDescent="0.3">
      <c r="I14872" s="82"/>
      <c r="M14872" s="85"/>
    </row>
    <row r="14873" spans="9:13" x14ac:dyDescent="0.3">
      <c r="I14873" s="82"/>
      <c r="M14873" s="85"/>
    </row>
    <row r="14874" spans="9:13" x14ac:dyDescent="0.3">
      <c r="I14874" s="82"/>
      <c r="M14874" s="85"/>
    </row>
    <row r="14875" spans="9:13" x14ac:dyDescent="0.3">
      <c r="I14875" s="82"/>
      <c r="M14875" s="85"/>
    </row>
    <row r="14876" spans="9:13" x14ac:dyDescent="0.3">
      <c r="I14876" s="82"/>
      <c r="M14876" s="85"/>
    </row>
    <row r="14877" spans="9:13" x14ac:dyDescent="0.3">
      <c r="I14877" s="82"/>
      <c r="M14877" s="85"/>
    </row>
    <row r="14878" spans="9:13" x14ac:dyDescent="0.3">
      <c r="I14878" s="82"/>
      <c r="M14878" s="85"/>
    </row>
    <row r="14879" spans="9:13" x14ac:dyDescent="0.3">
      <c r="I14879" s="82"/>
      <c r="M14879" s="85"/>
    </row>
    <row r="14880" spans="9:13" x14ac:dyDescent="0.3">
      <c r="I14880" s="82"/>
      <c r="M14880" s="85"/>
    </row>
    <row r="14881" spans="9:13" x14ac:dyDescent="0.3">
      <c r="I14881" s="82"/>
      <c r="M14881" s="85"/>
    </row>
    <row r="14882" spans="9:13" x14ac:dyDescent="0.3">
      <c r="I14882" s="82"/>
      <c r="M14882" s="85"/>
    </row>
    <row r="14883" spans="9:13" x14ac:dyDescent="0.3">
      <c r="I14883" s="82"/>
      <c r="M14883" s="85"/>
    </row>
    <row r="14884" spans="9:13" x14ac:dyDescent="0.3">
      <c r="I14884" s="82"/>
      <c r="M14884" s="85"/>
    </row>
    <row r="14885" spans="9:13" x14ac:dyDescent="0.3">
      <c r="I14885" s="82"/>
      <c r="M14885" s="85"/>
    </row>
    <row r="14886" spans="9:13" x14ac:dyDescent="0.3">
      <c r="I14886" s="82"/>
      <c r="M14886" s="85"/>
    </row>
    <row r="14887" spans="9:13" x14ac:dyDescent="0.3">
      <c r="I14887" s="82"/>
      <c r="M14887" s="85"/>
    </row>
    <row r="14888" spans="9:13" x14ac:dyDescent="0.3">
      <c r="I14888" s="82"/>
      <c r="M14888" s="85"/>
    </row>
    <row r="14889" spans="9:13" x14ac:dyDescent="0.3">
      <c r="I14889" s="82"/>
      <c r="M14889" s="85"/>
    </row>
    <row r="14890" spans="9:13" x14ac:dyDescent="0.3">
      <c r="I14890" s="82"/>
      <c r="M14890" s="85"/>
    </row>
    <row r="14891" spans="9:13" x14ac:dyDescent="0.3">
      <c r="I14891" s="82"/>
      <c r="M14891" s="85"/>
    </row>
    <row r="14892" spans="9:13" x14ac:dyDescent="0.3">
      <c r="I14892" s="82"/>
      <c r="M14892" s="85"/>
    </row>
    <row r="14893" spans="9:13" x14ac:dyDescent="0.3">
      <c r="I14893" s="82"/>
      <c r="M14893" s="85"/>
    </row>
    <row r="14894" spans="9:13" x14ac:dyDescent="0.3">
      <c r="I14894" s="82"/>
      <c r="M14894" s="85"/>
    </row>
    <row r="14895" spans="9:13" x14ac:dyDescent="0.3">
      <c r="I14895" s="82"/>
      <c r="M14895" s="85"/>
    </row>
    <row r="14896" spans="9:13" x14ac:dyDescent="0.3">
      <c r="I14896" s="82"/>
      <c r="M14896" s="85"/>
    </row>
    <row r="14897" spans="9:13" x14ac:dyDescent="0.3">
      <c r="I14897" s="82"/>
      <c r="M14897" s="85"/>
    </row>
    <row r="14898" spans="9:13" x14ac:dyDescent="0.3">
      <c r="I14898" s="82"/>
      <c r="M14898" s="85"/>
    </row>
    <row r="14899" spans="9:13" x14ac:dyDescent="0.3">
      <c r="I14899" s="82"/>
      <c r="M14899" s="85"/>
    </row>
    <row r="14900" spans="9:13" x14ac:dyDescent="0.3">
      <c r="I14900" s="82"/>
      <c r="M14900" s="85"/>
    </row>
    <row r="14901" spans="9:13" x14ac:dyDescent="0.3">
      <c r="I14901" s="82"/>
      <c r="M14901" s="85"/>
    </row>
    <row r="14902" spans="9:13" x14ac:dyDescent="0.3">
      <c r="I14902" s="82"/>
      <c r="M14902" s="85"/>
    </row>
    <row r="14903" spans="9:13" x14ac:dyDescent="0.3">
      <c r="I14903" s="82"/>
      <c r="M14903" s="85"/>
    </row>
    <row r="14904" spans="9:13" x14ac:dyDescent="0.3">
      <c r="I14904" s="82"/>
      <c r="M14904" s="85"/>
    </row>
    <row r="14905" spans="9:13" x14ac:dyDescent="0.3">
      <c r="I14905" s="82"/>
      <c r="M14905" s="85"/>
    </row>
    <row r="14906" spans="9:13" x14ac:dyDescent="0.3">
      <c r="I14906" s="82"/>
      <c r="M14906" s="85"/>
    </row>
    <row r="14907" spans="9:13" x14ac:dyDescent="0.3">
      <c r="I14907" s="82"/>
      <c r="M14907" s="85"/>
    </row>
    <row r="14908" spans="9:13" x14ac:dyDescent="0.3">
      <c r="I14908" s="82"/>
      <c r="M14908" s="85"/>
    </row>
    <row r="14909" spans="9:13" x14ac:dyDescent="0.3">
      <c r="I14909" s="82"/>
      <c r="M14909" s="85"/>
    </row>
    <row r="14910" spans="9:13" x14ac:dyDescent="0.3">
      <c r="I14910" s="82"/>
      <c r="M14910" s="85"/>
    </row>
    <row r="14911" spans="9:13" x14ac:dyDescent="0.3">
      <c r="I14911" s="82"/>
      <c r="M14911" s="85"/>
    </row>
    <row r="14912" spans="9:13" x14ac:dyDescent="0.3">
      <c r="I14912" s="82"/>
      <c r="M14912" s="85"/>
    </row>
    <row r="14913" spans="9:13" x14ac:dyDescent="0.3">
      <c r="I14913" s="82"/>
      <c r="M14913" s="85"/>
    </row>
    <row r="14914" spans="9:13" x14ac:dyDescent="0.3">
      <c r="I14914" s="82"/>
      <c r="M14914" s="85"/>
    </row>
    <row r="14915" spans="9:13" x14ac:dyDescent="0.3">
      <c r="I14915" s="82"/>
      <c r="M14915" s="85"/>
    </row>
    <row r="14916" spans="9:13" x14ac:dyDescent="0.3">
      <c r="I14916" s="82"/>
      <c r="M14916" s="85"/>
    </row>
    <row r="14917" spans="9:13" x14ac:dyDescent="0.3">
      <c r="I14917" s="82"/>
      <c r="M14917" s="85"/>
    </row>
    <row r="14918" spans="9:13" x14ac:dyDescent="0.3">
      <c r="I14918" s="82"/>
      <c r="M14918" s="85"/>
    </row>
    <row r="14919" spans="9:13" x14ac:dyDescent="0.3">
      <c r="I14919" s="82"/>
      <c r="M14919" s="85"/>
    </row>
    <row r="14920" spans="9:13" x14ac:dyDescent="0.3">
      <c r="I14920" s="82"/>
      <c r="M14920" s="85"/>
    </row>
    <row r="14921" spans="9:13" x14ac:dyDescent="0.3">
      <c r="I14921" s="82"/>
      <c r="M14921" s="85"/>
    </row>
    <row r="14922" spans="9:13" x14ac:dyDescent="0.3">
      <c r="I14922" s="82"/>
      <c r="M14922" s="85"/>
    </row>
    <row r="14923" spans="9:13" x14ac:dyDescent="0.3">
      <c r="I14923" s="82"/>
      <c r="M14923" s="85"/>
    </row>
    <row r="14924" spans="9:13" x14ac:dyDescent="0.3">
      <c r="I14924" s="82"/>
      <c r="M14924" s="85"/>
    </row>
    <row r="14925" spans="9:13" x14ac:dyDescent="0.3">
      <c r="I14925" s="82"/>
      <c r="M14925" s="85"/>
    </row>
    <row r="14926" spans="9:13" x14ac:dyDescent="0.3">
      <c r="I14926" s="82"/>
      <c r="M14926" s="85"/>
    </row>
    <row r="14927" spans="9:13" x14ac:dyDescent="0.3">
      <c r="I14927" s="82"/>
      <c r="M14927" s="85"/>
    </row>
    <row r="14928" spans="9:13" x14ac:dyDescent="0.3">
      <c r="I14928" s="82"/>
      <c r="M14928" s="85"/>
    </row>
    <row r="14929" spans="9:13" x14ac:dyDescent="0.3">
      <c r="I14929" s="82"/>
      <c r="M14929" s="85"/>
    </row>
    <row r="14930" spans="9:13" x14ac:dyDescent="0.3">
      <c r="I14930" s="82"/>
      <c r="M14930" s="85"/>
    </row>
    <row r="14931" spans="9:13" x14ac:dyDescent="0.3">
      <c r="I14931" s="82"/>
      <c r="M14931" s="85"/>
    </row>
    <row r="14932" spans="9:13" x14ac:dyDescent="0.3">
      <c r="I14932" s="82"/>
      <c r="M14932" s="85"/>
    </row>
    <row r="14933" spans="9:13" x14ac:dyDescent="0.3">
      <c r="I14933" s="82"/>
      <c r="M14933" s="85"/>
    </row>
    <row r="14934" spans="9:13" x14ac:dyDescent="0.3">
      <c r="I14934" s="82"/>
      <c r="M14934" s="85"/>
    </row>
    <row r="14935" spans="9:13" x14ac:dyDescent="0.3">
      <c r="I14935" s="82"/>
      <c r="M14935" s="85"/>
    </row>
    <row r="14936" spans="9:13" x14ac:dyDescent="0.3">
      <c r="I14936" s="82"/>
      <c r="M14936" s="85"/>
    </row>
    <row r="14937" spans="9:13" x14ac:dyDescent="0.3">
      <c r="I14937" s="82"/>
      <c r="M14937" s="85"/>
    </row>
    <row r="14938" spans="9:13" x14ac:dyDescent="0.3">
      <c r="I14938" s="82"/>
      <c r="M14938" s="85"/>
    </row>
    <row r="14939" spans="9:13" x14ac:dyDescent="0.3">
      <c r="I14939" s="82"/>
      <c r="M14939" s="85"/>
    </row>
    <row r="14940" spans="9:13" x14ac:dyDescent="0.3">
      <c r="I14940" s="82"/>
      <c r="M14940" s="85"/>
    </row>
    <row r="14941" spans="9:13" x14ac:dyDescent="0.3">
      <c r="I14941" s="82"/>
      <c r="M14941" s="85"/>
    </row>
    <row r="14942" spans="9:13" x14ac:dyDescent="0.3">
      <c r="I14942" s="82"/>
      <c r="M14942" s="85"/>
    </row>
    <row r="14943" spans="9:13" x14ac:dyDescent="0.3">
      <c r="I14943" s="82"/>
      <c r="M14943" s="85"/>
    </row>
    <row r="14944" spans="9:13" x14ac:dyDescent="0.3">
      <c r="I14944" s="82"/>
      <c r="M14944" s="85"/>
    </row>
    <row r="14945" spans="9:13" x14ac:dyDescent="0.3">
      <c r="I14945" s="82"/>
      <c r="M14945" s="85"/>
    </row>
    <row r="14946" spans="9:13" x14ac:dyDescent="0.3">
      <c r="I14946" s="82"/>
      <c r="M14946" s="85"/>
    </row>
    <row r="14947" spans="9:13" x14ac:dyDescent="0.3">
      <c r="I14947" s="82"/>
      <c r="M14947" s="85"/>
    </row>
    <row r="14948" spans="9:13" x14ac:dyDescent="0.3">
      <c r="I14948" s="82"/>
      <c r="M14948" s="85"/>
    </row>
    <row r="14949" spans="9:13" x14ac:dyDescent="0.3">
      <c r="I14949" s="82"/>
      <c r="M14949" s="85"/>
    </row>
    <row r="14950" spans="9:13" x14ac:dyDescent="0.3">
      <c r="I14950" s="82"/>
      <c r="M14950" s="85"/>
    </row>
    <row r="14951" spans="9:13" x14ac:dyDescent="0.3">
      <c r="I14951" s="82"/>
      <c r="M14951" s="85"/>
    </row>
    <row r="14952" spans="9:13" x14ac:dyDescent="0.3">
      <c r="I14952" s="82"/>
      <c r="M14952" s="85"/>
    </row>
    <row r="14953" spans="9:13" x14ac:dyDescent="0.3">
      <c r="I14953" s="82"/>
      <c r="M14953" s="85"/>
    </row>
    <row r="14954" spans="9:13" x14ac:dyDescent="0.3">
      <c r="I14954" s="82"/>
      <c r="M14954" s="85"/>
    </row>
    <row r="14955" spans="9:13" x14ac:dyDescent="0.3">
      <c r="I14955" s="82"/>
      <c r="M14955" s="85"/>
    </row>
    <row r="14956" spans="9:13" x14ac:dyDescent="0.3">
      <c r="I14956" s="82"/>
      <c r="M14956" s="85"/>
    </row>
    <row r="14957" spans="9:13" x14ac:dyDescent="0.3">
      <c r="I14957" s="82"/>
      <c r="M14957" s="85"/>
    </row>
    <row r="14958" spans="9:13" x14ac:dyDescent="0.3">
      <c r="I14958" s="82"/>
      <c r="M14958" s="85"/>
    </row>
    <row r="14959" spans="9:13" x14ac:dyDescent="0.3">
      <c r="I14959" s="82"/>
      <c r="M14959" s="85"/>
    </row>
    <row r="14960" spans="9:13" x14ac:dyDescent="0.3">
      <c r="I14960" s="82"/>
      <c r="M14960" s="85"/>
    </row>
    <row r="14961" spans="9:13" x14ac:dyDescent="0.3">
      <c r="I14961" s="82"/>
      <c r="M14961" s="85"/>
    </row>
    <row r="14962" spans="9:13" x14ac:dyDescent="0.3">
      <c r="I14962" s="82"/>
      <c r="M14962" s="85"/>
    </row>
    <row r="14963" spans="9:13" x14ac:dyDescent="0.3">
      <c r="I14963" s="82"/>
      <c r="M14963" s="85"/>
    </row>
    <row r="14964" spans="9:13" x14ac:dyDescent="0.3">
      <c r="I14964" s="82"/>
      <c r="M14964" s="85"/>
    </row>
    <row r="14965" spans="9:13" x14ac:dyDescent="0.3">
      <c r="I14965" s="82"/>
      <c r="M14965" s="85"/>
    </row>
    <row r="14966" spans="9:13" x14ac:dyDescent="0.3">
      <c r="I14966" s="82"/>
      <c r="M14966" s="85"/>
    </row>
    <row r="14967" spans="9:13" x14ac:dyDescent="0.3">
      <c r="I14967" s="82"/>
      <c r="M14967" s="85"/>
    </row>
    <row r="14968" spans="9:13" x14ac:dyDescent="0.3">
      <c r="I14968" s="82"/>
      <c r="M14968" s="85"/>
    </row>
    <row r="14969" spans="9:13" x14ac:dyDescent="0.3">
      <c r="I14969" s="82"/>
      <c r="M14969" s="85"/>
    </row>
    <row r="14970" spans="9:13" x14ac:dyDescent="0.3">
      <c r="I14970" s="82"/>
      <c r="M14970" s="85"/>
    </row>
    <row r="14971" spans="9:13" x14ac:dyDescent="0.3">
      <c r="I14971" s="82"/>
      <c r="M14971" s="85"/>
    </row>
    <row r="14972" spans="9:13" x14ac:dyDescent="0.3">
      <c r="I14972" s="82"/>
      <c r="M14972" s="85"/>
    </row>
    <row r="14973" spans="9:13" x14ac:dyDescent="0.3">
      <c r="I14973" s="82"/>
      <c r="M14973" s="85"/>
    </row>
    <row r="14974" spans="9:13" x14ac:dyDescent="0.3">
      <c r="I14974" s="82"/>
      <c r="M14974" s="85"/>
    </row>
    <row r="14975" spans="9:13" x14ac:dyDescent="0.3">
      <c r="I14975" s="82"/>
      <c r="M14975" s="85"/>
    </row>
    <row r="14976" spans="9:13" x14ac:dyDescent="0.3">
      <c r="I14976" s="82"/>
      <c r="M14976" s="85"/>
    </row>
    <row r="14977" spans="9:13" x14ac:dyDescent="0.3">
      <c r="I14977" s="82"/>
      <c r="M14977" s="85"/>
    </row>
    <row r="14978" spans="9:13" x14ac:dyDescent="0.3">
      <c r="I14978" s="82"/>
      <c r="M14978" s="85"/>
    </row>
    <row r="14979" spans="9:13" x14ac:dyDescent="0.3">
      <c r="I14979" s="82"/>
      <c r="M14979" s="85"/>
    </row>
    <row r="14980" spans="9:13" x14ac:dyDescent="0.3">
      <c r="I14980" s="82"/>
      <c r="M14980" s="85"/>
    </row>
    <row r="14981" spans="9:13" x14ac:dyDescent="0.3">
      <c r="I14981" s="82"/>
      <c r="M14981" s="85"/>
    </row>
    <row r="14982" spans="9:13" x14ac:dyDescent="0.3">
      <c r="I14982" s="82"/>
      <c r="M14982" s="85"/>
    </row>
    <row r="14983" spans="9:13" x14ac:dyDescent="0.3">
      <c r="I14983" s="82"/>
      <c r="M14983" s="85"/>
    </row>
    <row r="14984" spans="9:13" x14ac:dyDescent="0.3">
      <c r="I14984" s="82"/>
      <c r="M14984" s="85"/>
    </row>
    <row r="14985" spans="9:13" x14ac:dyDescent="0.3">
      <c r="I14985" s="82"/>
      <c r="M14985" s="85"/>
    </row>
    <row r="14986" spans="9:13" x14ac:dyDescent="0.3">
      <c r="I14986" s="82"/>
      <c r="M14986" s="85"/>
    </row>
    <row r="14987" spans="9:13" x14ac:dyDescent="0.3">
      <c r="I14987" s="82"/>
      <c r="M14987" s="85"/>
    </row>
    <row r="14988" spans="9:13" x14ac:dyDescent="0.3">
      <c r="I14988" s="82"/>
      <c r="M14988" s="85"/>
    </row>
    <row r="14989" spans="9:13" x14ac:dyDescent="0.3">
      <c r="I14989" s="82"/>
      <c r="M14989" s="85"/>
    </row>
    <row r="14990" spans="9:13" x14ac:dyDescent="0.3">
      <c r="I14990" s="82"/>
      <c r="M14990" s="85"/>
    </row>
    <row r="14991" spans="9:13" x14ac:dyDescent="0.3">
      <c r="I14991" s="82"/>
      <c r="M14991" s="85"/>
    </row>
    <row r="14992" spans="9:13" x14ac:dyDescent="0.3">
      <c r="I14992" s="82"/>
      <c r="M14992" s="85"/>
    </row>
    <row r="14993" spans="9:13" x14ac:dyDescent="0.3">
      <c r="I14993" s="82"/>
      <c r="M14993" s="85"/>
    </row>
    <row r="14994" spans="9:13" x14ac:dyDescent="0.3">
      <c r="I14994" s="82"/>
      <c r="M14994" s="85"/>
    </row>
    <row r="14995" spans="9:13" x14ac:dyDescent="0.3">
      <c r="I14995" s="82"/>
      <c r="M14995" s="85"/>
    </row>
    <row r="14996" spans="9:13" x14ac:dyDescent="0.3">
      <c r="I14996" s="82"/>
      <c r="M14996" s="85"/>
    </row>
    <row r="14997" spans="9:13" x14ac:dyDescent="0.3">
      <c r="I14997" s="82"/>
      <c r="M14997" s="85"/>
    </row>
    <row r="14998" spans="9:13" x14ac:dyDescent="0.3">
      <c r="I14998" s="82"/>
      <c r="M14998" s="85"/>
    </row>
    <row r="14999" spans="9:13" x14ac:dyDescent="0.3">
      <c r="I14999" s="82"/>
      <c r="M14999" s="85"/>
    </row>
    <row r="15000" spans="9:13" x14ac:dyDescent="0.3">
      <c r="I15000" s="82"/>
      <c r="M15000" s="85"/>
    </row>
    <row r="15001" spans="9:13" x14ac:dyDescent="0.3">
      <c r="I15001" s="82"/>
      <c r="M15001" s="85"/>
    </row>
    <row r="15002" spans="9:13" x14ac:dyDescent="0.3">
      <c r="I15002" s="82"/>
      <c r="M15002" s="85"/>
    </row>
    <row r="15003" spans="9:13" x14ac:dyDescent="0.3">
      <c r="I15003" s="82"/>
      <c r="M15003" s="85"/>
    </row>
    <row r="15004" spans="9:13" x14ac:dyDescent="0.3">
      <c r="I15004" s="82"/>
      <c r="M15004" s="85"/>
    </row>
    <row r="15005" spans="9:13" x14ac:dyDescent="0.3">
      <c r="I15005" s="82"/>
      <c r="M15005" s="85"/>
    </row>
    <row r="15006" spans="9:13" x14ac:dyDescent="0.3">
      <c r="I15006" s="82"/>
      <c r="M15006" s="85"/>
    </row>
    <row r="15007" spans="9:13" x14ac:dyDescent="0.3">
      <c r="I15007" s="82"/>
      <c r="M15007" s="85"/>
    </row>
    <row r="15008" spans="9:13" x14ac:dyDescent="0.3">
      <c r="I15008" s="82"/>
      <c r="M15008" s="85"/>
    </row>
    <row r="15009" spans="9:13" x14ac:dyDescent="0.3">
      <c r="I15009" s="82"/>
      <c r="M15009" s="85"/>
    </row>
    <row r="15010" spans="9:13" x14ac:dyDescent="0.3">
      <c r="I15010" s="82"/>
      <c r="M15010" s="85"/>
    </row>
    <row r="15011" spans="9:13" x14ac:dyDescent="0.3">
      <c r="I15011" s="82"/>
      <c r="M15011" s="85"/>
    </row>
    <row r="15012" spans="9:13" x14ac:dyDescent="0.3">
      <c r="I15012" s="82"/>
      <c r="M15012" s="85"/>
    </row>
    <row r="15013" spans="9:13" x14ac:dyDescent="0.3">
      <c r="I15013" s="82"/>
      <c r="M15013" s="85"/>
    </row>
    <row r="15014" spans="9:13" x14ac:dyDescent="0.3">
      <c r="I15014" s="82"/>
      <c r="M15014" s="85"/>
    </row>
    <row r="15015" spans="9:13" x14ac:dyDescent="0.3">
      <c r="I15015" s="82"/>
      <c r="M15015" s="85"/>
    </row>
    <row r="15016" spans="9:13" x14ac:dyDescent="0.3">
      <c r="I15016" s="82"/>
      <c r="M15016" s="85"/>
    </row>
    <row r="15017" spans="9:13" x14ac:dyDescent="0.3">
      <c r="I15017" s="82"/>
      <c r="M15017" s="85"/>
    </row>
    <row r="15018" spans="9:13" x14ac:dyDescent="0.3">
      <c r="I15018" s="82"/>
      <c r="M15018" s="85"/>
    </row>
    <row r="15019" spans="9:13" x14ac:dyDescent="0.3">
      <c r="I15019" s="82"/>
      <c r="M15019" s="85"/>
    </row>
    <row r="15020" spans="9:13" x14ac:dyDescent="0.3">
      <c r="I15020" s="82"/>
      <c r="M15020" s="85"/>
    </row>
    <row r="15021" spans="9:13" x14ac:dyDescent="0.3">
      <c r="I15021" s="82"/>
      <c r="M15021" s="85"/>
    </row>
    <row r="15022" spans="9:13" x14ac:dyDescent="0.3">
      <c r="I15022" s="82"/>
      <c r="M15022" s="85"/>
    </row>
    <row r="15023" spans="9:13" x14ac:dyDescent="0.3">
      <c r="I15023" s="82"/>
      <c r="M15023" s="85"/>
    </row>
    <row r="15024" spans="9:13" x14ac:dyDescent="0.3">
      <c r="I15024" s="82"/>
      <c r="M15024" s="85"/>
    </row>
    <row r="15025" spans="9:13" x14ac:dyDescent="0.3">
      <c r="I15025" s="82"/>
      <c r="M15025" s="85"/>
    </row>
    <row r="15026" spans="9:13" x14ac:dyDescent="0.3">
      <c r="I15026" s="82"/>
      <c r="M15026" s="85"/>
    </row>
    <row r="15027" spans="9:13" x14ac:dyDescent="0.3">
      <c r="I15027" s="82"/>
      <c r="M15027" s="85"/>
    </row>
    <row r="15028" spans="9:13" x14ac:dyDescent="0.3">
      <c r="I15028" s="82"/>
      <c r="M15028" s="85"/>
    </row>
    <row r="15029" spans="9:13" x14ac:dyDescent="0.3">
      <c r="I15029" s="82"/>
      <c r="M15029" s="85"/>
    </row>
    <row r="15030" spans="9:13" x14ac:dyDescent="0.3">
      <c r="I15030" s="82"/>
      <c r="M15030" s="85"/>
    </row>
    <row r="15031" spans="9:13" x14ac:dyDescent="0.3">
      <c r="I15031" s="82"/>
      <c r="M15031" s="85"/>
    </row>
    <row r="15032" spans="9:13" x14ac:dyDescent="0.3">
      <c r="I15032" s="82"/>
      <c r="M15032" s="85"/>
    </row>
    <row r="15033" spans="9:13" x14ac:dyDescent="0.3">
      <c r="I15033" s="82"/>
      <c r="M15033" s="85"/>
    </row>
    <row r="15034" spans="9:13" x14ac:dyDescent="0.3">
      <c r="I15034" s="82"/>
      <c r="M15034" s="85"/>
    </row>
    <row r="15035" spans="9:13" x14ac:dyDescent="0.3">
      <c r="I15035" s="82"/>
      <c r="M15035" s="85"/>
    </row>
    <row r="15036" spans="9:13" x14ac:dyDescent="0.3">
      <c r="I15036" s="82"/>
      <c r="M15036" s="85"/>
    </row>
    <row r="15037" spans="9:13" x14ac:dyDescent="0.3">
      <c r="I15037" s="82"/>
      <c r="M15037" s="85"/>
    </row>
    <row r="15038" spans="9:13" x14ac:dyDescent="0.3">
      <c r="I15038" s="82"/>
      <c r="M15038" s="85"/>
    </row>
    <row r="15039" spans="9:13" x14ac:dyDescent="0.3">
      <c r="I15039" s="82"/>
      <c r="M15039" s="85"/>
    </row>
    <row r="15040" spans="9:13" x14ac:dyDescent="0.3">
      <c r="I15040" s="82"/>
      <c r="M15040" s="85"/>
    </row>
    <row r="15041" spans="9:13" x14ac:dyDescent="0.3">
      <c r="I15041" s="82"/>
      <c r="M15041" s="85"/>
    </row>
    <row r="15042" spans="9:13" x14ac:dyDescent="0.3">
      <c r="I15042" s="82"/>
      <c r="M15042" s="85"/>
    </row>
    <row r="15043" spans="9:13" x14ac:dyDescent="0.3">
      <c r="I15043" s="82"/>
      <c r="M15043" s="85"/>
    </row>
    <row r="15044" spans="9:13" x14ac:dyDescent="0.3">
      <c r="I15044" s="82"/>
      <c r="M15044" s="85"/>
    </row>
    <row r="15045" spans="9:13" x14ac:dyDescent="0.3">
      <c r="I15045" s="82"/>
      <c r="M15045" s="85"/>
    </row>
    <row r="15046" spans="9:13" x14ac:dyDescent="0.3">
      <c r="I15046" s="82"/>
      <c r="M15046" s="85"/>
    </row>
    <row r="15047" spans="9:13" x14ac:dyDescent="0.3">
      <c r="I15047" s="82"/>
      <c r="M15047" s="85"/>
    </row>
    <row r="15048" spans="9:13" x14ac:dyDescent="0.3">
      <c r="I15048" s="82"/>
      <c r="M15048" s="85"/>
    </row>
    <row r="15049" spans="9:13" x14ac:dyDescent="0.3">
      <c r="I15049" s="82"/>
      <c r="M15049" s="85"/>
    </row>
    <row r="15050" spans="9:13" x14ac:dyDescent="0.3">
      <c r="I15050" s="82"/>
      <c r="M15050" s="85"/>
    </row>
    <row r="15051" spans="9:13" x14ac:dyDescent="0.3">
      <c r="I15051" s="82"/>
      <c r="M15051" s="85"/>
    </row>
    <row r="15052" spans="9:13" x14ac:dyDescent="0.3">
      <c r="I15052" s="82"/>
      <c r="M15052" s="85"/>
    </row>
    <row r="15053" spans="9:13" x14ac:dyDescent="0.3">
      <c r="I15053" s="82"/>
      <c r="M15053" s="85"/>
    </row>
    <row r="15054" spans="9:13" x14ac:dyDescent="0.3">
      <c r="I15054" s="82"/>
      <c r="M15054" s="85"/>
    </row>
    <row r="15055" spans="9:13" x14ac:dyDescent="0.3">
      <c r="I15055" s="82"/>
      <c r="M15055" s="85"/>
    </row>
    <row r="15056" spans="9:13" x14ac:dyDescent="0.3">
      <c r="I15056" s="82"/>
      <c r="M15056" s="85"/>
    </row>
    <row r="15057" spans="9:13" x14ac:dyDescent="0.3">
      <c r="I15057" s="82"/>
      <c r="M15057" s="85"/>
    </row>
    <row r="15058" spans="9:13" x14ac:dyDescent="0.3">
      <c r="I15058" s="82"/>
      <c r="M15058" s="85"/>
    </row>
    <row r="15059" spans="9:13" x14ac:dyDescent="0.3">
      <c r="I15059" s="82"/>
      <c r="M15059" s="85"/>
    </row>
    <row r="15060" spans="9:13" x14ac:dyDescent="0.3">
      <c r="I15060" s="82"/>
      <c r="M15060" s="85"/>
    </row>
    <row r="15061" spans="9:13" x14ac:dyDescent="0.3">
      <c r="I15061" s="82"/>
      <c r="M15061" s="85"/>
    </row>
    <row r="15062" spans="9:13" x14ac:dyDescent="0.3">
      <c r="I15062" s="82"/>
      <c r="M15062" s="85"/>
    </row>
    <row r="15063" spans="9:13" x14ac:dyDescent="0.3">
      <c r="I15063" s="82"/>
      <c r="M15063" s="85"/>
    </row>
    <row r="15064" spans="9:13" x14ac:dyDescent="0.3">
      <c r="I15064" s="82"/>
      <c r="M15064" s="85"/>
    </row>
    <row r="15065" spans="9:13" x14ac:dyDescent="0.3">
      <c r="I15065" s="82"/>
      <c r="M15065" s="85"/>
    </row>
    <row r="15066" spans="9:13" x14ac:dyDescent="0.3">
      <c r="I15066" s="82"/>
      <c r="M15066" s="85"/>
    </row>
    <row r="15067" spans="9:13" x14ac:dyDescent="0.3">
      <c r="I15067" s="82"/>
      <c r="M15067" s="85"/>
    </row>
    <row r="15068" spans="9:13" x14ac:dyDescent="0.3">
      <c r="I15068" s="82"/>
      <c r="M15068" s="85"/>
    </row>
    <row r="15069" spans="9:13" x14ac:dyDescent="0.3">
      <c r="I15069" s="82"/>
      <c r="M15069" s="85"/>
    </row>
    <row r="15070" spans="9:13" x14ac:dyDescent="0.3">
      <c r="I15070" s="82"/>
      <c r="M15070" s="85"/>
    </row>
    <row r="15071" spans="9:13" x14ac:dyDescent="0.3">
      <c r="I15071" s="82"/>
      <c r="M15071" s="85"/>
    </row>
    <row r="15072" spans="9:13" x14ac:dyDescent="0.3">
      <c r="I15072" s="82"/>
      <c r="M15072" s="85"/>
    </row>
    <row r="15073" spans="9:13" x14ac:dyDescent="0.3">
      <c r="I15073" s="82"/>
      <c r="M15073" s="85"/>
    </row>
    <row r="15074" spans="9:13" x14ac:dyDescent="0.3">
      <c r="I15074" s="82"/>
      <c r="M15074" s="85"/>
    </row>
    <row r="15075" spans="9:13" x14ac:dyDescent="0.3">
      <c r="I15075" s="82"/>
      <c r="M15075" s="85"/>
    </row>
    <row r="15076" spans="9:13" x14ac:dyDescent="0.3">
      <c r="I15076" s="82"/>
      <c r="M15076" s="85"/>
    </row>
    <row r="15077" spans="9:13" x14ac:dyDescent="0.3">
      <c r="I15077" s="82"/>
      <c r="M15077" s="85"/>
    </row>
    <row r="15078" spans="9:13" x14ac:dyDescent="0.3">
      <c r="I15078" s="82"/>
      <c r="M15078" s="85"/>
    </row>
    <row r="15079" spans="9:13" x14ac:dyDescent="0.3">
      <c r="I15079" s="82"/>
      <c r="M15079" s="85"/>
    </row>
    <row r="15080" spans="9:13" x14ac:dyDescent="0.3">
      <c r="I15080" s="82"/>
      <c r="M15080" s="85"/>
    </row>
    <row r="15081" spans="9:13" x14ac:dyDescent="0.3">
      <c r="I15081" s="82"/>
      <c r="M15081" s="85"/>
    </row>
    <row r="15082" spans="9:13" x14ac:dyDescent="0.3">
      <c r="I15082" s="82"/>
      <c r="M15082" s="85"/>
    </row>
    <row r="15083" spans="9:13" x14ac:dyDescent="0.3">
      <c r="I15083" s="82"/>
      <c r="M15083" s="85"/>
    </row>
    <row r="15084" spans="9:13" x14ac:dyDescent="0.3">
      <c r="I15084" s="82"/>
      <c r="M15084" s="85"/>
    </row>
    <row r="15085" spans="9:13" x14ac:dyDescent="0.3">
      <c r="I15085" s="82"/>
      <c r="M15085" s="85"/>
    </row>
    <row r="15086" spans="9:13" x14ac:dyDescent="0.3">
      <c r="I15086" s="82"/>
      <c r="M15086" s="85"/>
    </row>
    <row r="15087" spans="9:13" x14ac:dyDescent="0.3">
      <c r="I15087" s="82"/>
      <c r="M15087" s="85"/>
    </row>
    <row r="15088" spans="9:13" x14ac:dyDescent="0.3">
      <c r="I15088" s="82"/>
      <c r="M15088" s="85"/>
    </row>
    <row r="15089" spans="9:13" x14ac:dyDescent="0.3">
      <c r="I15089" s="82"/>
      <c r="M15089" s="85"/>
    </row>
    <row r="15090" spans="9:13" x14ac:dyDescent="0.3">
      <c r="I15090" s="82"/>
      <c r="M15090" s="85"/>
    </row>
    <row r="15091" spans="9:13" x14ac:dyDescent="0.3">
      <c r="I15091" s="82"/>
      <c r="M15091" s="85"/>
    </row>
    <row r="15092" spans="9:13" x14ac:dyDescent="0.3">
      <c r="I15092" s="82"/>
      <c r="M15092" s="85"/>
    </row>
    <row r="15093" spans="9:13" x14ac:dyDescent="0.3">
      <c r="I15093" s="82"/>
      <c r="M15093" s="85"/>
    </row>
    <row r="15094" spans="9:13" x14ac:dyDescent="0.3">
      <c r="I15094" s="82"/>
      <c r="M15094" s="85"/>
    </row>
    <row r="15095" spans="9:13" x14ac:dyDescent="0.3">
      <c r="I15095" s="82"/>
      <c r="M15095" s="85"/>
    </row>
    <row r="15096" spans="9:13" x14ac:dyDescent="0.3">
      <c r="I15096" s="82"/>
      <c r="M15096" s="85"/>
    </row>
    <row r="15097" spans="9:13" x14ac:dyDescent="0.3">
      <c r="I15097" s="82"/>
      <c r="M15097" s="85"/>
    </row>
    <row r="15098" spans="9:13" x14ac:dyDescent="0.3">
      <c r="I15098" s="82"/>
      <c r="M15098" s="85"/>
    </row>
    <row r="15099" spans="9:13" x14ac:dyDescent="0.3">
      <c r="I15099" s="82"/>
      <c r="M15099" s="85"/>
    </row>
    <row r="15100" spans="9:13" x14ac:dyDescent="0.3">
      <c r="I15100" s="82"/>
      <c r="M15100" s="85"/>
    </row>
    <row r="15101" spans="9:13" x14ac:dyDescent="0.3">
      <c r="I15101" s="82"/>
      <c r="M15101" s="85"/>
    </row>
    <row r="15102" spans="9:13" x14ac:dyDescent="0.3">
      <c r="I15102" s="82"/>
      <c r="M15102" s="85"/>
    </row>
    <row r="15103" spans="9:13" x14ac:dyDescent="0.3">
      <c r="I15103" s="82"/>
      <c r="M15103" s="85"/>
    </row>
    <row r="15104" spans="9:13" x14ac:dyDescent="0.3">
      <c r="I15104" s="82"/>
      <c r="M15104" s="85"/>
    </row>
    <row r="15105" spans="9:13" x14ac:dyDescent="0.3">
      <c r="I15105" s="82"/>
      <c r="M15105" s="85"/>
    </row>
    <row r="15106" spans="9:13" x14ac:dyDescent="0.3">
      <c r="I15106" s="82"/>
      <c r="M15106" s="85"/>
    </row>
    <row r="15107" spans="9:13" x14ac:dyDescent="0.3">
      <c r="I15107" s="82"/>
      <c r="M15107" s="85"/>
    </row>
    <row r="15108" spans="9:13" x14ac:dyDescent="0.3">
      <c r="I15108" s="82"/>
      <c r="M15108" s="85"/>
    </row>
    <row r="15109" spans="9:13" x14ac:dyDescent="0.3">
      <c r="I15109" s="82"/>
      <c r="M15109" s="85"/>
    </row>
    <row r="15110" spans="9:13" x14ac:dyDescent="0.3">
      <c r="I15110" s="82"/>
      <c r="M15110" s="85"/>
    </row>
    <row r="15111" spans="9:13" x14ac:dyDescent="0.3">
      <c r="I15111" s="82"/>
      <c r="M15111" s="85"/>
    </row>
    <row r="15112" spans="9:13" x14ac:dyDescent="0.3">
      <c r="I15112" s="82"/>
      <c r="M15112" s="85"/>
    </row>
    <row r="15113" spans="9:13" x14ac:dyDescent="0.3">
      <c r="I15113" s="82"/>
      <c r="M15113" s="85"/>
    </row>
    <row r="15114" spans="9:13" x14ac:dyDescent="0.3">
      <c r="I15114" s="82"/>
      <c r="M15114" s="85"/>
    </row>
    <row r="15115" spans="9:13" x14ac:dyDescent="0.3">
      <c r="I15115" s="82"/>
      <c r="M15115" s="85"/>
    </row>
    <row r="15116" spans="9:13" x14ac:dyDescent="0.3">
      <c r="I15116" s="82"/>
      <c r="M15116" s="85"/>
    </row>
    <row r="15117" spans="9:13" x14ac:dyDescent="0.3">
      <c r="I15117" s="82"/>
      <c r="M15117" s="85"/>
    </row>
    <row r="15118" spans="9:13" x14ac:dyDescent="0.3">
      <c r="I15118" s="82"/>
      <c r="M15118" s="85"/>
    </row>
    <row r="15119" spans="9:13" x14ac:dyDescent="0.3">
      <c r="I15119" s="82"/>
      <c r="M15119" s="85"/>
    </row>
    <row r="15120" spans="9:13" x14ac:dyDescent="0.3">
      <c r="I15120" s="82"/>
      <c r="M15120" s="85"/>
    </row>
    <row r="15121" spans="9:13" x14ac:dyDescent="0.3">
      <c r="I15121" s="82"/>
      <c r="M15121" s="85"/>
    </row>
    <row r="15122" spans="9:13" x14ac:dyDescent="0.3">
      <c r="I15122" s="82"/>
      <c r="M15122" s="85"/>
    </row>
    <row r="15123" spans="9:13" x14ac:dyDescent="0.3">
      <c r="I15123" s="82"/>
      <c r="M15123" s="85"/>
    </row>
    <row r="15124" spans="9:13" x14ac:dyDescent="0.3">
      <c r="I15124" s="82"/>
      <c r="M15124" s="85"/>
    </row>
    <row r="15125" spans="9:13" x14ac:dyDescent="0.3">
      <c r="I15125" s="82"/>
      <c r="M15125" s="85"/>
    </row>
    <row r="15126" spans="9:13" x14ac:dyDescent="0.3">
      <c r="I15126" s="82"/>
      <c r="M15126" s="85"/>
    </row>
    <row r="15127" spans="9:13" x14ac:dyDescent="0.3">
      <c r="I15127" s="82"/>
      <c r="M15127" s="85"/>
    </row>
    <row r="15128" spans="9:13" x14ac:dyDescent="0.3">
      <c r="I15128" s="82"/>
      <c r="M15128" s="85"/>
    </row>
    <row r="15129" spans="9:13" x14ac:dyDescent="0.3">
      <c r="I15129" s="82"/>
      <c r="M15129" s="85"/>
    </row>
    <row r="15130" spans="9:13" x14ac:dyDescent="0.3">
      <c r="I15130" s="82"/>
      <c r="M15130" s="85"/>
    </row>
    <row r="15131" spans="9:13" x14ac:dyDescent="0.3">
      <c r="I15131" s="82"/>
      <c r="M15131" s="85"/>
    </row>
    <row r="15132" spans="9:13" x14ac:dyDescent="0.3">
      <c r="I15132" s="82"/>
      <c r="M15132" s="85"/>
    </row>
    <row r="15133" spans="9:13" x14ac:dyDescent="0.3">
      <c r="I15133" s="82"/>
      <c r="M15133" s="85"/>
    </row>
    <row r="15134" spans="9:13" x14ac:dyDescent="0.3">
      <c r="I15134" s="82"/>
      <c r="M15134" s="85"/>
    </row>
    <row r="15135" spans="9:13" x14ac:dyDescent="0.3">
      <c r="I15135" s="82"/>
      <c r="M15135" s="85"/>
    </row>
    <row r="15136" spans="9:13" x14ac:dyDescent="0.3">
      <c r="I15136" s="82"/>
      <c r="M15136" s="85"/>
    </row>
    <row r="15137" spans="9:13" x14ac:dyDescent="0.3">
      <c r="I15137" s="82"/>
      <c r="M15137" s="85"/>
    </row>
    <row r="15138" spans="9:13" x14ac:dyDescent="0.3">
      <c r="I15138" s="82"/>
      <c r="M15138" s="85"/>
    </row>
    <row r="15139" spans="9:13" x14ac:dyDescent="0.3">
      <c r="I15139" s="82"/>
      <c r="M15139" s="85"/>
    </row>
    <row r="15140" spans="9:13" x14ac:dyDescent="0.3">
      <c r="I15140" s="82"/>
      <c r="M15140" s="85"/>
    </row>
    <row r="15141" spans="9:13" x14ac:dyDescent="0.3">
      <c r="I15141" s="82"/>
      <c r="M15141" s="85"/>
    </row>
    <row r="15142" spans="9:13" x14ac:dyDescent="0.3">
      <c r="I15142" s="82"/>
      <c r="M15142" s="85"/>
    </row>
    <row r="15143" spans="9:13" x14ac:dyDescent="0.3">
      <c r="I15143" s="82"/>
      <c r="M15143" s="85"/>
    </row>
    <row r="15144" spans="9:13" x14ac:dyDescent="0.3">
      <c r="I15144" s="82"/>
      <c r="M15144" s="85"/>
    </row>
    <row r="15145" spans="9:13" x14ac:dyDescent="0.3">
      <c r="I15145" s="82"/>
      <c r="M15145" s="85"/>
    </row>
    <row r="15146" spans="9:13" x14ac:dyDescent="0.3">
      <c r="I15146" s="82"/>
      <c r="M15146" s="85"/>
    </row>
    <row r="15147" spans="9:13" x14ac:dyDescent="0.3">
      <c r="I15147" s="82"/>
      <c r="M15147" s="85"/>
    </row>
    <row r="15148" spans="9:13" x14ac:dyDescent="0.3">
      <c r="I15148" s="82"/>
      <c r="M15148" s="85"/>
    </row>
    <row r="15149" spans="9:13" x14ac:dyDescent="0.3">
      <c r="I15149" s="82"/>
      <c r="M15149" s="85"/>
    </row>
    <row r="15150" spans="9:13" x14ac:dyDescent="0.3">
      <c r="I15150" s="82"/>
      <c r="M15150" s="85"/>
    </row>
    <row r="15151" spans="9:13" x14ac:dyDescent="0.3">
      <c r="I15151" s="82"/>
      <c r="M15151" s="85"/>
    </row>
    <row r="15152" spans="9:13" x14ac:dyDescent="0.3">
      <c r="I15152" s="82"/>
      <c r="M15152" s="85"/>
    </row>
    <row r="15153" spans="9:13" x14ac:dyDescent="0.3">
      <c r="I15153" s="82"/>
      <c r="M15153" s="85"/>
    </row>
    <row r="15154" spans="9:13" x14ac:dyDescent="0.3">
      <c r="I15154" s="82"/>
      <c r="M15154" s="85"/>
    </row>
    <row r="15155" spans="9:13" x14ac:dyDescent="0.3">
      <c r="I15155" s="82"/>
      <c r="M15155" s="85"/>
    </row>
    <row r="15156" spans="9:13" x14ac:dyDescent="0.3">
      <c r="I15156" s="82"/>
      <c r="M15156" s="85"/>
    </row>
    <row r="15157" spans="9:13" x14ac:dyDescent="0.3">
      <c r="I15157" s="82"/>
      <c r="M15157" s="85"/>
    </row>
    <row r="15158" spans="9:13" x14ac:dyDescent="0.3">
      <c r="I15158" s="82"/>
      <c r="M15158" s="85"/>
    </row>
    <row r="15159" spans="9:13" x14ac:dyDescent="0.3">
      <c r="I15159" s="82"/>
      <c r="M15159" s="85"/>
    </row>
    <row r="15160" spans="9:13" x14ac:dyDescent="0.3">
      <c r="I15160" s="82"/>
      <c r="M15160" s="85"/>
    </row>
    <row r="15161" spans="9:13" x14ac:dyDescent="0.3">
      <c r="I15161" s="82"/>
      <c r="M15161" s="85"/>
    </row>
    <row r="15162" spans="9:13" x14ac:dyDescent="0.3">
      <c r="I15162" s="82"/>
      <c r="M15162" s="85"/>
    </row>
    <row r="15163" spans="9:13" x14ac:dyDescent="0.3">
      <c r="I15163" s="82"/>
      <c r="M15163" s="85"/>
    </row>
    <row r="15164" spans="9:13" x14ac:dyDescent="0.3">
      <c r="I15164" s="82"/>
      <c r="M15164" s="85"/>
    </row>
    <row r="15165" spans="9:13" x14ac:dyDescent="0.3">
      <c r="I15165" s="82"/>
      <c r="M15165" s="85"/>
    </row>
    <row r="15166" spans="9:13" x14ac:dyDescent="0.3">
      <c r="I15166" s="82"/>
      <c r="M15166" s="85"/>
    </row>
    <row r="15167" spans="9:13" x14ac:dyDescent="0.3">
      <c r="I15167" s="82"/>
      <c r="M15167" s="85"/>
    </row>
    <row r="15168" spans="9:13" x14ac:dyDescent="0.3">
      <c r="I15168" s="82"/>
      <c r="M15168" s="85"/>
    </row>
    <row r="15169" spans="9:13" x14ac:dyDescent="0.3">
      <c r="I15169" s="82"/>
      <c r="M15169" s="85"/>
    </row>
    <row r="15170" spans="9:13" x14ac:dyDescent="0.3">
      <c r="I15170" s="82"/>
      <c r="M15170" s="85"/>
    </row>
    <row r="15171" spans="9:13" x14ac:dyDescent="0.3">
      <c r="I15171" s="82"/>
      <c r="M15171" s="85"/>
    </row>
    <row r="15172" spans="9:13" x14ac:dyDescent="0.3">
      <c r="I15172" s="82"/>
      <c r="M15172" s="85"/>
    </row>
    <row r="15173" spans="9:13" x14ac:dyDescent="0.3">
      <c r="I15173" s="82"/>
      <c r="M15173" s="85"/>
    </row>
    <row r="15174" spans="9:13" x14ac:dyDescent="0.3">
      <c r="I15174" s="82"/>
      <c r="M15174" s="85"/>
    </row>
    <row r="15175" spans="9:13" x14ac:dyDescent="0.3">
      <c r="I15175" s="82"/>
      <c r="M15175" s="85"/>
    </row>
    <row r="15176" spans="9:13" x14ac:dyDescent="0.3">
      <c r="I15176" s="82"/>
      <c r="M15176" s="85"/>
    </row>
    <row r="15177" spans="9:13" x14ac:dyDescent="0.3">
      <c r="I15177" s="82"/>
      <c r="M15177" s="85"/>
    </row>
    <row r="15178" spans="9:13" x14ac:dyDescent="0.3">
      <c r="I15178" s="82"/>
      <c r="M15178" s="85"/>
    </row>
    <row r="15179" spans="9:13" x14ac:dyDescent="0.3">
      <c r="I15179" s="82"/>
      <c r="M15179" s="85"/>
    </row>
    <row r="15180" spans="9:13" x14ac:dyDescent="0.3">
      <c r="I15180" s="82"/>
      <c r="M15180" s="85"/>
    </row>
    <row r="15181" spans="9:13" x14ac:dyDescent="0.3">
      <c r="I15181" s="82"/>
      <c r="M15181" s="85"/>
    </row>
    <row r="15182" spans="9:13" x14ac:dyDescent="0.3">
      <c r="I15182" s="82"/>
      <c r="M15182" s="85"/>
    </row>
    <row r="15183" spans="9:13" x14ac:dyDescent="0.3">
      <c r="I15183" s="82"/>
      <c r="M15183" s="85"/>
    </row>
    <row r="15184" spans="9:13" x14ac:dyDescent="0.3">
      <c r="I15184" s="82"/>
      <c r="M15184" s="85"/>
    </row>
    <row r="15185" spans="9:13" x14ac:dyDescent="0.3">
      <c r="I15185" s="82"/>
      <c r="M15185" s="85"/>
    </row>
    <row r="15186" spans="9:13" x14ac:dyDescent="0.3">
      <c r="I15186" s="82"/>
      <c r="M15186" s="85"/>
    </row>
    <row r="15187" spans="9:13" x14ac:dyDescent="0.3">
      <c r="I15187" s="82"/>
      <c r="M15187" s="85"/>
    </row>
    <row r="15188" spans="9:13" x14ac:dyDescent="0.3">
      <c r="I15188" s="82"/>
      <c r="M15188" s="85"/>
    </row>
    <row r="15189" spans="9:13" x14ac:dyDescent="0.3">
      <c r="I15189" s="82"/>
      <c r="M15189" s="85"/>
    </row>
    <row r="15190" spans="9:13" x14ac:dyDescent="0.3">
      <c r="I15190" s="82"/>
      <c r="M15190" s="85"/>
    </row>
    <row r="15191" spans="9:13" x14ac:dyDescent="0.3">
      <c r="I15191" s="82"/>
      <c r="M15191" s="85"/>
    </row>
    <row r="15192" spans="9:13" x14ac:dyDescent="0.3">
      <c r="I15192" s="82"/>
      <c r="M15192" s="85"/>
    </row>
    <row r="15193" spans="9:13" x14ac:dyDescent="0.3">
      <c r="I15193" s="82"/>
      <c r="M15193" s="85"/>
    </row>
    <row r="15194" spans="9:13" x14ac:dyDescent="0.3">
      <c r="I15194" s="82"/>
      <c r="M15194" s="85"/>
    </row>
    <row r="15195" spans="9:13" x14ac:dyDescent="0.3">
      <c r="I15195" s="82"/>
      <c r="M15195" s="85"/>
    </row>
    <row r="15196" spans="9:13" x14ac:dyDescent="0.3">
      <c r="I15196" s="82"/>
      <c r="M15196" s="85"/>
    </row>
    <row r="15197" spans="9:13" x14ac:dyDescent="0.3">
      <c r="I15197" s="82"/>
      <c r="M15197" s="85"/>
    </row>
    <row r="15198" spans="9:13" x14ac:dyDescent="0.3">
      <c r="I15198" s="82"/>
      <c r="M15198" s="85"/>
    </row>
    <row r="15199" spans="9:13" x14ac:dyDescent="0.3">
      <c r="I15199" s="82"/>
      <c r="M15199" s="85"/>
    </row>
    <row r="15200" spans="9:13" x14ac:dyDescent="0.3">
      <c r="I15200" s="82"/>
      <c r="M15200" s="85"/>
    </row>
    <row r="15201" spans="9:13" x14ac:dyDescent="0.3">
      <c r="I15201" s="82"/>
      <c r="M15201" s="85"/>
    </row>
    <row r="15202" spans="9:13" x14ac:dyDescent="0.3">
      <c r="I15202" s="82"/>
      <c r="M15202" s="85"/>
    </row>
    <row r="15203" spans="9:13" x14ac:dyDescent="0.3">
      <c r="I15203" s="82"/>
      <c r="M15203" s="85"/>
    </row>
    <row r="15204" spans="9:13" x14ac:dyDescent="0.3">
      <c r="I15204" s="82"/>
      <c r="M15204" s="85"/>
    </row>
    <row r="15205" spans="9:13" x14ac:dyDescent="0.3">
      <c r="I15205" s="82"/>
      <c r="M15205" s="85"/>
    </row>
    <row r="15206" spans="9:13" x14ac:dyDescent="0.3">
      <c r="I15206" s="82"/>
      <c r="M15206" s="85"/>
    </row>
    <row r="15207" spans="9:13" x14ac:dyDescent="0.3">
      <c r="I15207" s="82"/>
      <c r="M15207" s="85"/>
    </row>
    <row r="15208" spans="9:13" x14ac:dyDescent="0.3">
      <c r="I15208" s="82"/>
      <c r="M15208" s="85"/>
    </row>
    <row r="15209" spans="9:13" x14ac:dyDescent="0.3">
      <c r="I15209" s="82"/>
      <c r="M15209" s="85"/>
    </row>
    <row r="15210" spans="9:13" x14ac:dyDescent="0.3">
      <c r="I15210" s="82"/>
      <c r="M15210" s="85"/>
    </row>
    <row r="15211" spans="9:13" x14ac:dyDescent="0.3">
      <c r="I15211" s="82"/>
      <c r="M15211" s="85"/>
    </row>
    <row r="15212" spans="9:13" x14ac:dyDescent="0.3">
      <c r="I15212" s="82"/>
      <c r="M15212" s="85"/>
    </row>
    <row r="15213" spans="9:13" x14ac:dyDescent="0.3">
      <c r="I15213" s="82"/>
      <c r="M15213" s="85"/>
    </row>
    <row r="15214" spans="9:13" x14ac:dyDescent="0.3">
      <c r="I15214" s="82"/>
      <c r="M15214" s="85"/>
    </row>
    <row r="15215" spans="9:13" x14ac:dyDescent="0.3">
      <c r="I15215" s="82"/>
      <c r="M15215" s="85"/>
    </row>
    <row r="15216" spans="9:13" x14ac:dyDescent="0.3">
      <c r="I15216" s="82"/>
      <c r="M15216" s="85"/>
    </row>
    <row r="15217" spans="9:13" x14ac:dyDescent="0.3">
      <c r="I15217" s="82"/>
      <c r="M15217" s="85"/>
    </row>
    <row r="15218" spans="9:13" x14ac:dyDescent="0.3">
      <c r="I15218" s="82"/>
      <c r="M15218" s="85"/>
    </row>
    <row r="15219" spans="9:13" x14ac:dyDescent="0.3">
      <c r="I15219" s="82"/>
      <c r="M15219" s="85"/>
    </row>
    <row r="15220" spans="9:13" x14ac:dyDescent="0.3">
      <c r="I15220" s="82"/>
      <c r="M15220" s="85"/>
    </row>
    <row r="15221" spans="9:13" x14ac:dyDescent="0.3">
      <c r="I15221" s="82"/>
      <c r="M15221" s="85"/>
    </row>
    <row r="15222" spans="9:13" x14ac:dyDescent="0.3">
      <c r="I15222" s="82"/>
      <c r="M15222" s="85"/>
    </row>
    <row r="15223" spans="9:13" x14ac:dyDescent="0.3">
      <c r="I15223" s="82"/>
      <c r="M15223" s="85"/>
    </row>
    <row r="15224" spans="9:13" x14ac:dyDescent="0.3">
      <c r="I15224" s="82"/>
      <c r="M15224" s="85"/>
    </row>
    <row r="15225" spans="9:13" x14ac:dyDescent="0.3">
      <c r="I15225" s="82"/>
      <c r="M15225" s="85"/>
    </row>
    <row r="15226" spans="9:13" x14ac:dyDescent="0.3">
      <c r="I15226" s="82"/>
      <c r="M15226" s="85"/>
    </row>
    <row r="15227" spans="9:13" x14ac:dyDescent="0.3">
      <c r="I15227" s="82"/>
      <c r="M15227" s="85"/>
    </row>
    <row r="15228" spans="9:13" x14ac:dyDescent="0.3">
      <c r="I15228" s="82"/>
      <c r="M15228" s="85"/>
    </row>
    <row r="15229" spans="9:13" x14ac:dyDescent="0.3">
      <c r="I15229" s="82"/>
      <c r="M15229" s="85"/>
    </row>
    <row r="15230" spans="9:13" x14ac:dyDescent="0.3">
      <c r="I15230" s="82"/>
      <c r="M15230" s="85"/>
    </row>
    <row r="15231" spans="9:13" x14ac:dyDescent="0.3">
      <c r="I15231" s="82"/>
      <c r="M15231" s="85"/>
    </row>
    <row r="15232" spans="9:13" x14ac:dyDescent="0.3">
      <c r="I15232" s="82"/>
      <c r="M15232" s="85"/>
    </row>
    <row r="15233" spans="9:13" x14ac:dyDescent="0.3">
      <c r="I15233" s="82"/>
      <c r="M15233" s="85"/>
    </row>
    <row r="15234" spans="9:13" x14ac:dyDescent="0.3">
      <c r="I15234" s="82"/>
      <c r="M15234" s="85"/>
    </row>
    <row r="15235" spans="9:13" x14ac:dyDescent="0.3">
      <c r="I15235" s="82"/>
      <c r="M15235" s="85"/>
    </row>
    <row r="15236" spans="9:13" x14ac:dyDescent="0.3">
      <c r="I15236" s="82"/>
      <c r="M15236" s="85"/>
    </row>
    <row r="15237" spans="9:13" x14ac:dyDescent="0.3">
      <c r="I15237" s="82"/>
      <c r="M15237" s="85"/>
    </row>
    <row r="15238" spans="9:13" x14ac:dyDescent="0.3">
      <c r="I15238" s="82"/>
      <c r="M15238" s="85"/>
    </row>
    <row r="15239" spans="9:13" x14ac:dyDescent="0.3">
      <c r="I15239" s="82"/>
      <c r="M15239" s="85"/>
    </row>
    <row r="15240" spans="9:13" x14ac:dyDescent="0.3">
      <c r="I15240" s="82"/>
      <c r="M15240" s="85"/>
    </row>
    <row r="15241" spans="9:13" x14ac:dyDescent="0.3">
      <c r="I15241" s="82"/>
      <c r="M15241" s="85"/>
    </row>
    <row r="15242" spans="9:13" x14ac:dyDescent="0.3">
      <c r="I15242" s="82"/>
      <c r="M15242" s="85"/>
    </row>
    <row r="15243" spans="9:13" x14ac:dyDescent="0.3">
      <c r="I15243" s="82"/>
      <c r="M15243" s="85"/>
    </row>
    <row r="15244" spans="9:13" x14ac:dyDescent="0.3">
      <c r="I15244" s="82"/>
      <c r="M15244" s="85"/>
    </row>
    <row r="15245" spans="9:13" x14ac:dyDescent="0.3">
      <c r="I15245" s="82"/>
      <c r="M15245" s="85"/>
    </row>
    <row r="15246" spans="9:13" x14ac:dyDescent="0.3">
      <c r="I15246" s="82"/>
      <c r="M15246" s="85"/>
    </row>
    <row r="15247" spans="9:13" x14ac:dyDescent="0.3">
      <c r="I15247" s="82"/>
      <c r="M15247" s="85"/>
    </row>
    <row r="15248" spans="9:13" x14ac:dyDescent="0.3">
      <c r="I15248" s="82"/>
      <c r="M15248" s="85"/>
    </row>
    <row r="15249" spans="9:13" x14ac:dyDescent="0.3">
      <c r="I15249" s="82"/>
      <c r="M15249" s="85"/>
    </row>
    <row r="15250" spans="9:13" x14ac:dyDescent="0.3">
      <c r="I15250" s="82"/>
      <c r="M15250" s="85"/>
    </row>
    <row r="15251" spans="9:13" x14ac:dyDescent="0.3">
      <c r="I15251" s="82"/>
      <c r="M15251" s="85"/>
    </row>
    <row r="15252" spans="9:13" x14ac:dyDescent="0.3">
      <c r="I15252" s="82"/>
      <c r="M15252" s="85"/>
    </row>
    <row r="15253" spans="9:13" x14ac:dyDescent="0.3">
      <c r="I15253" s="82"/>
      <c r="M15253" s="85"/>
    </row>
    <row r="15254" spans="9:13" x14ac:dyDescent="0.3">
      <c r="I15254" s="82"/>
      <c r="M15254" s="85"/>
    </row>
    <row r="15255" spans="9:13" x14ac:dyDescent="0.3">
      <c r="I15255" s="82"/>
      <c r="M15255" s="85"/>
    </row>
    <row r="15256" spans="9:13" x14ac:dyDescent="0.3">
      <c r="I15256" s="82"/>
      <c r="M15256" s="85"/>
    </row>
    <row r="15257" spans="9:13" x14ac:dyDescent="0.3">
      <c r="I15257" s="82"/>
      <c r="M15257" s="85"/>
    </row>
    <row r="15258" spans="9:13" x14ac:dyDescent="0.3">
      <c r="I15258" s="82"/>
      <c r="M15258" s="85"/>
    </row>
    <row r="15259" spans="9:13" x14ac:dyDescent="0.3">
      <c r="I15259" s="82"/>
      <c r="M15259" s="85"/>
    </row>
    <row r="15260" spans="9:13" x14ac:dyDescent="0.3">
      <c r="I15260" s="82"/>
      <c r="M15260" s="85"/>
    </row>
    <row r="15261" spans="9:13" x14ac:dyDescent="0.3">
      <c r="I15261" s="82"/>
      <c r="M15261" s="85"/>
    </row>
    <row r="15262" spans="9:13" x14ac:dyDescent="0.3">
      <c r="I15262" s="82"/>
      <c r="M15262" s="85"/>
    </row>
    <row r="15263" spans="9:13" x14ac:dyDescent="0.3">
      <c r="I15263" s="82"/>
      <c r="M15263" s="85"/>
    </row>
    <row r="15264" spans="9:13" x14ac:dyDescent="0.3">
      <c r="I15264" s="82"/>
      <c r="M15264" s="85"/>
    </row>
    <row r="15265" spans="9:13" x14ac:dyDescent="0.3">
      <c r="I15265" s="82"/>
      <c r="M15265" s="85"/>
    </row>
    <row r="15266" spans="9:13" x14ac:dyDescent="0.3">
      <c r="I15266" s="82"/>
      <c r="M15266" s="85"/>
    </row>
    <row r="15267" spans="9:13" x14ac:dyDescent="0.3">
      <c r="I15267" s="82"/>
      <c r="M15267" s="85"/>
    </row>
    <row r="15268" spans="9:13" x14ac:dyDescent="0.3">
      <c r="I15268" s="82"/>
      <c r="M15268" s="85"/>
    </row>
    <row r="15269" spans="9:13" x14ac:dyDescent="0.3">
      <c r="I15269" s="82"/>
      <c r="M15269" s="85"/>
    </row>
    <row r="15270" spans="9:13" x14ac:dyDescent="0.3">
      <c r="I15270" s="82"/>
      <c r="M15270" s="85"/>
    </row>
    <row r="15271" spans="9:13" x14ac:dyDescent="0.3">
      <c r="I15271" s="82"/>
      <c r="M15271" s="85"/>
    </row>
    <row r="15272" spans="9:13" x14ac:dyDescent="0.3">
      <c r="I15272" s="82"/>
      <c r="M15272" s="85"/>
    </row>
    <row r="15273" spans="9:13" x14ac:dyDescent="0.3">
      <c r="I15273" s="82"/>
      <c r="M15273" s="85"/>
    </row>
    <row r="15274" spans="9:13" x14ac:dyDescent="0.3">
      <c r="I15274" s="82"/>
      <c r="M15274" s="85"/>
    </row>
    <row r="15275" spans="9:13" x14ac:dyDescent="0.3">
      <c r="I15275" s="82"/>
      <c r="M15275" s="85"/>
    </row>
    <row r="15276" spans="9:13" x14ac:dyDescent="0.3">
      <c r="I15276" s="82"/>
      <c r="M15276" s="85"/>
    </row>
    <row r="15277" spans="9:13" x14ac:dyDescent="0.3">
      <c r="I15277" s="82"/>
      <c r="M15277" s="85"/>
    </row>
    <row r="15278" spans="9:13" x14ac:dyDescent="0.3">
      <c r="I15278" s="82"/>
      <c r="M15278" s="85"/>
    </row>
    <row r="15279" spans="9:13" x14ac:dyDescent="0.3">
      <c r="I15279" s="82"/>
      <c r="M15279" s="85"/>
    </row>
    <row r="15280" spans="9:13" x14ac:dyDescent="0.3">
      <c r="I15280" s="82"/>
      <c r="M15280" s="85"/>
    </row>
    <row r="15281" spans="9:13" x14ac:dyDescent="0.3">
      <c r="I15281" s="82"/>
      <c r="M15281" s="85"/>
    </row>
    <row r="15282" spans="9:13" x14ac:dyDescent="0.3">
      <c r="I15282" s="82"/>
      <c r="M15282" s="85"/>
    </row>
    <row r="15283" spans="9:13" x14ac:dyDescent="0.3">
      <c r="I15283" s="82"/>
      <c r="M15283" s="85"/>
    </row>
    <row r="15284" spans="9:13" x14ac:dyDescent="0.3">
      <c r="I15284" s="82"/>
      <c r="M15284" s="85"/>
    </row>
    <row r="15285" spans="9:13" x14ac:dyDescent="0.3">
      <c r="I15285" s="82"/>
      <c r="M15285" s="85"/>
    </row>
    <row r="15286" spans="9:13" x14ac:dyDescent="0.3">
      <c r="I15286" s="82"/>
      <c r="M15286" s="85"/>
    </row>
    <row r="15287" spans="9:13" x14ac:dyDescent="0.3">
      <c r="I15287" s="82"/>
      <c r="M15287" s="85"/>
    </row>
    <row r="15288" spans="9:13" x14ac:dyDescent="0.3">
      <c r="I15288" s="82"/>
      <c r="M15288" s="85"/>
    </row>
    <row r="15289" spans="9:13" x14ac:dyDescent="0.3">
      <c r="I15289" s="82"/>
      <c r="M15289" s="85"/>
    </row>
    <row r="15290" spans="9:13" x14ac:dyDescent="0.3">
      <c r="I15290" s="82"/>
      <c r="M15290" s="85"/>
    </row>
    <row r="15291" spans="9:13" x14ac:dyDescent="0.3">
      <c r="I15291" s="82"/>
      <c r="M15291" s="85"/>
    </row>
    <row r="15292" spans="9:13" x14ac:dyDescent="0.3">
      <c r="I15292" s="82"/>
      <c r="M15292" s="85"/>
    </row>
    <row r="15293" spans="9:13" x14ac:dyDescent="0.3">
      <c r="I15293" s="82"/>
      <c r="M15293" s="85"/>
    </row>
    <row r="15294" spans="9:13" x14ac:dyDescent="0.3">
      <c r="I15294" s="82"/>
      <c r="M15294" s="85"/>
    </row>
    <row r="15295" spans="9:13" x14ac:dyDescent="0.3">
      <c r="I15295" s="82"/>
      <c r="M15295" s="85"/>
    </row>
    <row r="15296" spans="9:13" x14ac:dyDescent="0.3">
      <c r="I15296" s="82"/>
      <c r="M15296" s="85"/>
    </row>
    <row r="15297" spans="9:13" x14ac:dyDescent="0.3">
      <c r="I15297" s="82"/>
      <c r="M15297" s="85"/>
    </row>
    <row r="15298" spans="9:13" x14ac:dyDescent="0.3">
      <c r="I15298" s="82"/>
      <c r="M15298" s="85"/>
    </row>
    <row r="15299" spans="9:13" x14ac:dyDescent="0.3">
      <c r="I15299" s="82"/>
      <c r="M15299" s="85"/>
    </row>
    <row r="15300" spans="9:13" x14ac:dyDescent="0.3">
      <c r="I15300" s="82"/>
      <c r="M15300" s="85"/>
    </row>
    <row r="15301" spans="9:13" x14ac:dyDescent="0.3">
      <c r="I15301" s="82"/>
      <c r="M15301" s="85"/>
    </row>
    <row r="15302" spans="9:13" x14ac:dyDescent="0.3">
      <c r="I15302" s="82"/>
      <c r="M15302" s="85"/>
    </row>
    <row r="15303" spans="9:13" x14ac:dyDescent="0.3">
      <c r="I15303" s="82"/>
      <c r="M15303" s="85"/>
    </row>
    <row r="15304" spans="9:13" x14ac:dyDescent="0.3">
      <c r="I15304" s="82"/>
      <c r="M15304" s="85"/>
    </row>
    <row r="15305" spans="9:13" x14ac:dyDescent="0.3">
      <c r="I15305" s="82"/>
      <c r="M15305" s="85"/>
    </row>
    <row r="15306" spans="9:13" x14ac:dyDescent="0.3">
      <c r="I15306" s="82"/>
      <c r="M15306" s="85"/>
    </row>
    <row r="15307" spans="9:13" x14ac:dyDescent="0.3">
      <c r="I15307" s="82"/>
      <c r="M15307" s="85"/>
    </row>
    <row r="15308" spans="9:13" x14ac:dyDescent="0.3">
      <c r="I15308" s="82"/>
      <c r="M15308" s="85"/>
    </row>
    <row r="15309" spans="9:13" x14ac:dyDescent="0.3">
      <c r="I15309" s="82"/>
      <c r="M15309" s="85"/>
    </row>
    <row r="15310" spans="9:13" x14ac:dyDescent="0.3">
      <c r="I15310" s="82"/>
      <c r="M15310" s="85"/>
    </row>
    <row r="15311" spans="9:13" x14ac:dyDescent="0.3">
      <c r="I15311" s="82"/>
      <c r="M15311" s="85"/>
    </row>
    <row r="15312" spans="9:13" x14ac:dyDescent="0.3">
      <c r="I15312" s="82"/>
      <c r="M15312" s="85"/>
    </row>
    <row r="15313" spans="9:13" x14ac:dyDescent="0.3">
      <c r="I15313" s="82"/>
      <c r="M15313" s="85"/>
    </row>
    <row r="15314" spans="9:13" x14ac:dyDescent="0.3">
      <c r="I15314" s="82"/>
      <c r="M15314" s="85"/>
    </row>
    <row r="15315" spans="9:13" x14ac:dyDescent="0.3">
      <c r="I15315" s="82"/>
      <c r="M15315" s="85"/>
    </row>
    <row r="15316" spans="9:13" x14ac:dyDescent="0.3">
      <c r="I15316" s="82"/>
      <c r="M15316" s="85"/>
    </row>
    <row r="15317" spans="9:13" x14ac:dyDescent="0.3">
      <c r="I15317" s="82"/>
      <c r="M15317" s="85"/>
    </row>
    <row r="15318" spans="9:13" x14ac:dyDescent="0.3">
      <c r="I15318" s="82"/>
      <c r="M15318" s="85"/>
    </row>
    <row r="15319" spans="9:13" x14ac:dyDescent="0.3">
      <c r="I15319" s="82"/>
      <c r="M15319" s="85"/>
    </row>
    <row r="15320" spans="9:13" x14ac:dyDescent="0.3">
      <c r="I15320" s="82"/>
      <c r="M15320" s="85"/>
    </row>
    <row r="15321" spans="9:13" x14ac:dyDescent="0.3">
      <c r="I15321" s="82"/>
      <c r="M15321" s="85"/>
    </row>
    <row r="15322" spans="9:13" x14ac:dyDescent="0.3">
      <c r="I15322" s="82"/>
      <c r="M15322" s="85"/>
    </row>
    <row r="15323" spans="9:13" x14ac:dyDescent="0.3">
      <c r="I15323" s="82"/>
      <c r="M15323" s="85"/>
    </row>
    <row r="15324" spans="9:13" x14ac:dyDescent="0.3">
      <c r="I15324" s="82"/>
      <c r="M15324" s="85"/>
    </row>
    <row r="15325" spans="9:13" x14ac:dyDescent="0.3">
      <c r="I15325" s="82"/>
      <c r="M15325" s="85"/>
    </row>
    <row r="15326" spans="9:13" x14ac:dyDescent="0.3">
      <c r="I15326" s="82"/>
      <c r="M15326" s="85"/>
    </row>
    <row r="15327" spans="9:13" x14ac:dyDescent="0.3">
      <c r="I15327" s="82"/>
      <c r="M15327" s="85"/>
    </row>
    <row r="15328" spans="9:13" x14ac:dyDescent="0.3">
      <c r="I15328" s="82"/>
      <c r="M15328" s="85"/>
    </row>
    <row r="15329" spans="9:13" x14ac:dyDescent="0.3">
      <c r="I15329" s="82"/>
      <c r="M15329" s="85"/>
    </row>
    <row r="15330" spans="9:13" x14ac:dyDescent="0.3">
      <c r="I15330" s="82"/>
      <c r="M15330" s="85"/>
    </row>
    <row r="15331" spans="9:13" x14ac:dyDescent="0.3">
      <c r="I15331" s="82"/>
      <c r="M15331" s="85"/>
    </row>
    <row r="15332" spans="9:13" x14ac:dyDescent="0.3">
      <c r="I15332" s="82"/>
      <c r="M15332" s="85"/>
    </row>
    <row r="15333" spans="9:13" x14ac:dyDescent="0.3">
      <c r="I15333" s="82"/>
      <c r="M15333" s="85"/>
    </row>
    <row r="15334" spans="9:13" x14ac:dyDescent="0.3">
      <c r="I15334" s="82"/>
      <c r="M15334" s="85"/>
    </row>
    <row r="15335" spans="9:13" x14ac:dyDescent="0.3">
      <c r="I15335" s="82"/>
      <c r="M15335" s="85"/>
    </row>
    <row r="15336" spans="9:13" x14ac:dyDescent="0.3">
      <c r="I15336" s="82"/>
      <c r="M15336" s="85"/>
    </row>
    <row r="15337" spans="9:13" x14ac:dyDescent="0.3">
      <c r="I15337" s="82"/>
      <c r="M15337" s="85"/>
    </row>
    <row r="15338" spans="9:13" x14ac:dyDescent="0.3">
      <c r="I15338" s="82"/>
      <c r="M15338" s="85"/>
    </row>
    <row r="15339" spans="9:13" x14ac:dyDescent="0.3">
      <c r="I15339" s="82"/>
      <c r="M15339" s="85"/>
    </row>
    <row r="15340" spans="9:13" x14ac:dyDescent="0.3">
      <c r="I15340" s="82"/>
      <c r="M15340" s="85"/>
    </row>
    <row r="15341" spans="9:13" x14ac:dyDescent="0.3">
      <c r="I15341" s="82"/>
      <c r="M15341" s="85"/>
    </row>
    <row r="15342" spans="9:13" x14ac:dyDescent="0.3">
      <c r="I15342" s="82"/>
      <c r="M15342" s="85"/>
    </row>
    <row r="15343" spans="9:13" x14ac:dyDescent="0.3">
      <c r="I15343" s="82"/>
      <c r="M15343" s="85"/>
    </row>
    <row r="15344" spans="9:13" x14ac:dyDescent="0.3">
      <c r="I15344" s="82"/>
      <c r="M15344" s="85"/>
    </row>
    <row r="15345" spans="9:13" x14ac:dyDescent="0.3">
      <c r="I15345" s="82"/>
      <c r="M15345" s="85"/>
    </row>
    <row r="15346" spans="9:13" x14ac:dyDescent="0.3">
      <c r="I15346" s="82"/>
      <c r="M15346" s="85"/>
    </row>
    <row r="15347" spans="9:13" x14ac:dyDescent="0.3">
      <c r="I15347" s="82"/>
      <c r="M15347" s="85"/>
    </row>
    <row r="15348" spans="9:13" x14ac:dyDescent="0.3">
      <c r="I15348" s="82"/>
      <c r="M15348" s="85"/>
    </row>
    <row r="15349" spans="9:13" x14ac:dyDescent="0.3">
      <c r="I15349" s="82"/>
      <c r="M15349" s="85"/>
    </row>
    <row r="15350" spans="9:13" x14ac:dyDescent="0.3">
      <c r="I15350" s="82"/>
      <c r="M15350" s="85"/>
    </row>
    <row r="15351" spans="9:13" x14ac:dyDescent="0.3">
      <c r="I15351" s="82"/>
      <c r="M15351" s="85"/>
    </row>
    <row r="15352" spans="9:13" x14ac:dyDescent="0.3">
      <c r="I15352" s="82"/>
      <c r="M15352" s="85"/>
    </row>
    <row r="15353" spans="9:13" x14ac:dyDescent="0.3">
      <c r="I15353" s="82"/>
      <c r="M15353" s="85"/>
    </row>
    <row r="15354" spans="9:13" x14ac:dyDescent="0.3">
      <c r="I15354" s="82"/>
      <c r="M15354" s="85"/>
    </row>
    <row r="15355" spans="9:13" x14ac:dyDescent="0.3">
      <c r="I15355" s="82"/>
      <c r="M15355" s="85"/>
    </row>
    <row r="15356" spans="9:13" x14ac:dyDescent="0.3">
      <c r="I15356" s="82"/>
      <c r="M15356" s="85"/>
    </row>
    <row r="15357" spans="9:13" x14ac:dyDescent="0.3">
      <c r="I15357" s="82"/>
      <c r="M15357" s="85"/>
    </row>
    <row r="15358" spans="9:13" x14ac:dyDescent="0.3">
      <c r="I15358" s="82"/>
      <c r="M15358" s="85"/>
    </row>
    <row r="15359" spans="9:13" x14ac:dyDescent="0.3">
      <c r="I15359" s="82"/>
      <c r="M15359" s="85"/>
    </row>
    <row r="15360" spans="9:13" x14ac:dyDescent="0.3">
      <c r="I15360" s="82"/>
      <c r="M15360" s="85"/>
    </row>
    <row r="15361" spans="9:13" x14ac:dyDescent="0.3">
      <c r="I15361" s="82"/>
      <c r="M15361" s="85"/>
    </row>
    <row r="15362" spans="9:13" x14ac:dyDescent="0.3">
      <c r="I15362" s="82"/>
      <c r="M15362" s="85"/>
    </row>
    <row r="15363" spans="9:13" x14ac:dyDescent="0.3">
      <c r="I15363" s="82"/>
      <c r="M15363" s="85"/>
    </row>
    <row r="15364" spans="9:13" x14ac:dyDescent="0.3">
      <c r="I15364" s="82"/>
      <c r="M15364" s="85"/>
    </row>
    <row r="15365" spans="9:13" x14ac:dyDescent="0.3">
      <c r="I15365" s="82"/>
      <c r="M15365" s="85"/>
    </row>
    <row r="15366" spans="9:13" x14ac:dyDescent="0.3">
      <c r="I15366" s="82"/>
      <c r="M15366" s="85"/>
    </row>
    <row r="15367" spans="9:13" x14ac:dyDescent="0.3">
      <c r="I15367" s="82"/>
      <c r="M15367" s="85"/>
    </row>
    <row r="15368" spans="9:13" x14ac:dyDescent="0.3">
      <c r="I15368" s="82"/>
      <c r="M15368" s="85"/>
    </row>
    <row r="15369" spans="9:13" x14ac:dyDescent="0.3">
      <c r="I15369" s="82"/>
      <c r="M15369" s="85"/>
    </row>
    <row r="15370" spans="9:13" x14ac:dyDescent="0.3">
      <c r="I15370" s="82"/>
      <c r="M15370" s="85"/>
    </row>
    <row r="15371" spans="9:13" x14ac:dyDescent="0.3">
      <c r="I15371" s="82"/>
      <c r="M15371" s="85"/>
    </row>
    <row r="15372" spans="9:13" x14ac:dyDescent="0.3">
      <c r="I15372" s="82"/>
      <c r="M15372" s="85"/>
    </row>
    <row r="15373" spans="9:13" x14ac:dyDescent="0.3">
      <c r="I15373" s="82"/>
      <c r="M15373" s="85"/>
    </row>
    <row r="15374" spans="9:13" x14ac:dyDescent="0.3">
      <c r="I15374" s="82"/>
      <c r="M15374" s="85"/>
    </row>
    <row r="15375" spans="9:13" x14ac:dyDescent="0.3">
      <c r="I15375" s="82"/>
      <c r="M15375" s="85"/>
    </row>
    <row r="15376" spans="9:13" x14ac:dyDescent="0.3">
      <c r="I15376" s="82"/>
      <c r="M15376" s="85"/>
    </row>
    <row r="15377" spans="9:13" x14ac:dyDescent="0.3">
      <c r="I15377" s="82"/>
      <c r="M15377" s="85"/>
    </row>
    <row r="15378" spans="9:13" x14ac:dyDescent="0.3">
      <c r="I15378" s="82"/>
      <c r="M15378" s="85"/>
    </row>
    <row r="15379" spans="9:13" x14ac:dyDescent="0.3">
      <c r="I15379" s="82"/>
      <c r="M15379" s="85"/>
    </row>
    <row r="15380" spans="9:13" x14ac:dyDescent="0.3">
      <c r="I15380" s="82"/>
      <c r="M15380" s="85"/>
    </row>
    <row r="15381" spans="9:13" x14ac:dyDescent="0.3">
      <c r="I15381" s="82"/>
      <c r="M15381" s="85"/>
    </row>
    <row r="15382" spans="9:13" x14ac:dyDescent="0.3">
      <c r="I15382" s="82"/>
      <c r="M15382" s="85"/>
    </row>
    <row r="15383" spans="9:13" x14ac:dyDescent="0.3">
      <c r="I15383" s="82"/>
      <c r="M15383" s="85"/>
    </row>
    <row r="15384" spans="9:13" x14ac:dyDescent="0.3">
      <c r="I15384" s="82"/>
      <c r="M15384" s="85"/>
    </row>
    <row r="15385" spans="9:13" x14ac:dyDescent="0.3">
      <c r="I15385" s="82"/>
      <c r="M15385" s="85"/>
    </row>
    <row r="15386" spans="9:13" x14ac:dyDescent="0.3">
      <c r="I15386" s="82"/>
      <c r="M15386" s="85"/>
    </row>
    <row r="15387" spans="9:13" x14ac:dyDescent="0.3">
      <c r="I15387" s="82"/>
      <c r="M15387" s="85"/>
    </row>
    <row r="15388" spans="9:13" x14ac:dyDescent="0.3">
      <c r="I15388" s="82"/>
      <c r="M15388" s="85"/>
    </row>
    <row r="15389" spans="9:13" x14ac:dyDescent="0.3">
      <c r="I15389" s="82"/>
      <c r="M15389" s="85"/>
    </row>
    <row r="15390" spans="9:13" x14ac:dyDescent="0.3">
      <c r="I15390" s="82"/>
      <c r="M15390" s="85"/>
    </row>
    <row r="15391" spans="9:13" x14ac:dyDescent="0.3">
      <c r="I15391" s="82"/>
      <c r="M15391" s="85"/>
    </row>
    <row r="15392" spans="9:13" x14ac:dyDescent="0.3">
      <c r="I15392" s="82"/>
      <c r="M15392" s="85"/>
    </row>
    <row r="15393" spans="9:13" x14ac:dyDescent="0.3">
      <c r="I15393" s="82"/>
      <c r="M15393" s="85"/>
    </row>
    <row r="15394" spans="9:13" x14ac:dyDescent="0.3">
      <c r="I15394" s="82"/>
      <c r="M15394" s="85"/>
    </row>
    <row r="15395" spans="9:13" x14ac:dyDescent="0.3">
      <c r="I15395" s="82"/>
      <c r="M15395" s="85"/>
    </row>
    <row r="15396" spans="9:13" x14ac:dyDescent="0.3">
      <c r="I15396" s="82"/>
      <c r="M15396" s="85"/>
    </row>
    <row r="15397" spans="9:13" x14ac:dyDescent="0.3">
      <c r="I15397" s="82"/>
      <c r="M15397" s="85"/>
    </row>
    <row r="15398" spans="9:13" x14ac:dyDescent="0.3">
      <c r="I15398" s="82"/>
      <c r="M15398" s="85"/>
    </row>
    <row r="15399" spans="9:13" x14ac:dyDescent="0.3">
      <c r="I15399" s="82"/>
      <c r="M15399" s="85"/>
    </row>
    <row r="15400" spans="9:13" x14ac:dyDescent="0.3">
      <c r="I15400" s="82"/>
      <c r="M15400" s="85"/>
    </row>
    <row r="15401" spans="9:13" x14ac:dyDescent="0.3">
      <c r="I15401" s="82"/>
      <c r="M15401" s="85"/>
    </row>
    <row r="15402" spans="9:13" x14ac:dyDescent="0.3">
      <c r="I15402" s="82"/>
      <c r="M15402" s="85"/>
    </row>
    <row r="15403" spans="9:13" x14ac:dyDescent="0.3">
      <c r="I15403" s="82"/>
      <c r="M15403" s="85"/>
    </row>
    <row r="15404" spans="9:13" x14ac:dyDescent="0.3">
      <c r="I15404" s="82"/>
      <c r="M15404" s="85"/>
    </row>
    <row r="15405" spans="9:13" x14ac:dyDescent="0.3">
      <c r="I15405" s="82"/>
      <c r="M15405" s="85"/>
    </row>
    <row r="15406" spans="9:13" x14ac:dyDescent="0.3">
      <c r="I15406" s="82"/>
      <c r="M15406" s="85"/>
    </row>
    <row r="15407" spans="9:13" x14ac:dyDescent="0.3">
      <c r="I15407" s="82"/>
      <c r="M15407" s="85"/>
    </row>
    <row r="15408" spans="9:13" x14ac:dyDescent="0.3">
      <c r="I15408" s="82"/>
      <c r="M15408" s="85"/>
    </row>
    <row r="15409" spans="9:13" x14ac:dyDescent="0.3">
      <c r="I15409" s="82"/>
      <c r="M15409" s="85"/>
    </row>
    <row r="15410" spans="9:13" x14ac:dyDescent="0.3">
      <c r="I15410" s="82"/>
      <c r="M15410" s="85"/>
    </row>
    <row r="15411" spans="9:13" x14ac:dyDescent="0.3">
      <c r="I15411" s="82"/>
      <c r="M15411" s="85"/>
    </row>
    <row r="15412" spans="9:13" x14ac:dyDescent="0.3">
      <c r="I15412" s="82"/>
      <c r="M15412" s="85"/>
    </row>
    <row r="15413" spans="9:13" x14ac:dyDescent="0.3">
      <c r="I15413" s="82"/>
      <c r="M15413" s="85"/>
    </row>
    <row r="15414" spans="9:13" x14ac:dyDescent="0.3">
      <c r="I15414" s="82"/>
      <c r="M15414" s="85"/>
    </row>
    <row r="15415" spans="9:13" x14ac:dyDescent="0.3">
      <c r="I15415" s="82"/>
      <c r="M15415" s="85"/>
    </row>
    <row r="15416" spans="9:13" x14ac:dyDescent="0.3">
      <c r="I15416" s="82"/>
      <c r="M15416" s="85"/>
    </row>
    <row r="15417" spans="9:13" x14ac:dyDescent="0.3">
      <c r="I15417" s="82"/>
      <c r="M15417" s="85"/>
    </row>
    <row r="15418" spans="9:13" x14ac:dyDescent="0.3">
      <c r="I15418" s="82"/>
      <c r="M15418" s="85"/>
    </row>
    <row r="15419" spans="9:13" x14ac:dyDescent="0.3">
      <c r="I15419" s="82"/>
      <c r="M15419" s="85"/>
    </row>
    <row r="15420" spans="9:13" x14ac:dyDescent="0.3">
      <c r="I15420" s="82"/>
      <c r="M15420" s="85"/>
    </row>
    <row r="15421" spans="9:13" x14ac:dyDescent="0.3">
      <c r="I15421" s="82"/>
      <c r="M15421" s="85"/>
    </row>
    <row r="15422" spans="9:13" x14ac:dyDescent="0.3">
      <c r="I15422" s="82"/>
      <c r="M15422" s="85"/>
    </row>
    <row r="15423" spans="9:13" x14ac:dyDescent="0.3">
      <c r="I15423" s="82"/>
      <c r="M15423" s="85"/>
    </row>
    <row r="15424" spans="9:13" x14ac:dyDescent="0.3">
      <c r="I15424" s="82"/>
      <c r="M15424" s="85"/>
    </row>
    <row r="15425" spans="9:13" x14ac:dyDescent="0.3">
      <c r="I15425" s="82"/>
      <c r="M15425" s="85"/>
    </row>
    <row r="15426" spans="9:13" x14ac:dyDescent="0.3">
      <c r="I15426" s="82"/>
      <c r="M15426" s="85"/>
    </row>
    <row r="15427" spans="9:13" x14ac:dyDescent="0.3">
      <c r="I15427" s="82"/>
      <c r="M15427" s="85"/>
    </row>
    <row r="15428" spans="9:13" x14ac:dyDescent="0.3">
      <c r="I15428" s="82"/>
      <c r="M15428" s="85"/>
    </row>
    <row r="15429" spans="9:13" x14ac:dyDescent="0.3">
      <c r="I15429" s="82"/>
      <c r="M15429" s="85"/>
    </row>
    <row r="15430" spans="9:13" x14ac:dyDescent="0.3">
      <c r="I15430" s="82"/>
      <c r="M15430" s="85"/>
    </row>
    <row r="15431" spans="9:13" x14ac:dyDescent="0.3">
      <c r="I15431" s="82"/>
      <c r="M15431" s="85"/>
    </row>
    <row r="15432" spans="9:13" x14ac:dyDescent="0.3">
      <c r="I15432" s="82"/>
      <c r="M15432" s="85"/>
    </row>
    <row r="15433" spans="9:13" x14ac:dyDescent="0.3">
      <c r="I15433" s="82"/>
      <c r="M15433" s="85"/>
    </row>
    <row r="15434" spans="9:13" x14ac:dyDescent="0.3">
      <c r="I15434" s="82"/>
      <c r="M15434" s="85"/>
    </row>
    <row r="15435" spans="9:13" x14ac:dyDescent="0.3">
      <c r="I15435" s="82"/>
      <c r="M15435" s="85"/>
    </row>
    <row r="15436" spans="9:13" x14ac:dyDescent="0.3">
      <c r="I15436" s="82"/>
      <c r="M15436" s="85"/>
    </row>
    <row r="15437" spans="9:13" x14ac:dyDescent="0.3">
      <c r="I15437" s="82"/>
      <c r="M15437" s="85"/>
    </row>
    <row r="15438" spans="9:13" x14ac:dyDescent="0.3">
      <c r="I15438" s="82"/>
      <c r="M15438" s="85"/>
    </row>
    <row r="15439" spans="9:13" x14ac:dyDescent="0.3">
      <c r="I15439" s="82"/>
      <c r="M15439" s="85"/>
    </row>
    <row r="15440" spans="9:13" x14ac:dyDescent="0.3">
      <c r="I15440" s="82"/>
      <c r="M15440" s="85"/>
    </row>
    <row r="15441" spans="9:13" x14ac:dyDescent="0.3">
      <c r="I15441" s="82"/>
      <c r="M15441" s="85"/>
    </row>
    <row r="15442" spans="9:13" x14ac:dyDescent="0.3">
      <c r="I15442" s="82"/>
      <c r="M15442" s="85"/>
    </row>
    <row r="15443" spans="9:13" x14ac:dyDescent="0.3">
      <c r="I15443" s="82"/>
      <c r="M15443" s="85"/>
    </row>
    <row r="15444" spans="9:13" x14ac:dyDescent="0.3">
      <c r="I15444" s="82"/>
      <c r="M15444" s="85"/>
    </row>
    <row r="15445" spans="9:13" x14ac:dyDescent="0.3">
      <c r="I15445" s="82"/>
      <c r="M15445" s="85"/>
    </row>
    <row r="15446" spans="9:13" x14ac:dyDescent="0.3">
      <c r="I15446" s="82"/>
      <c r="M15446" s="85"/>
    </row>
    <row r="15447" spans="9:13" x14ac:dyDescent="0.3">
      <c r="I15447" s="82"/>
      <c r="M15447" s="85"/>
    </row>
    <row r="15448" spans="9:13" x14ac:dyDescent="0.3">
      <c r="I15448" s="82"/>
      <c r="M15448" s="85"/>
    </row>
    <row r="15449" spans="9:13" x14ac:dyDescent="0.3">
      <c r="I15449" s="82"/>
      <c r="M15449" s="85"/>
    </row>
    <row r="15450" spans="9:13" x14ac:dyDescent="0.3">
      <c r="I15450" s="82"/>
      <c r="M15450" s="85"/>
    </row>
    <row r="15451" spans="9:13" x14ac:dyDescent="0.3">
      <c r="I15451" s="82"/>
      <c r="M15451" s="85"/>
    </row>
    <row r="15452" spans="9:13" x14ac:dyDescent="0.3">
      <c r="I15452" s="82"/>
      <c r="M15452" s="85"/>
    </row>
    <row r="15453" spans="9:13" x14ac:dyDescent="0.3">
      <c r="I15453" s="82"/>
      <c r="M15453" s="85"/>
    </row>
    <row r="15454" spans="9:13" x14ac:dyDescent="0.3">
      <c r="I15454" s="82"/>
      <c r="M15454" s="85"/>
    </row>
    <row r="15455" spans="9:13" x14ac:dyDescent="0.3">
      <c r="I15455" s="82"/>
      <c r="M15455" s="85"/>
    </row>
    <row r="15456" spans="9:13" x14ac:dyDescent="0.3">
      <c r="I15456" s="82"/>
      <c r="M15456" s="85"/>
    </row>
    <row r="15457" spans="9:13" x14ac:dyDescent="0.3">
      <c r="I15457" s="82"/>
      <c r="M15457" s="85"/>
    </row>
    <row r="15458" spans="9:13" x14ac:dyDescent="0.3">
      <c r="I15458" s="82"/>
      <c r="M15458" s="85"/>
    </row>
    <row r="15459" spans="9:13" x14ac:dyDescent="0.3">
      <c r="I15459" s="82"/>
      <c r="M15459" s="85"/>
    </row>
    <row r="15460" spans="9:13" x14ac:dyDescent="0.3">
      <c r="I15460" s="82"/>
      <c r="M15460" s="85"/>
    </row>
    <row r="15461" spans="9:13" x14ac:dyDescent="0.3">
      <c r="I15461" s="82"/>
      <c r="M15461" s="85"/>
    </row>
    <row r="15462" spans="9:13" x14ac:dyDescent="0.3">
      <c r="I15462" s="82"/>
      <c r="M15462" s="85"/>
    </row>
    <row r="15463" spans="9:13" x14ac:dyDescent="0.3">
      <c r="I15463" s="82"/>
      <c r="M15463" s="85"/>
    </row>
    <row r="15464" spans="9:13" x14ac:dyDescent="0.3">
      <c r="I15464" s="82"/>
      <c r="M15464" s="85"/>
    </row>
    <row r="15465" spans="9:13" x14ac:dyDescent="0.3">
      <c r="I15465" s="82"/>
      <c r="M15465" s="85"/>
    </row>
    <row r="15466" spans="9:13" x14ac:dyDescent="0.3">
      <c r="I15466" s="82"/>
      <c r="M15466" s="85"/>
    </row>
    <row r="15467" spans="9:13" x14ac:dyDescent="0.3">
      <c r="I15467" s="82"/>
      <c r="M15467" s="85"/>
    </row>
    <row r="15468" spans="9:13" x14ac:dyDescent="0.3">
      <c r="I15468" s="82"/>
      <c r="M15468" s="85"/>
    </row>
    <row r="15469" spans="9:13" x14ac:dyDescent="0.3">
      <c r="I15469" s="82"/>
      <c r="M15469" s="85"/>
    </row>
    <row r="15470" spans="9:13" x14ac:dyDescent="0.3">
      <c r="I15470" s="82"/>
      <c r="M15470" s="85"/>
    </row>
    <row r="15471" spans="9:13" x14ac:dyDescent="0.3">
      <c r="I15471" s="82"/>
      <c r="M15471" s="85"/>
    </row>
    <row r="15472" spans="9:13" x14ac:dyDescent="0.3">
      <c r="I15472" s="82"/>
      <c r="M15472" s="85"/>
    </row>
    <row r="15473" spans="9:13" x14ac:dyDescent="0.3">
      <c r="I15473" s="82"/>
      <c r="M15473" s="85"/>
    </row>
    <row r="15474" spans="9:13" x14ac:dyDescent="0.3">
      <c r="I15474" s="82"/>
      <c r="M15474" s="85"/>
    </row>
    <row r="15475" spans="9:13" x14ac:dyDescent="0.3">
      <c r="I15475" s="82"/>
      <c r="M15475" s="85"/>
    </row>
    <row r="15476" spans="9:13" x14ac:dyDescent="0.3">
      <c r="I15476" s="82"/>
      <c r="M15476" s="85"/>
    </row>
    <row r="15477" spans="9:13" x14ac:dyDescent="0.3">
      <c r="I15477" s="82"/>
      <c r="M15477" s="85"/>
    </row>
    <row r="15478" spans="9:13" x14ac:dyDescent="0.3">
      <c r="I15478" s="82"/>
      <c r="M15478" s="85"/>
    </row>
    <row r="15479" spans="9:13" x14ac:dyDescent="0.3">
      <c r="I15479" s="82"/>
      <c r="M15479" s="85"/>
    </row>
    <row r="15480" spans="9:13" x14ac:dyDescent="0.3">
      <c r="I15480" s="82"/>
      <c r="M15480" s="85"/>
    </row>
    <row r="15481" spans="9:13" x14ac:dyDescent="0.3">
      <c r="I15481" s="82"/>
      <c r="M15481" s="85"/>
    </row>
    <row r="15482" spans="9:13" x14ac:dyDescent="0.3">
      <c r="I15482" s="82"/>
      <c r="M15482" s="85"/>
    </row>
    <row r="15483" spans="9:13" x14ac:dyDescent="0.3">
      <c r="I15483" s="82"/>
      <c r="M15483" s="85"/>
    </row>
    <row r="15484" spans="9:13" x14ac:dyDescent="0.3">
      <c r="I15484" s="82"/>
      <c r="M15484" s="85"/>
    </row>
    <row r="15485" spans="9:13" x14ac:dyDescent="0.3">
      <c r="I15485" s="82"/>
      <c r="M15485" s="85"/>
    </row>
    <row r="15486" spans="9:13" x14ac:dyDescent="0.3">
      <c r="I15486" s="82"/>
      <c r="M15486" s="85"/>
    </row>
    <row r="15487" spans="9:13" x14ac:dyDescent="0.3">
      <c r="I15487" s="82"/>
      <c r="M15487" s="85"/>
    </row>
    <row r="15488" spans="9:13" x14ac:dyDescent="0.3">
      <c r="I15488" s="82"/>
      <c r="M15488" s="85"/>
    </row>
    <row r="15489" spans="9:13" x14ac:dyDescent="0.3">
      <c r="I15489" s="82"/>
      <c r="M15489" s="85"/>
    </row>
    <row r="15490" spans="9:13" x14ac:dyDescent="0.3">
      <c r="I15490" s="82"/>
      <c r="M15490" s="85"/>
    </row>
    <row r="15491" spans="9:13" x14ac:dyDescent="0.3">
      <c r="I15491" s="82"/>
      <c r="M15491" s="85"/>
    </row>
    <row r="15492" spans="9:13" x14ac:dyDescent="0.3">
      <c r="I15492" s="82"/>
      <c r="M15492" s="85"/>
    </row>
    <row r="15493" spans="9:13" x14ac:dyDescent="0.3">
      <c r="I15493" s="82"/>
      <c r="M15493" s="85"/>
    </row>
    <row r="15494" spans="9:13" x14ac:dyDescent="0.3">
      <c r="I15494" s="82"/>
      <c r="M15494" s="85"/>
    </row>
    <row r="15495" spans="9:13" x14ac:dyDescent="0.3">
      <c r="I15495" s="82"/>
      <c r="M15495" s="85"/>
    </row>
    <row r="15496" spans="9:13" x14ac:dyDescent="0.3">
      <c r="I15496" s="82"/>
      <c r="M15496" s="85"/>
    </row>
    <row r="15497" spans="9:13" x14ac:dyDescent="0.3">
      <c r="I15497" s="82"/>
      <c r="M15497" s="85"/>
    </row>
    <row r="15498" spans="9:13" x14ac:dyDescent="0.3">
      <c r="I15498" s="82"/>
      <c r="M15498" s="85"/>
    </row>
    <row r="15499" spans="9:13" x14ac:dyDescent="0.3">
      <c r="I15499" s="82"/>
      <c r="M15499" s="85"/>
    </row>
    <row r="15500" spans="9:13" x14ac:dyDescent="0.3">
      <c r="I15500" s="82"/>
      <c r="M15500" s="85"/>
    </row>
    <row r="15501" spans="9:13" x14ac:dyDescent="0.3">
      <c r="I15501" s="82"/>
      <c r="M15501" s="85"/>
    </row>
    <row r="15502" spans="9:13" x14ac:dyDescent="0.3">
      <c r="I15502" s="82"/>
      <c r="M15502" s="85"/>
    </row>
    <row r="15503" spans="9:13" x14ac:dyDescent="0.3">
      <c r="I15503" s="82"/>
      <c r="M15503" s="85"/>
    </row>
    <row r="15504" spans="9:13" x14ac:dyDescent="0.3">
      <c r="I15504" s="82"/>
      <c r="M15504" s="85"/>
    </row>
    <row r="15505" spans="9:13" x14ac:dyDescent="0.3">
      <c r="I15505" s="82"/>
      <c r="M15505" s="85"/>
    </row>
    <row r="15506" spans="9:13" x14ac:dyDescent="0.3">
      <c r="I15506" s="82"/>
      <c r="M15506" s="85"/>
    </row>
    <row r="15507" spans="9:13" x14ac:dyDescent="0.3">
      <c r="I15507" s="82"/>
      <c r="M15507" s="85"/>
    </row>
    <row r="15508" spans="9:13" x14ac:dyDescent="0.3">
      <c r="I15508" s="82"/>
      <c r="M15508" s="85"/>
    </row>
    <row r="15509" spans="9:13" x14ac:dyDescent="0.3">
      <c r="I15509" s="82"/>
      <c r="M15509" s="85"/>
    </row>
    <row r="15510" spans="9:13" x14ac:dyDescent="0.3">
      <c r="I15510" s="82"/>
      <c r="M15510" s="85"/>
    </row>
    <row r="15511" spans="9:13" x14ac:dyDescent="0.3">
      <c r="I15511" s="82"/>
      <c r="M15511" s="85"/>
    </row>
    <row r="15512" spans="9:13" x14ac:dyDescent="0.3">
      <c r="I15512" s="82"/>
      <c r="M15512" s="85"/>
    </row>
    <row r="15513" spans="9:13" x14ac:dyDescent="0.3">
      <c r="I15513" s="82"/>
      <c r="M15513" s="85"/>
    </row>
    <row r="15514" spans="9:13" x14ac:dyDescent="0.3">
      <c r="I15514" s="82"/>
      <c r="M15514" s="85"/>
    </row>
    <row r="15515" spans="9:13" x14ac:dyDescent="0.3">
      <c r="I15515" s="82"/>
      <c r="M15515" s="85"/>
    </row>
    <row r="15516" spans="9:13" x14ac:dyDescent="0.3">
      <c r="I15516" s="82"/>
      <c r="M15516" s="85"/>
    </row>
    <row r="15517" spans="9:13" x14ac:dyDescent="0.3">
      <c r="I15517" s="82"/>
      <c r="M15517" s="85"/>
    </row>
    <row r="15518" spans="9:13" x14ac:dyDescent="0.3">
      <c r="I15518" s="82"/>
      <c r="M15518" s="85"/>
    </row>
    <row r="15519" spans="9:13" x14ac:dyDescent="0.3">
      <c r="I15519" s="82"/>
      <c r="M15519" s="85"/>
    </row>
    <row r="15520" spans="9:13" x14ac:dyDescent="0.3">
      <c r="I15520" s="82"/>
      <c r="M15520" s="85"/>
    </row>
    <row r="15521" spans="9:13" x14ac:dyDescent="0.3">
      <c r="I15521" s="82"/>
      <c r="M15521" s="85"/>
    </row>
    <row r="15522" spans="9:13" x14ac:dyDescent="0.3">
      <c r="I15522" s="82"/>
      <c r="M15522" s="85"/>
    </row>
    <row r="15523" spans="9:13" x14ac:dyDescent="0.3">
      <c r="I15523" s="82"/>
      <c r="M15523" s="85"/>
    </row>
    <row r="15524" spans="9:13" x14ac:dyDescent="0.3">
      <c r="I15524" s="82"/>
      <c r="M15524" s="85"/>
    </row>
    <row r="15525" spans="9:13" x14ac:dyDescent="0.3">
      <c r="I15525" s="82"/>
      <c r="M15525" s="85"/>
    </row>
    <row r="15526" spans="9:13" x14ac:dyDescent="0.3">
      <c r="I15526" s="82"/>
      <c r="M15526" s="85"/>
    </row>
    <row r="15527" spans="9:13" x14ac:dyDescent="0.3">
      <c r="I15527" s="82"/>
      <c r="M15527" s="85"/>
    </row>
    <row r="15528" spans="9:13" x14ac:dyDescent="0.3">
      <c r="I15528" s="82"/>
      <c r="M15528" s="85"/>
    </row>
    <row r="15529" spans="9:13" x14ac:dyDescent="0.3">
      <c r="I15529" s="82"/>
      <c r="M15529" s="85"/>
    </row>
    <row r="15530" spans="9:13" x14ac:dyDescent="0.3">
      <c r="I15530" s="82"/>
      <c r="M15530" s="85"/>
    </row>
    <row r="15531" spans="9:13" x14ac:dyDescent="0.3">
      <c r="I15531" s="82"/>
      <c r="M15531" s="85"/>
    </row>
    <row r="15532" spans="9:13" x14ac:dyDescent="0.3">
      <c r="I15532" s="82"/>
      <c r="M15532" s="85"/>
    </row>
    <row r="15533" spans="9:13" x14ac:dyDescent="0.3">
      <c r="I15533" s="82"/>
      <c r="M15533" s="85"/>
    </row>
    <row r="15534" spans="9:13" x14ac:dyDescent="0.3">
      <c r="I15534" s="82"/>
      <c r="M15534" s="85"/>
    </row>
    <row r="15535" spans="9:13" x14ac:dyDescent="0.3">
      <c r="I15535" s="82"/>
      <c r="M15535" s="85"/>
    </row>
    <row r="15536" spans="9:13" x14ac:dyDescent="0.3">
      <c r="I15536" s="82"/>
      <c r="M15536" s="85"/>
    </row>
    <row r="15537" spans="9:13" x14ac:dyDescent="0.3">
      <c r="I15537" s="82"/>
      <c r="M15537" s="85"/>
    </row>
    <row r="15538" spans="9:13" x14ac:dyDescent="0.3">
      <c r="I15538" s="82"/>
      <c r="M15538" s="85"/>
    </row>
    <row r="15539" spans="9:13" x14ac:dyDescent="0.3">
      <c r="I15539" s="82"/>
      <c r="M15539" s="85"/>
    </row>
    <row r="15540" spans="9:13" x14ac:dyDescent="0.3">
      <c r="I15540" s="82"/>
      <c r="M15540" s="85"/>
    </row>
    <row r="15541" spans="9:13" x14ac:dyDescent="0.3">
      <c r="I15541" s="82"/>
      <c r="M15541" s="85"/>
    </row>
    <row r="15542" spans="9:13" x14ac:dyDescent="0.3">
      <c r="I15542" s="82"/>
      <c r="M15542" s="85"/>
    </row>
    <row r="15543" spans="9:13" x14ac:dyDescent="0.3">
      <c r="I15543" s="82"/>
      <c r="M15543" s="85"/>
    </row>
    <row r="15544" spans="9:13" x14ac:dyDescent="0.3">
      <c r="I15544" s="82"/>
      <c r="M15544" s="85"/>
    </row>
    <row r="15545" spans="9:13" x14ac:dyDescent="0.3">
      <c r="I15545" s="82"/>
      <c r="M15545" s="85"/>
    </row>
    <row r="15546" spans="9:13" x14ac:dyDescent="0.3">
      <c r="I15546" s="82"/>
      <c r="M15546" s="85"/>
    </row>
    <row r="15547" spans="9:13" x14ac:dyDescent="0.3">
      <c r="I15547" s="82"/>
      <c r="M15547" s="85"/>
    </row>
    <row r="15548" spans="9:13" x14ac:dyDescent="0.3">
      <c r="I15548" s="82"/>
      <c r="M15548" s="85"/>
    </row>
    <row r="15549" spans="9:13" x14ac:dyDescent="0.3">
      <c r="I15549" s="82"/>
      <c r="M15549" s="85"/>
    </row>
    <row r="15550" spans="9:13" x14ac:dyDescent="0.3">
      <c r="I15550" s="82"/>
      <c r="M15550" s="85"/>
    </row>
    <row r="15551" spans="9:13" x14ac:dyDescent="0.3">
      <c r="I15551" s="82"/>
      <c r="M15551" s="85"/>
    </row>
    <row r="15552" spans="9:13" x14ac:dyDescent="0.3">
      <c r="I15552" s="82"/>
      <c r="M15552" s="85"/>
    </row>
    <row r="15553" spans="9:13" x14ac:dyDescent="0.3">
      <c r="I15553" s="82"/>
      <c r="M15553" s="85"/>
    </row>
    <row r="15554" spans="9:13" x14ac:dyDescent="0.3">
      <c r="I15554" s="82"/>
      <c r="M15554" s="85"/>
    </row>
    <row r="15555" spans="9:13" x14ac:dyDescent="0.3">
      <c r="I15555" s="82"/>
      <c r="M15555" s="85"/>
    </row>
    <row r="15556" spans="9:13" x14ac:dyDescent="0.3">
      <c r="I15556" s="82"/>
      <c r="M15556" s="85"/>
    </row>
    <row r="15557" spans="9:13" x14ac:dyDescent="0.3">
      <c r="I15557" s="82"/>
      <c r="M15557" s="85"/>
    </row>
    <row r="15558" spans="9:13" x14ac:dyDescent="0.3">
      <c r="I15558" s="82"/>
      <c r="M15558" s="85"/>
    </row>
    <row r="15559" spans="9:13" x14ac:dyDescent="0.3">
      <c r="I15559" s="82"/>
      <c r="M15559" s="85"/>
    </row>
    <row r="15560" spans="9:13" x14ac:dyDescent="0.3">
      <c r="I15560" s="82"/>
      <c r="M15560" s="85"/>
    </row>
    <row r="15561" spans="9:13" x14ac:dyDescent="0.3">
      <c r="I15561" s="82"/>
      <c r="M15561" s="85"/>
    </row>
    <row r="15562" spans="9:13" x14ac:dyDescent="0.3">
      <c r="I15562" s="82"/>
      <c r="M15562" s="85"/>
    </row>
    <row r="15563" spans="9:13" x14ac:dyDescent="0.3">
      <c r="I15563" s="82"/>
      <c r="M15563" s="85"/>
    </row>
    <row r="15564" spans="9:13" x14ac:dyDescent="0.3">
      <c r="I15564" s="82"/>
      <c r="M15564" s="85"/>
    </row>
    <row r="15565" spans="9:13" x14ac:dyDescent="0.3">
      <c r="I15565" s="82"/>
      <c r="M15565" s="85"/>
    </row>
    <row r="15566" spans="9:13" x14ac:dyDescent="0.3">
      <c r="I15566" s="82"/>
      <c r="M15566" s="85"/>
    </row>
    <row r="15567" spans="9:13" x14ac:dyDescent="0.3">
      <c r="I15567" s="82"/>
      <c r="M15567" s="85"/>
    </row>
    <row r="15568" spans="9:13" x14ac:dyDescent="0.3">
      <c r="I15568" s="82"/>
      <c r="M15568" s="85"/>
    </row>
    <row r="15569" spans="9:13" x14ac:dyDescent="0.3">
      <c r="I15569" s="82"/>
      <c r="M15569" s="85"/>
    </row>
    <row r="15570" spans="9:13" x14ac:dyDescent="0.3">
      <c r="I15570" s="82"/>
      <c r="M15570" s="85"/>
    </row>
    <row r="15571" spans="9:13" x14ac:dyDescent="0.3">
      <c r="I15571" s="82"/>
      <c r="M15571" s="85"/>
    </row>
    <row r="15572" spans="9:13" x14ac:dyDescent="0.3">
      <c r="I15572" s="82"/>
      <c r="M15572" s="85"/>
    </row>
    <row r="15573" spans="9:13" x14ac:dyDescent="0.3">
      <c r="I15573" s="82"/>
      <c r="M15573" s="85"/>
    </row>
    <row r="15574" spans="9:13" x14ac:dyDescent="0.3">
      <c r="I15574" s="82"/>
      <c r="M15574" s="85"/>
    </row>
    <row r="15575" spans="9:13" x14ac:dyDescent="0.3">
      <c r="I15575" s="82"/>
      <c r="M15575" s="85"/>
    </row>
    <row r="15576" spans="9:13" x14ac:dyDescent="0.3">
      <c r="I15576" s="82"/>
      <c r="M15576" s="85"/>
    </row>
    <row r="15577" spans="9:13" x14ac:dyDescent="0.3">
      <c r="I15577" s="82"/>
      <c r="M15577" s="85"/>
    </row>
    <row r="15578" spans="9:13" x14ac:dyDescent="0.3">
      <c r="I15578" s="82"/>
      <c r="M15578" s="85"/>
    </row>
    <row r="15579" spans="9:13" x14ac:dyDescent="0.3">
      <c r="I15579" s="82"/>
      <c r="M15579" s="85"/>
    </row>
    <row r="15580" spans="9:13" x14ac:dyDescent="0.3">
      <c r="I15580" s="82"/>
      <c r="M15580" s="85"/>
    </row>
    <row r="15581" spans="9:13" x14ac:dyDescent="0.3">
      <c r="I15581" s="82"/>
      <c r="M15581" s="85"/>
    </row>
    <row r="15582" spans="9:13" x14ac:dyDescent="0.3">
      <c r="I15582" s="82"/>
      <c r="M15582" s="85"/>
    </row>
    <row r="15583" spans="9:13" x14ac:dyDescent="0.3">
      <c r="I15583" s="82"/>
      <c r="M15583" s="85"/>
    </row>
    <row r="15584" spans="9:13" x14ac:dyDescent="0.3">
      <c r="I15584" s="82"/>
      <c r="M15584" s="85"/>
    </row>
    <row r="15585" spans="9:13" x14ac:dyDescent="0.3">
      <c r="I15585" s="82"/>
      <c r="M15585" s="85"/>
    </row>
    <row r="15586" spans="9:13" x14ac:dyDescent="0.3">
      <c r="I15586" s="82"/>
      <c r="M15586" s="85"/>
    </row>
    <row r="15587" spans="9:13" x14ac:dyDescent="0.3">
      <c r="I15587" s="82"/>
      <c r="M15587" s="85"/>
    </row>
    <row r="15588" spans="9:13" x14ac:dyDescent="0.3">
      <c r="I15588" s="82"/>
      <c r="M15588" s="85"/>
    </row>
    <row r="15589" spans="9:13" x14ac:dyDescent="0.3">
      <c r="I15589" s="82"/>
      <c r="M15589" s="85"/>
    </row>
    <row r="15590" spans="9:13" x14ac:dyDescent="0.3">
      <c r="I15590" s="82"/>
      <c r="M15590" s="85"/>
    </row>
    <row r="15591" spans="9:13" x14ac:dyDescent="0.3">
      <c r="I15591" s="82"/>
      <c r="M15591" s="85"/>
    </row>
    <row r="15592" spans="9:13" x14ac:dyDescent="0.3">
      <c r="I15592" s="82"/>
      <c r="M15592" s="85"/>
    </row>
    <row r="15593" spans="9:13" x14ac:dyDescent="0.3">
      <c r="I15593" s="82"/>
      <c r="M15593" s="85"/>
    </row>
    <row r="15594" spans="9:13" x14ac:dyDescent="0.3">
      <c r="I15594" s="82"/>
      <c r="M15594" s="85"/>
    </row>
    <row r="15595" spans="9:13" x14ac:dyDescent="0.3">
      <c r="I15595" s="82"/>
      <c r="M15595" s="85"/>
    </row>
    <row r="15596" spans="9:13" x14ac:dyDescent="0.3">
      <c r="I15596" s="82"/>
      <c r="M15596" s="85"/>
    </row>
    <row r="15597" spans="9:13" x14ac:dyDescent="0.3">
      <c r="I15597" s="82"/>
      <c r="M15597" s="85"/>
    </row>
    <row r="15598" spans="9:13" x14ac:dyDescent="0.3">
      <c r="I15598" s="82"/>
      <c r="M15598" s="85"/>
    </row>
    <row r="15599" spans="9:13" x14ac:dyDescent="0.3">
      <c r="I15599" s="82"/>
      <c r="M15599" s="85"/>
    </row>
    <row r="15600" spans="9:13" x14ac:dyDescent="0.3">
      <c r="I15600" s="82"/>
      <c r="M15600" s="85"/>
    </row>
    <row r="15601" spans="9:13" x14ac:dyDescent="0.3">
      <c r="I15601" s="82"/>
      <c r="M15601" s="85"/>
    </row>
    <row r="15602" spans="9:13" x14ac:dyDescent="0.3">
      <c r="I15602" s="82"/>
      <c r="M15602" s="85"/>
    </row>
    <row r="15603" spans="9:13" x14ac:dyDescent="0.3">
      <c r="I15603" s="82"/>
      <c r="M15603" s="85"/>
    </row>
    <row r="15604" spans="9:13" x14ac:dyDescent="0.3">
      <c r="I15604" s="82"/>
      <c r="M15604" s="85"/>
    </row>
    <row r="15605" spans="9:13" x14ac:dyDescent="0.3">
      <c r="I15605" s="82"/>
      <c r="M15605" s="85"/>
    </row>
    <row r="15606" spans="9:13" x14ac:dyDescent="0.3">
      <c r="I15606" s="82"/>
      <c r="M15606" s="85"/>
    </row>
    <row r="15607" spans="9:13" x14ac:dyDescent="0.3">
      <c r="I15607" s="82"/>
      <c r="M15607" s="85"/>
    </row>
    <row r="15608" spans="9:13" x14ac:dyDescent="0.3">
      <c r="I15608" s="82"/>
      <c r="M15608" s="85"/>
    </row>
    <row r="15609" spans="9:13" x14ac:dyDescent="0.3">
      <c r="I15609" s="82"/>
      <c r="M15609" s="85"/>
    </row>
    <row r="15610" spans="9:13" x14ac:dyDescent="0.3">
      <c r="I15610" s="82"/>
      <c r="M15610" s="85"/>
    </row>
    <row r="15611" spans="9:13" x14ac:dyDescent="0.3">
      <c r="I15611" s="82"/>
      <c r="M15611" s="85"/>
    </row>
    <row r="15612" spans="9:13" x14ac:dyDescent="0.3">
      <c r="I15612" s="82"/>
      <c r="M15612" s="85"/>
    </row>
    <row r="15613" spans="9:13" x14ac:dyDescent="0.3">
      <c r="I15613" s="82"/>
      <c r="M15613" s="85"/>
    </row>
    <row r="15614" spans="9:13" x14ac:dyDescent="0.3">
      <c r="I15614" s="82"/>
      <c r="M15614" s="85"/>
    </row>
    <row r="15615" spans="9:13" x14ac:dyDescent="0.3">
      <c r="I15615" s="82"/>
      <c r="M15615" s="85"/>
    </row>
    <row r="15616" spans="9:13" x14ac:dyDescent="0.3">
      <c r="I15616" s="82"/>
      <c r="M15616" s="85"/>
    </row>
    <row r="15617" spans="9:13" x14ac:dyDescent="0.3">
      <c r="I15617" s="82"/>
      <c r="M15617" s="85"/>
    </row>
    <row r="15618" spans="9:13" x14ac:dyDescent="0.3">
      <c r="I15618" s="82"/>
      <c r="M15618" s="85"/>
    </row>
    <row r="15619" spans="9:13" x14ac:dyDescent="0.3">
      <c r="I15619" s="82"/>
      <c r="M15619" s="85"/>
    </row>
    <row r="15620" spans="9:13" x14ac:dyDescent="0.3">
      <c r="I15620" s="82"/>
      <c r="M15620" s="85"/>
    </row>
    <row r="15621" spans="9:13" x14ac:dyDescent="0.3">
      <c r="I15621" s="82"/>
      <c r="M15621" s="85"/>
    </row>
    <row r="15622" spans="9:13" x14ac:dyDescent="0.3">
      <c r="I15622" s="82"/>
      <c r="M15622" s="85"/>
    </row>
    <row r="15623" spans="9:13" x14ac:dyDescent="0.3">
      <c r="I15623" s="82"/>
      <c r="M15623" s="85"/>
    </row>
    <row r="15624" spans="9:13" x14ac:dyDescent="0.3">
      <c r="I15624" s="82"/>
      <c r="M15624" s="85"/>
    </row>
    <row r="15625" spans="9:13" x14ac:dyDescent="0.3">
      <c r="I15625" s="82"/>
      <c r="M15625" s="85"/>
    </row>
    <row r="15626" spans="9:13" x14ac:dyDescent="0.3">
      <c r="I15626" s="82"/>
      <c r="M15626" s="85"/>
    </row>
    <row r="15627" spans="9:13" x14ac:dyDescent="0.3">
      <c r="I15627" s="82"/>
      <c r="M15627" s="85"/>
    </row>
    <row r="15628" spans="9:13" x14ac:dyDescent="0.3">
      <c r="I15628" s="82"/>
      <c r="M15628" s="85"/>
    </row>
    <row r="15629" spans="9:13" x14ac:dyDescent="0.3">
      <c r="I15629" s="82"/>
      <c r="M15629" s="85"/>
    </row>
    <row r="15630" spans="9:13" x14ac:dyDescent="0.3">
      <c r="I15630" s="82"/>
      <c r="M15630" s="85"/>
    </row>
    <row r="15631" spans="9:13" x14ac:dyDescent="0.3">
      <c r="I15631" s="82"/>
      <c r="M15631" s="85"/>
    </row>
    <row r="15632" spans="9:13" x14ac:dyDescent="0.3">
      <c r="I15632" s="82"/>
      <c r="M15632" s="85"/>
    </row>
    <row r="15633" spans="9:13" x14ac:dyDescent="0.3">
      <c r="I15633" s="82"/>
      <c r="M15633" s="85"/>
    </row>
    <row r="15634" spans="9:13" x14ac:dyDescent="0.3">
      <c r="I15634" s="82"/>
      <c r="M15634" s="85"/>
    </row>
    <row r="15635" spans="9:13" x14ac:dyDescent="0.3">
      <c r="I15635" s="82"/>
      <c r="M15635" s="85"/>
    </row>
    <row r="15636" spans="9:13" x14ac:dyDescent="0.3">
      <c r="I15636" s="82"/>
      <c r="M15636" s="85"/>
    </row>
    <row r="15637" spans="9:13" x14ac:dyDescent="0.3">
      <c r="I15637" s="82"/>
      <c r="M15637" s="85"/>
    </row>
    <row r="15638" spans="9:13" x14ac:dyDescent="0.3">
      <c r="I15638" s="82"/>
      <c r="M15638" s="85"/>
    </row>
    <row r="15639" spans="9:13" x14ac:dyDescent="0.3">
      <c r="I15639" s="82"/>
      <c r="M15639" s="85"/>
    </row>
    <row r="15640" spans="9:13" x14ac:dyDescent="0.3">
      <c r="I15640" s="82"/>
      <c r="M15640" s="85"/>
    </row>
    <row r="15641" spans="9:13" x14ac:dyDescent="0.3">
      <c r="I15641" s="82"/>
      <c r="M15641" s="85"/>
    </row>
    <row r="15642" spans="9:13" x14ac:dyDescent="0.3">
      <c r="I15642" s="82"/>
      <c r="M15642" s="85"/>
    </row>
    <row r="15643" spans="9:13" x14ac:dyDescent="0.3">
      <c r="I15643" s="82"/>
      <c r="M15643" s="85"/>
    </row>
    <row r="15644" spans="9:13" x14ac:dyDescent="0.3">
      <c r="I15644" s="82"/>
      <c r="M15644" s="85"/>
    </row>
    <row r="15645" spans="9:13" x14ac:dyDescent="0.3">
      <c r="I15645" s="82"/>
      <c r="M15645" s="85"/>
    </row>
    <row r="15646" spans="9:13" x14ac:dyDescent="0.3">
      <c r="I15646" s="82"/>
      <c r="M15646" s="85"/>
    </row>
    <row r="15647" spans="9:13" x14ac:dyDescent="0.3">
      <c r="I15647" s="82"/>
      <c r="M15647" s="85"/>
    </row>
    <row r="15648" spans="9:13" x14ac:dyDescent="0.3">
      <c r="I15648" s="82"/>
      <c r="M15648" s="85"/>
    </row>
    <row r="15649" spans="9:13" x14ac:dyDescent="0.3">
      <c r="I15649" s="82"/>
      <c r="M15649" s="85"/>
    </row>
    <row r="15650" spans="9:13" x14ac:dyDescent="0.3">
      <c r="I15650" s="82"/>
      <c r="M15650" s="85"/>
    </row>
    <row r="15651" spans="9:13" x14ac:dyDescent="0.3">
      <c r="I15651" s="82"/>
      <c r="M15651" s="85"/>
    </row>
    <row r="15652" spans="9:13" x14ac:dyDescent="0.3">
      <c r="I15652" s="82"/>
      <c r="M15652" s="85"/>
    </row>
    <row r="15653" spans="9:13" x14ac:dyDescent="0.3">
      <c r="I15653" s="82"/>
      <c r="M15653" s="85"/>
    </row>
    <row r="15654" spans="9:13" x14ac:dyDescent="0.3">
      <c r="I15654" s="82"/>
      <c r="M15654" s="85"/>
    </row>
    <row r="15655" spans="9:13" x14ac:dyDescent="0.3">
      <c r="I15655" s="82"/>
      <c r="M15655" s="85"/>
    </row>
    <row r="15656" spans="9:13" x14ac:dyDescent="0.3">
      <c r="I15656" s="82"/>
      <c r="M15656" s="85"/>
    </row>
    <row r="15657" spans="9:13" x14ac:dyDescent="0.3">
      <c r="I15657" s="82"/>
      <c r="M15657" s="85"/>
    </row>
    <row r="15658" spans="9:13" x14ac:dyDescent="0.3">
      <c r="I15658" s="82"/>
      <c r="M15658" s="85"/>
    </row>
    <row r="15659" spans="9:13" x14ac:dyDescent="0.3">
      <c r="I15659" s="82"/>
      <c r="M15659" s="85"/>
    </row>
    <row r="15660" spans="9:13" x14ac:dyDescent="0.3">
      <c r="I15660" s="82"/>
      <c r="M15660" s="85"/>
    </row>
    <row r="15661" spans="9:13" x14ac:dyDescent="0.3">
      <c r="I15661" s="82"/>
      <c r="M15661" s="85"/>
    </row>
    <row r="15662" spans="9:13" x14ac:dyDescent="0.3">
      <c r="I15662" s="82"/>
      <c r="M15662" s="85"/>
    </row>
    <row r="15663" spans="9:13" x14ac:dyDescent="0.3">
      <c r="I15663" s="82"/>
      <c r="M15663" s="85"/>
    </row>
    <row r="15664" spans="9:13" x14ac:dyDescent="0.3">
      <c r="I15664" s="82"/>
      <c r="M15664" s="85"/>
    </row>
    <row r="15665" spans="9:13" x14ac:dyDescent="0.3">
      <c r="I15665" s="82"/>
      <c r="M15665" s="85"/>
    </row>
    <row r="15666" spans="9:13" x14ac:dyDescent="0.3">
      <c r="I15666" s="82"/>
      <c r="M15666" s="85"/>
    </row>
    <row r="15667" spans="9:13" x14ac:dyDescent="0.3">
      <c r="I15667" s="82"/>
      <c r="M15667" s="85"/>
    </row>
    <row r="15668" spans="9:13" x14ac:dyDescent="0.3">
      <c r="I15668" s="82"/>
      <c r="M15668" s="85"/>
    </row>
    <row r="15669" spans="9:13" x14ac:dyDescent="0.3">
      <c r="I15669" s="82"/>
      <c r="M15669" s="85"/>
    </row>
    <row r="15670" spans="9:13" x14ac:dyDescent="0.3">
      <c r="I15670" s="82"/>
      <c r="M15670" s="85"/>
    </row>
    <row r="15671" spans="9:13" x14ac:dyDescent="0.3">
      <c r="I15671" s="82"/>
      <c r="M15671" s="85"/>
    </row>
    <row r="15672" spans="9:13" x14ac:dyDescent="0.3">
      <c r="I15672" s="82"/>
      <c r="M15672" s="85"/>
    </row>
    <row r="15673" spans="9:13" x14ac:dyDescent="0.3">
      <c r="I15673" s="82"/>
      <c r="M15673" s="85"/>
    </row>
    <row r="15674" spans="9:13" x14ac:dyDescent="0.3">
      <c r="I15674" s="82"/>
      <c r="M15674" s="85"/>
    </row>
    <row r="15675" spans="9:13" x14ac:dyDescent="0.3">
      <c r="I15675" s="82"/>
      <c r="M15675" s="85"/>
    </row>
    <row r="15676" spans="9:13" x14ac:dyDescent="0.3">
      <c r="I15676" s="82"/>
      <c r="M15676" s="85"/>
    </row>
    <row r="15677" spans="9:13" x14ac:dyDescent="0.3">
      <c r="I15677" s="82"/>
      <c r="M15677" s="85"/>
    </row>
    <row r="15678" spans="9:13" x14ac:dyDescent="0.3">
      <c r="I15678" s="82"/>
      <c r="M15678" s="85"/>
    </row>
    <row r="15679" spans="9:13" x14ac:dyDescent="0.3">
      <c r="I15679" s="82"/>
      <c r="M15679" s="85"/>
    </row>
    <row r="15680" spans="9:13" x14ac:dyDescent="0.3">
      <c r="I15680" s="82"/>
      <c r="M15680" s="85"/>
    </row>
    <row r="15681" spans="9:13" x14ac:dyDescent="0.3">
      <c r="I15681" s="82"/>
      <c r="M15681" s="85"/>
    </row>
    <row r="15682" spans="9:13" x14ac:dyDescent="0.3">
      <c r="I15682" s="82"/>
      <c r="M15682" s="85"/>
    </row>
    <row r="15683" spans="9:13" x14ac:dyDescent="0.3">
      <c r="I15683" s="82"/>
      <c r="M15683" s="85"/>
    </row>
    <row r="15684" spans="9:13" x14ac:dyDescent="0.3">
      <c r="I15684" s="82"/>
      <c r="M15684" s="85"/>
    </row>
    <row r="15685" spans="9:13" x14ac:dyDescent="0.3">
      <c r="I15685" s="82"/>
      <c r="M15685" s="85"/>
    </row>
    <row r="15686" spans="9:13" x14ac:dyDescent="0.3">
      <c r="I15686" s="82"/>
      <c r="M15686" s="85"/>
    </row>
    <row r="15687" spans="9:13" x14ac:dyDescent="0.3">
      <c r="I15687" s="82"/>
      <c r="M15687" s="85"/>
    </row>
    <row r="15688" spans="9:13" x14ac:dyDescent="0.3">
      <c r="I15688" s="82"/>
      <c r="M15688" s="85"/>
    </row>
    <row r="15689" spans="9:13" x14ac:dyDescent="0.3">
      <c r="I15689" s="82"/>
      <c r="M15689" s="85"/>
    </row>
    <row r="15690" spans="9:13" x14ac:dyDescent="0.3">
      <c r="I15690" s="82"/>
      <c r="M15690" s="85"/>
    </row>
    <row r="15691" spans="9:13" x14ac:dyDescent="0.3">
      <c r="I15691" s="82"/>
      <c r="M15691" s="85"/>
    </row>
    <row r="15692" spans="9:13" x14ac:dyDescent="0.3">
      <c r="I15692" s="82"/>
      <c r="M15692" s="85"/>
    </row>
    <row r="15693" spans="9:13" x14ac:dyDescent="0.3">
      <c r="I15693" s="82"/>
      <c r="M15693" s="85"/>
    </row>
    <row r="15694" spans="9:13" x14ac:dyDescent="0.3">
      <c r="I15694" s="82"/>
      <c r="M15694" s="85"/>
    </row>
    <row r="15695" spans="9:13" x14ac:dyDescent="0.3">
      <c r="I15695" s="82"/>
      <c r="M15695" s="85"/>
    </row>
    <row r="15696" spans="9:13" x14ac:dyDescent="0.3">
      <c r="I15696" s="82"/>
      <c r="M15696" s="85"/>
    </row>
    <row r="15697" spans="9:13" x14ac:dyDescent="0.3">
      <c r="I15697" s="82"/>
      <c r="M15697" s="85"/>
    </row>
    <row r="15698" spans="9:13" x14ac:dyDescent="0.3">
      <c r="I15698" s="82"/>
      <c r="M15698" s="85"/>
    </row>
    <row r="15699" spans="9:13" x14ac:dyDescent="0.3">
      <c r="I15699" s="82"/>
      <c r="M15699" s="85"/>
    </row>
    <row r="15700" spans="9:13" x14ac:dyDescent="0.3">
      <c r="I15700" s="82"/>
      <c r="M15700" s="85"/>
    </row>
    <row r="15701" spans="9:13" x14ac:dyDescent="0.3">
      <c r="I15701" s="82"/>
      <c r="M15701" s="85"/>
    </row>
    <row r="15702" spans="9:13" x14ac:dyDescent="0.3">
      <c r="I15702" s="82"/>
      <c r="M15702" s="85"/>
    </row>
    <row r="15703" spans="9:13" x14ac:dyDescent="0.3">
      <c r="I15703" s="82"/>
      <c r="M15703" s="85"/>
    </row>
    <row r="15704" spans="9:13" x14ac:dyDescent="0.3">
      <c r="I15704" s="82"/>
      <c r="M15704" s="85"/>
    </row>
    <row r="15705" spans="9:13" x14ac:dyDescent="0.3">
      <c r="I15705" s="82"/>
      <c r="M15705" s="85"/>
    </row>
    <row r="15706" spans="9:13" x14ac:dyDescent="0.3">
      <c r="I15706" s="82"/>
      <c r="M15706" s="85"/>
    </row>
    <row r="15707" spans="9:13" x14ac:dyDescent="0.3">
      <c r="I15707" s="82"/>
      <c r="M15707" s="85"/>
    </row>
    <row r="15708" spans="9:13" x14ac:dyDescent="0.3">
      <c r="I15708" s="82"/>
      <c r="M15708" s="85"/>
    </row>
    <row r="15709" spans="9:13" x14ac:dyDescent="0.3">
      <c r="I15709" s="82"/>
      <c r="M15709" s="85"/>
    </row>
    <row r="15710" spans="9:13" x14ac:dyDescent="0.3">
      <c r="I15710" s="82"/>
      <c r="M15710" s="85"/>
    </row>
    <row r="15711" spans="9:13" x14ac:dyDescent="0.3">
      <c r="I15711" s="82"/>
      <c r="M15711" s="85"/>
    </row>
    <row r="15712" spans="9:13" x14ac:dyDescent="0.3">
      <c r="I15712" s="82"/>
      <c r="M15712" s="85"/>
    </row>
    <row r="15713" spans="9:13" x14ac:dyDescent="0.3">
      <c r="I15713" s="82"/>
      <c r="M15713" s="85"/>
    </row>
    <row r="15714" spans="9:13" x14ac:dyDescent="0.3">
      <c r="I15714" s="82"/>
      <c r="M15714" s="85"/>
    </row>
    <row r="15715" spans="9:13" x14ac:dyDescent="0.3">
      <c r="I15715" s="82"/>
      <c r="M15715" s="85"/>
    </row>
    <row r="15716" spans="9:13" x14ac:dyDescent="0.3">
      <c r="I15716" s="82"/>
      <c r="M15716" s="85"/>
    </row>
    <row r="15717" spans="9:13" x14ac:dyDescent="0.3">
      <c r="I15717" s="82"/>
      <c r="M15717" s="85"/>
    </row>
    <row r="15718" spans="9:13" x14ac:dyDescent="0.3">
      <c r="I15718" s="82"/>
      <c r="M15718" s="85"/>
    </row>
    <row r="15719" spans="9:13" x14ac:dyDescent="0.3">
      <c r="I15719" s="82"/>
      <c r="M15719" s="85"/>
    </row>
    <row r="15720" spans="9:13" x14ac:dyDescent="0.3">
      <c r="I15720" s="82"/>
      <c r="M15720" s="85"/>
    </row>
    <row r="15721" spans="9:13" x14ac:dyDescent="0.3">
      <c r="I15721" s="82"/>
      <c r="M15721" s="85"/>
    </row>
    <row r="15722" spans="9:13" x14ac:dyDescent="0.3">
      <c r="I15722" s="82"/>
      <c r="M15722" s="85"/>
    </row>
    <row r="15723" spans="9:13" x14ac:dyDescent="0.3">
      <c r="I15723" s="82"/>
      <c r="M15723" s="85"/>
    </row>
    <row r="15724" spans="9:13" x14ac:dyDescent="0.3">
      <c r="I15724" s="82"/>
      <c r="M15724" s="85"/>
    </row>
    <row r="15725" spans="9:13" x14ac:dyDescent="0.3">
      <c r="I15725" s="82"/>
      <c r="M15725" s="85"/>
    </row>
    <row r="15726" spans="9:13" x14ac:dyDescent="0.3">
      <c r="I15726" s="82"/>
      <c r="M15726" s="85"/>
    </row>
    <row r="15727" spans="9:13" x14ac:dyDescent="0.3">
      <c r="I15727" s="82"/>
      <c r="M15727" s="85"/>
    </row>
    <row r="15728" spans="9:13" x14ac:dyDescent="0.3">
      <c r="I15728" s="82"/>
      <c r="M15728" s="85"/>
    </row>
    <row r="15729" spans="9:13" x14ac:dyDescent="0.3">
      <c r="I15729" s="82"/>
      <c r="M15729" s="85"/>
    </row>
    <row r="15730" spans="9:13" x14ac:dyDescent="0.3">
      <c r="I15730" s="82"/>
      <c r="M15730" s="85"/>
    </row>
    <row r="15731" spans="9:13" x14ac:dyDescent="0.3">
      <c r="I15731" s="82"/>
      <c r="M15731" s="85"/>
    </row>
    <row r="15732" spans="9:13" x14ac:dyDescent="0.3">
      <c r="I15732" s="82"/>
      <c r="M15732" s="85"/>
    </row>
    <row r="15733" spans="9:13" x14ac:dyDescent="0.3">
      <c r="I15733" s="82"/>
      <c r="M15733" s="85"/>
    </row>
    <row r="15734" spans="9:13" x14ac:dyDescent="0.3">
      <c r="I15734" s="82"/>
      <c r="M15734" s="85"/>
    </row>
    <row r="15735" spans="9:13" x14ac:dyDescent="0.3">
      <c r="I15735" s="82"/>
      <c r="M15735" s="85"/>
    </row>
    <row r="15736" spans="9:13" x14ac:dyDescent="0.3">
      <c r="I15736" s="82"/>
      <c r="M15736" s="85"/>
    </row>
    <row r="15737" spans="9:13" x14ac:dyDescent="0.3">
      <c r="I15737" s="82"/>
      <c r="M15737" s="85"/>
    </row>
    <row r="15738" spans="9:13" x14ac:dyDescent="0.3">
      <c r="I15738" s="82"/>
      <c r="M15738" s="85"/>
    </row>
    <row r="15739" spans="9:13" x14ac:dyDescent="0.3">
      <c r="I15739" s="82"/>
      <c r="M15739" s="85"/>
    </row>
    <row r="15740" spans="9:13" x14ac:dyDescent="0.3">
      <c r="I15740" s="82"/>
      <c r="M15740" s="85"/>
    </row>
    <row r="15741" spans="9:13" x14ac:dyDescent="0.3">
      <c r="I15741" s="82"/>
      <c r="M15741" s="85"/>
    </row>
    <row r="15742" spans="9:13" x14ac:dyDescent="0.3">
      <c r="I15742" s="82"/>
      <c r="M15742" s="85"/>
    </row>
    <row r="15743" spans="9:13" x14ac:dyDescent="0.3">
      <c r="I15743" s="82"/>
      <c r="M15743" s="85"/>
    </row>
    <row r="15744" spans="9:13" x14ac:dyDescent="0.3">
      <c r="I15744" s="82"/>
      <c r="M15744" s="85"/>
    </row>
    <row r="15745" spans="9:13" x14ac:dyDescent="0.3">
      <c r="I15745" s="82"/>
      <c r="M15745" s="85"/>
    </row>
    <row r="15746" spans="9:13" x14ac:dyDescent="0.3">
      <c r="I15746" s="82"/>
      <c r="M15746" s="85"/>
    </row>
    <row r="15747" spans="9:13" x14ac:dyDescent="0.3">
      <c r="I15747" s="82"/>
      <c r="M15747" s="85"/>
    </row>
    <row r="15748" spans="9:13" x14ac:dyDescent="0.3">
      <c r="I15748" s="82"/>
      <c r="M15748" s="85"/>
    </row>
    <row r="15749" spans="9:13" x14ac:dyDescent="0.3">
      <c r="I15749" s="82"/>
      <c r="M15749" s="85"/>
    </row>
    <row r="15750" spans="9:13" x14ac:dyDescent="0.3">
      <c r="I15750" s="82"/>
      <c r="M15750" s="85"/>
    </row>
    <row r="15751" spans="9:13" x14ac:dyDescent="0.3">
      <c r="I15751" s="82"/>
      <c r="M15751" s="85"/>
    </row>
    <row r="15752" spans="9:13" x14ac:dyDescent="0.3">
      <c r="I15752" s="82"/>
      <c r="M15752" s="85"/>
    </row>
    <row r="15753" spans="9:13" x14ac:dyDescent="0.3">
      <c r="I15753" s="82"/>
      <c r="M15753" s="85"/>
    </row>
    <row r="15754" spans="9:13" x14ac:dyDescent="0.3">
      <c r="I15754" s="82"/>
      <c r="M15754" s="85"/>
    </row>
    <row r="15755" spans="9:13" x14ac:dyDescent="0.3">
      <c r="I15755" s="82"/>
      <c r="M15755" s="85"/>
    </row>
    <row r="15756" spans="9:13" x14ac:dyDescent="0.3">
      <c r="I15756" s="82"/>
      <c r="M15756" s="85"/>
    </row>
    <row r="15757" spans="9:13" x14ac:dyDescent="0.3">
      <c r="I15757" s="82"/>
      <c r="M15757" s="85"/>
    </row>
    <row r="15758" spans="9:13" x14ac:dyDescent="0.3">
      <c r="I15758" s="82"/>
      <c r="M15758" s="85"/>
    </row>
    <row r="15759" spans="9:13" x14ac:dyDescent="0.3">
      <c r="I15759" s="82"/>
      <c r="M15759" s="85"/>
    </row>
    <row r="15760" spans="9:13" x14ac:dyDescent="0.3">
      <c r="I15760" s="82"/>
      <c r="M15760" s="85"/>
    </row>
    <row r="15761" spans="9:13" x14ac:dyDescent="0.3">
      <c r="I15761" s="82"/>
      <c r="M15761" s="85"/>
    </row>
    <row r="15762" spans="9:13" x14ac:dyDescent="0.3">
      <c r="I15762" s="82"/>
      <c r="M15762" s="85"/>
    </row>
    <row r="15763" spans="9:13" x14ac:dyDescent="0.3">
      <c r="I15763" s="82"/>
      <c r="M15763" s="85"/>
    </row>
    <row r="15764" spans="9:13" x14ac:dyDescent="0.3">
      <c r="I15764" s="82"/>
      <c r="M15764" s="85"/>
    </row>
    <row r="15765" spans="9:13" x14ac:dyDescent="0.3">
      <c r="I15765" s="82"/>
      <c r="M15765" s="85"/>
    </row>
    <row r="15766" spans="9:13" x14ac:dyDescent="0.3">
      <c r="I15766" s="82"/>
      <c r="M15766" s="85"/>
    </row>
    <row r="15767" spans="9:13" x14ac:dyDescent="0.3">
      <c r="I15767" s="82"/>
      <c r="M15767" s="85"/>
    </row>
    <row r="15768" spans="9:13" x14ac:dyDescent="0.3">
      <c r="I15768" s="82"/>
      <c r="M15768" s="85"/>
    </row>
    <row r="15769" spans="9:13" x14ac:dyDescent="0.3">
      <c r="I15769" s="82"/>
      <c r="M15769" s="85"/>
    </row>
    <row r="15770" spans="9:13" x14ac:dyDescent="0.3">
      <c r="I15770" s="82"/>
      <c r="M15770" s="85"/>
    </row>
    <row r="15771" spans="9:13" x14ac:dyDescent="0.3">
      <c r="I15771" s="82"/>
      <c r="M15771" s="85"/>
    </row>
    <row r="15772" spans="9:13" x14ac:dyDescent="0.3">
      <c r="I15772" s="82"/>
      <c r="M15772" s="85"/>
    </row>
    <row r="15773" spans="9:13" x14ac:dyDescent="0.3">
      <c r="I15773" s="82"/>
      <c r="M15773" s="85"/>
    </row>
    <row r="15774" spans="9:13" x14ac:dyDescent="0.3">
      <c r="I15774" s="82"/>
      <c r="M15774" s="85"/>
    </row>
    <row r="15775" spans="9:13" x14ac:dyDescent="0.3">
      <c r="I15775" s="82"/>
      <c r="M15775" s="85"/>
    </row>
    <row r="15776" spans="9:13" x14ac:dyDescent="0.3">
      <c r="I15776" s="82"/>
      <c r="M15776" s="85"/>
    </row>
    <row r="15777" spans="9:13" x14ac:dyDescent="0.3">
      <c r="I15777" s="82"/>
      <c r="M15777" s="85"/>
    </row>
    <row r="15778" spans="9:13" x14ac:dyDescent="0.3">
      <c r="I15778" s="82"/>
      <c r="M15778" s="85"/>
    </row>
    <row r="15779" spans="9:13" x14ac:dyDescent="0.3">
      <c r="I15779" s="82"/>
      <c r="M15779" s="85"/>
    </row>
    <row r="15780" spans="9:13" x14ac:dyDescent="0.3">
      <c r="I15780" s="82"/>
      <c r="M15780" s="85"/>
    </row>
    <row r="15781" spans="9:13" x14ac:dyDescent="0.3">
      <c r="I15781" s="82"/>
      <c r="M15781" s="85"/>
    </row>
    <row r="15782" spans="9:13" x14ac:dyDescent="0.3">
      <c r="I15782" s="82"/>
      <c r="M15782" s="85"/>
    </row>
    <row r="15783" spans="9:13" x14ac:dyDescent="0.3">
      <c r="I15783" s="82"/>
      <c r="M15783" s="85"/>
    </row>
    <row r="15784" spans="9:13" x14ac:dyDescent="0.3">
      <c r="I15784" s="82"/>
      <c r="M15784" s="85"/>
    </row>
    <row r="15785" spans="9:13" x14ac:dyDescent="0.3">
      <c r="I15785" s="82"/>
      <c r="M15785" s="85"/>
    </row>
    <row r="15786" spans="9:13" x14ac:dyDescent="0.3">
      <c r="I15786" s="82"/>
      <c r="M15786" s="85"/>
    </row>
    <row r="15787" spans="9:13" x14ac:dyDescent="0.3">
      <c r="I15787" s="82"/>
      <c r="M15787" s="85"/>
    </row>
    <row r="15788" spans="9:13" x14ac:dyDescent="0.3">
      <c r="I15788" s="82"/>
      <c r="M15788" s="85"/>
    </row>
    <row r="15789" spans="9:13" x14ac:dyDescent="0.3">
      <c r="I15789" s="82"/>
      <c r="M15789" s="85"/>
    </row>
    <row r="15790" spans="9:13" x14ac:dyDescent="0.3">
      <c r="I15790" s="82"/>
      <c r="M15790" s="85"/>
    </row>
    <row r="15791" spans="9:13" x14ac:dyDescent="0.3">
      <c r="I15791" s="82"/>
      <c r="M15791" s="85"/>
    </row>
    <row r="15792" spans="9:13" x14ac:dyDescent="0.3">
      <c r="I15792" s="82"/>
      <c r="M15792" s="85"/>
    </row>
    <row r="15793" spans="9:13" x14ac:dyDescent="0.3">
      <c r="I15793" s="82"/>
      <c r="M15793" s="85"/>
    </row>
    <row r="15794" spans="9:13" x14ac:dyDescent="0.3">
      <c r="I15794" s="82"/>
      <c r="M15794" s="85"/>
    </row>
    <row r="15795" spans="9:13" x14ac:dyDescent="0.3">
      <c r="I15795" s="82"/>
      <c r="M15795" s="85"/>
    </row>
    <row r="15796" spans="9:13" x14ac:dyDescent="0.3">
      <c r="I15796" s="82"/>
      <c r="M15796" s="85"/>
    </row>
    <row r="15797" spans="9:13" x14ac:dyDescent="0.3">
      <c r="I15797" s="82"/>
      <c r="M15797" s="85"/>
    </row>
    <row r="15798" spans="9:13" x14ac:dyDescent="0.3">
      <c r="I15798" s="82"/>
      <c r="M15798" s="85"/>
    </row>
    <row r="15799" spans="9:13" x14ac:dyDescent="0.3">
      <c r="I15799" s="82"/>
      <c r="M15799" s="85"/>
    </row>
    <row r="15800" spans="9:13" x14ac:dyDescent="0.3">
      <c r="I15800" s="82"/>
      <c r="M15800" s="85"/>
    </row>
    <row r="15801" spans="9:13" x14ac:dyDescent="0.3">
      <c r="I15801" s="82"/>
      <c r="M15801" s="85"/>
    </row>
    <row r="15802" spans="9:13" x14ac:dyDescent="0.3">
      <c r="I15802" s="82"/>
      <c r="M15802" s="85"/>
    </row>
    <row r="15803" spans="9:13" x14ac:dyDescent="0.3">
      <c r="I15803" s="82"/>
      <c r="M15803" s="85"/>
    </row>
    <row r="15804" spans="9:13" x14ac:dyDescent="0.3">
      <c r="I15804" s="82"/>
      <c r="M15804" s="85"/>
    </row>
    <row r="15805" spans="9:13" x14ac:dyDescent="0.3">
      <c r="I15805" s="82"/>
      <c r="M15805" s="85"/>
    </row>
    <row r="15806" spans="9:13" x14ac:dyDescent="0.3">
      <c r="I15806" s="82"/>
      <c r="M15806" s="85"/>
    </row>
    <row r="15807" spans="9:13" x14ac:dyDescent="0.3">
      <c r="I15807" s="82"/>
      <c r="M15807" s="85"/>
    </row>
    <row r="15808" spans="9:13" x14ac:dyDescent="0.3">
      <c r="I15808" s="82"/>
      <c r="M15808" s="85"/>
    </row>
    <row r="15809" spans="9:13" x14ac:dyDescent="0.3">
      <c r="I15809" s="82"/>
      <c r="M15809" s="85"/>
    </row>
    <row r="15810" spans="9:13" x14ac:dyDescent="0.3">
      <c r="I15810" s="82"/>
      <c r="M15810" s="85"/>
    </row>
    <row r="15811" spans="9:13" x14ac:dyDescent="0.3">
      <c r="I15811" s="82"/>
      <c r="M15811" s="85"/>
    </row>
    <row r="15812" spans="9:13" x14ac:dyDescent="0.3">
      <c r="I15812" s="82"/>
      <c r="M15812" s="85"/>
    </row>
    <row r="15813" spans="9:13" x14ac:dyDescent="0.3">
      <c r="I15813" s="82"/>
      <c r="M15813" s="85"/>
    </row>
    <row r="15814" spans="9:13" x14ac:dyDescent="0.3">
      <c r="I15814" s="82"/>
      <c r="M15814" s="85"/>
    </row>
    <row r="15815" spans="9:13" x14ac:dyDescent="0.3">
      <c r="I15815" s="82"/>
      <c r="M15815" s="85"/>
    </row>
    <row r="15816" spans="9:13" x14ac:dyDescent="0.3">
      <c r="I15816" s="82"/>
      <c r="M15816" s="85"/>
    </row>
    <row r="15817" spans="9:13" x14ac:dyDescent="0.3">
      <c r="I15817" s="82"/>
      <c r="M15817" s="85"/>
    </row>
    <row r="15818" spans="9:13" x14ac:dyDescent="0.3">
      <c r="I15818" s="82"/>
      <c r="M15818" s="85"/>
    </row>
    <row r="15819" spans="9:13" x14ac:dyDescent="0.3">
      <c r="I15819" s="82"/>
      <c r="M15819" s="85"/>
    </row>
    <row r="15820" spans="9:13" x14ac:dyDescent="0.3">
      <c r="I15820" s="82"/>
      <c r="M15820" s="85"/>
    </row>
    <row r="15821" spans="9:13" x14ac:dyDescent="0.3">
      <c r="I15821" s="82"/>
      <c r="M15821" s="85"/>
    </row>
    <row r="15822" spans="9:13" x14ac:dyDescent="0.3">
      <c r="I15822" s="82"/>
      <c r="M15822" s="85"/>
    </row>
    <row r="15823" spans="9:13" x14ac:dyDescent="0.3">
      <c r="I15823" s="82"/>
      <c r="M15823" s="85"/>
    </row>
    <row r="15824" spans="9:13" x14ac:dyDescent="0.3">
      <c r="I15824" s="82"/>
      <c r="M15824" s="85"/>
    </row>
    <row r="15825" spans="9:13" x14ac:dyDescent="0.3">
      <c r="I15825" s="82"/>
      <c r="M15825" s="85"/>
    </row>
    <row r="15826" spans="9:13" x14ac:dyDescent="0.3">
      <c r="I15826" s="82"/>
      <c r="M15826" s="85"/>
    </row>
    <row r="15827" spans="9:13" x14ac:dyDescent="0.3">
      <c r="I15827" s="82"/>
      <c r="M15827" s="85"/>
    </row>
    <row r="15828" spans="9:13" x14ac:dyDescent="0.3">
      <c r="I15828" s="82"/>
      <c r="M15828" s="85"/>
    </row>
    <row r="15829" spans="9:13" x14ac:dyDescent="0.3">
      <c r="I15829" s="82"/>
      <c r="M15829" s="85"/>
    </row>
    <row r="15830" spans="9:13" x14ac:dyDescent="0.3">
      <c r="I15830" s="82"/>
      <c r="M15830" s="85"/>
    </row>
    <row r="15831" spans="9:13" x14ac:dyDescent="0.3">
      <c r="I15831" s="82"/>
      <c r="M15831" s="85"/>
    </row>
    <row r="15832" spans="9:13" x14ac:dyDescent="0.3">
      <c r="I15832" s="82"/>
      <c r="M15832" s="85"/>
    </row>
    <row r="15833" spans="9:13" x14ac:dyDescent="0.3">
      <c r="I15833" s="82"/>
      <c r="M15833" s="85"/>
    </row>
    <row r="15834" spans="9:13" x14ac:dyDescent="0.3">
      <c r="I15834" s="82"/>
      <c r="M15834" s="85"/>
    </row>
    <row r="15835" spans="9:13" x14ac:dyDescent="0.3">
      <c r="I15835" s="82"/>
      <c r="M15835" s="85"/>
    </row>
    <row r="15836" spans="9:13" x14ac:dyDescent="0.3">
      <c r="I15836" s="82"/>
      <c r="M15836" s="85"/>
    </row>
    <row r="15837" spans="9:13" x14ac:dyDescent="0.3">
      <c r="I15837" s="82"/>
      <c r="M15837" s="85"/>
    </row>
    <row r="15838" spans="9:13" x14ac:dyDescent="0.3">
      <c r="I15838" s="82"/>
      <c r="M15838" s="85"/>
    </row>
    <row r="15839" spans="9:13" x14ac:dyDescent="0.3">
      <c r="I15839" s="82"/>
      <c r="M15839" s="85"/>
    </row>
    <row r="15840" spans="9:13" x14ac:dyDescent="0.3">
      <c r="I15840" s="82"/>
      <c r="M15840" s="85"/>
    </row>
    <row r="15841" spans="9:13" x14ac:dyDescent="0.3">
      <c r="I15841" s="82"/>
      <c r="M15841" s="85"/>
    </row>
    <row r="15842" spans="9:13" x14ac:dyDescent="0.3">
      <c r="I15842" s="82"/>
      <c r="M15842" s="85"/>
    </row>
    <row r="15843" spans="9:13" x14ac:dyDescent="0.3">
      <c r="I15843" s="82"/>
      <c r="M15843" s="85"/>
    </row>
    <row r="15844" spans="9:13" x14ac:dyDescent="0.3">
      <c r="I15844" s="82"/>
      <c r="M15844" s="85"/>
    </row>
    <row r="15845" spans="9:13" x14ac:dyDescent="0.3">
      <c r="I15845" s="82"/>
      <c r="M15845" s="85"/>
    </row>
    <row r="15846" spans="9:13" x14ac:dyDescent="0.3">
      <c r="I15846" s="82"/>
      <c r="M15846" s="85"/>
    </row>
    <row r="15847" spans="9:13" x14ac:dyDescent="0.3">
      <c r="I15847" s="82"/>
      <c r="M15847" s="85"/>
    </row>
    <row r="15848" spans="9:13" x14ac:dyDescent="0.3">
      <c r="I15848" s="82"/>
      <c r="M15848" s="85"/>
    </row>
    <row r="15849" spans="9:13" x14ac:dyDescent="0.3">
      <c r="I15849" s="82"/>
      <c r="M15849" s="85"/>
    </row>
    <row r="15850" spans="9:13" x14ac:dyDescent="0.3">
      <c r="I15850" s="82"/>
      <c r="M15850" s="85"/>
    </row>
    <row r="15851" spans="9:13" x14ac:dyDescent="0.3">
      <c r="I15851" s="82"/>
      <c r="M15851" s="85"/>
    </row>
    <row r="15852" spans="9:13" x14ac:dyDescent="0.3">
      <c r="I15852" s="82"/>
      <c r="M15852" s="85"/>
    </row>
    <row r="15853" spans="9:13" x14ac:dyDescent="0.3">
      <c r="I15853" s="82"/>
      <c r="M15853" s="85"/>
    </row>
    <row r="15854" spans="9:13" x14ac:dyDescent="0.3">
      <c r="I15854" s="82"/>
      <c r="M15854" s="85"/>
    </row>
    <row r="15855" spans="9:13" x14ac:dyDescent="0.3">
      <c r="I15855" s="82"/>
      <c r="M15855" s="85"/>
    </row>
    <row r="15856" spans="9:13" x14ac:dyDescent="0.3">
      <c r="I15856" s="82"/>
      <c r="M15856" s="85"/>
    </row>
    <row r="15857" spans="9:13" x14ac:dyDescent="0.3">
      <c r="I15857" s="82"/>
      <c r="M15857" s="85"/>
    </row>
    <row r="15858" spans="9:13" x14ac:dyDescent="0.3">
      <c r="I15858" s="82"/>
      <c r="M15858" s="85"/>
    </row>
    <row r="15859" spans="9:13" x14ac:dyDescent="0.3">
      <c r="I15859" s="82"/>
      <c r="M15859" s="85"/>
    </row>
    <row r="15860" spans="9:13" x14ac:dyDescent="0.3">
      <c r="I15860" s="82"/>
      <c r="M15860" s="85"/>
    </row>
    <row r="15861" spans="9:13" x14ac:dyDescent="0.3">
      <c r="I15861" s="82"/>
      <c r="M15861" s="85"/>
    </row>
    <row r="15862" spans="9:13" x14ac:dyDescent="0.3">
      <c r="I15862" s="82"/>
      <c r="M15862" s="85"/>
    </row>
    <row r="15863" spans="9:13" x14ac:dyDescent="0.3">
      <c r="I15863" s="82"/>
      <c r="M15863" s="85"/>
    </row>
    <row r="15864" spans="9:13" x14ac:dyDescent="0.3">
      <c r="I15864" s="82"/>
      <c r="M15864" s="85"/>
    </row>
    <row r="15865" spans="9:13" x14ac:dyDescent="0.3">
      <c r="I15865" s="82"/>
      <c r="M15865" s="85"/>
    </row>
    <row r="15866" spans="9:13" x14ac:dyDescent="0.3">
      <c r="I15866" s="82"/>
      <c r="M15866" s="85"/>
    </row>
    <row r="15867" spans="9:13" x14ac:dyDescent="0.3">
      <c r="I15867" s="82"/>
      <c r="M15867" s="85"/>
    </row>
    <row r="15868" spans="9:13" x14ac:dyDescent="0.3">
      <c r="I15868" s="82"/>
      <c r="M15868" s="85"/>
    </row>
    <row r="15869" spans="9:13" x14ac:dyDescent="0.3">
      <c r="I15869" s="82"/>
      <c r="M15869" s="85"/>
    </row>
    <row r="15870" spans="9:13" x14ac:dyDescent="0.3">
      <c r="I15870" s="82"/>
      <c r="M15870" s="85"/>
    </row>
    <row r="15871" spans="9:13" x14ac:dyDescent="0.3">
      <c r="I15871" s="82"/>
      <c r="M15871" s="85"/>
    </row>
    <row r="15872" spans="9:13" x14ac:dyDescent="0.3">
      <c r="I15872" s="82"/>
      <c r="M15872" s="85"/>
    </row>
    <row r="15873" spans="9:13" x14ac:dyDescent="0.3">
      <c r="I15873" s="82"/>
      <c r="M15873" s="85"/>
    </row>
    <row r="15874" spans="9:13" x14ac:dyDescent="0.3">
      <c r="I15874" s="82"/>
      <c r="M15874" s="85"/>
    </row>
    <row r="15875" spans="9:13" x14ac:dyDescent="0.3">
      <c r="I15875" s="82"/>
      <c r="M15875" s="85"/>
    </row>
    <row r="15876" spans="9:13" x14ac:dyDescent="0.3">
      <c r="I15876" s="82"/>
      <c r="M15876" s="85"/>
    </row>
    <row r="15877" spans="9:13" x14ac:dyDescent="0.3">
      <c r="I15877" s="82"/>
      <c r="M15877" s="85"/>
    </row>
    <row r="15878" spans="9:13" x14ac:dyDescent="0.3">
      <c r="I15878" s="82"/>
      <c r="M15878" s="85"/>
    </row>
    <row r="15879" spans="9:13" x14ac:dyDescent="0.3">
      <c r="I15879" s="82"/>
      <c r="M15879" s="85"/>
    </row>
    <row r="15880" spans="9:13" x14ac:dyDescent="0.3">
      <c r="I15880" s="82"/>
      <c r="M15880" s="85"/>
    </row>
    <row r="15881" spans="9:13" x14ac:dyDescent="0.3">
      <c r="I15881" s="82"/>
      <c r="M15881" s="85"/>
    </row>
    <row r="15882" spans="9:13" x14ac:dyDescent="0.3">
      <c r="I15882" s="82"/>
      <c r="M15882" s="85"/>
    </row>
    <row r="15883" spans="9:13" x14ac:dyDescent="0.3">
      <c r="I15883" s="82"/>
      <c r="M15883" s="85"/>
    </row>
    <row r="15884" spans="9:13" x14ac:dyDescent="0.3">
      <c r="I15884" s="82"/>
      <c r="M15884" s="85"/>
    </row>
    <row r="15885" spans="9:13" x14ac:dyDescent="0.3">
      <c r="I15885" s="82"/>
      <c r="M15885" s="85"/>
    </row>
    <row r="15886" spans="9:13" x14ac:dyDescent="0.3">
      <c r="I15886" s="82"/>
      <c r="M15886" s="85"/>
    </row>
    <row r="15887" spans="9:13" x14ac:dyDescent="0.3">
      <c r="I15887" s="82"/>
      <c r="M15887" s="85"/>
    </row>
    <row r="15888" spans="9:13" x14ac:dyDescent="0.3">
      <c r="I15888" s="82"/>
      <c r="M15888" s="85"/>
    </row>
    <row r="15889" spans="9:13" x14ac:dyDescent="0.3">
      <c r="I15889" s="82"/>
      <c r="M15889" s="85"/>
    </row>
    <row r="15890" spans="9:13" x14ac:dyDescent="0.3">
      <c r="I15890" s="82"/>
      <c r="M15890" s="85"/>
    </row>
    <row r="15891" spans="9:13" x14ac:dyDescent="0.3">
      <c r="I15891" s="82"/>
      <c r="M15891" s="85"/>
    </row>
    <row r="15892" spans="9:13" x14ac:dyDescent="0.3">
      <c r="I15892" s="82"/>
      <c r="M15892" s="85"/>
    </row>
    <row r="15893" spans="9:13" x14ac:dyDescent="0.3">
      <c r="I15893" s="82"/>
      <c r="M15893" s="85"/>
    </row>
    <row r="15894" spans="9:13" x14ac:dyDescent="0.3">
      <c r="I15894" s="82"/>
      <c r="M15894" s="85"/>
    </row>
    <row r="15895" spans="9:13" x14ac:dyDescent="0.3">
      <c r="I15895" s="82"/>
      <c r="M15895" s="85"/>
    </row>
    <row r="15896" spans="9:13" x14ac:dyDescent="0.3">
      <c r="I15896" s="82"/>
      <c r="M15896" s="85"/>
    </row>
    <row r="15897" spans="9:13" x14ac:dyDescent="0.3">
      <c r="I15897" s="82"/>
      <c r="M15897" s="85"/>
    </row>
    <row r="15898" spans="9:13" x14ac:dyDescent="0.3">
      <c r="I15898" s="82"/>
      <c r="M15898" s="85"/>
    </row>
    <row r="15899" spans="9:13" x14ac:dyDescent="0.3">
      <c r="I15899" s="82"/>
      <c r="M15899" s="85"/>
    </row>
    <row r="15900" spans="9:13" x14ac:dyDescent="0.3">
      <c r="I15900" s="82"/>
      <c r="M15900" s="85"/>
    </row>
    <row r="15901" spans="9:13" x14ac:dyDescent="0.3">
      <c r="I15901" s="82"/>
      <c r="M15901" s="85"/>
    </row>
    <row r="15902" spans="9:13" x14ac:dyDescent="0.3">
      <c r="I15902" s="82"/>
      <c r="M15902" s="85"/>
    </row>
    <row r="15903" spans="9:13" x14ac:dyDescent="0.3">
      <c r="I15903" s="82"/>
      <c r="M15903" s="85"/>
    </row>
    <row r="15904" spans="9:13" x14ac:dyDescent="0.3">
      <c r="I15904" s="82"/>
      <c r="M15904" s="85"/>
    </row>
    <row r="15905" spans="9:13" x14ac:dyDescent="0.3">
      <c r="I15905" s="82"/>
      <c r="M15905" s="85"/>
    </row>
    <row r="15906" spans="9:13" x14ac:dyDescent="0.3">
      <c r="I15906" s="82"/>
      <c r="M15906" s="85"/>
    </row>
    <row r="15907" spans="9:13" x14ac:dyDescent="0.3">
      <c r="I15907" s="82"/>
      <c r="M15907" s="85"/>
    </row>
    <row r="15908" spans="9:13" x14ac:dyDescent="0.3">
      <c r="I15908" s="82"/>
      <c r="M15908" s="85"/>
    </row>
    <row r="15909" spans="9:13" x14ac:dyDescent="0.3">
      <c r="I15909" s="82"/>
      <c r="M15909" s="85"/>
    </row>
    <row r="15910" spans="9:13" x14ac:dyDescent="0.3">
      <c r="I15910" s="82"/>
      <c r="M15910" s="85"/>
    </row>
    <row r="15911" spans="9:13" x14ac:dyDescent="0.3">
      <c r="I15911" s="82"/>
      <c r="M15911" s="85"/>
    </row>
    <row r="15912" spans="9:13" x14ac:dyDescent="0.3">
      <c r="I15912" s="82"/>
      <c r="M15912" s="85"/>
    </row>
    <row r="15913" spans="9:13" x14ac:dyDescent="0.3">
      <c r="I15913" s="82"/>
      <c r="M15913" s="85"/>
    </row>
    <row r="15914" spans="9:13" x14ac:dyDescent="0.3">
      <c r="I15914" s="82"/>
      <c r="M15914" s="85"/>
    </row>
    <row r="15915" spans="9:13" x14ac:dyDescent="0.3">
      <c r="I15915" s="82"/>
      <c r="M15915" s="85"/>
    </row>
    <row r="15916" spans="9:13" x14ac:dyDescent="0.3">
      <c r="I15916" s="82"/>
      <c r="M15916" s="85"/>
    </row>
    <row r="15917" spans="9:13" x14ac:dyDescent="0.3">
      <c r="I15917" s="82"/>
      <c r="M15917" s="85"/>
    </row>
    <row r="15918" spans="9:13" x14ac:dyDescent="0.3">
      <c r="I15918" s="82"/>
      <c r="M15918" s="85"/>
    </row>
    <row r="15919" spans="9:13" x14ac:dyDescent="0.3">
      <c r="I15919" s="82"/>
      <c r="M15919" s="85"/>
    </row>
    <row r="15920" spans="9:13" x14ac:dyDescent="0.3">
      <c r="I15920" s="82"/>
      <c r="M15920" s="85"/>
    </row>
    <row r="15921" spans="9:13" x14ac:dyDescent="0.3">
      <c r="I15921" s="82"/>
      <c r="M15921" s="85"/>
    </row>
    <row r="15922" spans="9:13" x14ac:dyDescent="0.3">
      <c r="I15922" s="82"/>
      <c r="M15922" s="85"/>
    </row>
    <row r="15923" spans="9:13" x14ac:dyDescent="0.3">
      <c r="I15923" s="82"/>
      <c r="M15923" s="85"/>
    </row>
    <row r="15924" spans="9:13" x14ac:dyDescent="0.3">
      <c r="I15924" s="82"/>
      <c r="M15924" s="85"/>
    </row>
    <row r="15925" spans="9:13" x14ac:dyDescent="0.3">
      <c r="I15925" s="82"/>
      <c r="M15925" s="85"/>
    </row>
    <row r="15926" spans="9:13" x14ac:dyDescent="0.3">
      <c r="I15926" s="82"/>
      <c r="M15926" s="85"/>
    </row>
    <row r="15927" spans="9:13" x14ac:dyDescent="0.3">
      <c r="I15927" s="82"/>
      <c r="M15927" s="85"/>
    </row>
    <row r="15928" spans="9:13" x14ac:dyDescent="0.3">
      <c r="I15928" s="82"/>
      <c r="M15928" s="85"/>
    </row>
    <row r="15929" spans="9:13" x14ac:dyDescent="0.3">
      <c r="I15929" s="82"/>
      <c r="M15929" s="85"/>
    </row>
    <row r="15930" spans="9:13" x14ac:dyDescent="0.3">
      <c r="I15930" s="82"/>
      <c r="M15930" s="85"/>
    </row>
    <row r="15931" spans="9:13" x14ac:dyDescent="0.3">
      <c r="I15931" s="82"/>
      <c r="M15931" s="85"/>
    </row>
    <row r="15932" spans="9:13" x14ac:dyDescent="0.3">
      <c r="I15932" s="82"/>
      <c r="M15932" s="85"/>
    </row>
    <row r="15933" spans="9:13" x14ac:dyDescent="0.3">
      <c r="I15933" s="82"/>
      <c r="M15933" s="85"/>
    </row>
    <row r="15934" spans="9:13" x14ac:dyDescent="0.3">
      <c r="I15934" s="82"/>
      <c r="M15934" s="85"/>
    </row>
    <row r="15935" spans="9:13" x14ac:dyDescent="0.3">
      <c r="I15935" s="82"/>
      <c r="M15935" s="85"/>
    </row>
    <row r="15936" spans="9:13" x14ac:dyDescent="0.3">
      <c r="I15936" s="82"/>
      <c r="M15936" s="85"/>
    </row>
    <row r="15937" spans="9:13" x14ac:dyDescent="0.3">
      <c r="I15937" s="82"/>
      <c r="M15937" s="85"/>
    </row>
    <row r="15938" spans="9:13" x14ac:dyDescent="0.3">
      <c r="I15938" s="82"/>
      <c r="M15938" s="85"/>
    </row>
    <row r="15939" spans="9:13" x14ac:dyDescent="0.3">
      <c r="I15939" s="82"/>
      <c r="M15939" s="85"/>
    </row>
    <row r="15940" spans="9:13" x14ac:dyDescent="0.3">
      <c r="I15940" s="82"/>
      <c r="M15940" s="85"/>
    </row>
    <row r="15941" spans="9:13" x14ac:dyDescent="0.3">
      <c r="I15941" s="82"/>
      <c r="M15941" s="85"/>
    </row>
    <row r="15942" spans="9:13" x14ac:dyDescent="0.3">
      <c r="I15942" s="82"/>
      <c r="M15942" s="85"/>
    </row>
    <row r="15943" spans="9:13" x14ac:dyDescent="0.3">
      <c r="I15943" s="82"/>
      <c r="M15943" s="85"/>
    </row>
    <row r="15944" spans="9:13" x14ac:dyDescent="0.3">
      <c r="I15944" s="82"/>
      <c r="M15944" s="85"/>
    </row>
    <row r="15945" spans="9:13" x14ac:dyDescent="0.3">
      <c r="I15945" s="82"/>
      <c r="M15945" s="85"/>
    </row>
    <row r="15946" spans="9:13" x14ac:dyDescent="0.3">
      <c r="I15946" s="82"/>
      <c r="M15946" s="85"/>
    </row>
    <row r="15947" spans="9:13" x14ac:dyDescent="0.3">
      <c r="I15947" s="82"/>
      <c r="M15947" s="85"/>
    </row>
    <row r="15948" spans="9:13" x14ac:dyDescent="0.3">
      <c r="I15948" s="82"/>
      <c r="M15948" s="85"/>
    </row>
    <row r="15949" spans="9:13" x14ac:dyDescent="0.3">
      <c r="I15949" s="82"/>
      <c r="M15949" s="85"/>
    </row>
    <row r="15950" spans="9:13" x14ac:dyDescent="0.3">
      <c r="I15950" s="82"/>
      <c r="M15950" s="85"/>
    </row>
    <row r="15951" spans="9:13" x14ac:dyDescent="0.3">
      <c r="I15951" s="82"/>
      <c r="M15951" s="85"/>
    </row>
    <row r="15952" spans="9:13" x14ac:dyDescent="0.3">
      <c r="I15952" s="82"/>
      <c r="M15952" s="85"/>
    </row>
    <row r="15953" spans="9:13" x14ac:dyDescent="0.3">
      <c r="I15953" s="82"/>
      <c r="M15953" s="85"/>
    </row>
    <row r="15954" spans="9:13" x14ac:dyDescent="0.3">
      <c r="I15954" s="82"/>
      <c r="M15954" s="85"/>
    </row>
    <row r="15955" spans="9:13" x14ac:dyDescent="0.3">
      <c r="I15955" s="82"/>
      <c r="M15955" s="85"/>
    </row>
    <row r="15956" spans="9:13" x14ac:dyDescent="0.3">
      <c r="I15956" s="82"/>
      <c r="M15956" s="85"/>
    </row>
    <row r="15957" spans="9:13" x14ac:dyDescent="0.3">
      <c r="I15957" s="82"/>
      <c r="M15957" s="85"/>
    </row>
    <row r="15958" spans="9:13" x14ac:dyDescent="0.3">
      <c r="I15958" s="82"/>
      <c r="M15958" s="85"/>
    </row>
    <row r="15959" spans="9:13" x14ac:dyDescent="0.3">
      <c r="I15959" s="82"/>
      <c r="M15959" s="85"/>
    </row>
    <row r="15960" spans="9:13" x14ac:dyDescent="0.3">
      <c r="I15960" s="82"/>
      <c r="M15960" s="85"/>
    </row>
    <row r="15961" spans="9:13" x14ac:dyDescent="0.3">
      <c r="I15961" s="82"/>
      <c r="M15961" s="85"/>
    </row>
    <row r="15962" spans="9:13" x14ac:dyDescent="0.3">
      <c r="I15962" s="82"/>
      <c r="M15962" s="85"/>
    </row>
    <row r="15963" spans="9:13" x14ac:dyDescent="0.3">
      <c r="I15963" s="82"/>
      <c r="M15963" s="85"/>
    </row>
    <row r="15964" spans="9:13" x14ac:dyDescent="0.3">
      <c r="I15964" s="82"/>
      <c r="M15964" s="85"/>
    </row>
    <row r="15965" spans="9:13" x14ac:dyDescent="0.3">
      <c r="I15965" s="82"/>
      <c r="M15965" s="85"/>
    </row>
    <row r="15966" spans="9:13" x14ac:dyDescent="0.3">
      <c r="I15966" s="82"/>
      <c r="M15966" s="85"/>
    </row>
    <row r="15967" spans="9:13" x14ac:dyDescent="0.3">
      <c r="I15967" s="82"/>
      <c r="M15967" s="85"/>
    </row>
    <row r="15968" spans="9:13" x14ac:dyDescent="0.3">
      <c r="I15968" s="82"/>
      <c r="M15968" s="85"/>
    </row>
    <row r="15969" spans="9:13" x14ac:dyDescent="0.3">
      <c r="I15969" s="82"/>
      <c r="M15969" s="85"/>
    </row>
    <row r="15970" spans="9:13" x14ac:dyDescent="0.3">
      <c r="I15970" s="82"/>
      <c r="M15970" s="85"/>
    </row>
    <row r="15971" spans="9:13" x14ac:dyDescent="0.3">
      <c r="I15971" s="82"/>
      <c r="M15971" s="85"/>
    </row>
    <row r="15972" spans="9:13" x14ac:dyDescent="0.3">
      <c r="I15972" s="82"/>
      <c r="M15972" s="85"/>
    </row>
    <row r="15973" spans="9:13" x14ac:dyDescent="0.3">
      <c r="I15973" s="82"/>
      <c r="M15973" s="85"/>
    </row>
    <row r="15974" spans="9:13" x14ac:dyDescent="0.3">
      <c r="I15974" s="82"/>
      <c r="M15974" s="85"/>
    </row>
    <row r="15975" spans="9:13" x14ac:dyDescent="0.3">
      <c r="I15975" s="82"/>
      <c r="M15975" s="85"/>
    </row>
    <row r="15976" spans="9:13" x14ac:dyDescent="0.3">
      <c r="I15976" s="82"/>
      <c r="M15976" s="85"/>
    </row>
    <row r="15977" spans="9:13" x14ac:dyDescent="0.3">
      <c r="I15977" s="82"/>
      <c r="M15977" s="85"/>
    </row>
    <row r="15978" spans="9:13" x14ac:dyDescent="0.3">
      <c r="I15978" s="82"/>
      <c r="M15978" s="85"/>
    </row>
    <row r="15979" spans="9:13" x14ac:dyDescent="0.3">
      <c r="I15979" s="82"/>
      <c r="M15979" s="85"/>
    </row>
    <row r="15980" spans="9:13" x14ac:dyDescent="0.3">
      <c r="I15980" s="82"/>
      <c r="M15980" s="85"/>
    </row>
    <row r="15981" spans="9:13" x14ac:dyDescent="0.3">
      <c r="I15981" s="82"/>
      <c r="M15981" s="85"/>
    </row>
    <row r="15982" spans="9:13" x14ac:dyDescent="0.3">
      <c r="I15982" s="82"/>
      <c r="M15982" s="85"/>
    </row>
    <row r="15983" spans="9:13" x14ac:dyDescent="0.3">
      <c r="I15983" s="82"/>
      <c r="M15983" s="85"/>
    </row>
    <row r="15984" spans="9:13" x14ac:dyDescent="0.3">
      <c r="I15984" s="82"/>
      <c r="M15984" s="85"/>
    </row>
    <row r="15985" spans="9:13" x14ac:dyDescent="0.3">
      <c r="I15985" s="82"/>
      <c r="M15985" s="85"/>
    </row>
    <row r="15986" spans="9:13" x14ac:dyDescent="0.3">
      <c r="I15986" s="82"/>
      <c r="M15986" s="85"/>
    </row>
    <row r="15987" spans="9:13" x14ac:dyDescent="0.3">
      <c r="I15987" s="82"/>
      <c r="M15987" s="85"/>
    </row>
    <row r="15988" spans="9:13" x14ac:dyDescent="0.3">
      <c r="I15988" s="82"/>
      <c r="M15988" s="85"/>
    </row>
    <row r="15989" spans="9:13" x14ac:dyDescent="0.3">
      <c r="I15989" s="82"/>
      <c r="M15989" s="85"/>
    </row>
    <row r="15990" spans="9:13" x14ac:dyDescent="0.3">
      <c r="I15990" s="82"/>
      <c r="M15990" s="85"/>
    </row>
    <row r="15991" spans="9:13" x14ac:dyDescent="0.3">
      <c r="I15991" s="82"/>
      <c r="M15991" s="85"/>
    </row>
    <row r="15992" spans="9:13" x14ac:dyDescent="0.3">
      <c r="I15992" s="82"/>
      <c r="M15992" s="85"/>
    </row>
    <row r="15993" spans="9:13" x14ac:dyDescent="0.3">
      <c r="I15993" s="82"/>
      <c r="M15993" s="85"/>
    </row>
    <row r="15994" spans="9:13" x14ac:dyDescent="0.3">
      <c r="I15994" s="82"/>
      <c r="M15994" s="85"/>
    </row>
    <row r="15995" spans="9:13" x14ac:dyDescent="0.3">
      <c r="I15995" s="82"/>
      <c r="M15995" s="85"/>
    </row>
    <row r="15996" spans="9:13" x14ac:dyDescent="0.3">
      <c r="I15996" s="82"/>
      <c r="M15996" s="85"/>
    </row>
    <row r="15997" spans="9:13" x14ac:dyDescent="0.3">
      <c r="I15997" s="82"/>
      <c r="M15997" s="85"/>
    </row>
    <row r="15998" spans="9:13" x14ac:dyDescent="0.3">
      <c r="I15998" s="82"/>
      <c r="M15998" s="85"/>
    </row>
    <row r="15999" spans="9:13" x14ac:dyDescent="0.3">
      <c r="I15999" s="82"/>
      <c r="M15999" s="85"/>
    </row>
    <row r="16000" spans="9:13" x14ac:dyDescent="0.3">
      <c r="I16000" s="82"/>
      <c r="M16000" s="85"/>
    </row>
    <row r="16001" spans="9:13" x14ac:dyDescent="0.3">
      <c r="I16001" s="82"/>
      <c r="M16001" s="85"/>
    </row>
    <row r="16002" spans="9:13" x14ac:dyDescent="0.3">
      <c r="I16002" s="82"/>
      <c r="M16002" s="85"/>
    </row>
    <row r="16003" spans="9:13" x14ac:dyDescent="0.3">
      <c r="I16003" s="82"/>
      <c r="M16003" s="85"/>
    </row>
    <row r="16004" spans="9:13" x14ac:dyDescent="0.3">
      <c r="I16004" s="82"/>
      <c r="M16004" s="85"/>
    </row>
    <row r="16005" spans="9:13" x14ac:dyDescent="0.3">
      <c r="I16005" s="82"/>
      <c r="M16005" s="85"/>
    </row>
    <row r="16006" spans="9:13" x14ac:dyDescent="0.3">
      <c r="I16006" s="82"/>
      <c r="M16006" s="85"/>
    </row>
    <row r="16007" spans="9:13" x14ac:dyDescent="0.3">
      <c r="I16007" s="82"/>
      <c r="M16007" s="85"/>
    </row>
    <row r="16008" spans="9:13" x14ac:dyDescent="0.3">
      <c r="I16008" s="82"/>
      <c r="M16008" s="85"/>
    </row>
    <row r="16009" spans="9:13" x14ac:dyDescent="0.3">
      <c r="I16009" s="82"/>
      <c r="M16009" s="85"/>
    </row>
    <row r="16010" spans="9:13" x14ac:dyDescent="0.3">
      <c r="I16010" s="82"/>
      <c r="M16010" s="85"/>
    </row>
    <row r="16011" spans="9:13" x14ac:dyDescent="0.3">
      <c r="I16011" s="82"/>
      <c r="M16011" s="85"/>
    </row>
    <row r="16012" spans="9:13" x14ac:dyDescent="0.3">
      <c r="I16012" s="82"/>
      <c r="M16012" s="85"/>
    </row>
    <row r="16013" spans="9:13" x14ac:dyDescent="0.3">
      <c r="I16013" s="82"/>
      <c r="M16013" s="85"/>
    </row>
    <row r="16014" spans="9:13" x14ac:dyDescent="0.3">
      <c r="I16014" s="82"/>
      <c r="M16014" s="85"/>
    </row>
    <row r="16015" spans="9:13" x14ac:dyDescent="0.3">
      <c r="I16015" s="82"/>
      <c r="M16015" s="85"/>
    </row>
    <row r="16016" spans="9:13" x14ac:dyDescent="0.3">
      <c r="I16016" s="82"/>
      <c r="M16016" s="85"/>
    </row>
    <row r="16017" spans="9:13" x14ac:dyDescent="0.3">
      <c r="I16017" s="82"/>
      <c r="M16017" s="85"/>
    </row>
    <row r="16018" spans="9:13" x14ac:dyDescent="0.3">
      <c r="I16018" s="82"/>
      <c r="M16018" s="85"/>
    </row>
    <row r="16019" spans="9:13" x14ac:dyDescent="0.3">
      <c r="I16019" s="82"/>
      <c r="M16019" s="85"/>
    </row>
    <row r="16020" spans="9:13" x14ac:dyDescent="0.3">
      <c r="I16020" s="82"/>
      <c r="M16020" s="85"/>
    </row>
    <row r="16021" spans="9:13" x14ac:dyDescent="0.3">
      <c r="I16021" s="82"/>
      <c r="M16021" s="85"/>
    </row>
    <row r="16022" spans="9:13" x14ac:dyDescent="0.3">
      <c r="I16022" s="82"/>
      <c r="M16022" s="85"/>
    </row>
    <row r="16023" spans="9:13" x14ac:dyDescent="0.3">
      <c r="I16023" s="82"/>
      <c r="M16023" s="85"/>
    </row>
    <row r="16024" spans="9:13" x14ac:dyDescent="0.3">
      <c r="I16024" s="82"/>
      <c r="M16024" s="85"/>
    </row>
    <row r="16025" spans="9:13" x14ac:dyDescent="0.3">
      <c r="I16025" s="82"/>
      <c r="M16025" s="85"/>
    </row>
    <row r="16026" spans="9:13" x14ac:dyDescent="0.3">
      <c r="I16026" s="82"/>
      <c r="M16026" s="85"/>
    </row>
    <row r="16027" spans="9:13" x14ac:dyDescent="0.3">
      <c r="I16027" s="82"/>
      <c r="M16027" s="85"/>
    </row>
    <row r="16028" spans="9:13" x14ac:dyDescent="0.3">
      <c r="I16028" s="82"/>
      <c r="M16028" s="85"/>
    </row>
    <row r="16029" spans="9:13" x14ac:dyDescent="0.3">
      <c r="I16029" s="82"/>
      <c r="M16029" s="85"/>
    </row>
    <row r="16030" spans="9:13" x14ac:dyDescent="0.3">
      <c r="I16030" s="82"/>
      <c r="M16030" s="85"/>
    </row>
    <row r="16031" spans="9:13" x14ac:dyDescent="0.3">
      <c r="I16031" s="82"/>
      <c r="M16031" s="85"/>
    </row>
    <row r="16032" spans="9:13" x14ac:dyDescent="0.3">
      <c r="I16032" s="82"/>
      <c r="M16032" s="85"/>
    </row>
    <row r="16033" spans="9:13" x14ac:dyDescent="0.3">
      <c r="I16033" s="82"/>
      <c r="M16033" s="85"/>
    </row>
    <row r="16034" spans="9:13" x14ac:dyDescent="0.3">
      <c r="I16034" s="82"/>
      <c r="M16034" s="85"/>
    </row>
    <row r="16035" spans="9:13" x14ac:dyDescent="0.3">
      <c r="I16035" s="82"/>
      <c r="M16035" s="85"/>
    </row>
    <row r="16036" spans="9:13" x14ac:dyDescent="0.3">
      <c r="I16036" s="82"/>
      <c r="M16036" s="85"/>
    </row>
    <row r="16037" spans="9:13" x14ac:dyDescent="0.3">
      <c r="I16037" s="82"/>
      <c r="M16037" s="85"/>
    </row>
    <row r="16038" spans="9:13" x14ac:dyDescent="0.3">
      <c r="I16038" s="82"/>
      <c r="M16038" s="85"/>
    </row>
    <row r="16039" spans="9:13" x14ac:dyDescent="0.3">
      <c r="I16039" s="82"/>
      <c r="M16039" s="85"/>
    </row>
    <row r="16040" spans="9:13" x14ac:dyDescent="0.3">
      <c r="I16040" s="82"/>
      <c r="M16040" s="85"/>
    </row>
    <row r="16041" spans="9:13" x14ac:dyDescent="0.3">
      <c r="I16041" s="82"/>
      <c r="M16041" s="85"/>
    </row>
    <row r="16042" spans="9:13" x14ac:dyDescent="0.3">
      <c r="I16042" s="82"/>
      <c r="M16042" s="85"/>
    </row>
    <row r="16043" spans="9:13" x14ac:dyDescent="0.3">
      <c r="I16043" s="82"/>
      <c r="M16043" s="85"/>
    </row>
    <row r="16044" spans="9:13" x14ac:dyDescent="0.3">
      <c r="I16044" s="82"/>
      <c r="M16044" s="85"/>
    </row>
    <row r="16045" spans="9:13" x14ac:dyDescent="0.3">
      <c r="I16045" s="82"/>
      <c r="M16045" s="85"/>
    </row>
    <row r="16046" spans="9:13" x14ac:dyDescent="0.3">
      <c r="I16046" s="82"/>
      <c r="M16046" s="85"/>
    </row>
    <row r="16047" spans="9:13" x14ac:dyDescent="0.3">
      <c r="I16047" s="82"/>
      <c r="M16047" s="85"/>
    </row>
    <row r="16048" spans="9:13" x14ac:dyDescent="0.3">
      <c r="I16048" s="82"/>
      <c r="M16048" s="85"/>
    </row>
    <row r="16049" spans="9:13" x14ac:dyDescent="0.3">
      <c r="I16049" s="82"/>
      <c r="M16049" s="85"/>
    </row>
    <row r="16050" spans="9:13" x14ac:dyDescent="0.3">
      <c r="I16050" s="82"/>
      <c r="M16050" s="85"/>
    </row>
    <row r="16051" spans="9:13" x14ac:dyDescent="0.3">
      <c r="I16051" s="82"/>
      <c r="M16051" s="85"/>
    </row>
    <row r="16052" spans="9:13" x14ac:dyDescent="0.3">
      <c r="I16052" s="82"/>
      <c r="M16052" s="85"/>
    </row>
    <row r="16053" spans="9:13" x14ac:dyDescent="0.3">
      <c r="I16053" s="82"/>
      <c r="M16053" s="85"/>
    </row>
    <row r="16054" spans="9:13" x14ac:dyDescent="0.3">
      <c r="I16054" s="82"/>
      <c r="M16054" s="85"/>
    </row>
    <row r="16055" spans="9:13" x14ac:dyDescent="0.3">
      <c r="I16055" s="82"/>
      <c r="M16055" s="85"/>
    </row>
    <row r="16056" spans="9:13" x14ac:dyDescent="0.3">
      <c r="I16056" s="82"/>
      <c r="M16056" s="85"/>
    </row>
    <row r="16057" spans="9:13" x14ac:dyDescent="0.3">
      <c r="I16057" s="82"/>
      <c r="M16057" s="85"/>
    </row>
    <row r="16058" spans="9:13" x14ac:dyDescent="0.3">
      <c r="I16058" s="82"/>
      <c r="M16058" s="85"/>
    </row>
    <row r="16059" spans="9:13" x14ac:dyDescent="0.3">
      <c r="I16059" s="82"/>
      <c r="M16059" s="85"/>
    </row>
    <row r="16060" spans="9:13" x14ac:dyDescent="0.3">
      <c r="I16060" s="82"/>
      <c r="M16060" s="85"/>
    </row>
    <row r="16061" spans="9:13" x14ac:dyDescent="0.3">
      <c r="I16061" s="82"/>
      <c r="M16061" s="85"/>
    </row>
    <row r="16062" spans="9:13" x14ac:dyDescent="0.3">
      <c r="I16062" s="82"/>
      <c r="M16062" s="85"/>
    </row>
    <row r="16063" spans="9:13" x14ac:dyDescent="0.3">
      <c r="I16063" s="82"/>
      <c r="M16063" s="85"/>
    </row>
    <row r="16064" spans="9:13" x14ac:dyDescent="0.3">
      <c r="I16064" s="82"/>
      <c r="M16064" s="85"/>
    </row>
    <row r="16065" spans="9:13" x14ac:dyDescent="0.3">
      <c r="I16065" s="82"/>
      <c r="M16065" s="85"/>
    </row>
    <row r="16066" spans="9:13" x14ac:dyDescent="0.3">
      <c r="I16066" s="82"/>
      <c r="M16066" s="85"/>
    </row>
    <row r="16067" spans="9:13" x14ac:dyDescent="0.3">
      <c r="I16067" s="82"/>
      <c r="M16067" s="85"/>
    </row>
    <row r="16068" spans="9:13" x14ac:dyDescent="0.3">
      <c r="I16068" s="82"/>
      <c r="M16068" s="85"/>
    </row>
    <row r="16069" spans="9:13" x14ac:dyDescent="0.3">
      <c r="I16069" s="82"/>
      <c r="M16069" s="85"/>
    </row>
    <row r="16070" spans="9:13" x14ac:dyDescent="0.3">
      <c r="I16070" s="82"/>
      <c r="M16070" s="85"/>
    </row>
    <row r="16071" spans="9:13" x14ac:dyDescent="0.3">
      <c r="I16071" s="82"/>
      <c r="M16071" s="85"/>
    </row>
    <row r="16072" spans="9:13" x14ac:dyDescent="0.3">
      <c r="I16072" s="82"/>
      <c r="M16072" s="85"/>
    </row>
    <row r="16073" spans="9:13" x14ac:dyDescent="0.3">
      <c r="I16073" s="82"/>
      <c r="M16073" s="85"/>
    </row>
    <row r="16074" spans="9:13" x14ac:dyDescent="0.3">
      <c r="I16074" s="82"/>
      <c r="M16074" s="85"/>
    </row>
    <row r="16075" spans="9:13" x14ac:dyDescent="0.3">
      <c r="I16075" s="82"/>
      <c r="M16075" s="85"/>
    </row>
    <row r="16076" spans="9:13" x14ac:dyDescent="0.3">
      <c r="I16076" s="82"/>
      <c r="M16076" s="85"/>
    </row>
    <row r="16077" spans="9:13" x14ac:dyDescent="0.3">
      <c r="I16077" s="82"/>
      <c r="M16077" s="85"/>
    </row>
    <row r="16078" spans="9:13" x14ac:dyDescent="0.3">
      <c r="I16078" s="82"/>
      <c r="M16078" s="85"/>
    </row>
    <row r="16079" spans="9:13" x14ac:dyDescent="0.3">
      <c r="I16079" s="82"/>
      <c r="M16079" s="85"/>
    </row>
    <row r="16080" spans="9:13" x14ac:dyDescent="0.3">
      <c r="I16080" s="82"/>
      <c r="M16080" s="85"/>
    </row>
    <row r="16081" spans="9:13" x14ac:dyDescent="0.3">
      <c r="I16081" s="82"/>
      <c r="M16081" s="85"/>
    </row>
    <row r="16082" spans="9:13" x14ac:dyDescent="0.3">
      <c r="I16082" s="82"/>
      <c r="M16082" s="85"/>
    </row>
    <row r="16083" spans="9:13" x14ac:dyDescent="0.3">
      <c r="I16083" s="82"/>
      <c r="M16083" s="85"/>
    </row>
    <row r="16084" spans="9:13" x14ac:dyDescent="0.3">
      <c r="I16084" s="82"/>
      <c r="M16084" s="85"/>
    </row>
    <row r="16085" spans="9:13" x14ac:dyDescent="0.3">
      <c r="I16085" s="82"/>
      <c r="M16085" s="85"/>
    </row>
    <row r="16086" spans="9:13" x14ac:dyDescent="0.3">
      <c r="I16086" s="82"/>
      <c r="M16086" s="85"/>
    </row>
    <row r="16087" spans="9:13" x14ac:dyDescent="0.3">
      <c r="I16087" s="82"/>
      <c r="M16087" s="85"/>
    </row>
    <row r="16088" spans="9:13" x14ac:dyDescent="0.3">
      <c r="I16088" s="82"/>
      <c r="M16088" s="85"/>
    </row>
    <row r="16089" spans="9:13" x14ac:dyDescent="0.3">
      <c r="I16089" s="82"/>
      <c r="M16089" s="85"/>
    </row>
    <row r="16090" spans="9:13" x14ac:dyDescent="0.3">
      <c r="I16090" s="82"/>
      <c r="M16090" s="85"/>
    </row>
    <row r="16091" spans="9:13" x14ac:dyDescent="0.3">
      <c r="I16091" s="82"/>
      <c r="M16091" s="85"/>
    </row>
    <row r="16092" spans="9:13" x14ac:dyDescent="0.3">
      <c r="I16092" s="82"/>
      <c r="M16092" s="85"/>
    </row>
    <row r="16093" spans="9:13" x14ac:dyDescent="0.3">
      <c r="I16093" s="82"/>
      <c r="M16093" s="85"/>
    </row>
    <row r="16094" spans="9:13" x14ac:dyDescent="0.3">
      <c r="I16094" s="82"/>
      <c r="M16094" s="85"/>
    </row>
    <row r="16095" spans="9:13" x14ac:dyDescent="0.3">
      <c r="I16095" s="82"/>
      <c r="M16095" s="85"/>
    </row>
    <row r="16096" spans="9:13" x14ac:dyDescent="0.3">
      <c r="I16096" s="82"/>
      <c r="M16096" s="85"/>
    </row>
    <row r="16097" spans="9:13" x14ac:dyDescent="0.3">
      <c r="I16097" s="82"/>
      <c r="M16097" s="85"/>
    </row>
    <row r="16098" spans="9:13" x14ac:dyDescent="0.3">
      <c r="I16098" s="82"/>
      <c r="M16098" s="85"/>
    </row>
    <row r="16099" spans="9:13" x14ac:dyDescent="0.3">
      <c r="I16099" s="82"/>
      <c r="M16099" s="85"/>
    </row>
    <row r="16100" spans="9:13" x14ac:dyDescent="0.3">
      <c r="I16100" s="82"/>
      <c r="M16100" s="85"/>
    </row>
    <row r="16101" spans="9:13" x14ac:dyDescent="0.3">
      <c r="I16101" s="82"/>
      <c r="M16101" s="85"/>
    </row>
    <row r="16102" spans="9:13" x14ac:dyDescent="0.3">
      <c r="I16102" s="82"/>
      <c r="M16102" s="85"/>
    </row>
    <row r="16103" spans="9:13" x14ac:dyDescent="0.3">
      <c r="I16103" s="82"/>
      <c r="M16103" s="85"/>
    </row>
    <row r="16104" spans="9:13" x14ac:dyDescent="0.3">
      <c r="I16104" s="82"/>
      <c r="M16104" s="85"/>
    </row>
    <row r="16105" spans="9:13" x14ac:dyDescent="0.3">
      <c r="I16105" s="82"/>
      <c r="M16105" s="85"/>
    </row>
    <row r="16106" spans="9:13" x14ac:dyDescent="0.3">
      <c r="I16106" s="82"/>
      <c r="M16106" s="85"/>
    </row>
    <row r="16107" spans="9:13" x14ac:dyDescent="0.3">
      <c r="I16107" s="82"/>
      <c r="M16107" s="85"/>
    </row>
    <row r="16108" spans="9:13" x14ac:dyDescent="0.3">
      <c r="I16108" s="82"/>
      <c r="M16108" s="85"/>
    </row>
    <row r="16109" spans="9:13" x14ac:dyDescent="0.3">
      <c r="I16109" s="82"/>
      <c r="M16109" s="85"/>
    </row>
    <row r="16110" spans="9:13" x14ac:dyDescent="0.3">
      <c r="I16110" s="82"/>
      <c r="M16110" s="85"/>
    </row>
    <row r="16111" spans="9:13" x14ac:dyDescent="0.3">
      <c r="I16111" s="82"/>
      <c r="M16111" s="85"/>
    </row>
    <row r="16112" spans="9:13" x14ac:dyDescent="0.3">
      <c r="I16112" s="82"/>
      <c r="M16112" s="85"/>
    </row>
    <row r="16113" spans="9:13" x14ac:dyDescent="0.3">
      <c r="I16113" s="82"/>
      <c r="M16113" s="85"/>
    </row>
    <row r="16114" spans="9:13" x14ac:dyDescent="0.3">
      <c r="I16114" s="82"/>
      <c r="M16114" s="85"/>
    </row>
    <row r="16115" spans="9:13" x14ac:dyDescent="0.3">
      <c r="I16115" s="82"/>
      <c r="M16115" s="85"/>
    </row>
    <row r="16116" spans="9:13" x14ac:dyDescent="0.3">
      <c r="I16116" s="82"/>
      <c r="M16116" s="85"/>
    </row>
    <row r="16117" spans="9:13" x14ac:dyDescent="0.3">
      <c r="I16117" s="82"/>
      <c r="M16117" s="85"/>
    </row>
    <row r="16118" spans="9:13" x14ac:dyDescent="0.3">
      <c r="I16118" s="82"/>
      <c r="M16118" s="85"/>
    </row>
    <row r="16119" spans="9:13" x14ac:dyDescent="0.3">
      <c r="I16119" s="82"/>
      <c r="M16119" s="85"/>
    </row>
    <row r="16120" spans="9:13" x14ac:dyDescent="0.3">
      <c r="I16120" s="82"/>
      <c r="M16120" s="85"/>
    </row>
    <row r="16121" spans="9:13" x14ac:dyDescent="0.3">
      <c r="I16121" s="82"/>
      <c r="M16121" s="85"/>
    </row>
    <row r="16122" spans="9:13" x14ac:dyDescent="0.3">
      <c r="I16122" s="82"/>
      <c r="M16122" s="85"/>
    </row>
    <row r="16123" spans="9:13" x14ac:dyDescent="0.3">
      <c r="I16123" s="82"/>
      <c r="M16123" s="85"/>
    </row>
    <row r="16124" spans="9:13" x14ac:dyDescent="0.3">
      <c r="I16124" s="82"/>
      <c r="M16124" s="85"/>
    </row>
    <row r="16125" spans="9:13" x14ac:dyDescent="0.3">
      <c r="I16125" s="82"/>
      <c r="M16125" s="85"/>
    </row>
    <row r="16126" spans="9:13" x14ac:dyDescent="0.3">
      <c r="I16126" s="82"/>
      <c r="M16126" s="85"/>
    </row>
    <row r="16127" spans="9:13" x14ac:dyDescent="0.3">
      <c r="I16127" s="82"/>
      <c r="M16127" s="85"/>
    </row>
    <row r="16128" spans="9:13" x14ac:dyDescent="0.3">
      <c r="I16128" s="82"/>
      <c r="M16128" s="85"/>
    </row>
    <row r="16129" spans="9:13" x14ac:dyDescent="0.3">
      <c r="I16129" s="82"/>
      <c r="M16129" s="85"/>
    </row>
    <row r="16130" spans="9:13" x14ac:dyDescent="0.3">
      <c r="I16130" s="82"/>
      <c r="M16130" s="85"/>
    </row>
    <row r="16131" spans="9:13" x14ac:dyDescent="0.3">
      <c r="I16131" s="82"/>
      <c r="M16131" s="85"/>
    </row>
    <row r="16132" spans="9:13" x14ac:dyDescent="0.3">
      <c r="I16132" s="82"/>
      <c r="M16132" s="85"/>
    </row>
    <row r="16133" spans="9:13" x14ac:dyDescent="0.3">
      <c r="I16133" s="82"/>
      <c r="M16133" s="85"/>
    </row>
    <row r="16134" spans="9:13" x14ac:dyDescent="0.3">
      <c r="I16134" s="82"/>
      <c r="M16134" s="85"/>
    </row>
    <row r="16135" spans="9:13" x14ac:dyDescent="0.3">
      <c r="I16135" s="82"/>
      <c r="M16135" s="85"/>
    </row>
    <row r="16136" spans="9:13" x14ac:dyDescent="0.3">
      <c r="I16136" s="82"/>
      <c r="M16136" s="85"/>
    </row>
    <row r="16137" spans="9:13" x14ac:dyDescent="0.3">
      <c r="I16137" s="82"/>
      <c r="M16137" s="85"/>
    </row>
    <row r="16138" spans="9:13" x14ac:dyDescent="0.3">
      <c r="I16138" s="82"/>
      <c r="M16138" s="85"/>
    </row>
    <row r="16139" spans="9:13" x14ac:dyDescent="0.3">
      <c r="I16139" s="82"/>
      <c r="M16139" s="85"/>
    </row>
    <row r="16140" spans="9:13" x14ac:dyDescent="0.3">
      <c r="I16140" s="82"/>
      <c r="M16140" s="85"/>
    </row>
    <row r="16141" spans="9:13" x14ac:dyDescent="0.3">
      <c r="I16141" s="82"/>
      <c r="M16141" s="85"/>
    </row>
    <row r="16142" spans="9:13" x14ac:dyDescent="0.3">
      <c r="I16142" s="82"/>
      <c r="M16142" s="85"/>
    </row>
    <row r="16143" spans="9:13" x14ac:dyDescent="0.3">
      <c r="I16143" s="82"/>
      <c r="M16143" s="85"/>
    </row>
    <row r="16144" spans="9:13" x14ac:dyDescent="0.3">
      <c r="I16144" s="82"/>
      <c r="M16144" s="85"/>
    </row>
    <row r="16145" spans="9:13" x14ac:dyDescent="0.3">
      <c r="I16145" s="82"/>
      <c r="M16145" s="85"/>
    </row>
    <row r="16146" spans="9:13" x14ac:dyDescent="0.3">
      <c r="I16146" s="82"/>
      <c r="M16146" s="85"/>
    </row>
    <row r="16147" spans="9:13" x14ac:dyDescent="0.3">
      <c r="I16147" s="82"/>
      <c r="M16147" s="85"/>
    </row>
    <row r="16148" spans="9:13" x14ac:dyDescent="0.3">
      <c r="I16148" s="82"/>
      <c r="M16148" s="85"/>
    </row>
    <row r="16149" spans="9:13" x14ac:dyDescent="0.3">
      <c r="I16149" s="82"/>
      <c r="M16149" s="85"/>
    </row>
    <row r="16150" spans="9:13" x14ac:dyDescent="0.3">
      <c r="I16150" s="82"/>
      <c r="M16150" s="85"/>
    </row>
    <row r="16151" spans="9:13" x14ac:dyDescent="0.3">
      <c r="I16151" s="82"/>
      <c r="M16151" s="85"/>
    </row>
    <row r="16152" spans="9:13" x14ac:dyDescent="0.3">
      <c r="I16152" s="82"/>
      <c r="M16152" s="85"/>
    </row>
    <row r="16153" spans="9:13" x14ac:dyDescent="0.3">
      <c r="I16153" s="82"/>
      <c r="M16153" s="85"/>
    </row>
    <row r="16154" spans="9:13" x14ac:dyDescent="0.3">
      <c r="I16154" s="82"/>
      <c r="M16154" s="85"/>
    </row>
    <row r="16155" spans="9:13" x14ac:dyDescent="0.3">
      <c r="I16155" s="82"/>
      <c r="M16155" s="85"/>
    </row>
    <row r="16156" spans="9:13" x14ac:dyDescent="0.3">
      <c r="I16156" s="82"/>
      <c r="M16156" s="85"/>
    </row>
    <row r="16157" spans="9:13" x14ac:dyDescent="0.3">
      <c r="I16157" s="82"/>
      <c r="M16157" s="85"/>
    </row>
    <row r="16158" spans="9:13" x14ac:dyDescent="0.3">
      <c r="I16158" s="82"/>
      <c r="M16158" s="85"/>
    </row>
    <row r="16159" spans="9:13" x14ac:dyDescent="0.3">
      <c r="I16159" s="82"/>
      <c r="M16159" s="85"/>
    </row>
    <row r="16160" spans="9:13" x14ac:dyDescent="0.3">
      <c r="I16160" s="82"/>
      <c r="M16160" s="85"/>
    </row>
    <row r="16161" spans="9:13" x14ac:dyDescent="0.3">
      <c r="I16161" s="82"/>
      <c r="M16161" s="85"/>
    </row>
    <row r="16162" spans="9:13" x14ac:dyDescent="0.3">
      <c r="I16162" s="82"/>
      <c r="M16162" s="85"/>
    </row>
    <row r="16163" spans="9:13" x14ac:dyDescent="0.3">
      <c r="I16163" s="82"/>
      <c r="M16163" s="85"/>
    </row>
    <row r="16164" spans="9:13" x14ac:dyDescent="0.3">
      <c r="I16164" s="82"/>
      <c r="M16164" s="85"/>
    </row>
    <row r="16165" spans="9:13" x14ac:dyDescent="0.3">
      <c r="I16165" s="82"/>
      <c r="M16165" s="85"/>
    </row>
    <row r="16166" spans="9:13" x14ac:dyDescent="0.3">
      <c r="I16166" s="82"/>
      <c r="M16166" s="85"/>
    </row>
    <row r="16167" spans="9:13" x14ac:dyDescent="0.3">
      <c r="I16167" s="82"/>
      <c r="M16167" s="85"/>
    </row>
    <row r="16168" spans="9:13" x14ac:dyDescent="0.3">
      <c r="I16168" s="82"/>
      <c r="M16168" s="85"/>
    </row>
    <row r="16169" spans="9:13" x14ac:dyDescent="0.3">
      <c r="I16169" s="82"/>
      <c r="M16169" s="85"/>
    </row>
    <row r="16170" spans="9:13" x14ac:dyDescent="0.3">
      <c r="I16170" s="82"/>
      <c r="M16170" s="85"/>
    </row>
    <row r="16171" spans="9:13" x14ac:dyDescent="0.3">
      <c r="I16171" s="82"/>
      <c r="M16171" s="85"/>
    </row>
    <row r="16172" spans="9:13" x14ac:dyDescent="0.3">
      <c r="I16172" s="82"/>
      <c r="M16172" s="85"/>
    </row>
    <row r="16173" spans="9:13" x14ac:dyDescent="0.3">
      <c r="I16173" s="82"/>
      <c r="M16173" s="85"/>
    </row>
    <row r="16174" spans="9:13" x14ac:dyDescent="0.3">
      <c r="I16174" s="82"/>
      <c r="M16174" s="85"/>
    </row>
    <row r="16175" spans="9:13" x14ac:dyDescent="0.3">
      <c r="I16175" s="82"/>
      <c r="M16175" s="85"/>
    </row>
    <row r="16176" spans="9:13" x14ac:dyDescent="0.3">
      <c r="I16176" s="82"/>
      <c r="M16176" s="85"/>
    </row>
    <row r="16177" spans="9:13" x14ac:dyDescent="0.3">
      <c r="I16177" s="82"/>
      <c r="M16177" s="85"/>
    </row>
    <row r="16178" spans="9:13" x14ac:dyDescent="0.3">
      <c r="I16178" s="82"/>
      <c r="M16178" s="85"/>
    </row>
    <row r="16179" spans="9:13" x14ac:dyDescent="0.3">
      <c r="I16179" s="82"/>
      <c r="M16179" s="85"/>
    </row>
    <row r="16180" spans="9:13" x14ac:dyDescent="0.3">
      <c r="I16180" s="82"/>
      <c r="M16180" s="85"/>
    </row>
    <row r="16181" spans="9:13" x14ac:dyDescent="0.3">
      <c r="I16181" s="82"/>
      <c r="M16181" s="85"/>
    </row>
    <row r="16182" spans="9:13" x14ac:dyDescent="0.3">
      <c r="I16182" s="82"/>
      <c r="M16182" s="85"/>
    </row>
    <row r="16183" spans="9:13" x14ac:dyDescent="0.3">
      <c r="I16183" s="82"/>
      <c r="M16183" s="85"/>
    </row>
    <row r="16184" spans="9:13" x14ac:dyDescent="0.3">
      <c r="I16184" s="82"/>
      <c r="M16184" s="85"/>
    </row>
    <row r="16185" spans="9:13" x14ac:dyDescent="0.3">
      <c r="I16185" s="82"/>
      <c r="M16185" s="85"/>
    </row>
    <row r="16186" spans="9:13" x14ac:dyDescent="0.3">
      <c r="I16186" s="82"/>
      <c r="M16186" s="85"/>
    </row>
    <row r="16187" spans="9:13" x14ac:dyDescent="0.3">
      <c r="I16187" s="82"/>
      <c r="M16187" s="85"/>
    </row>
    <row r="16188" spans="9:13" x14ac:dyDescent="0.3">
      <c r="I16188" s="82"/>
      <c r="M16188" s="85"/>
    </row>
    <row r="16189" spans="9:13" x14ac:dyDescent="0.3">
      <c r="I16189" s="82"/>
      <c r="M16189" s="85"/>
    </row>
    <row r="16190" spans="9:13" x14ac:dyDescent="0.3">
      <c r="I16190" s="82"/>
      <c r="M16190" s="85"/>
    </row>
    <row r="16191" spans="9:13" x14ac:dyDescent="0.3">
      <c r="I16191" s="82"/>
      <c r="M16191" s="85"/>
    </row>
    <row r="16192" spans="9:13" x14ac:dyDescent="0.3">
      <c r="I16192" s="82"/>
      <c r="M16192" s="85"/>
    </row>
    <row r="16193" spans="9:13" x14ac:dyDescent="0.3">
      <c r="I16193" s="82"/>
      <c r="M16193" s="85"/>
    </row>
    <row r="16194" spans="9:13" x14ac:dyDescent="0.3">
      <c r="I16194" s="82"/>
      <c r="M16194" s="85"/>
    </row>
    <row r="16195" spans="9:13" x14ac:dyDescent="0.3">
      <c r="I16195" s="82"/>
      <c r="M16195" s="85"/>
    </row>
    <row r="16196" spans="9:13" x14ac:dyDescent="0.3">
      <c r="I16196" s="82"/>
      <c r="M16196" s="85"/>
    </row>
    <row r="16197" spans="9:13" x14ac:dyDescent="0.3">
      <c r="I16197" s="82"/>
      <c r="M16197" s="85"/>
    </row>
    <row r="16198" spans="9:13" x14ac:dyDescent="0.3">
      <c r="I16198" s="82"/>
      <c r="M16198" s="85"/>
    </row>
    <row r="16199" spans="9:13" x14ac:dyDescent="0.3">
      <c r="I16199" s="82"/>
      <c r="M16199" s="85"/>
    </row>
    <row r="16200" spans="9:13" x14ac:dyDescent="0.3">
      <c r="I16200" s="82"/>
      <c r="M16200" s="85"/>
    </row>
    <row r="16201" spans="9:13" x14ac:dyDescent="0.3">
      <c r="I16201" s="82"/>
      <c r="M16201" s="85"/>
    </row>
    <row r="16202" spans="9:13" x14ac:dyDescent="0.3">
      <c r="I16202" s="82"/>
      <c r="M16202" s="85"/>
    </row>
    <row r="16203" spans="9:13" x14ac:dyDescent="0.3">
      <c r="I16203" s="82"/>
      <c r="M16203" s="85"/>
    </row>
    <row r="16204" spans="9:13" x14ac:dyDescent="0.3">
      <c r="I16204" s="82"/>
      <c r="M16204" s="85"/>
    </row>
    <row r="16205" spans="9:13" x14ac:dyDescent="0.3">
      <c r="I16205" s="82"/>
      <c r="M16205" s="85"/>
    </row>
    <row r="16206" spans="9:13" x14ac:dyDescent="0.3">
      <c r="I16206" s="82"/>
      <c r="M16206" s="85"/>
    </row>
    <row r="16207" spans="9:13" x14ac:dyDescent="0.3">
      <c r="I16207" s="82"/>
      <c r="M16207" s="85"/>
    </row>
    <row r="16208" spans="9:13" x14ac:dyDescent="0.3">
      <c r="I16208" s="82"/>
      <c r="M16208" s="85"/>
    </row>
    <row r="16209" spans="9:13" x14ac:dyDescent="0.3">
      <c r="I16209" s="82"/>
      <c r="M16209" s="85"/>
    </row>
    <row r="16210" spans="9:13" x14ac:dyDescent="0.3">
      <c r="I16210" s="82"/>
      <c r="M16210" s="85"/>
    </row>
    <row r="16211" spans="9:13" x14ac:dyDescent="0.3">
      <c r="I16211" s="82"/>
      <c r="M16211" s="85"/>
    </row>
    <row r="16212" spans="9:13" x14ac:dyDescent="0.3">
      <c r="I16212" s="82"/>
      <c r="M16212" s="85"/>
    </row>
    <row r="16213" spans="9:13" x14ac:dyDescent="0.3">
      <c r="I16213" s="82"/>
      <c r="M16213" s="85"/>
    </row>
    <row r="16214" spans="9:13" x14ac:dyDescent="0.3">
      <c r="I16214" s="82"/>
      <c r="M16214" s="85"/>
    </row>
    <row r="16215" spans="9:13" x14ac:dyDescent="0.3">
      <c r="I16215" s="82"/>
      <c r="M16215" s="85"/>
    </row>
    <row r="16216" spans="9:13" x14ac:dyDescent="0.3">
      <c r="I16216" s="82"/>
      <c r="M16216" s="85"/>
    </row>
    <row r="16217" spans="9:13" x14ac:dyDescent="0.3">
      <c r="I16217" s="82"/>
      <c r="M16217" s="85"/>
    </row>
    <row r="16218" spans="9:13" x14ac:dyDescent="0.3">
      <c r="I16218" s="82"/>
      <c r="M16218" s="85"/>
    </row>
    <row r="16219" spans="9:13" x14ac:dyDescent="0.3">
      <c r="I16219" s="82"/>
      <c r="M16219" s="85"/>
    </row>
    <row r="16220" spans="9:13" x14ac:dyDescent="0.3">
      <c r="I16220" s="82"/>
      <c r="M16220" s="85"/>
    </row>
    <row r="16221" spans="9:13" x14ac:dyDescent="0.3">
      <c r="I16221" s="82"/>
      <c r="M16221" s="85"/>
    </row>
    <row r="16222" spans="9:13" x14ac:dyDescent="0.3">
      <c r="I16222" s="82"/>
      <c r="M16222" s="85"/>
    </row>
    <row r="16223" spans="9:13" x14ac:dyDescent="0.3">
      <c r="I16223" s="82"/>
      <c r="M16223" s="85"/>
    </row>
    <row r="16224" spans="9:13" x14ac:dyDescent="0.3">
      <c r="I16224" s="82"/>
      <c r="M16224" s="85"/>
    </row>
    <row r="16225" spans="9:13" x14ac:dyDescent="0.3">
      <c r="I16225" s="82"/>
      <c r="M16225" s="85"/>
    </row>
    <row r="16226" spans="9:13" x14ac:dyDescent="0.3">
      <c r="I16226" s="82"/>
      <c r="M16226" s="85"/>
    </row>
    <row r="16227" spans="9:13" x14ac:dyDescent="0.3">
      <c r="I16227" s="82"/>
      <c r="M16227" s="85"/>
    </row>
    <row r="16228" spans="9:13" x14ac:dyDescent="0.3">
      <c r="I16228" s="82"/>
      <c r="M16228" s="85"/>
    </row>
    <row r="16229" spans="9:13" x14ac:dyDescent="0.3">
      <c r="I16229" s="82"/>
      <c r="M16229" s="85"/>
    </row>
    <row r="16230" spans="9:13" x14ac:dyDescent="0.3">
      <c r="I16230" s="82"/>
      <c r="M16230" s="85"/>
    </row>
    <row r="16231" spans="9:13" x14ac:dyDescent="0.3">
      <c r="I16231" s="82"/>
      <c r="M16231" s="85"/>
    </row>
    <row r="16232" spans="9:13" x14ac:dyDescent="0.3">
      <c r="I16232" s="82"/>
      <c r="M16232" s="85"/>
    </row>
    <row r="16233" spans="9:13" x14ac:dyDescent="0.3">
      <c r="I16233" s="82"/>
      <c r="M16233" s="85"/>
    </row>
    <row r="16234" spans="9:13" x14ac:dyDescent="0.3">
      <c r="I16234" s="82"/>
      <c r="M16234" s="85"/>
    </row>
    <row r="16235" spans="9:13" x14ac:dyDescent="0.3">
      <c r="I16235" s="82"/>
      <c r="M16235" s="85"/>
    </row>
    <row r="16236" spans="9:13" x14ac:dyDescent="0.3">
      <c r="I16236" s="82"/>
      <c r="M16236" s="85"/>
    </row>
    <row r="16237" spans="9:13" x14ac:dyDescent="0.3">
      <c r="I16237" s="82"/>
      <c r="M16237" s="85"/>
    </row>
    <row r="16238" spans="9:13" x14ac:dyDescent="0.3">
      <c r="I16238" s="82"/>
      <c r="M16238" s="85"/>
    </row>
    <row r="16239" spans="9:13" x14ac:dyDescent="0.3">
      <c r="I16239" s="82"/>
      <c r="M16239" s="85"/>
    </row>
    <row r="16240" spans="9:13" x14ac:dyDescent="0.3">
      <c r="I16240" s="82"/>
      <c r="M16240" s="85"/>
    </row>
    <row r="16241" spans="9:13" x14ac:dyDescent="0.3">
      <c r="I16241" s="82"/>
      <c r="M16241" s="85"/>
    </row>
    <row r="16242" spans="9:13" x14ac:dyDescent="0.3">
      <c r="I16242" s="82"/>
      <c r="M16242" s="85"/>
    </row>
    <row r="16243" spans="9:13" x14ac:dyDescent="0.3">
      <c r="I16243" s="82"/>
      <c r="M16243" s="85"/>
    </row>
    <row r="16244" spans="9:13" x14ac:dyDescent="0.3">
      <c r="I16244" s="82"/>
      <c r="M16244" s="85"/>
    </row>
    <row r="16245" spans="9:13" x14ac:dyDescent="0.3">
      <c r="I16245" s="82"/>
      <c r="M16245" s="85"/>
    </row>
    <row r="16246" spans="9:13" x14ac:dyDescent="0.3">
      <c r="I16246" s="82"/>
      <c r="M16246" s="85"/>
    </row>
    <row r="16247" spans="9:13" x14ac:dyDescent="0.3">
      <c r="I16247" s="82"/>
      <c r="M16247" s="85"/>
    </row>
    <row r="16248" spans="9:13" x14ac:dyDescent="0.3">
      <c r="I16248" s="82"/>
      <c r="M16248" s="85"/>
    </row>
    <row r="16249" spans="9:13" x14ac:dyDescent="0.3">
      <c r="I16249" s="82"/>
      <c r="M16249" s="85"/>
    </row>
    <row r="16250" spans="9:13" x14ac:dyDescent="0.3">
      <c r="I16250" s="82"/>
      <c r="M16250" s="85"/>
    </row>
    <row r="16251" spans="9:13" x14ac:dyDescent="0.3">
      <c r="I16251" s="82"/>
      <c r="M16251" s="85"/>
    </row>
    <row r="16252" spans="9:13" x14ac:dyDescent="0.3">
      <c r="I16252" s="82"/>
      <c r="M16252" s="85"/>
    </row>
    <row r="16253" spans="9:13" x14ac:dyDescent="0.3">
      <c r="I16253" s="82"/>
      <c r="M16253" s="85"/>
    </row>
    <row r="16254" spans="9:13" x14ac:dyDescent="0.3">
      <c r="I16254" s="82"/>
      <c r="M16254" s="85"/>
    </row>
    <row r="16255" spans="9:13" x14ac:dyDescent="0.3">
      <c r="I16255" s="82"/>
      <c r="M16255" s="85"/>
    </row>
    <row r="16256" spans="9:13" x14ac:dyDescent="0.3">
      <c r="I16256" s="82"/>
      <c r="M16256" s="85"/>
    </row>
    <row r="16257" spans="9:13" x14ac:dyDescent="0.3">
      <c r="I16257" s="82"/>
      <c r="M16257" s="85"/>
    </row>
    <row r="16258" spans="9:13" x14ac:dyDescent="0.3">
      <c r="I16258" s="82"/>
      <c r="M16258" s="85"/>
    </row>
    <row r="16259" spans="9:13" x14ac:dyDescent="0.3">
      <c r="I16259" s="82"/>
      <c r="M16259" s="85"/>
    </row>
    <row r="16260" spans="9:13" x14ac:dyDescent="0.3">
      <c r="I16260" s="82"/>
      <c r="M16260" s="85"/>
    </row>
    <row r="16261" spans="9:13" x14ac:dyDescent="0.3">
      <c r="I16261" s="82"/>
      <c r="M16261" s="85"/>
    </row>
    <row r="16262" spans="9:13" x14ac:dyDescent="0.3">
      <c r="I16262" s="82"/>
      <c r="M16262" s="85"/>
    </row>
    <row r="16263" spans="9:13" x14ac:dyDescent="0.3">
      <c r="I16263" s="82"/>
      <c r="M16263" s="85"/>
    </row>
    <row r="16264" spans="9:13" x14ac:dyDescent="0.3">
      <c r="I16264" s="82"/>
      <c r="M16264" s="85"/>
    </row>
    <row r="16265" spans="9:13" x14ac:dyDescent="0.3">
      <c r="I16265" s="82"/>
      <c r="M16265" s="85"/>
    </row>
    <row r="16266" spans="9:13" x14ac:dyDescent="0.3">
      <c r="I16266" s="82"/>
      <c r="M16266" s="85"/>
    </row>
    <row r="16267" spans="9:13" x14ac:dyDescent="0.3">
      <c r="I16267" s="82"/>
      <c r="M16267" s="85"/>
    </row>
    <row r="16268" spans="9:13" x14ac:dyDescent="0.3">
      <c r="I16268" s="82"/>
      <c r="M16268" s="85"/>
    </row>
    <row r="16269" spans="9:13" x14ac:dyDescent="0.3">
      <c r="I16269" s="82"/>
      <c r="M16269" s="85"/>
    </row>
    <row r="16270" spans="9:13" x14ac:dyDescent="0.3">
      <c r="I16270" s="82"/>
      <c r="M16270" s="85"/>
    </row>
    <row r="16271" spans="9:13" x14ac:dyDescent="0.3">
      <c r="I16271" s="82"/>
      <c r="M16271" s="85"/>
    </row>
    <row r="16272" spans="9:13" x14ac:dyDescent="0.3">
      <c r="I16272" s="82"/>
      <c r="M16272" s="85"/>
    </row>
    <row r="16273" spans="9:13" x14ac:dyDescent="0.3">
      <c r="I16273" s="82"/>
      <c r="M16273" s="85"/>
    </row>
    <row r="16274" spans="9:13" x14ac:dyDescent="0.3">
      <c r="I16274" s="82"/>
      <c r="M16274" s="85"/>
    </row>
    <row r="16275" spans="9:13" x14ac:dyDescent="0.3">
      <c r="I16275" s="82"/>
      <c r="M16275" s="85"/>
    </row>
    <row r="16276" spans="9:13" x14ac:dyDescent="0.3">
      <c r="I16276" s="82"/>
      <c r="M16276" s="85"/>
    </row>
    <row r="16277" spans="9:13" x14ac:dyDescent="0.3">
      <c r="I16277" s="82"/>
      <c r="M16277" s="85"/>
    </row>
    <row r="16278" spans="9:13" x14ac:dyDescent="0.3">
      <c r="I16278" s="82"/>
      <c r="M16278" s="85"/>
    </row>
    <row r="16279" spans="9:13" x14ac:dyDescent="0.3">
      <c r="I16279" s="82"/>
      <c r="M16279" s="85"/>
    </row>
    <row r="16280" spans="9:13" x14ac:dyDescent="0.3">
      <c r="I16280" s="82"/>
      <c r="M16280" s="85"/>
    </row>
    <row r="16281" spans="9:13" x14ac:dyDescent="0.3">
      <c r="I16281" s="82"/>
      <c r="M16281" s="85"/>
    </row>
    <row r="16282" spans="9:13" x14ac:dyDescent="0.3">
      <c r="I16282" s="82"/>
      <c r="M16282" s="85"/>
    </row>
    <row r="16283" spans="9:13" x14ac:dyDescent="0.3">
      <c r="I16283" s="82"/>
      <c r="M16283" s="85"/>
    </row>
    <row r="16284" spans="9:13" x14ac:dyDescent="0.3">
      <c r="I16284" s="82"/>
      <c r="M16284" s="85"/>
    </row>
    <row r="16285" spans="9:13" x14ac:dyDescent="0.3">
      <c r="I16285" s="82"/>
      <c r="M16285" s="85"/>
    </row>
    <row r="16286" spans="9:13" x14ac:dyDescent="0.3">
      <c r="I16286" s="82"/>
      <c r="M16286" s="85"/>
    </row>
    <row r="16287" spans="9:13" x14ac:dyDescent="0.3">
      <c r="I16287" s="82"/>
      <c r="M16287" s="85"/>
    </row>
    <row r="16288" spans="9:13" x14ac:dyDescent="0.3">
      <c r="I16288" s="82"/>
      <c r="M16288" s="85"/>
    </row>
    <row r="16289" spans="9:13" x14ac:dyDescent="0.3">
      <c r="I16289" s="82"/>
      <c r="M16289" s="85"/>
    </row>
    <row r="16290" spans="9:13" x14ac:dyDescent="0.3">
      <c r="I16290" s="82"/>
      <c r="M16290" s="85"/>
    </row>
    <row r="16291" spans="9:13" x14ac:dyDescent="0.3">
      <c r="I16291" s="82"/>
      <c r="M16291" s="85"/>
    </row>
    <row r="16292" spans="9:13" x14ac:dyDescent="0.3">
      <c r="I16292" s="82"/>
      <c r="M16292" s="85"/>
    </row>
    <row r="16293" spans="9:13" x14ac:dyDescent="0.3">
      <c r="I16293" s="82"/>
      <c r="M16293" s="85"/>
    </row>
    <row r="16294" spans="9:13" x14ac:dyDescent="0.3">
      <c r="I16294" s="82"/>
      <c r="M16294" s="85"/>
    </row>
    <row r="16295" spans="9:13" x14ac:dyDescent="0.3">
      <c r="I16295" s="82"/>
      <c r="M16295" s="85"/>
    </row>
    <row r="16296" spans="9:13" x14ac:dyDescent="0.3">
      <c r="I16296" s="82"/>
      <c r="M16296" s="85"/>
    </row>
    <row r="16297" spans="9:13" x14ac:dyDescent="0.3">
      <c r="I16297" s="82"/>
      <c r="M16297" s="85"/>
    </row>
    <row r="16298" spans="9:13" x14ac:dyDescent="0.3">
      <c r="I16298" s="82"/>
      <c r="M16298" s="85"/>
    </row>
    <row r="16299" spans="9:13" x14ac:dyDescent="0.3">
      <c r="I16299" s="82"/>
      <c r="M16299" s="85"/>
    </row>
    <row r="16300" spans="9:13" x14ac:dyDescent="0.3">
      <c r="I16300" s="82"/>
      <c r="M16300" s="85"/>
    </row>
    <row r="16301" spans="9:13" x14ac:dyDescent="0.3">
      <c r="I16301" s="82"/>
      <c r="M16301" s="85"/>
    </row>
    <row r="16302" spans="9:13" x14ac:dyDescent="0.3">
      <c r="I16302" s="82"/>
      <c r="M16302" s="85"/>
    </row>
    <row r="16303" spans="9:13" x14ac:dyDescent="0.3">
      <c r="I16303" s="82"/>
      <c r="M16303" s="85"/>
    </row>
    <row r="16304" spans="9:13" x14ac:dyDescent="0.3">
      <c r="I16304" s="82"/>
      <c r="M16304" s="85"/>
    </row>
    <row r="16305" spans="9:13" x14ac:dyDescent="0.3">
      <c r="I16305" s="82"/>
      <c r="M16305" s="85"/>
    </row>
    <row r="16306" spans="9:13" x14ac:dyDescent="0.3">
      <c r="I16306" s="82"/>
      <c r="M16306" s="85"/>
    </row>
    <row r="16307" spans="9:13" x14ac:dyDescent="0.3">
      <c r="I16307" s="82"/>
      <c r="M16307" s="85"/>
    </row>
    <row r="16308" spans="9:13" x14ac:dyDescent="0.3">
      <c r="I16308" s="82"/>
      <c r="M16308" s="85"/>
    </row>
    <row r="16309" spans="9:13" x14ac:dyDescent="0.3">
      <c r="I16309" s="82"/>
      <c r="M16309" s="85"/>
    </row>
    <row r="16310" spans="9:13" x14ac:dyDescent="0.3">
      <c r="I16310" s="82"/>
      <c r="M16310" s="85"/>
    </row>
    <row r="16311" spans="9:13" x14ac:dyDescent="0.3">
      <c r="I16311" s="82"/>
      <c r="M16311" s="85"/>
    </row>
    <row r="16312" spans="9:13" x14ac:dyDescent="0.3">
      <c r="I16312" s="82"/>
      <c r="M16312" s="85"/>
    </row>
    <row r="16313" spans="9:13" x14ac:dyDescent="0.3">
      <c r="I16313" s="82"/>
      <c r="M16313" s="85"/>
    </row>
    <row r="16314" spans="9:13" x14ac:dyDescent="0.3">
      <c r="I16314" s="82"/>
      <c r="M16314" s="85"/>
    </row>
    <row r="16315" spans="9:13" x14ac:dyDescent="0.3">
      <c r="I16315" s="82"/>
      <c r="M16315" s="85"/>
    </row>
    <row r="16316" spans="9:13" x14ac:dyDescent="0.3">
      <c r="I16316" s="82"/>
      <c r="M16316" s="85"/>
    </row>
    <row r="16317" spans="9:13" x14ac:dyDescent="0.3">
      <c r="I16317" s="82"/>
      <c r="M16317" s="85"/>
    </row>
    <row r="16318" spans="9:13" x14ac:dyDescent="0.3">
      <c r="I16318" s="82"/>
      <c r="M16318" s="85"/>
    </row>
    <row r="16319" spans="9:13" x14ac:dyDescent="0.3">
      <c r="I16319" s="82"/>
      <c r="M16319" s="85"/>
    </row>
    <row r="16320" spans="9:13" x14ac:dyDescent="0.3">
      <c r="I16320" s="82"/>
      <c r="M16320" s="85"/>
    </row>
    <row r="16321" spans="9:13" x14ac:dyDescent="0.3">
      <c r="I16321" s="82"/>
      <c r="M16321" s="85"/>
    </row>
    <row r="16322" spans="9:13" x14ac:dyDescent="0.3">
      <c r="I16322" s="82"/>
      <c r="M16322" s="85"/>
    </row>
    <row r="16323" spans="9:13" x14ac:dyDescent="0.3">
      <c r="I16323" s="82"/>
      <c r="M16323" s="85"/>
    </row>
    <row r="16324" spans="9:13" x14ac:dyDescent="0.3">
      <c r="I16324" s="82"/>
      <c r="M16324" s="85"/>
    </row>
    <row r="16325" spans="9:13" x14ac:dyDescent="0.3">
      <c r="I16325" s="82"/>
      <c r="M16325" s="85"/>
    </row>
    <row r="16326" spans="9:13" x14ac:dyDescent="0.3">
      <c r="I16326" s="82"/>
      <c r="M16326" s="85"/>
    </row>
    <row r="16327" spans="9:13" x14ac:dyDescent="0.3">
      <c r="I16327" s="82"/>
      <c r="M16327" s="85"/>
    </row>
    <row r="16328" spans="9:13" x14ac:dyDescent="0.3">
      <c r="I16328" s="82"/>
      <c r="M16328" s="85"/>
    </row>
    <row r="16329" spans="9:13" x14ac:dyDescent="0.3">
      <c r="I16329" s="82"/>
      <c r="M16329" s="85"/>
    </row>
    <row r="16330" spans="9:13" x14ac:dyDescent="0.3">
      <c r="I16330" s="82"/>
      <c r="M16330" s="85"/>
    </row>
    <row r="16331" spans="9:13" x14ac:dyDescent="0.3">
      <c r="I16331" s="82"/>
      <c r="M16331" s="85"/>
    </row>
    <row r="16332" spans="9:13" x14ac:dyDescent="0.3">
      <c r="I16332" s="82"/>
      <c r="M16332" s="85"/>
    </row>
    <row r="16333" spans="9:13" x14ac:dyDescent="0.3">
      <c r="I16333" s="82"/>
      <c r="M16333" s="85"/>
    </row>
    <row r="16334" spans="9:13" x14ac:dyDescent="0.3">
      <c r="I16334" s="82"/>
      <c r="M16334" s="85"/>
    </row>
    <row r="16335" spans="9:13" x14ac:dyDescent="0.3">
      <c r="I16335" s="82"/>
      <c r="M16335" s="85"/>
    </row>
    <row r="16336" spans="9:13" x14ac:dyDescent="0.3">
      <c r="I16336" s="82"/>
      <c r="M16336" s="85"/>
    </row>
    <row r="16337" spans="9:13" x14ac:dyDescent="0.3">
      <c r="I16337" s="82"/>
      <c r="M16337" s="85"/>
    </row>
    <row r="16338" spans="9:13" x14ac:dyDescent="0.3">
      <c r="I16338" s="82"/>
      <c r="M16338" s="85"/>
    </row>
    <row r="16339" spans="9:13" x14ac:dyDescent="0.3">
      <c r="I16339" s="82"/>
      <c r="M16339" s="85"/>
    </row>
    <row r="16340" spans="9:13" x14ac:dyDescent="0.3">
      <c r="I16340" s="82"/>
      <c r="M16340" s="85"/>
    </row>
    <row r="16341" spans="9:13" x14ac:dyDescent="0.3">
      <c r="I16341" s="82"/>
      <c r="M16341" s="85"/>
    </row>
    <row r="16342" spans="9:13" x14ac:dyDescent="0.3">
      <c r="I16342" s="82"/>
      <c r="M16342" s="85"/>
    </row>
    <row r="16343" spans="9:13" x14ac:dyDescent="0.3">
      <c r="I16343" s="82"/>
      <c r="M16343" s="85"/>
    </row>
    <row r="16344" spans="9:13" x14ac:dyDescent="0.3">
      <c r="I16344" s="82"/>
      <c r="M16344" s="85"/>
    </row>
    <row r="16345" spans="9:13" x14ac:dyDescent="0.3">
      <c r="I16345" s="82"/>
      <c r="M16345" s="85"/>
    </row>
    <row r="16346" spans="9:13" x14ac:dyDescent="0.3">
      <c r="I16346" s="82"/>
      <c r="M16346" s="85"/>
    </row>
    <row r="16347" spans="9:13" x14ac:dyDescent="0.3">
      <c r="I16347" s="82"/>
      <c r="M16347" s="85"/>
    </row>
    <row r="16348" spans="9:13" x14ac:dyDescent="0.3">
      <c r="I16348" s="82"/>
      <c r="M16348" s="85"/>
    </row>
    <row r="16349" spans="9:13" x14ac:dyDescent="0.3">
      <c r="I16349" s="82"/>
      <c r="M16349" s="85"/>
    </row>
    <row r="16350" spans="9:13" x14ac:dyDescent="0.3">
      <c r="I16350" s="82"/>
      <c r="M16350" s="85"/>
    </row>
    <row r="16351" spans="9:13" x14ac:dyDescent="0.3">
      <c r="I16351" s="82"/>
      <c r="M16351" s="85"/>
    </row>
    <row r="16352" spans="9:13" x14ac:dyDescent="0.3">
      <c r="I16352" s="82"/>
      <c r="M16352" s="85"/>
    </row>
    <row r="16353" spans="9:13" x14ac:dyDescent="0.3">
      <c r="I16353" s="82"/>
      <c r="M16353" s="85"/>
    </row>
    <row r="16354" spans="9:13" x14ac:dyDescent="0.3">
      <c r="I16354" s="82"/>
      <c r="M16354" s="85"/>
    </row>
    <row r="16355" spans="9:13" x14ac:dyDescent="0.3">
      <c r="I16355" s="82"/>
      <c r="M16355" s="85"/>
    </row>
    <row r="16356" spans="9:13" x14ac:dyDescent="0.3">
      <c r="I16356" s="82"/>
      <c r="M16356" s="85"/>
    </row>
    <row r="16357" spans="9:13" x14ac:dyDescent="0.3">
      <c r="I16357" s="82"/>
      <c r="M16357" s="85"/>
    </row>
    <row r="16358" spans="9:13" x14ac:dyDescent="0.3">
      <c r="I16358" s="82"/>
      <c r="M16358" s="85"/>
    </row>
    <row r="16359" spans="9:13" x14ac:dyDescent="0.3">
      <c r="I16359" s="82"/>
      <c r="M16359" s="85"/>
    </row>
    <row r="16360" spans="9:13" x14ac:dyDescent="0.3">
      <c r="I16360" s="82"/>
      <c r="M16360" s="85"/>
    </row>
    <row r="16361" spans="9:13" x14ac:dyDescent="0.3">
      <c r="I16361" s="82"/>
      <c r="M16361" s="85"/>
    </row>
    <row r="16362" spans="9:13" x14ac:dyDescent="0.3">
      <c r="I16362" s="82"/>
      <c r="M16362" s="85"/>
    </row>
    <row r="16363" spans="9:13" x14ac:dyDescent="0.3">
      <c r="I16363" s="82"/>
      <c r="M16363" s="85"/>
    </row>
    <row r="16364" spans="9:13" x14ac:dyDescent="0.3">
      <c r="I16364" s="82"/>
      <c r="M16364" s="85"/>
    </row>
    <row r="16365" spans="9:13" x14ac:dyDescent="0.3">
      <c r="I16365" s="82"/>
      <c r="M16365" s="85"/>
    </row>
    <row r="16366" spans="9:13" x14ac:dyDescent="0.3">
      <c r="I16366" s="82"/>
      <c r="M16366" s="85"/>
    </row>
    <row r="16367" spans="9:13" x14ac:dyDescent="0.3">
      <c r="I16367" s="82"/>
      <c r="M16367" s="85"/>
    </row>
    <row r="16368" spans="9:13" x14ac:dyDescent="0.3">
      <c r="I16368" s="82"/>
      <c r="M16368" s="85"/>
    </row>
    <row r="16369" spans="9:13" x14ac:dyDescent="0.3">
      <c r="I16369" s="82"/>
      <c r="M16369" s="85"/>
    </row>
    <row r="16370" spans="9:13" x14ac:dyDescent="0.3">
      <c r="I16370" s="82"/>
      <c r="M16370" s="85"/>
    </row>
    <row r="16371" spans="9:13" x14ac:dyDescent="0.3">
      <c r="I16371" s="82"/>
      <c r="M16371" s="85"/>
    </row>
    <row r="16372" spans="9:13" x14ac:dyDescent="0.3">
      <c r="I16372" s="82"/>
      <c r="M16372" s="85"/>
    </row>
    <row r="16373" spans="9:13" x14ac:dyDescent="0.3">
      <c r="I16373" s="82"/>
      <c r="M16373" s="85"/>
    </row>
    <row r="16374" spans="9:13" x14ac:dyDescent="0.3">
      <c r="I16374" s="82"/>
      <c r="M16374" s="85"/>
    </row>
    <row r="16375" spans="9:13" x14ac:dyDescent="0.3">
      <c r="I16375" s="82"/>
      <c r="M16375" s="85"/>
    </row>
    <row r="16376" spans="9:13" x14ac:dyDescent="0.3">
      <c r="I16376" s="82"/>
      <c r="M16376" s="85"/>
    </row>
    <row r="16377" spans="9:13" x14ac:dyDescent="0.3">
      <c r="I16377" s="82"/>
      <c r="M16377" s="85"/>
    </row>
    <row r="16378" spans="9:13" x14ac:dyDescent="0.3">
      <c r="I16378" s="82"/>
      <c r="M16378" s="85"/>
    </row>
    <row r="16379" spans="9:13" x14ac:dyDescent="0.3">
      <c r="I16379" s="82"/>
      <c r="M16379" s="85"/>
    </row>
    <row r="16380" spans="9:13" x14ac:dyDescent="0.3">
      <c r="I16380" s="82"/>
      <c r="M16380" s="85"/>
    </row>
    <row r="16381" spans="9:13" x14ac:dyDescent="0.3">
      <c r="I16381" s="82"/>
      <c r="M16381" s="85"/>
    </row>
    <row r="16382" spans="9:13" x14ac:dyDescent="0.3">
      <c r="I16382" s="82"/>
      <c r="M16382" s="85"/>
    </row>
    <row r="16383" spans="9:13" x14ac:dyDescent="0.3">
      <c r="I16383" s="82"/>
      <c r="M16383" s="85"/>
    </row>
    <row r="16384" spans="9:13" x14ac:dyDescent="0.3">
      <c r="I16384" s="82"/>
      <c r="M16384" s="85"/>
    </row>
    <row r="16385" spans="9:13" x14ac:dyDescent="0.3">
      <c r="I16385" s="82"/>
      <c r="M16385" s="85"/>
    </row>
    <row r="16386" spans="9:13" x14ac:dyDescent="0.3">
      <c r="I16386" s="82"/>
      <c r="M16386" s="85"/>
    </row>
    <row r="16387" spans="9:13" x14ac:dyDescent="0.3">
      <c r="I16387" s="82"/>
      <c r="M16387" s="85"/>
    </row>
    <row r="16388" spans="9:13" x14ac:dyDescent="0.3">
      <c r="I16388" s="82"/>
      <c r="M16388" s="85"/>
    </row>
    <row r="16389" spans="9:13" x14ac:dyDescent="0.3">
      <c r="I16389" s="82"/>
      <c r="M16389" s="85"/>
    </row>
    <row r="16390" spans="9:13" x14ac:dyDescent="0.3">
      <c r="I16390" s="82"/>
      <c r="M16390" s="85"/>
    </row>
    <row r="16391" spans="9:13" x14ac:dyDescent="0.3">
      <c r="I16391" s="82"/>
      <c r="M16391" s="85"/>
    </row>
    <row r="16392" spans="9:13" x14ac:dyDescent="0.3">
      <c r="I16392" s="82"/>
      <c r="M16392" s="85"/>
    </row>
    <row r="16393" spans="9:13" x14ac:dyDescent="0.3">
      <c r="I16393" s="82"/>
      <c r="M16393" s="85"/>
    </row>
    <row r="16394" spans="9:13" x14ac:dyDescent="0.3">
      <c r="I16394" s="82"/>
      <c r="M16394" s="85"/>
    </row>
    <row r="16395" spans="9:13" x14ac:dyDescent="0.3">
      <c r="I16395" s="82"/>
      <c r="M16395" s="85"/>
    </row>
    <row r="16396" spans="9:13" x14ac:dyDescent="0.3">
      <c r="I16396" s="82"/>
      <c r="M16396" s="85"/>
    </row>
    <row r="16397" spans="9:13" x14ac:dyDescent="0.3">
      <c r="I16397" s="82"/>
      <c r="M16397" s="85"/>
    </row>
    <row r="16398" spans="9:13" x14ac:dyDescent="0.3">
      <c r="I16398" s="82"/>
      <c r="M16398" s="85"/>
    </row>
    <row r="16399" spans="9:13" x14ac:dyDescent="0.3">
      <c r="I16399" s="82"/>
      <c r="M16399" s="85"/>
    </row>
    <row r="16400" spans="9:13" x14ac:dyDescent="0.3">
      <c r="I16400" s="82"/>
      <c r="M16400" s="85"/>
    </row>
    <row r="16401" spans="9:13" x14ac:dyDescent="0.3">
      <c r="I16401" s="82"/>
      <c r="M16401" s="85"/>
    </row>
    <row r="16402" spans="9:13" x14ac:dyDescent="0.3">
      <c r="I16402" s="82"/>
      <c r="M16402" s="85"/>
    </row>
    <row r="16403" spans="9:13" x14ac:dyDescent="0.3">
      <c r="I16403" s="82"/>
      <c r="M16403" s="85"/>
    </row>
    <row r="16404" spans="9:13" x14ac:dyDescent="0.3">
      <c r="I16404" s="82"/>
      <c r="M16404" s="85"/>
    </row>
    <row r="16405" spans="9:13" x14ac:dyDescent="0.3">
      <c r="I16405" s="82"/>
      <c r="M16405" s="85"/>
    </row>
    <row r="16406" spans="9:13" x14ac:dyDescent="0.3">
      <c r="I16406" s="82"/>
      <c r="M16406" s="85"/>
    </row>
    <row r="16407" spans="9:13" x14ac:dyDescent="0.3">
      <c r="I16407" s="82"/>
      <c r="M16407" s="85"/>
    </row>
    <row r="16408" spans="9:13" x14ac:dyDescent="0.3">
      <c r="I16408" s="82"/>
      <c r="M16408" s="85"/>
    </row>
    <row r="16409" spans="9:13" x14ac:dyDescent="0.3">
      <c r="I16409" s="82"/>
      <c r="M16409" s="85"/>
    </row>
    <row r="16410" spans="9:13" x14ac:dyDescent="0.3">
      <c r="I16410" s="82"/>
      <c r="M16410" s="85"/>
    </row>
    <row r="16411" spans="9:13" x14ac:dyDescent="0.3">
      <c r="I16411" s="82"/>
      <c r="M16411" s="85"/>
    </row>
    <row r="16412" spans="9:13" x14ac:dyDescent="0.3">
      <c r="I16412" s="82"/>
      <c r="M16412" s="85"/>
    </row>
    <row r="16413" spans="9:13" x14ac:dyDescent="0.3">
      <c r="I16413" s="82"/>
      <c r="M16413" s="85"/>
    </row>
    <row r="16414" spans="9:13" x14ac:dyDescent="0.3">
      <c r="I16414" s="82"/>
      <c r="M16414" s="85"/>
    </row>
    <row r="16415" spans="9:13" x14ac:dyDescent="0.3">
      <c r="I16415" s="82"/>
      <c r="M16415" s="85"/>
    </row>
    <row r="16416" spans="9:13" x14ac:dyDescent="0.3">
      <c r="I16416" s="82"/>
      <c r="M16416" s="85"/>
    </row>
    <row r="16417" spans="9:13" x14ac:dyDescent="0.3">
      <c r="I16417" s="82"/>
      <c r="M16417" s="85"/>
    </row>
    <row r="16418" spans="9:13" x14ac:dyDescent="0.3">
      <c r="I16418" s="82"/>
      <c r="M16418" s="85"/>
    </row>
    <row r="16419" spans="9:13" x14ac:dyDescent="0.3">
      <c r="I16419" s="82"/>
      <c r="M16419" s="85"/>
    </row>
    <row r="16420" spans="9:13" x14ac:dyDescent="0.3">
      <c r="I16420" s="82"/>
      <c r="M16420" s="85"/>
    </row>
    <row r="16421" spans="9:13" x14ac:dyDescent="0.3">
      <c r="I16421" s="82"/>
      <c r="M16421" s="85"/>
    </row>
    <row r="16422" spans="9:13" x14ac:dyDescent="0.3">
      <c r="I16422" s="82"/>
      <c r="M16422" s="85"/>
    </row>
    <row r="16423" spans="9:13" x14ac:dyDescent="0.3">
      <c r="I16423" s="82"/>
      <c r="M16423" s="85"/>
    </row>
    <row r="16424" spans="9:13" x14ac:dyDescent="0.3">
      <c r="I16424" s="82"/>
      <c r="M16424" s="85"/>
    </row>
    <row r="16425" spans="9:13" x14ac:dyDescent="0.3">
      <c r="I16425" s="82"/>
      <c r="M16425" s="85"/>
    </row>
    <row r="16426" spans="9:13" x14ac:dyDescent="0.3">
      <c r="I16426" s="82"/>
      <c r="M16426" s="85"/>
    </row>
    <row r="16427" spans="9:13" x14ac:dyDescent="0.3">
      <c r="I16427" s="82"/>
      <c r="M16427" s="85"/>
    </row>
    <row r="16428" spans="9:13" x14ac:dyDescent="0.3">
      <c r="I16428" s="82"/>
      <c r="M16428" s="85"/>
    </row>
    <row r="16429" spans="9:13" x14ac:dyDescent="0.3">
      <c r="I16429" s="82"/>
      <c r="M16429" s="85"/>
    </row>
    <row r="16430" spans="9:13" x14ac:dyDescent="0.3">
      <c r="I16430" s="82"/>
      <c r="M16430" s="85"/>
    </row>
    <row r="16431" spans="9:13" x14ac:dyDescent="0.3">
      <c r="I16431" s="82"/>
      <c r="M16431" s="85"/>
    </row>
    <row r="16432" spans="9:13" x14ac:dyDescent="0.3">
      <c r="I16432" s="82"/>
      <c r="M16432" s="85"/>
    </row>
    <row r="16433" spans="9:13" x14ac:dyDescent="0.3">
      <c r="I16433" s="82"/>
      <c r="M16433" s="85"/>
    </row>
    <row r="16434" spans="9:13" x14ac:dyDescent="0.3">
      <c r="I16434" s="82"/>
      <c r="M16434" s="85"/>
    </row>
    <row r="16435" spans="9:13" x14ac:dyDescent="0.3">
      <c r="I16435" s="82"/>
      <c r="M16435" s="85"/>
    </row>
    <row r="16436" spans="9:13" x14ac:dyDescent="0.3">
      <c r="I16436" s="82"/>
      <c r="M16436" s="85"/>
    </row>
    <row r="16437" spans="9:13" x14ac:dyDescent="0.3">
      <c r="I16437" s="82"/>
      <c r="M16437" s="85"/>
    </row>
    <row r="16438" spans="9:13" x14ac:dyDescent="0.3">
      <c r="I16438" s="82"/>
      <c r="M16438" s="85"/>
    </row>
    <row r="16439" spans="9:13" x14ac:dyDescent="0.3">
      <c r="I16439" s="82"/>
      <c r="M16439" s="85"/>
    </row>
    <row r="16440" spans="9:13" x14ac:dyDescent="0.3">
      <c r="I16440" s="82"/>
      <c r="M16440" s="85"/>
    </row>
    <row r="16441" spans="9:13" x14ac:dyDescent="0.3">
      <c r="I16441" s="82"/>
      <c r="M16441" s="85"/>
    </row>
    <row r="16442" spans="9:13" x14ac:dyDescent="0.3">
      <c r="I16442" s="82"/>
      <c r="M16442" s="85"/>
    </row>
    <row r="16443" spans="9:13" x14ac:dyDescent="0.3">
      <c r="I16443" s="82"/>
      <c r="M16443" s="85"/>
    </row>
    <row r="16444" spans="9:13" x14ac:dyDescent="0.3">
      <c r="I16444" s="82"/>
      <c r="M16444" s="85"/>
    </row>
    <row r="16445" spans="9:13" x14ac:dyDescent="0.3">
      <c r="I16445" s="82"/>
      <c r="M16445" s="85"/>
    </row>
    <row r="16446" spans="9:13" x14ac:dyDescent="0.3">
      <c r="I16446" s="82"/>
      <c r="M16446" s="85"/>
    </row>
    <row r="16447" spans="9:13" x14ac:dyDescent="0.3">
      <c r="I16447" s="82"/>
      <c r="M16447" s="85"/>
    </row>
    <row r="16448" spans="9:13" x14ac:dyDescent="0.3">
      <c r="I16448" s="82"/>
      <c r="M16448" s="85"/>
    </row>
    <row r="16449" spans="9:13" x14ac:dyDescent="0.3">
      <c r="I16449" s="82"/>
      <c r="M16449" s="85"/>
    </row>
    <row r="16450" spans="9:13" x14ac:dyDescent="0.3">
      <c r="I16450" s="82"/>
      <c r="M16450" s="85"/>
    </row>
    <row r="16451" spans="9:13" x14ac:dyDescent="0.3">
      <c r="I16451" s="82"/>
      <c r="M16451" s="85"/>
    </row>
    <row r="16452" spans="9:13" x14ac:dyDescent="0.3">
      <c r="I16452" s="82"/>
      <c r="M16452" s="85"/>
    </row>
    <row r="16453" spans="9:13" x14ac:dyDescent="0.3">
      <c r="I16453" s="82"/>
      <c r="M16453" s="85"/>
    </row>
    <row r="16454" spans="9:13" x14ac:dyDescent="0.3">
      <c r="I16454" s="82"/>
      <c r="M16454" s="85"/>
    </row>
    <row r="16455" spans="9:13" x14ac:dyDescent="0.3">
      <c r="I16455" s="82"/>
      <c r="M16455" s="85"/>
    </row>
    <row r="16456" spans="9:13" x14ac:dyDescent="0.3">
      <c r="I16456" s="82"/>
      <c r="M16456" s="85"/>
    </row>
    <row r="16457" spans="9:13" x14ac:dyDescent="0.3">
      <c r="I16457" s="82"/>
      <c r="M16457" s="85"/>
    </row>
    <row r="16458" spans="9:13" x14ac:dyDescent="0.3">
      <c r="I16458" s="82"/>
      <c r="M16458" s="85"/>
    </row>
    <row r="16459" spans="9:13" x14ac:dyDescent="0.3">
      <c r="I16459" s="82"/>
      <c r="M16459" s="85"/>
    </row>
    <row r="16460" spans="9:13" x14ac:dyDescent="0.3">
      <c r="I16460" s="82"/>
      <c r="M16460" s="85"/>
    </row>
    <row r="16461" spans="9:13" x14ac:dyDescent="0.3">
      <c r="I16461" s="82"/>
      <c r="M16461" s="85"/>
    </row>
    <row r="16462" spans="9:13" x14ac:dyDescent="0.3">
      <c r="I16462" s="82"/>
      <c r="M16462" s="85"/>
    </row>
    <row r="16463" spans="9:13" x14ac:dyDescent="0.3">
      <c r="I16463" s="82"/>
      <c r="M16463" s="85"/>
    </row>
    <row r="16464" spans="9:13" x14ac:dyDescent="0.3">
      <c r="I16464" s="82"/>
      <c r="M16464" s="85"/>
    </row>
    <row r="16465" spans="9:13" x14ac:dyDescent="0.3">
      <c r="I16465" s="82"/>
      <c r="M16465" s="85"/>
    </row>
    <row r="16466" spans="9:13" x14ac:dyDescent="0.3">
      <c r="I16466" s="82"/>
      <c r="M16466" s="85"/>
    </row>
    <row r="16467" spans="9:13" x14ac:dyDescent="0.3">
      <c r="I16467" s="82"/>
      <c r="M16467" s="85"/>
    </row>
    <row r="16468" spans="9:13" x14ac:dyDescent="0.3">
      <c r="I16468" s="82"/>
      <c r="M16468" s="85"/>
    </row>
    <row r="16469" spans="9:13" x14ac:dyDescent="0.3">
      <c r="I16469" s="82"/>
      <c r="M16469" s="85"/>
    </row>
    <row r="16470" spans="9:13" x14ac:dyDescent="0.3">
      <c r="I16470" s="82"/>
      <c r="M16470" s="85"/>
    </row>
    <row r="16471" spans="9:13" x14ac:dyDescent="0.3">
      <c r="I16471" s="82"/>
      <c r="M16471" s="85"/>
    </row>
    <row r="16472" spans="9:13" x14ac:dyDescent="0.3">
      <c r="I16472" s="82"/>
      <c r="M16472" s="85"/>
    </row>
    <row r="16473" spans="9:13" x14ac:dyDescent="0.3">
      <c r="I16473" s="82"/>
      <c r="M16473" s="85"/>
    </row>
    <row r="16474" spans="9:13" x14ac:dyDescent="0.3">
      <c r="I16474" s="82"/>
      <c r="M16474" s="85"/>
    </row>
    <row r="16475" spans="9:13" x14ac:dyDescent="0.3">
      <c r="I16475" s="82"/>
      <c r="M16475" s="85"/>
    </row>
    <row r="16476" spans="9:13" x14ac:dyDescent="0.3">
      <c r="I16476" s="82"/>
      <c r="M16476" s="85"/>
    </row>
    <row r="16477" spans="9:13" x14ac:dyDescent="0.3">
      <c r="I16477" s="82"/>
      <c r="M16477" s="85"/>
    </row>
    <row r="16478" spans="9:13" x14ac:dyDescent="0.3">
      <c r="I16478" s="82"/>
      <c r="M16478" s="85"/>
    </row>
    <row r="16479" spans="9:13" x14ac:dyDescent="0.3">
      <c r="I16479" s="82"/>
      <c r="M16479" s="85"/>
    </row>
    <row r="16480" spans="9:13" x14ac:dyDescent="0.3">
      <c r="I16480" s="82"/>
      <c r="M16480" s="85"/>
    </row>
    <row r="16481" spans="9:13" x14ac:dyDescent="0.3">
      <c r="I16481" s="82"/>
      <c r="M16481" s="85"/>
    </row>
    <row r="16482" spans="9:13" x14ac:dyDescent="0.3">
      <c r="I16482" s="82"/>
      <c r="M16482" s="85"/>
    </row>
    <row r="16483" spans="9:13" x14ac:dyDescent="0.3">
      <c r="I16483" s="82"/>
      <c r="M16483" s="85"/>
    </row>
    <row r="16484" spans="9:13" x14ac:dyDescent="0.3">
      <c r="I16484" s="82"/>
      <c r="M16484" s="85"/>
    </row>
    <row r="16485" spans="9:13" x14ac:dyDescent="0.3">
      <c r="I16485" s="82"/>
      <c r="M16485" s="85"/>
    </row>
    <row r="16486" spans="9:13" x14ac:dyDescent="0.3">
      <c r="I16486" s="82"/>
      <c r="M16486" s="85"/>
    </row>
    <row r="16487" spans="9:13" x14ac:dyDescent="0.3">
      <c r="I16487" s="82"/>
      <c r="M16487" s="85"/>
    </row>
    <row r="16488" spans="9:13" x14ac:dyDescent="0.3">
      <c r="I16488" s="82"/>
      <c r="M16488" s="85"/>
    </row>
    <row r="16489" spans="9:13" x14ac:dyDescent="0.3">
      <c r="I16489" s="82"/>
      <c r="M16489" s="85"/>
    </row>
    <row r="16490" spans="9:13" x14ac:dyDescent="0.3">
      <c r="I16490" s="82"/>
      <c r="M16490" s="85"/>
    </row>
    <row r="16491" spans="9:13" x14ac:dyDescent="0.3">
      <c r="I16491" s="82"/>
      <c r="M16491" s="85"/>
    </row>
    <row r="16492" spans="9:13" x14ac:dyDescent="0.3">
      <c r="I16492" s="82"/>
      <c r="M16492" s="85"/>
    </row>
    <row r="16493" spans="9:13" x14ac:dyDescent="0.3">
      <c r="I16493" s="82"/>
      <c r="M16493" s="85"/>
    </row>
    <row r="16494" spans="9:13" x14ac:dyDescent="0.3">
      <c r="I16494" s="82"/>
      <c r="M16494" s="85"/>
    </row>
    <row r="16495" spans="9:13" x14ac:dyDescent="0.3">
      <c r="I16495" s="82"/>
      <c r="M16495" s="85"/>
    </row>
    <row r="16496" spans="9:13" x14ac:dyDescent="0.3">
      <c r="I16496" s="82"/>
      <c r="M16496" s="85"/>
    </row>
    <row r="16497" spans="9:13" x14ac:dyDescent="0.3">
      <c r="I16497" s="82"/>
      <c r="M16497" s="85"/>
    </row>
    <row r="16498" spans="9:13" x14ac:dyDescent="0.3">
      <c r="I16498" s="82"/>
      <c r="M16498" s="85"/>
    </row>
    <row r="16499" spans="9:13" x14ac:dyDescent="0.3">
      <c r="I16499" s="82"/>
      <c r="M16499" s="85"/>
    </row>
    <row r="16500" spans="9:13" x14ac:dyDescent="0.3">
      <c r="I16500" s="82"/>
      <c r="M16500" s="85"/>
    </row>
    <row r="16501" spans="9:13" x14ac:dyDescent="0.3">
      <c r="I16501" s="82"/>
      <c r="M16501" s="85"/>
    </row>
    <row r="16502" spans="9:13" x14ac:dyDescent="0.3">
      <c r="I16502" s="82"/>
      <c r="M16502" s="85"/>
    </row>
    <row r="16503" spans="9:13" x14ac:dyDescent="0.3">
      <c r="I16503" s="82"/>
      <c r="M16503" s="85"/>
    </row>
    <row r="16504" spans="9:13" x14ac:dyDescent="0.3">
      <c r="I16504" s="82"/>
      <c r="M16504" s="85"/>
    </row>
    <row r="16505" spans="9:13" x14ac:dyDescent="0.3">
      <c r="I16505" s="82"/>
      <c r="M16505" s="85"/>
    </row>
    <row r="16506" spans="9:13" x14ac:dyDescent="0.3">
      <c r="I16506" s="82"/>
      <c r="M16506" s="85"/>
    </row>
    <row r="16507" spans="9:13" x14ac:dyDescent="0.3">
      <c r="I16507" s="82"/>
      <c r="M16507" s="85"/>
    </row>
    <row r="16508" spans="9:13" x14ac:dyDescent="0.3">
      <c r="I16508" s="82"/>
      <c r="M16508" s="85"/>
    </row>
    <row r="16509" spans="9:13" x14ac:dyDescent="0.3">
      <c r="I16509" s="82"/>
      <c r="M16509" s="85"/>
    </row>
    <row r="16510" spans="9:13" x14ac:dyDescent="0.3">
      <c r="I16510" s="82"/>
      <c r="M16510" s="85"/>
    </row>
    <row r="16511" spans="9:13" x14ac:dyDescent="0.3">
      <c r="I16511" s="82"/>
      <c r="M16511" s="85"/>
    </row>
    <row r="16512" spans="9:13" x14ac:dyDescent="0.3">
      <c r="I16512" s="82"/>
      <c r="M16512" s="85"/>
    </row>
    <row r="16513" spans="9:13" x14ac:dyDescent="0.3">
      <c r="I16513" s="82"/>
      <c r="M16513" s="85"/>
    </row>
    <row r="16514" spans="9:13" x14ac:dyDescent="0.3">
      <c r="I16514" s="82"/>
      <c r="M16514" s="85"/>
    </row>
    <row r="16515" spans="9:13" x14ac:dyDescent="0.3">
      <c r="I16515" s="82"/>
      <c r="M16515" s="85"/>
    </row>
    <row r="16516" spans="9:13" x14ac:dyDescent="0.3">
      <c r="I16516" s="82"/>
      <c r="M16516" s="85"/>
    </row>
    <row r="16517" spans="9:13" x14ac:dyDescent="0.3">
      <c r="I16517" s="82"/>
      <c r="M16517" s="85"/>
    </row>
    <row r="16518" spans="9:13" x14ac:dyDescent="0.3">
      <c r="I16518" s="82"/>
      <c r="M16518" s="85"/>
    </row>
    <row r="16519" spans="9:13" x14ac:dyDescent="0.3">
      <c r="I16519" s="82"/>
      <c r="M16519" s="85"/>
    </row>
    <row r="16520" spans="9:13" x14ac:dyDescent="0.3">
      <c r="I16520" s="82"/>
      <c r="M16520" s="85"/>
    </row>
    <row r="16521" spans="9:13" x14ac:dyDescent="0.3">
      <c r="I16521" s="82"/>
      <c r="M16521" s="85"/>
    </row>
    <row r="16522" spans="9:13" x14ac:dyDescent="0.3">
      <c r="I16522" s="82"/>
      <c r="M16522" s="85"/>
    </row>
    <row r="16523" spans="9:13" x14ac:dyDescent="0.3">
      <c r="I16523" s="82"/>
      <c r="M16523" s="85"/>
    </row>
    <row r="16524" spans="9:13" x14ac:dyDescent="0.3">
      <c r="I16524" s="82"/>
      <c r="M16524" s="85"/>
    </row>
    <row r="16525" spans="9:13" x14ac:dyDescent="0.3">
      <c r="I16525" s="82"/>
      <c r="M16525" s="85"/>
    </row>
    <row r="16526" spans="9:13" x14ac:dyDescent="0.3">
      <c r="I16526" s="82"/>
      <c r="M16526" s="85"/>
    </row>
    <row r="16527" spans="9:13" x14ac:dyDescent="0.3">
      <c r="I16527" s="82"/>
      <c r="M16527" s="85"/>
    </row>
    <row r="16528" spans="9:13" x14ac:dyDescent="0.3">
      <c r="I16528" s="82"/>
      <c r="M16528" s="85"/>
    </row>
    <row r="16529" spans="9:13" x14ac:dyDescent="0.3">
      <c r="I16529" s="82"/>
      <c r="M16529" s="85"/>
    </row>
    <row r="16530" spans="9:13" x14ac:dyDescent="0.3">
      <c r="I16530" s="82"/>
      <c r="M16530" s="85"/>
    </row>
    <row r="16531" spans="9:13" x14ac:dyDescent="0.3">
      <c r="I16531" s="82"/>
      <c r="M16531" s="85"/>
    </row>
    <row r="16532" spans="9:13" x14ac:dyDescent="0.3">
      <c r="I16532" s="82"/>
      <c r="M16532" s="85"/>
    </row>
    <row r="16533" spans="9:13" x14ac:dyDescent="0.3">
      <c r="I16533" s="82"/>
      <c r="M16533" s="85"/>
    </row>
    <row r="16534" spans="9:13" x14ac:dyDescent="0.3">
      <c r="I16534" s="82"/>
      <c r="M16534" s="85"/>
    </row>
    <row r="16535" spans="9:13" x14ac:dyDescent="0.3">
      <c r="I16535" s="82"/>
      <c r="M16535" s="85"/>
    </row>
    <row r="16536" spans="9:13" x14ac:dyDescent="0.3">
      <c r="I16536" s="82"/>
      <c r="M16536" s="85"/>
    </row>
    <row r="16537" spans="9:13" x14ac:dyDescent="0.3">
      <c r="I16537" s="82"/>
      <c r="M16537" s="85"/>
    </row>
    <row r="16538" spans="9:13" x14ac:dyDescent="0.3">
      <c r="I16538" s="82"/>
      <c r="M16538" s="85"/>
    </row>
    <row r="16539" spans="9:13" x14ac:dyDescent="0.3">
      <c r="I16539" s="82"/>
      <c r="M16539" s="85"/>
    </row>
    <row r="16540" spans="9:13" x14ac:dyDescent="0.3">
      <c r="I16540" s="82"/>
      <c r="M16540" s="85"/>
    </row>
    <row r="16541" spans="9:13" x14ac:dyDescent="0.3">
      <c r="I16541" s="82"/>
      <c r="M16541" s="85"/>
    </row>
    <row r="16542" spans="9:13" x14ac:dyDescent="0.3">
      <c r="I16542" s="82"/>
      <c r="M16542" s="85"/>
    </row>
    <row r="16543" spans="9:13" x14ac:dyDescent="0.3">
      <c r="I16543" s="82"/>
      <c r="M16543" s="85"/>
    </row>
    <row r="16544" spans="9:13" x14ac:dyDescent="0.3">
      <c r="I16544" s="82"/>
      <c r="M16544" s="85"/>
    </row>
    <row r="16545" spans="9:13" x14ac:dyDescent="0.3">
      <c r="I16545" s="82"/>
      <c r="M16545" s="85"/>
    </row>
    <row r="16546" spans="9:13" x14ac:dyDescent="0.3">
      <c r="I16546" s="82"/>
      <c r="M16546" s="85"/>
    </row>
    <row r="16547" spans="9:13" x14ac:dyDescent="0.3">
      <c r="I16547" s="82"/>
      <c r="M16547" s="85"/>
    </row>
    <row r="16548" spans="9:13" x14ac:dyDescent="0.3">
      <c r="I16548" s="82"/>
      <c r="M16548" s="85"/>
    </row>
    <row r="16549" spans="9:13" x14ac:dyDescent="0.3">
      <c r="I16549" s="82"/>
      <c r="M16549" s="85"/>
    </row>
    <row r="16550" spans="9:13" x14ac:dyDescent="0.3">
      <c r="I16550" s="82"/>
      <c r="M16550" s="85"/>
    </row>
    <row r="16551" spans="9:13" x14ac:dyDescent="0.3">
      <c r="I16551" s="82"/>
      <c r="M16551" s="85"/>
    </row>
    <row r="16552" spans="9:13" x14ac:dyDescent="0.3">
      <c r="I16552" s="82"/>
      <c r="M16552" s="85"/>
    </row>
    <row r="16553" spans="9:13" x14ac:dyDescent="0.3">
      <c r="I16553" s="82"/>
      <c r="M16553" s="85"/>
    </row>
    <row r="16554" spans="9:13" x14ac:dyDescent="0.3">
      <c r="I16554" s="82"/>
      <c r="M16554" s="85"/>
    </row>
    <row r="16555" spans="9:13" x14ac:dyDescent="0.3">
      <c r="I16555" s="82"/>
      <c r="M16555" s="85"/>
    </row>
    <row r="16556" spans="9:13" x14ac:dyDescent="0.3">
      <c r="I16556" s="82"/>
      <c r="M16556" s="85"/>
    </row>
    <row r="16557" spans="9:13" x14ac:dyDescent="0.3">
      <c r="I16557" s="82"/>
      <c r="M16557" s="85"/>
    </row>
    <row r="16558" spans="9:13" x14ac:dyDescent="0.3">
      <c r="I16558" s="82"/>
      <c r="M16558" s="85"/>
    </row>
    <row r="16559" spans="9:13" x14ac:dyDescent="0.3">
      <c r="I16559" s="82"/>
      <c r="M16559" s="85"/>
    </row>
    <row r="16560" spans="9:13" x14ac:dyDescent="0.3">
      <c r="I16560" s="82"/>
      <c r="M16560" s="85"/>
    </row>
    <row r="16561" spans="9:13" x14ac:dyDescent="0.3">
      <c r="I16561" s="82"/>
      <c r="M16561" s="85"/>
    </row>
    <row r="16562" spans="9:13" x14ac:dyDescent="0.3">
      <c r="I16562" s="82"/>
      <c r="M16562" s="85"/>
    </row>
    <row r="16563" spans="9:13" x14ac:dyDescent="0.3">
      <c r="I16563" s="82"/>
      <c r="M16563" s="85"/>
    </row>
    <row r="16564" spans="9:13" x14ac:dyDescent="0.3">
      <c r="I16564" s="82"/>
      <c r="M16564" s="85"/>
    </row>
    <row r="16565" spans="9:13" x14ac:dyDescent="0.3">
      <c r="I16565" s="82"/>
      <c r="M16565" s="85"/>
    </row>
    <row r="16566" spans="9:13" x14ac:dyDescent="0.3">
      <c r="I16566" s="82"/>
      <c r="M16566" s="85"/>
    </row>
    <row r="16567" spans="9:13" x14ac:dyDescent="0.3">
      <c r="I16567" s="82"/>
      <c r="M16567" s="85"/>
    </row>
    <row r="16568" spans="9:13" x14ac:dyDescent="0.3">
      <c r="I16568" s="82"/>
      <c r="M16568" s="85"/>
    </row>
    <row r="16569" spans="9:13" x14ac:dyDescent="0.3">
      <c r="I16569" s="82"/>
      <c r="M16569" s="85"/>
    </row>
    <row r="16570" spans="9:13" x14ac:dyDescent="0.3">
      <c r="I16570" s="82"/>
      <c r="M16570" s="85"/>
    </row>
    <row r="16571" spans="9:13" x14ac:dyDescent="0.3">
      <c r="I16571" s="82"/>
      <c r="M16571" s="85"/>
    </row>
    <row r="16572" spans="9:13" x14ac:dyDescent="0.3">
      <c r="I16572" s="82"/>
      <c r="M16572" s="85"/>
    </row>
    <row r="16573" spans="9:13" x14ac:dyDescent="0.3">
      <c r="I16573" s="82"/>
      <c r="M16573" s="85"/>
    </row>
    <row r="16574" spans="9:13" x14ac:dyDescent="0.3">
      <c r="I16574" s="82"/>
      <c r="M16574" s="85"/>
    </row>
    <row r="16575" spans="9:13" x14ac:dyDescent="0.3">
      <c r="I16575" s="82"/>
      <c r="M16575" s="85"/>
    </row>
    <row r="16576" spans="9:13" x14ac:dyDescent="0.3">
      <c r="I16576" s="82"/>
      <c r="M16576" s="85"/>
    </row>
    <row r="16577" spans="9:13" x14ac:dyDescent="0.3">
      <c r="I16577" s="82"/>
      <c r="M16577" s="85"/>
    </row>
    <row r="16578" spans="9:13" x14ac:dyDescent="0.3">
      <c r="I16578" s="82"/>
      <c r="M16578" s="85"/>
    </row>
    <row r="16579" spans="9:13" x14ac:dyDescent="0.3">
      <c r="I16579" s="82"/>
      <c r="M16579" s="85"/>
    </row>
    <row r="16580" spans="9:13" x14ac:dyDescent="0.3">
      <c r="I16580" s="82"/>
      <c r="M16580" s="85"/>
    </row>
    <row r="16581" spans="9:13" x14ac:dyDescent="0.3">
      <c r="I16581" s="82"/>
      <c r="M16581" s="85"/>
    </row>
    <row r="16582" spans="9:13" x14ac:dyDescent="0.3">
      <c r="I16582" s="82"/>
      <c r="M16582" s="85"/>
    </row>
    <row r="16583" spans="9:13" x14ac:dyDescent="0.3">
      <c r="I16583" s="82"/>
      <c r="M16583" s="85"/>
    </row>
    <row r="16584" spans="9:13" x14ac:dyDescent="0.3">
      <c r="I16584" s="82"/>
      <c r="M16584" s="85"/>
    </row>
    <row r="16585" spans="9:13" x14ac:dyDescent="0.3">
      <c r="I16585" s="82"/>
      <c r="M16585" s="85"/>
    </row>
    <row r="16586" spans="9:13" x14ac:dyDescent="0.3">
      <c r="I16586" s="82"/>
      <c r="M16586" s="85"/>
    </row>
    <row r="16587" spans="9:13" x14ac:dyDescent="0.3">
      <c r="I16587" s="82"/>
      <c r="M16587" s="85"/>
    </row>
    <row r="16588" spans="9:13" x14ac:dyDescent="0.3">
      <c r="I16588" s="82"/>
      <c r="M16588" s="85"/>
    </row>
    <row r="16589" spans="9:13" x14ac:dyDescent="0.3">
      <c r="I16589" s="82"/>
      <c r="M16589" s="85"/>
    </row>
    <row r="16590" spans="9:13" x14ac:dyDescent="0.3">
      <c r="I16590" s="82"/>
      <c r="M16590" s="85"/>
    </row>
    <row r="16591" spans="9:13" x14ac:dyDescent="0.3">
      <c r="I16591" s="82"/>
      <c r="M16591" s="85"/>
    </row>
    <row r="16592" spans="9:13" x14ac:dyDescent="0.3">
      <c r="I16592" s="82"/>
      <c r="M16592" s="85"/>
    </row>
    <row r="16593" spans="9:13" x14ac:dyDescent="0.3">
      <c r="I16593" s="82"/>
      <c r="M16593" s="85"/>
    </row>
    <row r="16594" spans="9:13" x14ac:dyDescent="0.3">
      <c r="I16594" s="82"/>
      <c r="M16594" s="85"/>
    </row>
    <row r="16595" spans="9:13" x14ac:dyDescent="0.3">
      <c r="I16595" s="82"/>
      <c r="M16595" s="85"/>
    </row>
    <row r="16596" spans="9:13" x14ac:dyDescent="0.3">
      <c r="I16596" s="82"/>
      <c r="M16596" s="85"/>
    </row>
    <row r="16597" spans="9:13" x14ac:dyDescent="0.3">
      <c r="I16597" s="82"/>
      <c r="M16597" s="85"/>
    </row>
    <row r="16598" spans="9:13" x14ac:dyDescent="0.3">
      <c r="I16598" s="82"/>
      <c r="M16598" s="85"/>
    </row>
    <row r="16599" spans="9:13" x14ac:dyDescent="0.3">
      <c r="I16599" s="82"/>
      <c r="M16599" s="85"/>
    </row>
    <row r="16600" spans="9:13" x14ac:dyDescent="0.3">
      <c r="I16600" s="82"/>
      <c r="M16600" s="85"/>
    </row>
    <row r="16601" spans="9:13" x14ac:dyDescent="0.3">
      <c r="I16601" s="82"/>
      <c r="M16601" s="85"/>
    </row>
    <row r="16602" spans="9:13" x14ac:dyDescent="0.3">
      <c r="I16602" s="82"/>
      <c r="M16602" s="85"/>
    </row>
    <row r="16603" spans="9:13" x14ac:dyDescent="0.3">
      <c r="I16603" s="82"/>
      <c r="M16603" s="85"/>
    </row>
    <row r="16604" spans="9:13" x14ac:dyDescent="0.3">
      <c r="I16604" s="82"/>
      <c r="M16604" s="85"/>
    </row>
    <row r="16605" spans="9:13" x14ac:dyDescent="0.3">
      <c r="I16605" s="82"/>
      <c r="M16605" s="85"/>
    </row>
    <row r="16606" spans="9:13" x14ac:dyDescent="0.3">
      <c r="I16606" s="82"/>
      <c r="M16606" s="85"/>
    </row>
    <row r="16607" spans="9:13" x14ac:dyDescent="0.3">
      <c r="I16607" s="82"/>
      <c r="M16607" s="85"/>
    </row>
    <row r="16608" spans="9:13" x14ac:dyDescent="0.3">
      <c r="I16608" s="82"/>
      <c r="M16608" s="85"/>
    </row>
    <row r="16609" spans="9:13" x14ac:dyDescent="0.3">
      <c r="I16609" s="82"/>
      <c r="M16609" s="85"/>
    </row>
    <row r="16610" spans="9:13" x14ac:dyDescent="0.3">
      <c r="I16610" s="82"/>
      <c r="M16610" s="85"/>
    </row>
    <row r="16611" spans="9:13" x14ac:dyDescent="0.3">
      <c r="I16611" s="82"/>
      <c r="M16611" s="85"/>
    </row>
    <row r="16612" spans="9:13" x14ac:dyDescent="0.3">
      <c r="I16612" s="82"/>
      <c r="M16612" s="85"/>
    </row>
    <row r="16613" spans="9:13" x14ac:dyDescent="0.3">
      <c r="I16613" s="82"/>
      <c r="M16613" s="85"/>
    </row>
    <row r="16614" spans="9:13" x14ac:dyDescent="0.3">
      <c r="I16614" s="82"/>
      <c r="M16614" s="85"/>
    </row>
    <row r="16615" spans="9:13" x14ac:dyDescent="0.3">
      <c r="I16615" s="82"/>
      <c r="M16615" s="85"/>
    </row>
    <row r="16616" spans="9:13" x14ac:dyDescent="0.3">
      <c r="I16616" s="82"/>
      <c r="M16616" s="85"/>
    </row>
    <row r="16617" spans="9:13" x14ac:dyDescent="0.3">
      <c r="I16617" s="82"/>
      <c r="M16617" s="85"/>
    </row>
    <row r="16618" spans="9:13" x14ac:dyDescent="0.3">
      <c r="I16618" s="82"/>
      <c r="M16618" s="85"/>
    </row>
    <row r="16619" spans="9:13" x14ac:dyDescent="0.3">
      <c r="I16619" s="82"/>
      <c r="M16619" s="85"/>
    </row>
    <row r="16620" spans="9:13" x14ac:dyDescent="0.3">
      <c r="I16620" s="82"/>
      <c r="M16620" s="85"/>
    </row>
    <row r="16621" spans="9:13" x14ac:dyDescent="0.3">
      <c r="I16621" s="82"/>
      <c r="M16621" s="85"/>
    </row>
    <row r="16622" spans="9:13" x14ac:dyDescent="0.3">
      <c r="I16622" s="82"/>
      <c r="M16622" s="85"/>
    </row>
    <row r="16623" spans="9:13" x14ac:dyDescent="0.3">
      <c r="I16623" s="82"/>
      <c r="M16623" s="85"/>
    </row>
    <row r="16624" spans="9:13" x14ac:dyDescent="0.3">
      <c r="I16624" s="82"/>
      <c r="M16624" s="85"/>
    </row>
    <row r="16625" spans="9:13" x14ac:dyDescent="0.3">
      <c r="I16625" s="82"/>
      <c r="M16625" s="85"/>
    </row>
    <row r="16626" spans="9:13" x14ac:dyDescent="0.3">
      <c r="I16626" s="82"/>
      <c r="M16626" s="85"/>
    </row>
    <row r="16627" spans="9:13" x14ac:dyDescent="0.3">
      <c r="I16627" s="82"/>
      <c r="M16627" s="85"/>
    </row>
    <row r="16628" spans="9:13" x14ac:dyDescent="0.3">
      <c r="I16628" s="82"/>
      <c r="M16628" s="85"/>
    </row>
    <row r="16629" spans="9:13" x14ac:dyDescent="0.3">
      <c r="I16629" s="82"/>
      <c r="M16629" s="85"/>
    </row>
    <row r="16630" spans="9:13" x14ac:dyDescent="0.3">
      <c r="I16630" s="82"/>
      <c r="M16630" s="85"/>
    </row>
    <row r="16631" spans="9:13" x14ac:dyDescent="0.3">
      <c r="I16631" s="82"/>
      <c r="M16631" s="85"/>
    </row>
    <row r="16632" spans="9:13" x14ac:dyDescent="0.3">
      <c r="I16632" s="82"/>
      <c r="M16632" s="85"/>
    </row>
    <row r="16633" spans="9:13" x14ac:dyDescent="0.3">
      <c r="I16633" s="82"/>
      <c r="M16633" s="85"/>
    </row>
    <row r="16634" spans="9:13" x14ac:dyDescent="0.3">
      <c r="I16634" s="82"/>
      <c r="M16634" s="85"/>
    </row>
    <row r="16635" spans="9:13" x14ac:dyDescent="0.3">
      <c r="I16635" s="82"/>
      <c r="M16635" s="85"/>
    </row>
    <row r="16636" spans="9:13" x14ac:dyDescent="0.3">
      <c r="I16636" s="82"/>
      <c r="M16636" s="85"/>
    </row>
    <row r="16637" spans="9:13" x14ac:dyDescent="0.3">
      <c r="I16637" s="82"/>
      <c r="M16637" s="85"/>
    </row>
    <row r="16638" spans="9:13" x14ac:dyDescent="0.3">
      <c r="I16638" s="82"/>
      <c r="M16638" s="85"/>
    </row>
    <row r="16639" spans="9:13" x14ac:dyDescent="0.3">
      <c r="I16639" s="82"/>
      <c r="M16639" s="85"/>
    </row>
    <row r="16640" spans="9:13" x14ac:dyDescent="0.3">
      <c r="I16640" s="82"/>
      <c r="M16640" s="85"/>
    </row>
    <row r="16641" spans="9:13" x14ac:dyDescent="0.3">
      <c r="I16641" s="82"/>
      <c r="M16641" s="85"/>
    </row>
    <row r="16642" spans="9:13" x14ac:dyDescent="0.3">
      <c r="I16642" s="82"/>
      <c r="M16642" s="85"/>
    </row>
    <row r="16643" spans="9:13" x14ac:dyDescent="0.3">
      <c r="I16643" s="82"/>
      <c r="M16643" s="85"/>
    </row>
    <row r="16644" spans="9:13" x14ac:dyDescent="0.3">
      <c r="I16644" s="82"/>
      <c r="M16644" s="85"/>
    </row>
    <row r="16645" spans="9:13" x14ac:dyDescent="0.3">
      <c r="I16645" s="82"/>
      <c r="M16645" s="85"/>
    </row>
    <row r="16646" spans="9:13" x14ac:dyDescent="0.3">
      <c r="I16646" s="82"/>
      <c r="M16646" s="85"/>
    </row>
    <row r="16647" spans="9:13" x14ac:dyDescent="0.3">
      <c r="I16647" s="82"/>
      <c r="M16647" s="85"/>
    </row>
    <row r="16648" spans="9:13" x14ac:dyDescent="0.3">
      <c r="I16648" s="82"/>
      <c r="M16648" s="85"/>
    </row>
    <row r="16649" spans="9:13" x14ac:dyDescent="0.3">
      <c r="I16649" s="82"/>
      <c r="M16649" s="85"/>
    </row>
    <row r="16650" spans="9:13" x14ac:dyDescent="0.3">
      <c r="I16650" s="82"/>
      <c r="M16650" s="85"/>
    </row>
    <row r="16651" spans="9:13" x14ac:dyDescent="0.3">
      <c r="I16651" s="82"/>
      <c r="M16651" s="85"/>
    </row>
    <row r="16652" spans="9:13" x14ac:dyDescent="0.3">
      <c r="I16652" s="82"/>
      <c r="M16652" s="85"/>
    </row>
    <row r="16653" spans="9:13" x14ac:dyDescent="0.3">
      <c r="I16653" s="82"/>
      <c r="M16653" s="85"/>
    </row>
    <row r="16654" spans="9:13" x14ac:dyDescent="0.3">
      <c r="I16654" s="82"/>
      <c r="M16654" s="85"/>
    </row>
    <row r="16655" spans="9:13" x14ac:dyDescent="0.3">
      <c r="I16655" s="82"/>
      <c r="M16655" s="85"/>
    </row>
    <row r="16656" spans="9:13" x14ac:dyDescent="0.3">
      <c r="I16656" s="82"/>
      <c r="M16656" s="85"/>
    </row>
    <row r="16657" spans="9:13" x14ac:dyDescent="0.3">
      <c r="I16657" s="82"/>
      <c r="M16657" s="85"/>
    </row>
    <row r="16658" spans="9:13" x14ac:dyDescent="0.3">
      <c r="I16658" s="82"/>
      <c r="M16658" s="85"/>
    </row>
    <row r="16659" spans="9:13" x14ac:dyDescent="0.3">
      <c r="I16659" s="82"/>
      <c r="M16659" s="85"/>
    </row>
    <row r="16660" spans="9:13" x14ac:dyDescent="0.3">
      <c r="I16660" s="82"/>
      <c r="M16660" s="85"/>
    </row>
    <row r="16661" spans="9:13" x14ac:dyDescent="0.3">
      <c r="I16661" s="82"/>
      <c r="M16661" s="85"/>
    </row>
    <row r="16662" spans="9:13" x14ac:dyDescent="0.3">
      <c r="I16662" s="82"/>
      <c r="M16662" s="85"/>
    </row>
    <row r="16663" spans="9:13" x14ac:dyDescent="0.3">
      <c r="I16663" s="82"/>
      <c r="M16663" s="85"/>
    </row>
    <row r="16664" spans="9:13" x14ac:dyDescent="0.3">
      <c r="I16664" s="82"/>
      <c r="M16664" s="85"/>
    </row>
    <row r="16665" spans="9:13" x14ac:dyDescent="0.3">
      <c r="I16665" s="82"/>
      <c r="M16665" s="85"/>
    </row>
    <row r="16666" spans="9:13" x14ac:dyDescent="0.3">
      <c r="I16666" s="82"/>
      <c r="M16666" s="85"/>
    </row>
    <row r="16667" spans="9:13" x14ac:dyDescent="0.3">
      <c r="I16667" s="82"/>
      <c r="M16667" s="85"/>
    </row>
    <row r="16668" spans="9:13" x14ac:dyDescent="0.3">
      <c r="I16668" s="82"/>
      <c r="M16668" s="85"/>
    </row>
    <row r="16669" spans="9:13" x14ac:dyDescent="0.3">
      <c r="I16669" s="82"/>
      <c r="M16669" s="85"/>
    </row>
    <row r="16670" spans="9:13" x14ac:dyDescent="0.3">
      <c r="I16670" s="82"/>
      <c r="M16670" s="85"/>
    </row>
    <row r="16671" spans="9:13" x14ac:dyDescent="0.3">
      <c r="I16671" s="82"/>
      <c r="M16671" s="85"/>
    </row>
    <row r="16672" spans="9:13" x14ac:dyDescent="0.3">
      <c r="I16672" s="82"/>
      <c r="M16672" s="85"/>
    </row>
    <row r="16673" spans="9:13" x14ac:dyDescent="0.3">
      <c r="I16673" s="82"/>
      <c r="M16673" s="85"/>
    </row>
    <row r="16674" spans="9:13" x14ac:dyDescent="0.3">
      <c r="I16674" s="82"/>
      <c r="M16674" s="85"/>
    </row>
    <row r="16675" spans="9:13" x14ac:dyDescent="0.3">
      <c r="I16675" s="82"/>
      <c r="M16675" s="85"/>
    </row>
    <row r="16676" spans="9:13" x14ac:dyDescent="0.3">
      <c r="I16676" s="82"/>
      <c r="M16676" s="85"/>
    </row>
    <row r="16677" spans="9:13" x14ac:dyDescent="0.3">
      <c r="I16677" s="82"/>
      <c r="M16677" s="85"/>
    </row>
    <row r="16678" spans="9:13" x14ac:dyDescent="0.3">
      <c r="I16678" s="82"/>
      <c r="M16678" s="85"/>
    </row>
    <row r="16679" spans="9:13" x14ac:dyDescent="0.3">
      <c r="I16679" s="82"/>
      <c r="M16679" s="85"/>
    </row>
    <row r="16680" spans="9:13" x14ac:dyDescent="0.3">
      <c r="I16680" s="82"/>
      <c r="M16680" s="85"/>
    </row>
    <row r="16681" spans="9:13" x14ac:dyDescent="0.3">
      <c r="I16681" s="82"/>
      <c r="M16681" s="85"/>
    </row>
    <row r="16682" spans="9:13" x14ac:dyDescent="0.3">
      <c r="I16682" s="82"/>
      <c r="M16682" s="85"/>
    </row>
    <row r="16683" spans="9:13" x14ac:dyDescent="0.3">
      <c r="I16683" s="82"/>
      <c r="M16683" s="85"/>
    </row>
    <row r="16684" spans="9:13" x14ac:dyDescent="0.3">
      <c r="I16684" s="82"/>
      <c r="M16684" s="85"/>
    </row>
    <row r="16685" spans="9:13" x14ac:dyDescent="0.3">
      <c r="I16685" s="82"/>
      <c r="M16685" s="85"/>
    </row>
    <row r="16686" spans="9:13" x14ac:dyDescent="0.3">
      <c r="I16686" s="82"/>
      <c r="M16686" s="85"/>
    </row>
    <row r="16687" spans="9:13" x14ac:dyDescent="0.3">
      <c r="I16687" s="82"/>
      <c r="M16687" s="85"/>
    </row>
    <row r="16688" spans="9:13" x14ac:dyDescent="0.3">
      <c r="I16688" s="82"/>
      <c r="M16688" s="85"/>
    </row>
    <row r="16689" spans="9:13" x14ac:dyDescent="0.3">
      <c r="I16689" s="82"/>
      <c r="M16689" s="85"/>
    </row>
    <row r="16690" spans="9:13" x14ac:dyDescent="0.3">
      <c r="I16690" s="82"/>
      <c r="M16690" s="85"/>
    </row>
    <row r="16691" spans="9:13" x14ac:dyDescent="0.3">
      <c r="I16691" s="82"/>
      <c r="M16691" s="85"/>
    </row>
    <row r="16692" spans="9:13" x14ac:dyDescent="0.3">
      <c r="I16692" s="82"/>
      <c r="M16692" s="85"/>
    </row>
    <row r="16693" spans="9:13" x14ac:dyDescent="0.3">
      <c r="I16693" s="82"/>
      <c r="M16693" s="85"/>
    </row>
    <row r="16694" spans="9:13" x14ac:dyDescent="0.3">
      <c r="I16694" s="82"/>
      <c r="M16694" s="85"/>
    </row>
    <row r="16695" spans="9:13" x14ac:dyDescent="0.3">
      <c r="I16695" s="82"/>
      <c r="M16695" s="85"/>
    </row>
    <row r="16696" spans="9:13" x14ac:dyDescent="0.3">
      <c r="I16696" s="82"/>
      <c r="M16696" s="85"/>
    </row>
    <row r="16697" spans="9:13" x14ac:dyDescent="0.3">
      <c r="I16697" s="82"/>
      <c r="M16697" s="85"/>
    </row>
    <row r="16698" spans="9:13" x14ac:dyDescent="0.3">
      <c r="I16698" s="82"/>
      <c r="M16698" s="85"/>
    </row>
    <row r="16699" spans="9:13" x14ac:dyDescent="0.3">
      <c r="I16699" s="82"/>
      <c r="M16699" s="85"/>
    </row>
    <row r="16700" spans="9:13" x14ac:dyDescent="0.3">
      <c r="I16700" s="82"/>
      <c r="M16700" s="85"/>
    </row>
    <row r="16701" spans="9:13" x14ac:dyDescent="0.3">
      <c r="I16701" s="82"/>
      <c r="M16701" s="85"/>
    </row>
    <row r="16702" spans="9:13" x14ac:dyDescent="0.3">
      <c r="I16702" s="82"/>
      <c r="M16702" s="85"/>
    </row>
    <row r="16703" spans="9:13" x14ac:dyDescent="0.3">
      <c r="I16703" s="82"/>
      <c r="M16703" s="85"/>
    </row>
    <row r="16704" spans="9:13" x14ac:dyDescent="0.3">
      <c r="I16704" s="82"/>
      <c r="M16704" s="85"/>
    </row>
    <row r="16705" spans="9:13" x14ac:dyDescent="0.3">
      <c r="I16705" s="82"/>
      <c r="M16705" s="85"/>
    </row>
    <row r="16706" spans="9:13" x14ac:dyDescent="0.3">
      <c r="I16706" s="82"/>
      <c r="M16706" s="85"/>
    </row>
    <row r="16707" spans="9:13" x14ac:dyDescent="0.3">
      <c r="I16707" s="82"/>
      <c r="M16707" s="85"/>
    </row>
    <row r="16708" spans="9:13" x14ac:dyDescent="0.3">
      <c r="I16708" s="82"/>
      <c r="M16708" s="85"/>
    </row>
    <row r="16709" spans="9:13" x14ac:dyDescent="0.3">
      <c r="I16709" s="82"/>
      <c r="M16709" s="85"/>
    </row>
    <row r="16710" spans="9:13" x14ac:dyDescent="0.3">
      <c r="I16710" s="82"/>
      <c r="M16710" s="85"/>
    </row>
    <row r="16711" spans="9:13" x14ac:dyDescent="0.3">
      <c r="I16711" s="82"/>
      <c r="M16711" s="85"/>
    </row>
    <row r="16712" spans="9:13" x14ac:dyDescent="0.3">
      <c r="I16712" s="82"/>
      <c r="M16712" s="85"/>
    </row>
    <row r="16713" spans="9:13" x14ac:dyDescent="0.3">
      <c r="I16713" s="82"/>
      <c r="M16713" s="85"/>
    </row>
    <row r="16714" spans="9:13" x14ac:dyDescent="0.3">
      <c r="I16714" s="82"/>
      <c r="M16714" s="85"/>
    </row>
    <row r="16715" spans="9:13" x14ac:dyDescent="0.3">
      <c r="I16715" s="82"/>
      <c r="M16715" s="85"/>
    </row>
    <row r="16716" spans="9:13" x14ac:dyDescent="0.3">
      <c r="I16716" s="82"/>
      <c r="M16716" s="85"/>
    </row>
    <row r="16717" spans="9:13" x14ac:dyDescent="0.3">
      <c r="I16717" s="82"/>
      <c r="M16717" s="85"/>
    </row>
    <row r="16718" spans="9:13" x14ac:dyDescent="0.3">
      <c r="I16718" s="82"/>
      <c r="M16718" s="85"/>
    </row>
    <row r="16719" spans="9:13" x14ac:dyDescent="0.3">
      <c r="I16719" s="82"/>
      <c r="M16719" s="85"/>
    </row>
    <row r="16720" spans="9:13" x14ac:dyDescent="0.3">
      <c r="I16720" s="82"/>
      <c r="M16720" s="85"/>
    </row>
    <row r="16721" spans="9:13" x14ac:dyDescent="0.3">
      <c r="I16721" s="82"/>
      <c r="M16721" s="85"/>
    </row>
    <row r="16722" spans="9:13" x14ac:dyDescent="0.3">
      <c r="I16722" s="82"/>
      <c r="M16722" s="85"/>
    </row>
    <row r="16723" spans="9:13" x14ac:dyDescent="0.3">
      <c r="I16723" s="82"/>
      <c r="M16723" s="85"/>
    </row>
    <row r="16724" spans="9:13" x14ac:dyDescent="0.3">
      <c r="I16724" s="82"/>
      <c r="M16724" s="85"/>
    </row>
    <row r="16725" spans="9:13" x14ac:dyDescent="0.3">
      <c r="I16725" s="82"/>
      <c r="M16725" s="85"/>
    </row>
    <row r="16726" spans="9:13" x14ac:dyDescent="0.3">
      <c r="I16726" s="82"/>
      <c r="M16726" s="85"/>
    </row>
    <row r="16727" spans="9:13" x14ac:dyDescent="0.3">
      <c r="I16727" s="82"/>
      <c r="M16727" s="85"/>
    </row>
    <row r="16728" spans="9:13" x14ac:dyDescent="0.3">
      <c r="I16728" s="82"/>
      <c r="M16728" s="85"/>
    </row>
    <row r="16729" spans="9:13" x14ac:dyDescent="0.3">
      <c r="I16729" s="82"/>
      <c r="M16729" s="85"/>
    </row>
    <row r="16730" spans="9:13" x14ac:dyDescent="0.3">
      <c r="I16730" s="82"/>
      <c r="M16730" s="85"/>
    </row>
    <row r="16731" spans="9:13" x14ac:dyDescent="0.3">
      <c r="I16731" s="82"/>
      <c r="M16731" s="85"/>
    </row>
    <row r="16732" spans="9:13" x14ac:dyDescent="0.3">
      <c r="I16732" s="82"/>
      <c r="M16732" s="85"/>
    </row>
    <row r="16733" spans="9:13" x14ac:dyDescent="0.3">
      <c r="I16733" s="82"/>
      <c r="M16733" s="85"/>
    </row>
    <row r="16734" spans="9:13" x14ac:dyDescent="0.3">
      <c r="I16734" s="82"/>
      <c r="M16734" s="85"/>
    </row>
    <row r="16735" spans="9:13" x14ac:dyDescent="0.3">
      <c r="I16735" s="82"/>
      <c r="M16735" s="85"/>
    </row>
    <row r="16736" spans="9:13" x14ac:dyDescent="0.3">
      <c r="I16736" s="82"/>
      <c r="M16736" s="85"/>
    </row>
    <row r="16737" spans="9:13" x14ac:dyDescent="0.3">
      <c r="I16737" s="82"/>
      <c r="M16737" s="85"/>
    </row>
    <row r="16738" spans="9:13" x14ac:dyDescent="0.3">
      <c r="I16738" s="82"/>
      <c r="M16738" s="85"/>
    </row>
    <row r="16739" spans="9:13" x14ac:dyDescent="0.3">
      <c r="I16739" s="82"/>
      <c r="M16739" s="85"/>
    </row>
    <row r="16740" spans="9:13" x14ac:dyDescent="0.3">
      <c r="I16740" s="82"/>
      <c r="M16740" s="85"/>
    </row>
    <row r="16741" spans="9:13" x14ac:dyDescent="0.3">
      <c r="I16741" s="82"/>
      <c r="M16741" s="85"/>
    </row>
    <row r="16742" spans="9:13" x14ac:dyDescent="0.3">
      <c r="I16742" s="82"/>
      <c r="M16742" s="85"/>
    </row>
    <row r="16743" spans="9:13" x14ac:dyDescent="0.3">
      <c r="I16743" s="82"/>
      <c r="M16743" s="85"/>
    </row>
    <row r="16744" spans="9:13" x14ac:dyDescent="0.3">
      <c r="I16744" s="82"/>
      <c r="M16744" s="85"/>
    </row>
    <row r="16745" spans="9:13" x14ac:dyDescent="0.3">
      <c r="I16745" s="82"/>
      <c r="M16745" s="85"/>
    </row>
    <row r="16746" spans="9:13" x14ac:dyDescent="0.3">
      <c r="I16746" s="82"/>
      <c r="M16746" s="85"/>
    </row>
    <row r="16747" spans="9:13" x14ac:dyDescent="0.3">
      <c r="I16747" s="82"/>
      <c r="M16747" s="85"/>
    </row>
    <row r="16748" spans="9:13" x14ac:dyDescent="0.3">
      <c r="I16748" s="82"/>
      <c r="M16748" s="85"/>
    </row>
    <row r="16749" spans="9:13" x14ac:dyDescent="0.3">
      <c r="I16749" s="82"/>
      <c r="M16749" s="85"/>
    </row>
    <row r="16750" spans="9:13" x14ac:dyDescent="0.3">
      <c r="I16750" s="82"/>
      <c r="M16750" s="85"/>
    </row>
    <row r="16751" spans="9:13" x14ac:dyDescent="0.3">
      <c r="I16751" s="82"/>
      <c r="M16751" s="85"/>
    </row>
    <row r="16752" spans="9:13" x14ac:dyDescent="0.3">
      <c r="I16752" s="82"/>
      <c r="M16752" s="85"/>
    </row>
    <row r="16753" spans="9:13" x14ac:dyDescent="0.3">
      <c r="I16753" s="82"/>
      <c r="M16753" s="85"/>
    </row>
    <row r="16754" spans="9:13" x14ac:dyDescent="0.3">
      <c r="I16754" s="82"/>
      <c r="M16754" s="85"/>
    </row>
    <row r="16755" spans="9:13" x14ac:dyDescent="0.3">
      <c r="I16755" s="82"/>
      <c r="M16755" s="85"/>
    </row>
    <row r="16756" spans="9:13" x14ac:dyDescent="0.3">
      <c r="I16756" s="82"/>
      <c r="M16756" s="85"/>
    </row>
    <row r="16757" spans="9:13" x14ac:dyDescent="0.3">
      <c r="I16757" s="82"/>
      <c r="M16757" s="85"/>
    </row>
    <row r="16758" spans="9:13" x14ac:dyDescent="0.3">
      <c r="I16758" s="82"/>
      <c r="M16758" s="85"/>
    </row>
    <row r="16759" spans="9:13" x14ac:dyDescent="0.3">
      <c r="I16759" s="82"/>
      <c r="M16759" s="85"/>
    </row>
    <row r="16760" spans="9:13" x14ac:dyDescent="0.3">
      <c r="I16760" s="82"/>
      <c r="M16760" s="85"/>
    </row>
    <row r="16761" spans="9:13" x14ac:dyDescent="0.3">
      <c r="I16761" s="82"/>
      <c r="M16761" s="85"/>
    </row>
    <row r="16762" spans="9:13" x14ac:dyDescent="0.3">
      <c r="I16762" s="82"/>
      <c r="M16762" s="85"/>
    </row>
    <row r="16763" spans="9:13" x14ac:dyDescent="0.3">
      <c r="I16763" s="82"/>
      <c r="M16763" s="85"/>
    </row>
    <row r="16764" spans="9:13" x14ac:dyDescent="0.3">
      <c r="I16764" s="82"/>
      <c r="M16764" s="85"/>
    </row>
    <row r="16765" spans="9:13" x14ac:dyDescent="0.3">
      <c r="I16765" s="82"/>
      <c r="M16765" s="85"/>
    </row>
    <row r="16766" spans="9:13" x14ac:dyDescent="0.3">
      <c r="I16766" s="82"/>
      <c r="M16766" s="85"/>
    </row>
    <row r="16767" spans="9:13" x14ac:dyDescent="0.3">
      <c r="I16767" s="82"/>
      <c r="M16767" s="85"/>
    </row>
    <row r="16768" spans="9:13" x14ac:dyDescent="0.3">
      <c r="I16768" s="82"/>
      <c r="M16768" s="85"/>
    </row>
    <row r="16769" spans="9:13" x14ac:dyDescent="0.3">
      <c r="I16769" s="82"/>
      <c r="M16769" s="85"/>
    </row>
    <row r="16770" spans="9:13" x14ac:dyDescent="0.3">
      <c r="I16770" s="82"/>
      <c r="M16770" s="85"/>
    </row>
    <row r="16771" spans="9:13" x14ac:dyDescent="0.3">
      <c r="I16771" s="82"/>
      <c r="M16771" s="85"/>
    </row>
    <row r="16772" spans="9:13" x14ac:dyDescent="0.3">
      <c r="I16772" s="82"/>
      <c r="M16772" s="85"/>
    </row>
    <row r="16773" spans="9:13" x14ac:dyDescent="0.3">
      <c r="I16773" s="82"/>
      <c r="M16773" s="85"/>
    </row>
    <row r="16774" spans="9:13" x14ac:dyDescent="0.3">
      <c r="I16774" s="82"/>
      <c r="M16774" s="85"/>
    </row>
    <row r="16775" spans="9:13" x14ac:dyDescent="0.3">
      <c r="I16775" s="82"/>
      <c r="M16775" s="85"/>
    </row>
    <row r="16776" spans="9:13" x14ac:dyDescent="0.3">
      <c r="I16776" s="82"/>
      <c r="M16776" s="85"/>
    </row>
    <row r="16777" spans="9:13" x14ac:dyDescent="0.3">
      <c r="I16777" s="82"/>
      <c r="M16777" s="85"/>
    </row>
    <row r="16778" spans="9:13" x14ac:dyDescent="0.3">
      <c r="I16778" s="82"/>
      <c r="M16778" s="85"/>
    </row>
    <row r="16779" spans="9:13" x14ac:dyDescent="0.3">
      <c r="I16779" s="82"/>
      <c r="M16779" s="85"/>
    </row>
    <row r="16780" spans="9:13" x14ac:dyDescent="0.3">
      <c r="I16780" s="82"/>
      <c r="M16780" s="85"/>
    </row>
    <row r="16781" spans="9:13" x14ac:dyDescent="0.3">
      <c r="I16781" s="82"/>
      <c r="M16781" s="85"/>
    </row>
    <row r="16782" spans="9:13" x14ac:dyDescent="0.3">
      <c r="I16782" s="82"/>
      <c r="M16782" s="85"/>
    </row>
    <row r="16783" spans="9:13" x14ac:dyDescent="0.3">
      <c r="I16783" s="82"/>
      <c r="M16783" s="85"/>
    </row>
    <row r="16784" spans="9:13" x14ac:dyDescent="0.3">
      <c r="I16784" s="82"/>
      <c r="M16784" s="85"/>
    </row>
    <row r="16785" spans="9:13" x14ac:dyDescent="0.3">
      <c r="I16785" s="82"/>
      <c r="M16785" s="85"/>
    </row>
    <row r="16786" spans="9:13" x14ac:dyDescent="0.3">
      <c r="I16786" s="82"/>
      <c r="M16786" s="85"/>
    </row>
    <row r="16787" spans="9:13" x14ac:dyDescent="0.3">
      <c r="I16787" s="82"/>
      <c r="M16787" s="85"/>
    </row>
    <row r="16788" spans="9:13" x14ac:dyDescent="0.3">
      <c r="I16788" s="82"/>
      <c r="M16788" s="85"/>
    </row>
    <row r="16789" spans="9:13" x14ac:dyDescent="0.3">
      <c r="I16789" s="82"/>
      <c r="M16789" s="85"/>
    </row>
    <row r="16790" spans="9:13" x14ac:dyDescent="0.3">
      <c r="I16790" s="82"/>
      <c r="M16790" s="85"/>
    </row>
    <row r="16791" spans="9:13" x14ac:dyDescent="0.3">
      <c r="I16791" s="82"/>
      <c r="M16791" s="85"/>
    </row>
    <row r="16792" spans="9:13" x14ac:dyDescent="0.3">
      <c r="I16792" s="82"/>
      <c r="M16792" s="85"/>
    </row>
    <row r="16793" spans="9:13" x14ac:dyDescent="0.3">
      <c r="I16793" s="82"/>
      <c r="M16793" s="85"/>
    </row>
    <row r="16794" spans="9:13" x14ac:dyDescent="0.3">
      <c r="I16794" s="82"/>
      <c r="M16794" s="85"/>
    </row>
    <row r="16795" spans="9:13" x14ac:dyDescent="0.3">
      <c r="I16795" s="82"/>
      <c r="M16795" s="85"/>
    </row>
    <row r="16796" spans="9:13" x14ac:dyDescent="0.3">
      <c r="I16796" s="82"/>
      <c r="M16796" s="85"/>
    </row>
    <row r="16797" spans="9:13" x14ac:dyDescent="0.3">
      <c r="I16797" s="82"/>
      <c r="M16797" s="85"/>
    </row>
    <row r="16798" spans="9:13" x14ac:dyDescent="0.3">
      <c r="I16798" s="82"/>
      <c r="M16798" s="85"/>
    </row>
    <row r="16799" spans="9:13" x14ac:dyDescent="0.3">
      <c r="I16799" s="82"/>
      <c r="M16799" s="85"/>
    </row>
    <row r="16800" spans="9:13" x14ac:dyDescent="0.3">
      <c r="I16800" s="82"/>
      <c r="M16800" s="85"/>
    </row>
    <row r="16801" spans="9:13" x14ac:dyDescent="0.3">
      <c r="I16801" s="82"/>
      <c r="M16801" s="85"/>
    </row>
    <row r="16802" spans="9:13" x14ac:dyDescent="0.3">
      <c r="I16802" s="82"/>
      <c r="M16802" s="85"/>
    </row>
    <row r="16803" spans="9:13" x14ac:dyDescent="0.3">
      <c r="I16803" s="82"/>
      <c r="M16803" s="85"/>
    </row>
    <row r="16804" spans="9:13" x14ac:dyDescent="0.3">
      <c r="I16804" s="82"/>
      <c r="M16804" s="85"/>
    </row>
    <row r="16805" spans="9:13" x14ac:dyDescent="0.3">
      <c r="I16805" s="82"/>
      <c r="M16805" s="85"/>
    </row>
    <row r="16806" spans="9:13" x14ac:dyDescent="0.3">
      <c r="I16806" s="82"/>
      <c r="M16806" s="85"/>
    </row>
    <row r="16807" spans="9:13" x14ac:dyDescent="0.3">
      <c r="I16807" s="82"/>
      <c r="M16807" s="85"/>
    </row>
    <row r="16808" spans="9:13" x14ac:dyDescent="0.3">
      <c r="I16808" s="82"/>
      <c r="M16808" s="85"/>
    </row>
    <row r="16809" spans="9:13" x14ac:dyDescent="0.3">
      <c r="I16809" s="82"/>
      <c r="M16809" s="85"/>
    </row>
    <row r="16810" spans="9:13" x14ac:dyDescent="0.3">
      <c r="I16810" s="82"/>
      <c r="M16810" s="85"/>
    </row>
    <row r="16811" spans="9:13" x14ac:dyDescent="0.3">
      <c r="I16811" s="82"/>
      <c r="M16811" s="85"/>
    </row>
    <row r="16812" spans="9:13" x14ac:dyDescent="0.3">
      <c r="I16812" s="82"/>
      <c r="M16812" s="85"/>
    </row>
    <row r="16813" spans="9:13" x14ac:dyDescent="0.3">
      <c r="I16813" s="82"/>
      <c r="M16813" s="85"/>
    </row>
    <row r="16814" spans="9:13" x14ac:dyDescent="0.3">
      <c r="I16814" s="82"/>
      <c r="M16814" s="85"/>
    </row>
    <row r="16815" spans="9:13" x14ac:dyDescent="0.3">
      <c r="I16815" s="82"/>
      <c r="M16815" s="85"/>
    </row>
    <row r="16816" spans="9:13" x14ac:dyDescent="0.3">
      <c r="I16816" s="82"/>
      <c r="M16816" s="85"/>
    </row>
    <row r="16817" spans="9:13" x14ac:dyDescent="0.3">
      <c r="I16817" s="82"/>
      <c r="M16817" s="85"/>
    </row>
    <row r="16818" spans="9:13" x14ac:dyDescent="0.3">
      <c r="I16818" s="82"/>
      <c r="M16818" s="85"/>
    </row>
    <row r="16819" spans="9:13" x14ac:dyDescent="0.3">
      <c r="I16819" s="82"/>
      <c r="M16819" s="85"/>
    </row>
    <row r="16820" spans="9:13" x14ac:dyDescent="0.3">
      <c r="I16820" s="82"/>
      <c r="M16820" s="85"/>
    </row>
    <row r="16821" spans="9:13" x14ac:dyDescent="0.3">
      <c r="I16821" s="82"/>
      <c r="M16821" s="85"/>
    </row>
    <row r="16822" spans="9:13" x14ac:dyDescent="0.3">
      <c r="I16822" s="82"/>
      <c r="M16822" s="85"/>
    </row>
    <row r="16823" spans="9:13" x14ac:dyDescent="0.3">
      <c r="I16823" s="82"/>
      <c r="M16823" s="85"/>
    </row>
    <row r="16824" spans="9:13" x14ac:dyDescent="0.3">
      <c r="I16824" s="82"/>
      <c r="M16824" s="85"/>
    </row>
    <row r="16825" spans="9:13" x14ac:dyDescent="0.3">
      <c r="I16825" s="82"/>
      <c r="M16825" s="85"/>
    </row>
    <row r="16826" spans="9:13" x14ac:dyDescent="0.3">
      <c r="I16826" s="82"/>
      <c r="M16826" s="85"/>
    </row>
    <row r="16827" spans="9:13" x14ac:dyDescent="0.3">
      <c r="I16827" s="82"/>
      <c r="M16827" s="85"/>
    </row>
    <row r="16828" spans="9:13" x14ac:dyDescent="0.3">
      <c r="I16828" s="82"/>
      <c r="M16828" s="85"/>
    </row>
    <row r="16829" spans="9:13" x14ac:dyDescent="0.3">
      <c r="I16829" s="82"/>
      <c r="M16829" s="85"/>
    </row>
    <row r="16830" spans="9:13" x14ac:dyDescent="0.3">
      <c r="I16830" s="82"/>
      <c r="M16830" s="85"/>
    </row>
    <row r="16831" spans="9:13" x14ac:dyDescent="0.3">
      <c r="I16831" s="82"/>
      <c r="M16831" s="85"/>
    </row>
    <row r="16832" spans="9:13" x14ac:dyDescent="0.3">
      <c r="I16832" s="82"/>
      <c r="M16832" s="85"/>
    </row>
    <row r="16833" spans="9:13" x14ac:dyDescent="0.3">
      <c r="I16833" s="82"/>
      <c r="M16833" s="85"/>
    </row>
    <row r="16834" spans="9:13" x14ac:dyDescent="0.3">
      <c r="I16834" s="82"/>
      <c r="M16834" s="85"/>
    </row>
    <row r="16835" spans="9:13" x14ac:dyDescent="0.3">
      <c r="I16835" s="82"/>
      <c r="M16835" s="85"/>
    </row>
    <row r="16836" spans="9:13" x14ac:dyDescent="0.3">
      <c r="I16836" s="82"/>
      <c r="M16836" s="85"/>
    </row>
    <row r="16837" spans="9:13" x14ac:dyDescent="0.3">
      <c r="I16837" s="82"/>
      <c r="M16837" s="85"/>
    </row>
    <row r="16838" spans="9:13" x14ac:dyDescent="0.3">
      <c r="I16838" s="82"/>
      <c r="M16838" s="85"/>
    </row>
    <row r="16839" spans="9:13" x14ac:dyDescent="0.3">
      <c r="I16839" s="82"/>
      <c r="M16839" s="85"/>
    </row>
    <row r="16840" spans="9:13" x14ac:dyDescent="0.3">
      <c r="I16840" s="82"/>
      <c r="M16840" s="85"/>
    </row>
    <row r="16841" spans="9:13" x14ac:dyDescent="0.3">
      <c r="I16841" s="82"/>
      <c r="M16841" s="85"/>
    </row>
    <row r="16842" spans="9:13" x14ac:dyDescent="0.3">
      <c r="I16842" s="82"/>
      <c r="M16842" s="85"/>
    </row>
    <row r="16843" spans="9:13" x14ac:dyDescent="0.3">
      <c r="I16843" s="82"/>
      <c r="M16843" s="85"/>
    </row>
    <row r="16844" spans="9:13" x14ac:dyDescent="0.3">
      <c r="I16844" s="82"/>
      <c r="M16844" s="85"/>
    </row>
    <row r="16845" spans="9:13" x14ac:dyDescent="0.3">
      <c r="I16845" s="82"/>
      <c r="M16845" s="85"/>
    </row>
    <row r="16846" spans="9:13" x14ac:dyDescent="0.3">
      <c r="I16846" s="82"/>
      <c r="M16846" s="85"/>
    </row>
    <row r="16847" spans="9:13" x14ac:dyDescent="0.3">
      <c r="I16847" s="82"/>
      <c r="M16847" s="85"/>
    </row>
    <row r="16848" spans="9:13" x14ac:dyDescent="0.3">
      <c r="I16848" s="82"/>
      <c r="M16848" s="85"/>
    </row>
    <row r="16849" spans="9:13" x14ac:dyDescent="0.3">
      <c r="I16849" s="82"/>
      <c r="M16849" s="85"/>
    </row>
    <row r="16850" spans="9:13" x14ac:dyDescent="0.3">
      <c r="I16850" s="82"/>
      <c r="M16850" s="85"/>
    </row>
    <row r="16851" spans="9:13" x14ac:dyDescent="0.3">
      <c r="I16851" s="82"/>
      <c r="M16851" s="85"/>
    </row>
    <row r="16852" spans="9:13" x14ac:dyDescent="0.3">
      <c r="I16852" s="82"/>
      <c r="M16852" s="85"/>
    </row>
    <row r="16853" spans="9:13" x14ac:dyDescent="0.3">
      <c r="I16853" s="82"/>
      <c r="M16853" s="85"/>
    </row>
    <row r="16854" spans="9:13" x14ac:dyDescent="0.3">
      <c r="I16854" s="82"/>
      <c r="M16854" s="85"/>
    </row>
    <row r="16855" spans="9:13" x14ac:dyDescent="0.3">
      <c r="I16855" s="82"/>
      <c r="M16855" s="85"/>
    </row>
    <row r="16856" spans="9:13" x14ac:dyDescent="0.3">
      <c r="I16856" s="82"/>
      <c r="M16856" s="85"/>
    </row>
    <row r="16857" spans="9:13" x14ac:dyDescent="0.3">
      <c r="I16857" s="82"/>
      <c r="M16857" s="85"/>
    </row>
    <row r="16858" spans="9:13" x14ac:dyDescent="0.3">
      <c r="I16858" s="82"/>
      <c r="M16858" s="85"/>
    </row>
    <row r="16859" spans="9:13" x14ac:dyDescent="0.3">
      <c r="I16859" s="82"/>
      <c r="M16859" s="85"/>
    </row>
    <row r="16860" spans="9:13" x14ac:dyDescent="0.3">
      <c r="I16860" s="82"/>
      <c r="M16860" s="85"/>
    </row>
    <row r="16861" spans="9:13" x14ac:dyDescent="0.3">
      <c r="I16861" s="82"/>
      <c r="M16861" s="85"/>
    </row>
    <row r="16862" spans="9:13" x14ac:dyDescent="0.3">
      <c r="I16862" s="82"/>
      <c r="M16862" s="85"/>
    </row>
    <row r="16863" spans="9:13" x14ac:dyDescent="0.3">
      <c r="I16863" s="82"/>
      <c r="M16863" s="85"/>
    </row>
    <row r="16864" spans="9:13" x14ac:dyDescent="0.3">
      <c r="I16864" s="82"/>
      <c r="M16864" s="85"/>
    </row>
    <row r="16865" spans="9:13" x14ac:dyDescent="0.3">
      <c r="I16865" s="82"/>
      <c r="M16865" s="85"/>
    </row>
    <row r="16866" spans="9:13" x14ac:dyDescent="0.3">
      <c r="I16866" s="82"/>
      <c r="M16866" s="85"/>
    </row>
    <row r="16867" spans="9:13" x14ac:dyDescent="0.3">
      <c r="I16867" s="82"/>
      <c r="M16867" s="85"/>
    </row>
    <row r="16868" spans="9:13" x14ac:dyDescent="0.3">
      <c r="I16868" s="82"/>
      <c r="M16868" s="85"/>
    </row>
    <row r="16869" spans="9:13" x14ac:dyDescent="0.3">
      <c r="I16869" s="82"/>
      <c r="M16869" s="85"/>
    </row>
    <row r="16870" spans="9:13" x14ac:dyDescent="0.3">
      <c r="I16870" s="82"/>
      <c r="M16870" s="85"/>
    </row>
    <row r="16871" spans="9:13" x14ac:dyDescent="0.3">
      <c r="I16871" s="82"/>
      <c r="M16871" s="85"/>
    </row>
    <row r="16872" spans="9:13" x14ac:dyDescent="0.3">
      <c r="I16872" s="82"/>
      <c r="M16872" s="85"/>
    </row>
    <row r="16873" spans="9:13" x14ac:dyDescent="0.3">
      <c r="I16873" s="82"/>
      <c r="M16873" s="85"/>
    </row>
    <row r="16874" spans="9:13" x14ac:dyDescent="0.3">
      <c r="I16874" s="82"/>
      <c r="M16874" s="85"/>
    </row>
    <row r="16875" spans="9:13" x14ac:dyDescent="0.3">
      <c r="I16875" s="82"/>
      <c r="M16875" s="85"/>
    </row>
    <row r="16876" spans="9:13" x14ac:dyDescent="0.3">
      <c r="I16876" s="82"/>
      <c r="M16876" s="85"/>
    </row>
    <row r="16877" spans="9:13" x14ac:dyDescent="0.3">
      <c r="I16877" s="82"/>
      <c r="M16877" s="85"/>
    </row>
    <row r="16878" spans="9:13" x14ac:dyDescent="0.3">
      <c r="I16878" s="82"/>
      <c r="M16878" s="85"/>
    </row>
    <row r="16879" spans="9:13" x14ac:dyDescent="0.3">
      <c r="I16879" s="82"/>
      <c r="M16879" s="85"/>
    </row>
    <row r="16880" spans="9:13" x14ac:dyDescent="0.3">
      <c r="I16880" s="82"/>
      <c r="M16880" s="85"/>
    </row>
    <row r="16881" spans="9:13" x14ac:dyDescent="0.3">
      <c r="I16881" s="82"/>
      <c r="M16881" s="85"/>
    </row>
    <row r="16882" spans="9:13" x14ac:dyDescent="0.3">
      <c r="I16882" s="82"/>
      <c r="M16882" s="85"/>
    </row>
    <row r="16883" spans="9:13" x14ac:dyDescent="0.3">
      <c r="I16883" s="82"/>
      <c r="M16883" s="85"/>
    </row>
    <row r="16884" spans="9:13" x14ac:dyDescent="0.3">
      <c r="I16884" s="82"/>
      <c r="M16884" s="85"/>
    </row>
    <row r="16885" spans="9:13" x14ac:dyDescent="0.3">
      <c r="I16885" s="82"/>
      <c r="M16885" s="85"/>
    </row>
    <row r="16886" spans="9:13" x14ac:dyDescent="0.3">
      <c r="I16886" s="82"/>
      <c r="M16886" s="85"/>
    </row>
    <row r="16887" spans="9:13" x14ac:dyDescent="0.3">
      <c r="I16887" s="82"/>
      <c r="M16887" s="85"/>
    </row>
    <row r="16888" spans="9:13" x14ac:dyDescent="0.3">
      <c r="I16888" s="82"/>
      <c r="M16888" s="85"/>
    </row>
    <row r="16889" spans="9:13" x14ac:dyDescent="0.3">
      <c r="I16889" s="82"/>
      <c r="M16889" s="85"/>
    </row>
    <row r="16890" spans="9:13" x14ac:dyDescent="0.3">
      <c r="I16890" s="82"/>
      <c r="M16890" s="85"/>
    </row>
    <row r="16891" spans="9:13" x14ac:dyDescent="0.3">
      <c r="I16891" s="82"/>
      <c r="M16891" s="85"/>
    </row>
    <row r="16892" spans="9:13" x14ac:dyDescent="0.3">
      <c r="I16892" s="82"/>
      <c r="M16892" s="85"/>
    </row>
    <row r="16893" spans="9:13" x14ac:dyDescent="0.3">
      <c r="I16893" s="82"/>
      <c r="M16893" s="85"/>
    </row>
    <row r="16894" spans="9:13" x14ac:dyDescent="0.3">
      <c r="I16894" s="82"/>
      <c r="M16894" s="85"/>
    </row>
    <row r="16895" spans="9:13" x14ac:dyDescent="0.3">
      <c r="I16895" s="82"/>
      <c r="M16895" s="85"/>
    </row>
    <row r="16896" spans="9:13" x14ac:dyDescent="0.3">
      <c r="I16896" s="82"/>
      <c r="M16896" s="85"/>
    </row>
    <row r="16897" spans="9:13" x14ac:dyDescent="0.3">
      <c r="I16897" s="82"/>
      <c r="M16897" s="85"/>
    </row>
    <row r="16898" spans="9:13" x14ac:dyDescent="0.3">
      <c r="I16898" s="82"/>
      <c r="M16898" s="85"/>
    </row>
    <row r="16899" spans="9:13" x14ac:dyDescent="0.3">
      <c r="I16899" s="82"/>
      <c r="M16899" s="85"/>
    </row>
    <row r="16900" spans="9:13" x14ac:dyDescent="0.3">
      <c r="I16900" s="82"/>
      <c r="M16900" s="85"/>
    </row>
    <row r="16901" spans="9:13" x14ac:dyDescent="0.3">
      <c r="I16901" s="82"/>
      <c r="M16901" s="85"/>
    </row>
    <row r="16902" spans="9:13" x14ac:dyDescent="0.3">
      <c r="I16902" s="82"/>
      <c r="M16902" s="85"/>
    </row>
    <row r="16903" spans="9:13" x14ac:dyDescent="0.3">
      <c r="I16903" s="82"/>
      <c r="M16903" s="85"/>
    </row>
    <row r="16904" spans="9:13" x14ac:dyDescent="0.3">
      <c r="I16904" s="82"/>
      <c r="M16904" s="85"/>
    </row>
    <row r="16905" spans="9:13" x14ac:dyDescent="0.3">
      <c r="I16905" s="82"/>
      <c r="M16905" s="85"/>
    </row>
    <row r="16906" spans="9:13" x14ac:dyDescent="0.3">
      <c r="I16906" s="82"/>
      <c r="M16906" s="85"/>
    </row>
    <row r="16907" spans="9:13" x14ac:dyDescent="0.3">
      <c r="I16907" s="82"/>
      <c r="M16907" s="85"/>
    </row>
    <row r="16908" spans="9:13" x14ac:dyDescent="0.3">
      <c r="I16908" s="82"/>
      <c r="M16908" s="85"/>
    </row>
    <row r="16909" spans="9:13" x14ac:dyDescent="0.3">
      <c r="I16909" s="82"/>
      <c r="M16909" s="85"/>
    </row>
    <row r="16910" spans="9:13" x14ac:dyDescent="0.3">
      <c r="I16910" s="82"/>
      <c r="M16910" s="85"/>
    </row>
    <row r="16911" spans="9:13" x14ac:dyDescent="0.3">
      <c r="I16911" s="82"/>
      <c r="M16911" s="85"/>
    </row>
    <row r="16912" spans="9:13" x14ac:dyDescent="0.3">
      <c r="I16912" s="82"/>
      <c r="M16912" s="85"/>
    </row>
    <row r="16913" spans="9:13" x14ac:dyDescent="0.3">
      <c r="I16913" s="82"/>
      <c r="M16913" s="85"/>
    </row>
    <row r="16914" spans="9:13" x14ac:dyDescent="0.3">
      <c r="I16914" s="82"/>
      <c r="M16914" s="85"/>
    </row>
    <row r="16915" spans="9:13" x14ac:dyDescent="0.3">
      <c r="I16915" s="82"/>
      <c r="M16915" s="85"/>
    </row>
    <row r="16916" spans="9:13" x14ac:dyDescent="0.3">
      <c r="I16916" s="82"/>
      <c r="M16916" s="85"/>
    </row>
    <row r="16917" spans="9:13" x14ac:dyDescent="0.3">
      <c r="I16917" s="82"/>
      <c r="M16917" s="85"/>
    </row>
    <row r="16918" spans="9:13" x14ac:dyDescent="0.3">
      <c r="I16918" s="82"/>
      <c r="M16918" s="85"/>
    </row>
    <row r="16919" spans="9:13" x14ac:dyDescent="0.3">
      <c r="I16919" s="82"/>
      <c r="M16919" s="85"/>
    </row>
    <row r="16920" spans="9:13" x14ac:dyDescent="0.3">
      <c r="I16920" s="82"/>
      <c r="M16920" s="85"/>
    </row>
    <row r="16921" spans="9:13" x14ac:dyDescent="0.3">
      <c r="I16921" s="82"/>
      <c r="M16921" s="85"/>
    </row>
    <row r="16922" spans="9:13" x14ac:dyDescent="0.3">
      <c r="I16922" s="82"/>
      <c r="M16922" s="85"/>
    </row>
    <row r="16923" spans="9:13" x14ac:dyDescent="0.3">
      <c r="I16923" s="82"/>
      <c r="M16923" s="85"/>
    </row>
    <row r="16924" spans="9:13" x14ac:dyDescent="0.3">
      <c r="I16924" s="82"/>
      <c r="M16924" s="85"/>
    </row>
    <row r="16925" spans="9:13" x14ac:dyDescent="0.3">
      <c r="I16925" s="82"/>
      <c r="M16925" s="85"/>
    </row>
    <row r="16926" spans="9:13" x14ac:dyDescent="0.3">
      <c r="I16926" s="82"/>
      <c r="M16926" s="85"/>
    </row>
    <row r="16927" spans="9:13" x14ac:dyDescent="0.3">
      <c r="I16927" s="82"/>
      <c r="M16927" s="85"/>
    </row>
    <row r="16928" spans="9:13" x14ac:dyDescent="0.3">
      <c r="I16928" s="82"/>
      <c r="M16928" s="85"/>
    </row>
    <row r="16929" spans="9:13" x14ac:dyDescent="0.3">
      <c r="I16929" s="82"/>
      <c r="M16929" s="85"/>
    </row>
    <row r="16930" spans="9:13" x14ac:dyDescent="0.3">
      <c r="I16930" s="82"/>
      <c r="M16930" s="85"/>
    </row>
    <row r="16931" spans="9:13" x14ac:dyDescent="0.3">
      <c r="I16931" s="82"/>
      <c r="M16931" s="85"/>
    </row>
    <row r="16932" spans="9:13" x14ac:dyDescent="0.3">
      <c r="I16932" s="82"/>
      <c r="M16932" s="85"/>
    </row>
    <row r="16933" spans="9:13" x14ac:dyDescent="0.3">
      <c r="I16933" s="82"/>
      <c r="M16933" s="85"/>
    </row>
    <row r="16934" spans="9:13" x14ac:dyDescent="0.3">
      <c r="I16934" s="82"/>
      <c r="M16934" s="85"/>
    </row>
    <row r="16935" spans="9:13" x14ac:dyDescent="0.3">
      <c r="I16935" s="82"/>
      <c r="M16935" s="85"/>
    </row>
    <row r="16936" spans="9:13" x14ac:dyDescent="0.3">
      <c r="I16936" s="82"/>
      <c r="M16936" s="85"/>
    </row>
    <row r="16937" spans="9:13" x14ac:dyDescent="0.3">
      <c r="I16937" s="82"/>
      <c r="M16937" s="85"/>
    </row>
    <row r="16938" spans="9:13" x14ac:dyDescent="0.3">
      <c r="I16938" s="82"/>
      <c r="M16938" s="85"/>
    </row>
    <row r="16939" spans="9:13" x14ac:dyDescent="0.3">
      <c r="I16939" s="82"/>
      <c r="M16939" s="85"/>
    </row>
    <row r="16940" spans="9:13" x14ac:dyDescent="0.3">
      <c r="I16940" s="82"/>
      <c r="M16940" s="85"/>
    </row>
    <row r="16941" spans="9:13" x14ac:dyDescent="0.3">
      <c r="I16941" s="82"/>
      <c r="M16941" s="85"/>
    </row>
    <row r="16942" spans="9:13" x14ac:dyDescent="0.3">
      <c r="I16942" s="82"/>
      <c r="M16942" s="85"/>
    </row>
    <row r="16943" spans="9:13" x14ac:dyDescent="0.3">
      <c r="I16943" s="82"/>
      <c r="M16943" s="85"/>
    </row>
    <row r="16944" spans="9:13" x14ac:dyDescent="0.3">
      <c r="I16944" s="82"/>
      <c r="M16944" s="85"/>
    </row>
    <row r="16945" spans="9:13" x14ac:dyDescent="0.3">
      <c r="I16945" s="82"/>
      <c r="M16945" s="85"/>
    </row>
    <row r="16946" spans="9:13" x14ac:dyDescent="0.3">
      <c r="I16946" s="82"/>
      <c r="M16946" s="85"/>
    </row>
    <row r="16947" spans="9:13" x14ac:dyDescent="0.3">
      <c r="I16947" s="82"/>
      <c r="M16947" s="85"/>
    </row>
    <row r="16948" spans="9:13" x14ac:dyDescent="0.3">
      <c r="I16948" s="82"/>
      <c r="M16948" s="85"/>
    </row>
    <row r="16949" spans="9:13" x14ac:dyDescent="0.3">
      <c r="I16949" s="82"/>
      <c r="M16949" s="85"/>
    </row>
    <row r="16950" spans="9:13" x14ac:dyDescent="0.3">
      <c r="I16950" s="82"/>
      <c r="M16950" s="85"/>
    </row>
    <row r="16951" spans="9:13" x14ac:dyDescent="0.3">
      <c r="I16951" s="82"/>
      <c r="M16951" s="85"/>
    </row>
    <row r="16952" spans="9:13" x14ac:dyDescent="0.3">
      <c r="I16952" s="82"/>
      <c r="M16952" s="85"/>
    </row>
    <row r="16953" spans="9:13" x14ac:dyDescent="0.3">
      <c r="I16953" s="82"/>
      <c r="M16953" s="85"/>
    </row>
    <row r="16954" spans="9:13" x14ac:dyDescent="0.3">
      <c r="I16954" s="82"/>
      <c r="M16954" s="85"/>
    </row>
    <row r="16955" spans="9:13" x14ac:dyDescent="0.3">
      <c r="I16955" s="82"/>
      <c r="M16955" s="85"/>
    </row>
    <row r="16956" spans="9:13" x14ac:dyDescent="0.3">
      <c r="I16956" s="82"/>
      <c r="M16956" s="85"/>
    </row>
    <row r="16957" spans="9:13" x14ac:dyDescent="0.3">
      <c r="I16957" s="82"/>
      <c r="M16957" s="85"/>
    </row>
    <row r="16958" spans="9:13" x14ac:dyDescent="0.3">
      <c r="I16958" s="82"/>
      <c r="M16958" s="85"/>
    </row>
    <row r="16959" spans="9:13" x14ac:dyDescent="0.3">
      <c r="I16959" s="82"/>
      <c r="M16959" s="85"/>
    </row>
    <row r="16960" spans="9:13" x14ac:dyDescent="0.3">
      <c r="I16960" s="82"/>
      <c r="M16960" s="85"/>
    </row>
    <row r="16961" spans="9:13" x14ac:dyDescent="0.3">
      <c r="I16961" s="82"/>
      <c r="M16961" s="85"/>
    </row>
    <row r="16962" spans="9:13" x14ac:dyDescent="0.3">
      <c r="I16962" s="82"/>
      <c r="M16962" s="85"/>
    </row>
    <row r="16963" spans="9:13" x14ac:dyDescent="0.3">
      <c r="I16963" s="82"/>
      <c r="M16963" s="85"/>
    </row>
    <row r="16964" spans="9:13" x14ac:dyDescent="0.3">
      <c r="I16964" s="82"/>
      <c r="M16964" s="85"/>
    </row>
    <row r="16965" spans="9:13" x14ac:dyDescent="0.3">
      <c r="I16965" s="82"/>
      <c r="M16965" s="85"/>
    </row>
    <row r="16966" spans="9:13" x14ac:dyDescent="0.3">
      <c r="I16966" s="82"/>
      <c r="M16966" s="85"/>
    </row>
    <row r="16967" spans="9:13" x14ac:dyDescent="0.3">
      <c r="I16967" s="82"/>
      <c r="M16967" s="85"/>
    </row>
    <row r="16968" spans="9:13" x14ac:dyDescent="0.3">
      <c r="I16968" s="82"/>
      <c r="M16968" s="85"/>
    </row>
    <row r="16969" spans="9:13" x14ac:dyDescent="0.3">
      <c r="I16969" s="82"/>
      <c r="M16969" s="85"/>
    </row>
    <row r="16970" spans="9:13" x14ac:dyDescent="0.3">
      <c r="I16970" s="82"/>
      <c r="M16970" s="85"/>
    </row>
    <row r="16971" spans="9:13" x14ac:dyDescent="0.3">
      <c r="I16971" s="82"/>
      <c r="M16971" s="85"/>
    </row>
    <row r="16972" spans="9:13" x14ac:dyDescent="0.3">
      <c r="I16972" s="82"/>
      <c r="M16972" s="85"/>
    </row>
    <row r="16973" spans="9:13" x14ac:dyDescent="0.3">
      <c r="I16973" s="82"/>
      <c r="M16973" s="85"/>
    </row>
    <row r="16974" spans="9:13" x14ac:dyDescent="0.3">
      <c r="I16974" s="82"/>
      <c r="M16974" s="85"/>
    </row>
    <row r="16975" spans="9:13" x14ac:dyDescent="0.3">
      <c r="I16975" s="82"/>
      <c r="M16975" s="85"/>
    </row>
    <row r="16976" spans="9:13" x14ac:dyDescent="0.3">
      <c r="I16976" s="82"/>
      <c r="M16976" s="85"/>
    </row>
    <row r="16977" spans="9:13" x14ac:dyDescent="0.3">
      <c r="I16977" s="82"/>
      <c r="M16977" s="85"/>
    </row>
    <row r="16978" spans="9:13" x14ac:dyDescent="0.3">
      <c r="I16978" s="82"/>
      <c r="M16978" s="85"/>
    </row>
    <row r="16979" spans="9:13" x14ac:dyDescent="0.3">
      <c r="I16979" s="82"/>
      <c r="M16979" s="85"/>
    </row>
    <row r="16980" spans="9:13" x14ac:dyDescent="0.3">
      <c r="I16980" s="82"/>
      <c r="M16980" s="85"/>
    </row>
    <row r="16981" spans="9:13" x14ac:dyDescent="0.3">
      <c r="I16981" s="82"/>
      <c r="M16981" s="85"/>
    </row>
    <row r="16982" spans="9:13" x14ac:dyDescent="0.3">
      <c r="I16982" s="82"/>
      <c r="M16982" s="85"/>
    </row>
    <row r="16983" spans="9:13" x14ac:dyDescent="0.3">
      <c r="I16983" s="82"/>
      <c r="M16983" s="85"/>
    </row>
    <row r="16984" spans="9:13" x14ac:dyDescent="0.3">
      <c r="I16984" s="82"/>
      <c r="M16984" s="85"/>
    </row>
    <row r="16985" spans="9:13" x14ac:dyDescent="0.3">
      <c r="I16985" s="82"/>
      <c r="M16985" s="85"/>
    </row>
    <row r="16986" spans="9:13" x14ac:dyDescent="0.3">
      <c r="I16986" s="82"/>
      <c r="M16986" s="85"/>
    </row>
    <row r="16987" spans="9:13" x14ac:dyDescent="0.3">
      <c r="I16987" s="82"/>
      <c r="M16987" s="85"/>
    </row>
    <row r="16988" spans="9:13" x14ac:dyDescent="0.3">
      <c r="I16988" s="82"/>
      <c r="M16988" s="85"/>
    </row>
    <row r="16989" spans="9:13" x14ac:dyDescent="0.3">
      <c r="I16989" s="82"/>
      <c r="M16989" s="85"/>
    </row>
    <row r="16990" spans="9:13" x14ac:dyDescent="0.3">
      <c r="I16990" s="82"/>
      <c r="M16990" s="85"/>
    </row>
    <row r="16991" spans="9:13" x14ac:dyDescent="0.3">
      <c r="I16991" s="82"/>
      <c r="M16991" s="85"/>
    </row>
    <row r="16992" spans="9:13" x14ac:dyDescent="0.3">
      <c r="I16992" s="82"/>
      <c r="M16992" s="85"/>
    </row>
    <row r="16993" spans="9:13" x14ac:dyDescent="0.3">
      <c r="I16993" s="82"/>
      <c r="M16993" s="85"/>
    </row>
    <row r="16994" spans="9:13" x14ac:dyDescent="0.3">
      <c r="I16994" s="82"/>
      <c r="M16994" s="85"/>
    </row>
    <row r="16995" spans="9:13" x14ac:dyDescent="0.3">
      <c r="I16995" s="82"/>
      <c r="M16995" s="85"/>
    </row>
    <row r="16996" spans="9:13" x14ac:dyDescent="0.3">
      <c r="I16996" s="82"/>
      <c r="M16996" s="85"/>
    </row>
    <row r="16997" spans="9:13" x14ac:dyDescent="0.3">
      <c r="I16997" s="82"/>
      <c r="M16997" s="85"/>
    </row>
    <row r="16998" spans="9:13" x14ac:dyDescent="0.3">
      <c r="I16998" s="82"/>
      <c r="M16998" s="85"/>
    </row>
    <row r="16999" spans="9:13" x14ac:dyDescent="0.3">
      <c r="I16999" s="82"/>
      <c r="M16999" s="85"/>
    </row>
    <row r="17000" spans="9:13" x14ac:dyDescent="0.3">
      <c r="I17000" s="82"/>
      <c r="M17000" s="85"/>
    </row>
    <row r="17001" spans="9:13" x14ac:dyDescent="0.3">
      <c r="I17001" s="82"/>
      <c r="M17001" s="85"/>
    </row>
    <row r="17002" spans="9:13" x14ac:dyDescent="0.3">
      <c r="I17002" s="82"/>
      <c r="M17002" s="85"/>
    </row>
    <row r="17003" spans="9:13" x14ac:dyDescent="0.3">
      <c r="I17003" s="82"/>
      <c r="M17003" s="85"/>
    </row>
    <row r="17004" spans="9:13" x14ac:dyDescent="0.3">
      <c r="I17004" s="82"/>
      <c r="M17004" s="85"/>
    </row>
    <row r="17005" spans="9:13" x14ac:dyDescent="0.3">
      <c r="I17005" s="82"/>
      <c r="M17005" s="85"/>
    </row>
    <row r="17006" spans="9:13" x14ac:dyDescent="0.3">
      <c r="I17006" s="82"/>
      <c r="M17006" s="85"/>
    </row>
    <row r="17007" spans="9:13" x14ac:dyDescent="0.3">
      <c r="I17007" s="82"/>
      <c r="M17007" s="85"/>
    </row>
    <row r="17008" spans="9:13" x14ac:dyDescent="0.3">
      <c r="I17008" s="82"/>
      <c r="M17008" s="85"/>
    </row>
    <row r="17009" spans="9:13" x14ac:dyDescent="0.3">
      <c r="I17009" s="82"/>
      <c r="M17009" s="85"/>
    </row>
    <row r="17010" spans="9:13" x14ac:dyDescent="0.3">
      <c r="I17010" s="82"/>
      <c r="M17010" s="85"/>
    </row>
    <row r="17011" spans="9:13" x14ac:dyDescent="0.3">
      <c r="I17011" s="82"/>
      <c r="M17011" s="85"/>
    </row>
    <row r="17012" spans="9:13" x14ac:dyDescent="0.3">
      <c r="I17012" s="82"/>
      <c r="M17012" s="85"/>
    </row>
    <row r="17013" spans="9:13" x14ac:dyDescent="0.3">
      <c r="I17013" s="82"/>
      <c r="M17013" s="85"/>
    </row>
    <row r="17014" spans="9:13" x14ac:dyDescent="0.3">
      <c r="I17014" s="82"/>
      <c r="M17014" s="85"/>
    </row>
    <row r="17015" spans="9:13" x14ac:dyDescent="0.3">
      <c r="I17015" s="82"/>
      <c r="M17015" s="85"/>
    </row>
    <row r="17016" spans="9:13" x14ac:dyDescent="0.3">
      <c r="I17016" s="82"/>
      <c r="M17016" s="85"/>
    </row>
    <row r="17017" spans="9:13" x14ac:dyDescent="0.3">
      <c r="I17017" s="82"/>
      <c r="M17017" s="85"/>
    </row>
    <row r="17018" spans="9:13" x14ac:dyDescent="0.3">
      <c r="I17018" s="82"/>
      <c r="M17018" s="85"/>
    </row>
    <row r="17019" spans="9:13" x14ac:dyDescent="0.3">
      <c r="I17019" s="82"/>
      <c r="M17019" s="85"/>
    </row>
    <row r="17020" spans="9:13" x14ac:dyDescent="0.3">
      <c r="I17020" s="82"/>
      <c r="M17020" s="85"/>
    </row>
    <row r="17021" spans="9:13" x14ac:dyDescent="0.3">
      <c r="I17021" s="82"/>
      <c r="M17021" s="85"/>
    </row>
    <row r="17022" spans="9:13" x14ac:dyDescent="0.3">
      <c r="I17022" s="82"/>
      <c r="M17022" s="85"/>
    </row>
    <row r="17023" spans="9:13" x14ac:dyDescent="0.3">
      <c r="I17023" s="82"/>
      <c r="M17023" s="85"/>
    </row>
    <row r="17024" spans="9:13" x14ac:dyDescent="0.3">
      <c r="I17024" s="82"/>
      <c r="M17024" s="85"/>
    </row>
    <row r="17025" spans="9:13" x14ac:dyDescent="0.3">
      <c r="I17025" s="82"/>
      <c r="M17025" s="85"/>
    </row>
    <row r="17026" spans="9:13" x14ac:dyDescent="0.3">
      <c r="I17026" s="82"/>
      <c r="M17026" s="85"/>
    </row>
    <row r="17027" spans="9:13" x14ac:dyDescent="0.3">
      <c r="I17027" s="82"/>
      <c r="M17027" s="85"/>
    </row>
    <row r="17028" spans="9:13" x14ac:dyDescent="0.3">
      <c r="I17028" s="82"/>
      <c r="M17028" s="85"/>
    </row>
    <row r="17029" spans="9:13" x14ac:dyDescent="0.3">
      <c r="I17029" s="82"/>
      <c r="M17029" s="85"/>
    </row>
    <row r="17030" spans="9:13" x14ac:dyDescent="0.3">
      <c r="I17030" s="82"/>
      <c r="M17030" s="85"/>
    </row>
    <row r="17031" spans="9:13" x14ac:dyDescent="0.3">
      <c r="I17031" s="82"/>
      <c r="M17031" s="85"/>
    </row>
    <row r="17032" spans="9:13" x14ac:dyDescent="0.3">
      <c r="I17032" s="82"/>
      <c r="M17032" s="85"/>
    </row>
    <row r="17033" spans="9:13" x14ac:dyDescent="0.3">
      <c r="I17033" s="82"/>
      <c r="M17033" s="85"/>
    </row>
    <row r="17034" spans="9:13" x14ac:dyDescent="0.3">
      <c r="I17034" s="82"/>
      <c r="M17034" s="85"/>
    </row>
    <row r="17035" spans="9:13" x14ac:dyDescent="0.3">
      <c r="I17035" s="82"/>
      <c r="M17035" s="85"/>
    </row>
    <row r="17036" spans="9:13" x14ac:dyDescent="0.3">
      <c r="I17036" s="82"/>
      <c r="M17036" s="85"/>
    </row>
    <row r="17037" spans="9:13" x14ac:dyDescent="0.3">
      <c r="I17037" s="82"/>
      <c r="M17037" s="85"/>
    </row>
    <row r="17038" spans="9:13" x14ac:dyDescent="0.3">
      <c r="I17038" s="82"/>
      <c r="M17038" s="85"/>
    </row>
    <row r="17039" spans="9:13" x14ac:dyDescent="0.3">
      <c r="I17039" s="82"/>
      <c r="M17039" s="85"/>
    </row>
    <row r="17040" spans="9:13" x14ac:dyDescent="0.3">
      <c r="I17040" s="82"/>
      <c r="M17040" s="85"/>
    </row>
    <row r="17041" spans="9:13" x14ac:dyDescent="0.3">
      <c r="I17041" s="82"/>
      <c r="M17041" s="85"/>
    </row>
    <row r="17042" spans="9:13" x14ac:dyDescent="0.3">
      <c r="I17042" s="82"/>
      <c r="M17042" s="85"/>
    </row>
    <row r="17043" spans="9:13" x14ac:dyDescent="0.3">
      <c r="I17043" s="82"/>
      <c r="M17043" s="85"/>
    </row>
    <row r="17044" spans="9:13" x14ac:dyDescent="0.3">
      <c r="I17044" s="82"/>
      <c r="M17044" s="85"/>
    </row>
    <row r="17045" spans="9:13" x14ac:dyDescent="0.3">
      <c r="I17045" s="82"/>
      <c r="M17045" s="85"/>
    </row>
    <row r="17046" spans="9:13" x14ac:dyDescent="0.3">
      <c r="I17046" s="82"/>
      <c r="M17046" s="85"/>
    </row>
    <row r="17047" spans="9:13" x14ac:dyDescent="0.3">
      <c r="I17047" s="82"/>
      <c r="M17047" s="85"/>
    </row>
    <row r="17048" spans="9:13" x14ac:dyDescent="0.3">
      <c r="I17048" s="82"/>
      <c r="M17048" s="85"/>
    </row>
    <row r="17049" spans="9:13" x14ac:dyDescent="0.3">
      <c r="I17049" s="82"/>
      <c r="M17049" s="85"/>
    </row>
    <row r="17050" spans="9:13" x14ac:dyDescent="0.3">
      <c r="I17050" s="82"/>
      <c r="M17050" s="85"/>
    </row>
    <row r="17051" spans="9:13" x14ac:dyDescent="0.3">
      <c r="I17051" s="82"/>
      <c r="M17051" s="85"/>
    </row>
    <row r="17052" spans="9:13" x14ac:dyDescent="0.3">
      <c r="I17052" s="82"/>
      <c r="M17052" s="85"/>
    </row>
    <row r="17053" spans="9:13" x14ac:dyDescent="0.3">
      <c r="I17053" s="82"/>
      <c r="M17053" s="85"/>
    </row>
    <row r="17054" spans="9:13" x14ac:dyDescent="0.3">
      <c r="I17054" s="82"/>
      <c r="M17054" s="85"/>
    </row>
    <row r="17055" spans="9:13" x14ac:dyDescent="0.3">
      <c r="I17055" s="82"/>
      <c r="M17055" s="85"/>
    </row>
    <row r="17056" spans="9:13" x14ac:dyDescent="0.3">
      <c r="I17056" s="82"/>
      <c r="M17056" s="85"/>
    </row>
    <row r="17057" spans="9:13" x14ac:dyDescent="0.3">
      <c r="I17057" s="82"/>
      <c r="M17057" s="85"/>
    </row>
    <row r="17058" spans="9:13" x14ac:dyDescent="0.3">
      <c r="I17058" s="82"/>
      <c r="M17058" s="85"/>
    </row>
    <row r="17059" spans="9:13" x14ac:dyDescent="0.3">
      <c r="I17059" s="82"/>
      <c r="M17059" s="85"/>
    </row>
    <row r="17060" spans="9:13" x14ac:dyDescent="0.3">
      <c r="I17060" s="82"/>
      <c r="M17060" s="85"/>
    </row>
    <row r="17061" spans="9:13" x14ac:dyDescent="0.3">
      <c r="I17061" s="82"/>
      <c r="M17061" s="85"/>
    </row>
    <row r="17062" spans="9:13" x14ac:dyDescent="0.3">
      <c r="I17062" s="82"/>
      <c r="M17062" s="85"/>
    </row>
    <row r="17063" spans="9:13" x14ac:dyDescent="0.3">
      <c r="I17063" s="82"/>
      <c r="M17063" s="85"/>
    </row>
    <row r="17064" spans="9:13" x14ac:dyDescent="0.3">
      <c r="I17064" s="82"/>
      <c r="M17064" s="85"/>
    </row>
    <row r="17065" spans="9:13" x14ac:dyDescent="0.3">
      <c r="I17065" s="82"/>
      <c r="M17065" s="85"/>
    </row>
    <row r="17066" spans="9:13" x14ac:dyDescent="0.3">
      <c r="I17066" s="82"/>
      <c r="M17066" s="85"/>
    </row>
    <row r="17067" spans="9:13" x14ac:dyDescent="0.3">
      <c r="I17067" s="82"/>
      <c r="M17067" s="85"/>
    </row>
    <row r="17068" spans="9:13" x14ac:dyDescent="0.3">
      <c r="I17068" s="82"/>
      <c r="M17068" s="85"/>
    </row>
    <row r="17069" spans="9:13" x14ac:dyDescent="0.3">
      <c r="I17069" s="82"/>
      <c r="M17069" s="85"/>
    </row>
    <row r="17070" spans="9:13" x14ac:dyDescent="0.3">
      <c r="I17070" s="82"/>
      <c r="M17070" s="85"/>
    </row>
    <row r="17071" spans="9:13" x14ac:dyDescent="0.3">
      <c r="I17071" s="82"/>
      <c r="M17071" s="85"/>
    </row>
    <row r="17072" spans="9:13" x14ac:dyDescent="0.3">
      <c r="I17072" s="82"/>
      <c r="M17072" s="85"/>
    </row>
    <row r="17073" spans="9:13" x14ac:dyDescent="0.3">
      <c r="I17073" s="82"/>
      <c r="M17073" s="85"/>
    </row>
    <row r="17074" spans="9:13" x14ac:dyDescent="0.3">
      <c r="I17074" s="82"/>
      <c r="M17074" s="85"/>
    </row>
    <row r="17075" spans="9:13" x14ac:dyDescent="0.3">
      <c r="I17075" s="82"/>
      <c r="M17075" s="85"/>
    </row>
    <row r="17076" spans="9:13" x14ac:dyDescent="0.3">
      <c r="I17076" s="82"/>
      <c r="M17076" s="85"/>
    </row>
    <row r="17077" spans="9:13" x14ac:dyDescent="0.3">
      <c r="I17077" s="82"/>
      <c r="M17077" s="85"/>
    </row>
    <row r="17078" spans="9:13" x14ac:dyDescent="0.3">
      <c r="I17078" s="82"/>
      <c r="M17078" s="85"/>
    </row>
    <row r="17079" spans="9:13" x14ac:dyDescent="0.3">
      <c r="I17079" s="82"/>
      <c r="M17079" s="85"/>
    </row>
    <row r="17080" spans="9:13" x14ac:dyDescent="0.3">
      <c r="I17080" s="82"/>
      <c r="M17080" s="85"/>
    </row>
    <row r="17081" spans="9:13" x14ac:dyDescent="0.3">
      <c r="I17081" s="82"/>
      <c r="M17081" s="85"/>
    </row>
    <row r="17082" spans="9:13" x14ac:dyDescent="0.3">
      <c r="I17082" s="82"/>
      <c r="M17082" s="85"/>
    </row>
    <row r="17083" spans="9:13" x14ac:dyDescent="0.3">
      <c r="I17083" s="82"/>
      <c r="M17083" s="85"/>
    </row>
    <row r="17084" spans="9:13" x14ac:dyDescent="0.3">
      <c r="I17084" s="82"/>
      <c r="M17084" s="85"/>
    </row>
    <row r="17085" spans="9:13" x14ac:dyDescent="0.3">
      <c r="I17085" s="82"/>
      <c r="M17085" s="85"/>
    </row>
    <row r="17086" spans="9:13" x14ac:dyDescent="0.3">
      <c r="I17086" s="82"/>
      <c r="M17086" s="85"/>
    </row>
    <row r="17087" spans="9:13" x14ac:dyDescent="0.3">
      <c r="I17087" s="82"/>
      <c r="M17087" s="85"/>
    </row>
    <row r="17088" spans="9:13" x14ac:dyDescent="0.3">
      <c r="I17088" s="82"/>
      <c r="M17088" s="85"/>
    </row>
    <row r="17089" spans="9:13" x14ac:dyDescent="0.3">
      <c r="I17089" s="82"/>
      <c r="M17089" s="85"/>
    </row>
    <row r="17090" spans="9:13" x14ac:dyDescent="0.3">
      <c r="I17090" s="82"/>
      <c r="M17090" s="85"/>
    </row>
    <row r="17091" spans="9:13" x14ac:dyDescent="0.3">
      <c r="I17091" s="82"/>
      <c r="M17091" s="85"/>
    </row>
    <row r="17092" spans="9:13" x14ac:dyDescent="0.3">
      <c r="I17092" s="82"/>
      <c r="M17092" s="85"/>
    </row>
    <row r="17093" spans="9:13" x14ac:dyDescent="0.3">
      <c r="I17093" s="82"/>
      <c r="M17093" s="85"/>
    </row>
    <row r="17094" spans="9:13" x14ac:dyDescent="0.3">
      <c r="I17094" s="82"/>
      <c r="M17094" s="85"/>
    </row>
    <row r="17095" spans="9:13" x14ac:dyDescent="0.3">
      <c r="I17095" s="82"/>
      <c r="M17095" s="85"/>
    </row>
    <row r="17096" spans="9:13" x14ac:dyDescent="0.3">
      <c r="I17096" s="82"/>
      <c r="M17096" s="85"/>
    </row>
    <row r="17097" spans="9:13" x14ac:dyDescent="0.3">
      <c r="I17097" s="82"/>
      <c r="M17097" s="85"/>
    </row>
    <row r="17098" spans="9:13" x14ac:dyDescent="0.3">
      <c r="I17098" s="82"/>
      <c r="M17098" s="85"/>
    </row>
    <row r="17099" spans="9:13" x14ac:dyDescent="0.3">
      <c r="I17099" s="82"/>
      <c r="M17099" s="85"/>
    </row>
    <row r="17100" spans="9:13" x14ac:dyDescent="0.3">
      <c r="I17100" s="82"/>
      <c r="M17100" s="85"/>
    </row>
    <row r="17101" spans="9:13" x14ac:dyDescent="0.3">
      <c r="I17101" s="82"/>
      <c r="M17101" s="85"/>
    </row>
    <row r="17102" spans="9:13" x14ac:dyDescent="0.3">
      <c r="I17102" s="82"/>
      <c r="M17102" s="85"/>
    </row>
    <row r="17103" spans="9:13" x14ac:dyDescent="0.3">
      <c r="I17103" s="82"/>
      <c r="M17103" s="85"/>
    </row>
    <row r="17104" spans="9:13" x14ac:dyDescent="0.3">
      <c r="I17104" s="82"/>
      <c r="M17104" s="85"/>
    </row>
    <row r="17105" spans="9:13" x14ac:dyDescent="0.3">
      <c r="I17105" s="82"/>
      <c r="M17105" s="85"/>
    </row>
    <row r="17106" spans="9:13" x14ac:dyDescent="0.3">
      <c r="I17106" s="82"/>
      <c r="M17106" s="85"/>
    </row>
    <row r="17107" spans="9:13" x14ac:dyDescent="0.3">
      <c r="I17107" s="82"/>
      <c r="M17107" s="85"/>
    </row>
    <row r="17108" spans="9:13" x14ac:dyDescent="0.3">
      <c r="I17108" s="82"/>
      <c r="M17108" s="85"/>
    </row>
    <row r="17109" spans="9:13" x14ac:dyDescent="0.3">
      <c r="I17109" s="82"/>
      <c r="M17109" s="85"/>
    </row>
    <row r="17110" spans="9:13" x14ac:dyDescent="0.3">
      <c r="I17110" s="82"/>
      <c r="M17110" s="85"/>
    </row>
    <row r="17111" spans="9:13" x14ac:dyDescent="0.3">
      <c r="I17111" s="82"/>
      <c r="M17111" s="85"/>
    </row>
    <row r="17112" spans="9:13" x14ac:dyDescent="0.3">
      <c r="I17112" s="82"/>
      <c r="M17112" s="85"/>
    </row>
    <row r="17113" spans="9:13" x14ac:dyDescent="0.3">
      <c r="I17113" s="82"/>
      <c r="M17113" s="85"/>
    </row>
    <row r="17114" spans="9:13" x14ac:dyDescent="0.3">
      <c r="I17114" s="82"/>
      <c r="M17114" s="85"/>
    </row>
    <row r="17115" spans="9:13" x14ac:dyDescent="0.3">
      <c r="I17115" s="82"/>
      <c r="M17115" s="85"/>
    </row>
    <row r="17116" spans="9:13" x14ac:dyDescent="0.3">
      <c r="I17116" s="82"/>
      <c r="M17116" s="85"/>
    </row>
    <row r="17117" spans="9:13" x14ac:dyDescent="0.3">
      <c r="I17117" s="82"/>
      <c r="M17117" s="85"/>
    </row>
    <row r="17118" spans="9:13" x14ac:dyDescent="0.3">
      <c r="I17118" s="82"/>
      <c r="M17118" s="85"/>
    </row>
    <row r="17119" spans="9:13" x14ac:dyDescent="0.3">
      <c r="I17119" s="82"/>
      <c r="M17119" s="85"/>
    </row>
    <row r="17120" spans="9:13" x14ac:dyDescent="0.3">
      <c r="I17120" s="82"/>
      <c r="M17120" s="85"/>
    </row>
    <row r="17121" spans="9:13" x14ac:dyDescent="0.3">
      <c r="I17121" s="82"/>
      <c r="M17121" s="85"/>
    </row>
    <row r="17122" spans="9:13" x14ac:dyDescent="0.3">
      <c r="I17122" s="82"/>
      <c r="M17122" s="85"/>
    </row>
    <row r="17123" spans="9:13" x14ac:dyDescent="0.3">
      <c r="I17123" s="82"/>
      <c r="M17123" s="85"/>
    </row>
    <row r="17124" spans="9:13" x14ac:dyDescent="0.3">
      <c r="I17124" s="82"/>
      <c r="M17124" s="85"/>
    </row>
    <row r="17125" spans="9:13" x14ac:dyDescent="0.3">
      <c r="I17125" s="82"/>
      <c r="M17125" s="85"/>
    </row>
    <row r="17126" spans="9:13" x14ac:dyDescent="0.3">
      <c r="I17126" s="82"/>
      <c r="M17126" s="85"/>
    </row>
    <row r="17127" spans="9:13" x14ac:dyDescent="0.3">
      <c r="I17127" s="82"/>
      <c r="M17127" s="85"/>
    </row>
    <row r="17128" spans="9:13" x14ac:dyDescent="0.3">
      <c r="I17128" s="82"/>
      <c r="M17128" s="85"/>
    </row>
    <row r="17129" spans="9:13" x14ac:dyDescent="0.3">
      <c r="I17129" s="82"/>
      <c r="M17129" s="85"/>
    </row>
    <row r="17130" spans="9:13" x14ac:dyDescent="0.3">
      <c r="I17130" s="82"/>
      <c r="M17130" s="85"/>
    </row>
    <row r="17131" spans="9:13" x14ac:dyDescent="0.3">
      <c r="I17131" s="82"/>
      <c r="M17131" s="85"/>
    </row>
    <row r="17132" spans="9:13" x14ac:dyDescent="0.3">
      <c r="I17132" s="82"/>
      <c r="M17132" s="85"/>
    </row>
    <row r="17133" spans="9:13" x14ac:dyDescent="0.3">
      <c r="I17133" s="82"/>
      <c r="M17133" s="85"/>
    </row>
    <row r="17134" spans="9:13" x14ac:dyDescent="0.3">
      <c r="I17134" s="82"/>
      <c r="M17134" s="85"/>
    </row>
    <row r="17135" spans="9:13" x14ac:dyDescent="0.3">
      <c r="I17135" s="82"/>
      <c r="M17135" s="85"/>
    </row>
    <row r="17136" spans="9:13" x14ac:dyDescent="0.3">
      <c r="I17136" s="82"/>
      <c r="M17136" s="85"/>
    </row>
    <row r="17137" spans="9:13" x14ac:dyDescent="0.3">
      <c r="I17137" s="82"/>
      <c r="M17137" s="85"/>
    </row>
    <row r="17138" spans="9:13" x14ac:dyDescent="0.3">
      <c r="I17138" s="82"/>
      <c r="M17138" s="85"/>
    </row>
    <row r="17139" spans="9:13" x14ac:dyDescent="0.3">
      <c r="I17139" s="82"/>
      <c r="M17139" s="85"/>
    </row>
    <row r="17140" spans="9:13" x14ac:dyDescent="0.3">
      <c r="I17140" s="82"/>
      <c r="M17140" s="85"/>
    </row>
    <row r="17141" spans="9:13" x14ac:dyDescent="0.3">
      <c r="I17141" s="82"/>
      <c r="M17141" s="85"/>
    </row>
    <row r="17142" spans="9:13" x14ac:dyDescent="0.3">
      <c r="I17142" s="82"/>
      <c r="M17142" s="85"/>
    </row>
    <row r="17143" spans="9:13" x14ac:dyDescent="0.3">
      <c r="I17143" s="82"/>
      <c r="M17143" s="85"/>
    </row>
    <row r="17144" spans="9:13" x14ac:dyDescent="0.3">
      <c r="I17144" s="82"/>
      <c r="M17144" s="85"/>
    </row>
    <row r="17145" spans="9:13" x14ac:dyDescent="0.3">
      <c r="I17145" s="82"/>
      <c r="M17145" s="85"/>
    </row>
    <row r="17146" spans="9:13" x14ac:dyDescent="0.3">
      <c r="I17146" s="82"/>
      <c r="M17146" s="85"/>
    </row>
    <row r="17147" spans="9:13" x14ac:dyDescent="0.3">
      <c r="I17147" s="82"/>
      <c r="M17147" s="85"/>
    </row>
    <row r="17148" spans="9:13" x14ac:dyDescent="0.3">
      <c r="I17148" s="82"/>
      <c r="M17148" s="85"/>
    </row>
    <row r="17149" spans="9:13" x14ac:dyDescent="0.3">
      <c r="I17149" s="82"/>
      <c r="M17149" s="85"/>
    </row>
    <row r="17150" spans="9:13" x14ac:dyDescent="0.3">
      <c r="I17150" s="82"/>
      <c r="M17150" s="85"/>
    </row>
    <row r="17151" spans="9:13" x14ac:dyDescent="0.3">
      <c r="I17151" s="82"/>
      <c r="M17151" s="85"/>
    </row>
    <row r="17152" spans="9:13" x14ac:dyDescent="0.3">
      <c r="I17152" s="82"/>
      <c r="M17152" s="85"/>
    </row>
    <row r="17153" spans="9:13" x14ac:dyDescent="0.3">
      <c r="I17153" s="82"/>
      <c r="M17153" s="85"/>
    </row>
    <row r="17154" spans="9:13" x14ac:dyDescent="0.3">
      <c r="I17154" s="82"/>
      <c r="M17154" s="85"/>
    </row>
    <row r="17155" spans="9:13" x14ac:dyDescent="0.3">
      <c r="I17155" s="82"/>
      <c r="M17155" s="85"/>
    </row>
    <row r="17156" spans="9:13" x14ac:dyDescent="0.3">
      <c r="I17156" s="82"/>
      <c r="M17156" s="85"/>
    </row>
    <row r="17157" spans="9:13" x14ac:dyDescent="0.3">
      <c r="I17157" s="82"/>
      <c r="M17157" s="85"/>
    </row>
    <row r="17158" spans="9:13" x14ac:dyDescent="0.3">
      <c r="I17158" s="82"/>
      <c r="M17158" s="85"/>
    </row>
    <row r="17159" spans="9:13" x14ac:dyDescent="0.3">
      <c r="I17159" s="82"/>
      <c r="M17159" s="85"/>
    </row>
    <row r="17160" spans="9:13" x14ac:dyDescent="0.3">
      <c r="I17160" s="82"/>
      <c r="M17160" s="85"/>
    </row>
    <row r="17161" spans="9:13" x14ac:dyDescent="0.3">
      <c r="I17161" s="82"/>
      <c r="M17161" s="85"/>
    </row>
    <row r="17162" spans="9:13" x14ac:dyDescent="0.3">
      <c r="I17162" s="82"/>
      <c r="M17162" s="85"/>
    </row>
    <row r="17163" spans="9:13" x14ac:dyDescent="0.3">
      <c r="I17163" s="82"/>
      <c r="M17163" s="85"/>
    </row>
    <row r="17164" spans="9:13" x14ac:dyDescent="0.3">
      <c r="I17164" s="82"/>
      <c r="M17164" s="85"/>
    </row>
    <row r="17165" spans="9:13" x14ac:dyDescent="0.3">
      <c r="I17165" s="82"/>
      <c r="M17165" s="85"/>
    </row>
    <row r="17166" spans="9:13" x14ac:dyDescent="0.3">
      <c r="I17166" s="82"/>
      <c r="M17166" s="85"/>
    </row>
    <row r="17167" spans="9:13" x14ac:dyDescent="0.3">
      <c r="I17167" s="82"/>
      <c r="M17167" s="85"/>
    </row>
    <row r="17168" spans="9:13" x14ac:dyDescent="0.3">
      <c r="I17168" s="82"/>
      <c r="M17168" s="85"/>
    </row>
    <row r="17169" spans="9:13" x14ac:dyDescent="0.3">
      <c r="I17169" s="82"/>
      <c r="M17169" s="85"/>
    </row>
    <row r="17170" spans="9:13" x14ac:dyDescent="0.3">
      <c r="I17170" s="82"/>
      <c r="M17170" s="85"/>
    </row>
    <row r="17171" spans="9:13" x14ac:dyDescent="0.3">
      <c r="I17171" s="82"/>
      <c r="M17171" s="85"/>
    </row>
    <row r="17172" spans="9:13" x14ac:dyDescent="0.3">
      <c r="I17172" s="82"/>
      <c r="M17172" s="85"/>
    </row>
    <row r="17173" spans="9:13" x14ac:dyDescent="0.3">
      <c r="I17173" s="82"/>
      <c r="M17173" s="85"/>
    </row>
    <row r="17174" spans="9:13" x14ac:dyDescent="0.3">
      <c r="I17174" s="82"/>
      <c r="M17174" s="85"/>
    </row>
    <row r="17175" spans="9:13" x14ac:dyDescent="0.3">
      <c r="I17175" s="82"/>
      <c r="M17175" s="85"/>
    </row>
    <row r="17176" spans="9:13" x14ac:dyDescent="0.3">
      <c r="I17176" s="82"/>
      <c r="M17176" s="85"/>
    </row>
    <row r="17177" spans="9:13" x14ac:dyDescent="0.3">
      <c r="I17177" s="82"/>
      <c r="M17177" s="85"/>
    </row>
    <row r="17178" spans="9:13" x14ac:dyDescent="0.3">
      <c r="I17178" s="82"/>
      <c r="M17178" s="85"/>
    </row>
    <row r="17179" spans="9:13" x14ac:dyDescent="0.3">
      <c r="I17179" s="82"/>
      <c r="M17179" s="85"/>
    </row>
    <row r="17180" spans="9:13" x14ac:dyDescent="0.3">
      <c r="I17180" s="82"/>
      <c r="M17180" s="85"/>
    </row>
    <row r="17181" spans="9:13" x14ac:dyDescent="0.3">
      <c r="I17181" s="82"/>
      <c r="M17181" s="85"/>
    </row>
    <row r="17182" spans="9:13" x14ac:dyDescent="0.3">
      <c r="I17182" s="82"/>
      <c r="M17182" s="85"/>
    </row>
    <row r="17183" spans="9:13" x14ac:dyDescent="0.3">
      <c r="I17183" s="82"/>
      <c r="M17183" s="85"/>
    </row>
    <row r="17184" spans="9:13" x14ac:dyDescent="0.3">
      <c r="I17184" s="82"/>
      <c r="M17184" s="85"/>
    </row>
    <row r="17185" spans="9:13" x14ac:dyDescent="0.3">
      <c r="I17185" s="82"/>
      <c r="M17185" s="85"/>
    </row>
    <row r="17186" spans="9:13" x14ac:dyDescent="0.3">
      <c r="I17186" s="82"/>
      <c r="M17186" s="85"/>
    </row>
    <row r="17187" spans="9:13" x14ac:dyDescent="0.3">
      <c r="I17187" s="82"/>
      <c r="M17187" s="85"/>
    </row>
    <row r="17188" spans="9:13" x14ac:dyDescent="0.3">
      <c r="I17188" s="82"/>
      <c r="M17188" s="85"/>
    </row>
    <row r="17189" spans="9:13" x14ac:dyDescent="0.3">
      <c r="I17189" s="82"/>
      <c r="M17189" s="85"/>
    </row>
    <row r="17190" spans="9:13" x14ac:dyDescent="0.3">
      <c r="I17190" s="82"/>
      <c r="M17190" s="85"/>
    </row>
    <row r="17191" spans="9:13" x14ac:dyDescent="0.3">
      <c r="I17191" s="82"/>
      <c r="M17191" s="85"/>
    </row>
    <row r="17192" spans="9:13" x14ac:dyDescent="0.3">
      <c r="I17192" s="82"/>
      <c r="M17192" s="85"/>
    </row>
    <row r="17193" spans="9:13" x14ac:dyDescent="0.3">
      <c r="I17193" s="82"/>
      <c r="M17193" s="85"/>
    </row>
    <row r="17194" spans="9:13" x14ac:dyDescent="0.3">
      <c r="I17194" s="82"/>
      <c r="M17194" s="85"/>
    </row>
    <row r="17195" spans="9:13" x14ac:dyDescent="0.3">
      <c r="I17195" s="82"/>
      <c r="M17195" s="85"/>
    </row>
    <row r="17196" spans="9:13" x14ac:dyDescent="0.3">
      <c r="I17196" s="82"/>
      <c r="M17196" s="85"/>
    </row>
    <row r="17197" spans="9:13" x14ac:dyDescent="0.3">
      <c r="I17197" s="82"/>
      <c r="M17197" s="85"/>
    </row>
    <row r="17198" spans="9:13" x14ac:dyDescent="0.3">
      <c r="I17198" s="82"/>
      <c r="M17198" s="85"/>
    </row>
    <row r="17199" spans="9:13" x14ac:dyDescent="0.3">
      <c r="I17199" s="82"/>
      <c r="M17199" s="85"/>
    </row>
    <row r="17200" spans="9:13" x14ac:dyDescent="0.3">
      <c r="I17200" s="82"/>
      <c r="M17200" s="85"/>
    </row>
    <row r="17201" spans="9:13" x14ac:dyDescent="0.3">
      <c r="I17201" s="82"/>
      <c r="M17201" s="85"/>
    </row>
    <row r="17202" spans="9:13" x14ac:dyDescent="0.3">
      <c r="I17202" s="82"/>
      <c r="M17202" s="85"/>
    </row>
    <row r="17203" spans="9:13" x14ac:dyDescent="0.3">
      <c r="I17203" s="82"/>
      <c r="M17203" s="85"/>
    </row>
    <row r="17204" spans="9:13" x14ac:dyDescent="0.3">
      <c r="I17204" s="82"/>
      <c r="M17204" s="85"/>
    </row>
    <row r="17205" spans="9:13" x14ac:dyDescent="0.3">
      <c r="I17205" s="82"/>
      <c r="M17205" s="85"/>
    </row>
    <row r="17206" spans="9:13" x14ac:dyDescent="0.3">
      <c r="I17206" s="82"/>
      <c r="M17206" s="85"/>
    </row>
    <row r="17207" spans="9:13" x14ac:dyDescent="0.3">
      <c r="I17207" s="82"/>
      <c r="M17207" s="85"/>
    </row>
    <row r="17208" spans="9:13" x14ac:dyDescent="0.3">
      <c r="I17208" s="82"/>
      <c r="M17208" s="85"/>
    </row>
    <row r="17209" spans="9:13" x14ac:dyDescent="0.3">
      <c r="I17209" s="82"/>
      <c r="M17209" s="85"/>
    </row>
    <row r="17210" spans="9:13" x14ac:dyDescent="0.3">
      <c r="I17210" s="82"/>
      <c r="M17210" s="85"/>
    </row>
    <row r="17211" spans="9:13" x14ac:dyDescent="0.3">
      <c r="I17211" s="82"/>
      <c r="M17211" s="85"/>
    </row>
    <row r="17212" spans="9:13" x14ac:dyDescent="0.3">
      <c r="I17212" s="82"/>
      <c r="M17212" s="85"/>
    </row>
    <row r="17213" spans="9:13" x14ac:dyDescent="0.3">
      <c r="I17213" s="82"/>
      <c r="M17213" s="85"/>
    </row>
    <row r="17214" spans="9:13" x14ac:dyDescent="0.3">
      <c r="I17214" s="82"/>
      <c r="M17214" s="85"/>
    </row>
    <row r="17215" spans="9:13" x14ac:dyDescent="0.3">
      <c r="I17215" s="82"/>
      <c r="M17215" s="85"/>
    </row>
    <row r="17216" spans="9:13" x14ac:dyDescent="0.3">
      <c r="I17216" s="82"/>
      <c r="M17216" s="85"/>
    </row>
    <row r="17217" spans="9:13" x14ac:dyDescent="0.3">
      <c r="I17217" s="82"/>
      <c r="M17217" s="85"/>
    </row>
    <row r="17218" spans="9:13" x14ac:dyDescent="0.3">
      <c r="I17218" s="82"/>
      <c r="M17218" s="85"/>
    </row>
    <row r="17219" spans="9:13" x14ac:dyDescent="0.3">
      <c r="I17219" s="82"/>
      <c r="M17219" s="85"/>
    </row>
    <row r="17220" spans="9:13" x14ac:dyDescent="0.3">
      <c r="I17220" s="82"/>
      <c r="M17220" s="85"/>
    </row>
    <row r="17221" spans="9:13" x14ac:dyDescent="0.3">
      <c r="I17221" s="82"/>
      <c r="M17221" s="85"/>
    </row>
    <row r="17222" spans="9:13" x14ac:dyDescent="0.3">
      <c r="I17222" s="82"/>
      <c r="M17222" s="85"/>
    </row>
    <row r="17223" spans="9:13" x14ac:dyDescent="0.3">
      <c r="I17223" s="82"/>
      <c r="M17223" s="85"/>
    </row>
    <row r="17224" spans="9:13" x14ac:dyDescent="0.3">
      <c r="I17224" s="82"/>
      <c r="M17224" s="85"/>
    </row>
    <row r="17225" spans="9:13" x14ac:dyDescent="0.3">
      <c r="I17225" s="82"/>
      <c r="M17225" s="85"/>
    </row>
    <row r="17226" spans="9:13" x14ac:dyDescent="0.3">
      <c r="I17226" s="82"/>
      <c r="M17226" s="85"/>
    </row>
    <row r="17227" spans="9:13" x14ac:dyDescent="0.3">
      <c r="I17227" s="82"/>
      <c r="M17227" s="85"/>
    </row>
    <row r="17228" spans="9:13" x14ac:dyDescent="0.3">
      <c r="I17228" s="82"/>
      <c r="M17228" s="85"/>
    </row>
    <row r="17229" spans="9:13" x14ac:dyDescent="0.3">
      <c r="I17229" s="82"/>
      <c r="M17229" s="85"/>
    </row>
    <row r="17230" spans="9:13" x14ac:dyDescent="0.3">
      <c r="I17230" s="82"/>
      <c r="M17230" s="85"/>
    </row>
    <row r="17231" spans="9:13" x14ac:dyDescent="0.3">
      <c r="I17231" s="82"/>
      <c r="M17231" s="85"/>
    </row>
    <row r="17232" spans="9:13" x14ac:dyDescent="0.3">
      <c r="I17232" s="82"/>
      <c r="M17232" s="85"/>
    </row>
    <row r="17233" spans="9:13" x14ac:dyDescent="0.3">
      <c r="I17233" s="82"/>
      <c r="M17233" s="85"/>
    </row>
    <row r="17234" spans="9:13" x14ac:dyDescent="0.3">
      <c r="I17234" s="82"/>
      <c r="M17234" s="85"/>
    </row>
    <row r="17235" spans="9:13" x14ac:dyDescent="0.3">
      <c r="I17235" s="82"/>
      <c r="M17235" s="85"/>
    </row>
    <row r="17236" spans="9:13" x14ac:dyDescent="0.3">
      <c r="I17236" s="82"/>
      <c r="M17236" s="85"/>
    </row>
    <row r="17237" spans="9:13" x14ac:dyDescent="0.3">
      <c r="I17237" s="82"/>
      <c r="M17237" s="85"/>
    </row>
    <row r="17238" spans="9:13" x14ac:dyDescent="0.3">
      <c r="I17238" s="82"/>
      <c r="M17238" s="85"/>
    </row>
    <row r="17239" spans="9:13" x14ac:dyDescent="0.3">
      <c r="I17239" s="82"/>
      <c r="M17239" s="85"/>
    </row>
    <row r="17240" spans="9:13" x14ac:dyDescent="0.3">
      <c r="I17240" s="82"/>
      <c r="M17240" s="85"/>
    </row>
    <row r="17241" spans="9:13" x14ac:dyDescent="0.3">
      <c r="I17241" s="82"/>
      <c r="M17241" s="85"/>
    </row>
    <row r="17242" spans="9:13" x14ac:dyDescent="0.3">
      <c r="I17242" s="82"/>
      <c r="M17242" s="85"/>
    </row>
    <row r="17243" spans="9:13" x14ac:dyDescent="0.3">
      <c r="I17243" s="82"/>
      <c r="M17243" s="85"/>
    </row>
    <row r="17244" spans="9:13" x14ac:dyDescent="0.3">
      <c r="I17244" s="82"/>
      <c r="M17244" s="85"/>
    </row>
    <row r="17245" spans="9:13" x14ac:dyDescent="0.3">
      <c r="I17245" s="82"/>
      <c r="M17245" s="85"/>
    </row>
    <row r="17246" spans="9:13" x14ac:dyDescent="0.3">
      <c r="I17246" s="82"/>
      <c r="M17246" s="85"/>
    </row>
    <row r="17247" spans="9:13" x14ac:dyDescent="0.3">
      <c r="I17247" s="82"/>
      <c r="M17247" s="85"/>
    </row>
    <row r="17248" spans="9:13" x14ac:dyDescent="0.3">
      <c r="I17248" s="82"/>
      <c r="M17248" s="85"/>
    </row>
    <row r="17249" spans="9:13" x14ac:dyDescent="0.3">
      <c r="I17249" s="82"/>
      <c r="M17249" s="85"/>
    </row>
    <row r="17250" spans="9:13" x14ac:dyDescent="0.3">
      <c r="I17250" s="82"/>
      <c r="M17250" s="85"/>
    </row>
    <row r="17251" spans="9:13" x14ac:dyDescent="0.3">
      <c r="I17251" s="82"/>
      <c r="M17251" s="85"/>
    </row>
    <row r="17252" spans="9:13" x14ac:dyDescent="0.3">
      <c r="I17252" s="82"/>
      <c r="M17252" s="85"/>
    </row>
    <row r="17253" spans="9:13" x14ac:dyDescent="0.3">
      <c r="I17253" s="82"/>
      <c r="M17253" s="85"/>
    </row>
    <row r="17254" spans="9:13" x14ac:dyDescent="0.3">
      <c r="I17254" s="82"/>
      <c r="M17254" s="85"/>
    </row>
    <row r="17255" spans="9:13" x14ac:dyDescent="0.3">
      <c r="I17255" s="82"/>
      <c r="M17255" s="85"/>
    </row>
    <row r="17256" spans="9:13" x14ac:dyDescent="0.3">
      <c r="I17256" s="82"/>
      <c r="M17256" s="85"/>
    </row>
    <row r="17257" spans="9:13" x14ac:dyDescent="0.3">
      <c r="I17257" s="82"/>
      <c r="M17257" s="85"/>
    </row>
    <row r="17258" spans="9:13" x14ac:dyDescent="0.3">
      <c r="I17258" s="82"/>
      <c r="M17258" s="85"/>
    </row>
    <row r="17259" spans="9:13" x14ac:dyDescent="0.3">
      <c r="I17259" s="82"/>
      <c r="M17259" s="85"/>
    </row>
    <row r="17260" spans="9:13" x14ac:dyDescent="0.3">
      <c r="I17260" s="82"/>
      <c r="M17260" s="85"/>
    </row>
    <row r="17261" spans="9:13" x14ac:dyDescent="0.3">
      <c r="I17261" s="82"/>
      <c r="M17261" s="85"/>
    </row>
    <row r="17262" spans="9:13" x14ac:dyDescent="0.3">
      <c r="I17262" s="82"/>
      <c r="M17262" s="85"/>
    </row>
    <row r="17263" spans="9:13" x14ac:dyDescent="0.3">
      <c r="I17263" s="82"/>
      <c r="M17263" s="85"/>
    </row>
    <row r="17264" spans="9:13" x14ac:dyDescent="0.3">
      <c r="I17264" s="82"/>
      <c r="M17264" s="85"/>
    </row>
    <row r="17265" spans="9:13" x14ac:dyDescent="0.3">
      <c r="I17265" s="82"/>
      <c r="M17265" s="85"/>
    </row>
    <row r="17266" spans="9:13" x14ac:dyDescent="0.3">
      <c r="I17266" s="82"/>
      <c r="M17266" s="85"/>
    </row>
    <row r="17267" spans="9:13" x14ac:dyDescent="0.3">
      <c r="I17267" s="82"/>
      <c r="M17267" s="85"/>
    </row>
    <row r="17268" spans="9:13" x14ac:dyDescent="0.3">
      <c r="I17268" s="82"/>
      <c r="M17268" s="85"/>
    </row>
    <row r="17269" spans="9:13" x14ac:dyDescent="0.3">
      <c r="I17269" s="82"/>
      <c r="M17269" s="85"/>
    </row>
    <row r="17270" spans="9:13" x14ac:dyDescent="0.3">
      <c r="I17270" s="82"/>
      <c r="M17270" s="85"/>
    </row>
    <row r="17271" spans="9:13" x14ac:dyDescent="0.3">
      <c r="I17271" s="82"/>
      <c r="M17271" s="85"/>
    </row>
    <row r="17272" spans="9:13" x14ac:dyDescent="0.3">
      <c r="I17272" s="82"/>
      <c r="M17272" s="85"/>
    </row>
    <row r="17273" spans="9:13" x14ac:dyDescent="0.3">
      <c r="I17273" s="82"/>
      <c r="M17273" s="85"/>
    </row>
    <row r="17274" spans="9:13" x14ac:dyDescent="0.3">
      <c r="I17274" s="82"/>
      <c r="M17274" s="85"/>
    </row>
    <row r="17275" spans="9:13" x14ac:dyDescent="0.3">
      <c r="I17275" s="82"/>
      <c r="M17275" s="85"/>
    </row>
    <row r="17276" spans="9:13" x14ac:dyDescent="0.3">
      <c r="I17276" s="82"/>
      <c r="M17276" s="85"/>
    </row>
    <row r="17277" spans="9:13" x14ac:dyDescent="0.3">
      <c r="I17277" s="82"/>
      <c r="M17277" s="85"/>
    </row>
    <row r="17278" spans="9:13" x14ac:dyDescent="0.3">
      <c r="I17278" s="82"/>
      <c r="M17278" s="85"/>
    </row>
    <row r="17279" spans="9:13" x14ac:dyDescent="0.3">
      <c r="I17279" s="82"/>
      <c r="M17279" s="85"/>
    </row>
    <row r="17280" spans="9:13" x14ac:dyDescent="0.3">
      <c r="I17280" s="82"/>
      <c r="M17280" s="85"/>
    </row>
    <row r="17281" spans="9:13" x14ac:dyDescent="0.3">
      <c r="I17281" s="82"/>
      <c r="M17281" s="85"/>
    </row>
    <row r="17282" spans="9:13" x14ac:dyDescent="0.3">
      <c r="I17282" s="82"/>
      <c r="M17282" s="85"/>
    </row>
    <row r="17283" spans="9:13" x14ac:dyDescent="0.3">
      <c r="I17283" s="82"/>
      <c r="M17283" s="85"/>
    </row>
    <row r="17284" spans="9:13" x14ac:dyDescent="0.3">
      <c r="I17284" s="82"/>
      <c r="M17284" s="85"/>
    </row>
    <row r="17285" spans="9:13" x14ac:dyDescent="0.3">
      <c r="I17285" s="82"/>
      <c r="M17285" s="85"/>
    </row>
    <row r="17286" spans="9:13" x14ac:dyDescent="0.3">
      <c r="I17286" s="82"/>
      <c r="M17286" s="85"/>
    </row>
    <row r="17287" spans="9:13" x14ac:dyDescent="0.3">
      <c r="I17287" s="82"/>
      <c r="M17287" s="85"/>
    </row>
    <row r="17288" spans="9:13" x14ac:dyDescent="0.3">
      <c r="I17288" s="82"/>
      <c r="M17288" s="85"/>
    </row>
    <row r="17289" spans="9:13" x14ac:dyDescent="0.3">
      <c r="I17289" s="82"/>
      <c r="M17289" s="85"/>
    </row>
    <row r="17290" spans="9:13" x14ac:dyDescent="0.3">
      <c r="I17290" s="82"/>
      <c r="M17290" s="85"/>
    </row>
    <row r="17291" spans="9:13" x14ac:dyDescent="0.3">
      <c r="I17291" s="82"/>
      <c r="M17291" s="85"/>
    </row>
    <row r="17292" spans="9:13" x14ac:dyDescent="0.3">
      <c r="I17292" s="82"/>
      <c r="M17292" s="85"/>
    </row>
    <row r="17293" spans="9:13" x14ac:dyDescent="0.3">
      <c r="I17293" s="82"/>
      <c r="M17293" s="85"/>
    </row>
    <row r="17294" spans="9:13" x14ac:dyDescent="0.3">
      <c r="I17294" s="82"/>
      <c r="M17294" s="85"/>
    </row>
    <row r="17295" spans="9:13" x14ac:dyDescent="0.3">
      <c r="I17295" s="82"/>
      <c r="M17295" s="85"/>
    </row>
    <row r="17296" spans="9:13" x14ac:dyDescent="0.3">
      <c r="I17296" s="82"/>
      <c r="M17296" s="85"/>
    </row>
    <row r="17297" spans="9:13" x14ac:dyDescent="0.3">
      <c r="I17297" s="82"/>
      <c r="M17297" s="85"/>
    </row>
    <row r="17298" spans="9:13" x14ac:dyDescent="0.3">
      <c r="I17298" s="82"/>
      <c r="M17298" s="85"/>
    </row>
    <row r="17299" spans="9:13" x14ac:dyDescent="0.3">
      <c r="I17299" s="82"/>
      <c r="M17299" s="85"/>
    </row>
    <row r="17300" spans="9:13" x14ac:dyDescent="0.3">
      <c r="I17300" s="82"/>
      <c r="M17300" s="85"/>
    </row>
    <row r="17301" spans="9:13" x14ac:dyDescent="0.3">
      <c r="I17301" s="82"/>
      <c r="M17301" s="85"/>
    </row>
    <row r="17302" spans="9:13" x14ac:dyDescent="0.3">
      <c r="I17302" s="82"/>
      <c r="M17302" s="85"/>
    </row>
    <row r="17303" spans="9:13" x14ac:dyDescent="0.3">
      <c r="I17303" s="82"/>
      <c r="M17303" s="85"/>
    </row>
    <row r="17304" spans="9:13" x14ac:dyDescent="0.3">
      <c r="I17304" s="82"/>
      <c r="M17304" s="85"/>
    </row>
    <row r="17305" spans="9:13" x14ac:dyDescent="0.3">
      <c r="I17305" s="82"/>
      <c r="M17305" s="85"/>
    </row>
    <row r="17306" spans="9:13" x14ac:dyDescent="0.3">
      <c r="I17306" s="82"/>
      <c r="M17306" s="85"/>
    </row>
    <row r="17307" spans="9:13" x14ac:dyDescent="0.3">
      <c r="I17307" s="82"/>
      <c r="M17307" s="85"/>
    </row>
    <row r="17308" spans="9:13" x14ac:dyDescent="0.3">
      <c r="I17308" s="82"/>
      <c r="M17308" s="85"/>
    </row>
    <row r="17309" spans="9:13" x14ac:dyDescent="0.3">
      <c r="I17309" s="82"/>
      <c r="M17309" s="85"/>
    </row>
    <row r="17310" spans="9:13" x14ac:dyDescent="0.3">
      <c r="I17310" s="82"/>
      <c r="M17310" s="85"/>
    </row>
    <row r="17311" spans="9:13" x14ac:dyDescent="0.3">
      <c r="I17311" s="82"/>
      <c r="M17311" s="85"/>
    </row>
    <row r="17312" spans="9:13" x14ac:dyDescent="0.3">
      <c r="I17312" s="82"/>
      <c r="M17312" s="85"/>
    </row>
    <row r="17313" spans="9:13" x14ac:dyDescent="0.3">
      <c r="I17313" s="82"/>
      <c r="M17313" s="85"/>
    </row>
    <row r="17314" spans="9:13" x14ac:dyDescent="0.3">
      <c r="I17314" s="82"/>
      <c r="M17314" s="85"/>
    </row>
    <row r="17315" spans="9:13" x14ac:dyDescent="0.3">
      <c r="I17315" s="82"/>
      <c r="M17315" s="85"/>
    </row>
    <row r="17316" spans="9:13" x14ac:dyDescent="0.3">
      <c r="I17316" s="82"/>
      <c r="M17316" s="85"/>
    </row>
    <row r="17317" spans="9:13" x14ac:dyDescent="0.3">
      <c r="I17317" s="82"/>
      <c r="M17317" s="85"/>
    </row>
    <row r="17318" spans="9:13" x14ac:dyDescent="0.3">
      <c r="I17318" s="82"/>
      <c r="M17318" s="85"/>
    </row>
    <row r="17319" spans="9:13" x14ac:dyDescent="0.3">
      <c r="I17319" s="82"/>
      <c r="M17319" s="85"/>
    </row>
    <row r="17320" spans="9:13" x14ac:dyDescent="0.3">
      <c r="I17320" s="82"/>
      <c r="M17320" s="85"/>
    </row>
    <row r="17321" spans="9:13" x14ac:dyDescent="0.3">
      <c r="I17321" s="82"/>
      <c r="M17321" s="85"/>
    </row>
    <row r="17322" spans="9:13" x14ac:dyDescent="0.3">
      <c r="I17322" s="82"/>
      <c r="M17322" s="85"/>
    </row>
    <row r="17323" spans="9:13" x14ac:dyDescent="0.3">
      <c r="I17323" s="82"/>
      <c r="M17323" s="85"/>
    </row>
    <row r="17324" spans="9:13" x14ac:dyDescent="0.3">
      <c r="I17324" s="82"/>
      <c r="M17324" s="85"/>
    </row>
    <row r="17325" spans="9:13" x14ac:dyDescent="0.3">
      <c r="I17325" s="82"/>
      <c r="M17325" s="85"/>
    </row>
    <row r="17326" spans="9:13" x14ac:dyDescent="0.3">
      <c r="I17326" s="82"/>
      <c r="M17326" s="85"/>
    </row>
    <row r="17327" spans="9:13" x14ac:dyDescent="0.3">
      <c r="I17327" s="82"/>
      <c r="M17327" s="85"/>
    </row>
    <row r="17328" spans="9:13" x14ac:dyDescent="0.3">
      <c r="I17328" s="82"/>
      <c r="M17328" s="85"/>
    </row>
    <row r="17329" spans="9:13" x14ac:dyDescent="0.3">
      <c r="I17329" s="82"/>
      <c r="M17329" s="85"/>
    </row>
    <row r="17330" spans="9:13" x14ac:dyDescent="0.3">
      <c r="I17330" s="82"/>
      <c r="M17330" s="85"/>
    </row>
    <row r="17331" spans="9:13" x14ac:dyDescent="0.3">
      <c r="I17331" s="82"/>
      <c r="M17331" s="85"/>
    </row>
    <row r="17332" spans="9:13" x14ac:dyDescent="0.3">
      <c r="I17332" s="82"/>
      <c r="M17332" s="85"/>
    </row>
    <row r="17333" spans="9:13" x14ac:dyDescent="0.3">
      <c r="I17333" s="82"/>
      <c r="M17333" s="85"/>
    </row>
    <row r="17334" spans="9:13" x14ac:dyDescent="0.3">
      <c r="I17334" s="82"/>
      <c r="M17334" s="85"/>
    </row>
    <row r="17335" spans="9:13" x14ac:dyDescent="0.3">
      <c r="I17335" s="82"/>
      <c r="M17335" s="85"/>
    </row>
    <row r="17336" spans="9:13" x14ac:dyDescent="0.3">
      <c r="I17336" s="82"/>
      <c r="M17336" s="85"/>
    </row>
    <row r="17337" spans="9:13" x14ac:dyDescent="0.3">
      <c r="I17337" s="82"/>
      <c r="M17337" s="85"/>
    </row>
    <row r="17338" spans="9:13" x14ac:dyDescent="0.3">
      <c r="I17338" s="82"/>
      <c r="M17338" s="85"/>
    </row>
    <row r="17339" spans="9:13" x14ac:dyDescent="0.3">
      <c r="I17339" s="82"/>
      <c r="M17339" s="85"/>
    </row>
    <row r="17340" spans="9:13" x14ac:dyDescent="0.3">
      <c r="I17340" s="82"/>
      <c r="M17340" s="85"/>
    </row>
    <row r="17341" spans="9:13" x14ac:dyDescent="0.3">
      <c r="I17341" s="82"/>
      <c r="M17341" s="85"/>
    </row>
    <row r="17342" spans="9:13" x14ac:dyDescent="0.3">
      <c r="I17342" s="82"/>
      <c r="M17342" s="85"/>
    </row>
    <row r="17343" spans="9:13" x14ac:dyDescent="0.3">
      <c r="I17343" s="82"/>
      <c r="M17343" s="85"/>
    </row>
    <row r="17344" spans="9:13" x14ac:dyDescent="0.3">
      <c r="I17344" s="82"/>
      <c r="M17344" s="85"/>
    </row>
    <row r="17345" spans="9:13" x14ac:dyDescent="0.3">
      <c r="I17345" s="82"/>
      <c r="M17345" s="85"/>
    </row>
    <row r="17346" spans="9:13" x14ac:dyDescent="0.3">
      <c r="I17346" s="82"/>
      <c r="M17346" s="85"/>
    </row>
    <row r="17347" spans="9:13" x14ac:dyDescent="0.3">
      <c r="I17347" s="82"/>
      <c r="M17347" s="85"/>
    </row>
    <row r="17348" spans="9:13" x14ac:dyDescent="0.3">
      <c r="I17348" s="82"/>
      <c r="M17348" s="85"/>
    </row>
    <row r="17349" spans="9:13" x14ac:dyDescent="0.3">
      <c r="I17349" s="82"/>
      <c r="M17349" s="85"/>
    </row>
    <row r="17350" spans="9:13" x14ac:dyDescent="0.3">
      <c r="I17350" s="82"/>
      <c r="M17350" s="85"/>
    </row>
    <row r="17351" spans="9:13" x14ac:dyDescent="0.3">
      <c r="I17351" s="82"/>
      <c r="M17351" s="85"/>
    </row>
    <row r="17352" spans="9:13" x14ac:dyDescent="0.3">
      <c r="I17352" s="82"/>
      <c r="M17352" s="85"/>
    </row>
    <row r="17353" spans="9:13" x14ac:dyDescent="0.3">
      <c r="I17353" s="82"/>
      <c r="M17353" s="85"/>
    </row>
    <row r="17354" spans="9:13" x14ac:dyDescent="0.3">
      <c r="I17354" s="82"/>
      <c r="M17354" s="85"/>
    </row>
    <row r="17355" spans="9:13" x14ac:dyDescent="0.3">
      <c r="I17355" s="82"/>
      <c r="M17355" s="85"/>
    </row>
    <row r="17356" spans="9:13" x14ac:dyDescent="0.3">
      <c r="I17356" s="82"/>
      <c r="M17356" s="85"/>
    </row>
    <row r="17357" spans="9:13" x14ac:dyDescent="0.3">
      <c r="I17357" s="82"/>
      <c r="M17357" s="85"/>
    </row>
    <row r="17358" spans="9:13" x14ac:dyDescent="0.3">
      <c r="I17358" s="82"/>
      <c r="M17358" s="85"/>
    </row>
    <row r="17359" spans="9:13" x14ac:dyDescent="0.3">
      <c r="I17359" s="82"/>
      <c r="M17359" s="85"/>
    </row>
    <row r="17360" spans="9:13" x14ac:dyDescent="0.3">
      <c r="I17360" s="82"/>
      <c r="M17360" s="85"/>
    </row>
    <row r="17361" spans="9:13" x14ac:dyDescent="0.3">
      <c r="I17361" s="82"/>
      <c r="M17361" s="85"/>
    </row>
    <row r="17362" spans="9:13" x14ac:dyDescent="0.3">
      <c r="I17362" s="82"/>
      <c r="M17362" s="85"/>
    </row>
    <row r="17363" spans="9:13" x14ac:dyDescent="0.3">
      <c r="I17363" s="82"/>
      <c r="M17363" s="85"/>
    </row>
    <row r="17364" spans="9:13" x14ac:dyDescent="0.3">
      <c r="I17364" s="82"/>
      <c r="M17364" s="85"/>
    </row>
    <row r="17365" spans="9:13" x14ac:dyDescent="0.3">
      <c r="I17365" s="82"/>
      <c r="M17365" s="85"/>
    </row>
    <row r="17366" spans="9:13" x14ac:dyDescent="0.3">
      <c r="I17366" s="82"/>
      <c r="M17366" s="85"/>
    </row>
    <row r="17367" spans="9:13" x14ac:dyDescent="0.3">
      <c r="I17367" s="82"/>
      <c r="M17367" s="85"/>
    </row>
    <row r="17368" spans="9:13" x14ac:dyDescent="0.3">
      <c r="I17368" s="82"/>
      <c r="M17368" s="85"/>
    </row>
    <row r="17369" spans="9:13" x14ac:dyDescent="0.3">
      <c r="I17369" s="82"/>
      <c r="M17369" s="85"/>
    </row>
    <row r="17370" spans="9:13" x14ac:dyDescent="0.3">
      <c r="I17370" s="82"/>
      <c r="M17370" s="85"/>
    </row>
    <row r="17371" spans="9:13" x14ac:dyDescent="0.3">
      <c r="I17371" s="82"/>
      <c r="M17371" s="85"/>
    </row>
    <row r="17372" spans="9:13" x14ac:dyDescent="0.3">
      <c r="I17372" s="82"/>
      <c r="M17372" s="85"/>
    </row>
    <row r="17373" spans="9:13" x14ac:dyDescent="0.3">
      <c r="I17373" s="82"/>
      <c r="M17373" s="85"/>
    </row>
    <row r="17374" spans="9:13" x14ac:dyDescent="0.3">
      <c r="I17374" s="82"/>
      <c r="M17374" s="85"/>
    </row>
    <row r="17375" spans="9:13" x14ac:dyDescent="0.3">
      <c r="I17375" s="82"/>
      <c r="M17375" s="85"/>
    </row>
    <row r="17376" spans="9:13" x14ac:dyDescent="0.3">
      <c r="I17376" s="82"/>
      <c r="M17376" s="85"/>
    </row>
    <row r="17377" spans="9:13" x14ac:dyDescent="0.3">
      <c r="I17377" s="82"/>
      <c r="M17377" s="85"/>
    </row>
    <row r="17378" spans="9:13" x14ac:dyDescent="0.3">
      <c r="I17378" s="82"/>
      <c r="M17378" s="85"/>
    </row>
    <row r="17379" spans="9:13" x14ac:dyDescent="0.3">
      <c r="I17379" s="82"/>
      <c r="M17379" s="85"/>
    </row>
    <row r="17380" spans="9:13" x14ac:dyDescent="0.3">
      <c r="I17380" s="82"/>
      <c r="M17380" s="85"/>
    </row>
    <row r="17381" spans="9:13" x14ac:dyDescent="0.3">
      <c r="I17381" s="82"/>
      <c r="M17381" s="85"/>
    </row>
    <row r="17382" spans="9:13" x14ac:dyDescent="0.3">
      <c r="I17382" s="82"/>
      <c r="M17382" s="85"/>
    </row>
    <row r="17383" spans="9:13" x14ac:dyDescent="0.3">
      <c r="I17383" s="82"/>
      <c r="M17383" s="85"/>
    </row>
    <row r="17384" spans="9:13" x14ac:dyDescent="0.3">
      <c r="I17384" s="82"/>
      <c r="M17384" s="85"/>
    </row>
    <row r="17385" spans="9:13" x14ac:dyDescent="0.3">
      <c r="I17385" s="82"/>
      <c r="M17385" s="85"/>
    </row>
    <row r="17386" spans="9:13" x14ac:dyDescent="0.3">
      <c r="I17386" s="82"/>
      <c r="M17386" s="85"/>
    </row>
    <row r="17387" spans="9:13" x14ac:dyDescent="0.3">
      <c r="I17387" s="82"/>
      <c r="M17387" s="85"/>
    </row>
    <row r="17388" spans="9:13" x14ac:dyDescent="0.3">
      <c r="I17388" s="82"/>
      <c r="M17388" s="85"/>
    </row>
    <row r="17389" spans="9:13" x14ac:dyDescent="0.3">
      <c r="I17389" s="82"/>
      <c r="M17389" s="85"/>
    </row>
    <row r="17390" spans="9:13" x14ac:dyDescent="0.3">
      <c r="I17390" s="82"/>
      <c r="M17390" s="85"/>
    </row>
    <row r="17391" spans="9:13" x14ac:dyDescent="0.3">
      <c r="I17391" s="82"/>
      <c r="M17391" s="85"/>
    </row>
    <row r="17392" spans="9:13" x14ac:dyDescent="0.3">
      <c r="I17392" s="82"/>
      <c r="M17392" s="85"/>
    </row>
    <row r="17393" spans="9:13" x14ac:dyDescent="0.3">
      <c r="I17393" s="82"/>
      <c r="M17393" s="85"/>
    </row>
    <row r="17394" spans="9:13" x14ac:dyDescent="0.3">
      <c r="I17394" s="82"/>
      <c r="M17394" s="85"/>
    </row>
    <row r="17395" spans="9:13" x14ac:dyDescent="0.3">
      <c r="I17395" s="82"/>
      <c r="M17395" s="85"/>
    </row>
    <row r="17396" spans="9:13" x14ac:dyDescent="0.3">
      <c r="I17396" s="82"/>
      <c r="M17396" s="85"/>
    </row>
    <row r="17397" spans="9:13" x14ac:dyDescent="0.3">
      <c r="I17397" s="82"/>
      <c r="M17397" s="85"/>
    </row>
    <row r="17398" spans="9:13" x14ac:dyDescent="0.3">
      <c r="I17398" s="82"/>
      <c r="M17398" s="85"/>
    </row>
    <row r="17399" spans="9:13" x14ac:dyDescent="0.3">
      <c r="I17399" s="82"/>
      <c r="M17399" s="85"/>
    </row>
    <row r="17400" spans="9:13" x14ac:dyDescent="0.3">
      <c r="I17400" s="82"/>
      <c r="M17400" s="85"/>
    </row>
    <row r="17401" spans="9:13" x14ac:dyDescent="0.3">
      <c r="I17401" s="82"/>
      <c r="M17401" s="85"/>
    </row>
    <row r="17402" spans="9:13" x14ac:dyDescent="0.3">
      <c r="I17402" s="82"/>
      <c r="M17402" s="85"/>
    </row>
    <row r="17403" spans="9:13" x14ac:dyDescent="0.3">
      <c r="I17403" s="82"/>
      <c r="M17403" s="85"/>
    </row>
    <row r="17404" spans="9:13" x14ac:dyDescent="0.3">
      <c r="I17404" s="82"/>
      <c r="M17404" s="85"/>
    </row>
    <row r="17405" spans="9:13" x14ac:dyDescent="0.3">
      <c r="I17405" s="82"/>
      <c r="M17405" s="85"/>
    </row>
    <row r="17406" spans="9:13" x14ac:dyDescent="0.3">
      <c r="I17406" s="82"/>
      <c r="M17406" s="85"/>
    </row>
    <row r="17407" spans="9:13" x14ac:dyDescent="0.3">
      <c r="I17407" s="82"/>
      <c r="M17407" s="85"/>
    </row>
    <row r="17408" spans="9:13" x14ac:dyDescent="0.3">
      <c r="I17408" s="82"/>
      <c r="M17408" s="85"/>
    </row>
    <row r="17409" spans="9:13" x14ac:dyDescent="0.3">
      <c r="I17409" s="82"/>
      <c r="M17409" s="85"/>
    </row>
    <row r="17410" spans="9:13" x14ac:dyDescent="0.3">
      <c r="I17410" s="82"/>
      <c r="M17410" s="85"/>
    </row>
    <row r="17411" spans="9:13" x14ac:dyDescent="0.3">
      <c r="I17411" s="82"/>
      <c r="M17411" s="85"/>
    </row>
    <row r="17412" spans="9:13" x14ac:dyDescent="0.3">
      <c r="I17412" s="82"/>
      <c r="M17412" s="85"/>
    </row>
    <row r="17413" spans="9:13" x14ac:dyDescent="0.3">
      <c r="I17413" s="82"/>
      <c r="M17413" s="85"/>
    </row>
    <row r="17414" spans="9:13" x14ac:dyDescent="0.3">
      <c r="I17414" s="82"/>
      <c r="M17414" s="85"/>
    </row>
    <row r="17415" spans="9:13" x14ac:dyDescent="0.3">
      <c r="I17415" s="82"/>
      <c r="M17415" s="85"/>
    </row>
    <row r="17416" spans="9:13" x14ac:dyDescent="0.3">
      <c r="I17416" s="82"/>
      <c r="M17416" s="85"/>
    </row>
    <row r="17417" spans="9:13" x14ac:dyDescent="0.3">
      <c r="I17417" s="82"/>
      <c r="M17417" s="85"/>
    </row>
    <row r="17418" spans="9:13" x14ac:dyDescent="0.3">
      <c r="I17418" s="82"/>
      <c r="M17418" s="85"/>
    </row>
    <row r="17419" spans="9:13" x14ac:dyDescent="0.3">
      <c r="I17419" s="82"/>
      <c r="M17419" s="85"/>
    </row>
    <row r="17420" spans="9:13" x14ac:dyDescent="0.3">
      <c r="I17420" s="82"/>
      <c r="M17420" s="85"/>
    </row>
    <row r="17421" spans="9:13" x14ac:dyDescent="0.3">
      <c r="I17421" s="82"/>
      <c r="M17421" s="85"/>
    </row>
    <row r="17422" spans="9:13" x14ac:dyDescent="0.3">
      <c r="I17422" s="82"/>
      <c r="M17422" s="85"/>
    </row>
    <row r="17423" spans="9:13" x14ac:dyDescent="0.3">
      <c r="I17423" s="82"/>
      <c r="M17423" s="85"/>
    </row>
    <row r="17424" spans="9:13" x14ac:dyDescent="0.3">
      <c r="I17424" s="82"/>
      <c r="M17424" s="85"/>
    </row>
    <row r="17425" spans="9:13" x14ac:dyDescent="0.3">
      <c r="I17425" s="82"/>
      <c r="M17425" s="85"/>
    </row>
    <row r="17426" spans="9:13" x14ac:dyDescent="0.3">
      <c r="I17426" s="82"/>
      <c r="M17426" s="85"/>
    </row>
    <row r="17427" spans="9:13" x14ac:dyDescent="0.3">
      <c r="I17427" s="82"/>
      <c r="M17427" s="85"/>
    </row>
    <row r="17428" spans="9:13" x14ac:dyDescent="0.3">
      <c r="I17428" s="82"/>
      <c r="M17428" s="85"/>
    </row>
    <row r="17429" spans="9:13" x14ac:dyDescent="0.3">
      <c r="I17429" s="82"/>
      <c r="M17429" s="85"/>
    </row>
    <row r="17430" spans="9:13" x14ac:dyDescent="0.3">
      <c r="I17430" s="82"/>
      <c r="M17430" s="85"/>
    </row>
    <row r="17431" spans="9:13" x14ac:dyDescent="0.3">
      <c r="I17431" s="82"/>
      <c r="M17431" s="85"/>
    </row>
    <row r="17432" spans="9:13" x14ac:dyDescent="0.3">
      <c r="I17432" s="82"/>
      <c r="M17432" s="85"/>
    </row>
    <row r="17433" spans="9:13" x14ac:dyDescent="0.3">
      <c r="I17433" s="82"/>
      <c r="M17433" s="85"/>
    </row>
    <row r="17434" spans="9:13" x14ac:dyDescent="0.3">
      <c r="I17434" s="82"/>
      <c r="M17434" s="85"/>
    </row>
    <row r="17435" spans="9:13" x14ac:dyDescent="0.3">
      <c r="I17435" s="82"/>
      <c r="M17435" s="85"/>
    </row>
    <row r="17436" spans="9:13" x14ac:dyDescent="0.3">
      <c r="I17436" s="82"/>
      <c r="M17436" s="85"/>
    </row>
    <row r="17437" spans="9:13" x14ac:dyDescent="0.3">
      <c r="I17437" s="82"/>
      <c r="M17437" s="85"/>
    </row>
    <row r="17438" spans="9:13" x14ac:dyDescent="0.3">
      <c r="I17438" s="82"/>
      <c r="M17438" s="85"/>
    </row>
    <row r="17439" spans="9:13" x14ac:dyDescent="0.3">
      <c r="I17439" s="82"/>
      <c r="M17439" s="85"/>
    </row>
    <row r="17440" spans="9:13" x14ac:dyDescent="0.3">
      <c r="I17440" s="82"/>
      <c r="M17440" s="85"/>
    </row>
    <row r="17441" spans="9:13" x14ac:dyDescent="0.3">
      <c r="I17441" s="82"/>
      <c r="M17441" s="85"/>
    </row>
    <row r="17442" spans="9:13" x14ac:dyDescent="0.3">
      <c r="I17442" s="82"/>
      <c r="M17442" s="85"/>
    </row>
    <row r="17443" spans="9:13" x14ac:dyDescent="0.3">
      <c r="I17443" s="82"/>
      <c r="M17443" s="85"/>
    </row>
    <row r="17444" spans="9:13" x14ac:dyDescent="0.3">
      <c r="I17444" s="82"/>
      <c r="M17444" s="85"/>
    </row>
    <row r="17445" spans="9:13" x14ac:dyDescent="0.3">
      <c r="I17445" s="82"/>
      <c r="M17445" s="85"/>
    </row>
    <row r="17446" spans="9:13" x14ac:dyDescent="0.3">
      <c r="I17446" s="82"/>
      <c r="M17446" s="85"/>
    </row>
    <row r="17447" spans="9:13" x14ac:dyDescent="0.3">
      <c r="I17447" s="82"/>
      <c r="M17447" s="85"/>
    </row>
    <row r="17448" spans="9:13" x14ac:dyDescent="0.3">
      <c r="I17448" s="82"/>
      <c r="M17448" s="85"/>
    </row>
    <row r="17449" spans="9:13" x14ac:dyDescent="0.3">
      <c r="I17449" s="82"/>
      <c r="M17449" s="85"/>
    </row>
    <row r="17450" spans="9:13" x14ac:dyDescent="0.3">
      <c r="I17450" s="82"/>
      <c r="M17450" s="85"/>
    </row>
    <row r="17451" spans="9:13" x14ac:dyDescent="0.3">
      <c r="I17451" s="82"/>
      <c r="M17451" s="85"/>
    </row>
    <row r="17452" spans="9:13" x14ac:dyDescent="0.3">
      <c r="I17452" s="82"/>
      <c r="M17452" s="85"/>
    </row>
    <row r="17453" spans="9:13" x14ac:dyDescent="0.3">
      <c r="I17453" s="82"/>
      <c r="M17453" s="85"/>
    </row>
    <row r="17454" spans="9:13" x14ac:dyDescent="0.3">
      <c r="I17454" s="82"/>
      <c r="M17454" s="85"/>
    </row>
    <row r="17455" spans="9:13" x14ac:dyDescent="0.3">
      <c r="I17455" s="82"/>
      <c r="M17455" s="85"/>
    </row>
    <row r="17456" spans="9:13" x14ac:dyDescent="0.3">
      <c r="I17456" s="82"/>
      <c r="M17456" s="85"/>
    </row>
    <row r="17457" spans="9:13" x14ac:dyDescent="0.3">
      <c r="I17457" s="82"/>
      <c r="M17457" s="85"/>
    </row>
    <row r="17458" spans="9:13" x14ac:dyDescent="0.3">
      <c r="I17458" s="82"/>
      <c r="M17458" s="85"/>
    </row>
    <row r="17459" spans="9:13" x14ac:dyDescent="0.3">
      <c r="I17459" s="82"/>
      <c r="M17459" s="85"/>
    </row>
    <row r="17460" spans="9:13" x14ac:dyDescent="0.3">
      <c r="I17460" s="82"/>
      <c r="M17460" s="85"/>
    </row>
    <row r="17461" spans="9:13" x14ac:dyDescent="0.3">
      <c r="I17461" s="82"/>
      <c r="M17461" s="85"/>
    </row>
    <row r="17462" spans="9:13" x14ac:dyDescent="0.3">
      <c r="I17462" s="82"/>
      <c r="M17462" s="85"/>
    </row>
    <row r="17463" spans="9:13" x14ac:dyDescent="0.3">
      <c r="I17463" s="82"/>
      <c r="M17463" s="85"/>
    </row>
    <row r="17464" spans="9:13" x14ac:dyDescent="0.3">
      <c r="I17464" s="82"/>
      <c r="M17464" s="85"/>
    </row>
    <row r="17465" spans="9:13" x14ac:dyDescent="0.3">
      <c r="I17465" s="82"/>
      <c r="M17465" s="85"/>
    </row>
    <row r="17466" spans="9:13" x14ac:dyDescent="0.3">
      <c r="I17466" s="82"/>
      <c r="M17466" s="85"/>
    </row>
    <row r="17467" spans="9:13" x14ac:dyDescent="0.3">
      <c r="I17467" s="82"/>
      <c r="M17467" s="85"/>
    </row>
    <row r="17468" spans="9:13" x14ac:dyDescent="0.3">
      <c r="I17468" s="82"/>
      <c r="M17468" s="85"/>
    </row>
    <row r="17469" spans="9:13" x14ac:dyDescent="0.3">
      <c r="I17469" s="82"/>
      <c r="M17469" s="85"/>
    </row>
    <row r="17470" spans="9:13" x14ac:dyDescent="0.3">
      <c r="I17470" s="82"/>
      <c r="M17470" s="85"/>
    </row>
    <row r="17471" spans="9:13" x14ac:dyDescent="0.3">
      <c r="I17471" s="82"/>
      <c r="M17471" s="85"/>
    </row>
    <row r="17472" spans="9:13" x14ac:dyDescent="0.3">
      <c r="I17472" s="82"/>
      <c r="M17472" s="85"/>
    </row>
    <row r="17473" spans="9:13" x14ac:dyDescent="0.3">
      <c r="I17473" s="82"/>
      <c r="M17473" s="85"/>
    </row>
    <row r="17474" spans="9:13" x14ac:dyDescent="0.3">
      <c r="I17474" s="82"/>
      <c r="M17474" s="85"/>
    </row>
    <row r="17475" spans="9:13" x14ac:dyDescent="0.3">
      <c r="I17475" s="82"/>
      <c r="M17475" s="85"/>
    </row>
    <row r="17476" spans="9:13" x14ac:dyDescent="0.3">
      <c r="I17476" s="82"/>
      <c r="M17476" s="85"/>
    </row>
    <row r="17477" spans="9:13" x14ac:dyDescent="0.3">
      <c r="I17477" s="82"/>
      <c r="M17477" s="85"/>
    </row>
    <row r="17478" spans="9:13" x14ac:dyDescent="0.3">
      <c r="I17478" s="82"/>
      <c r="M17478" s="85"/>
    </row>
    <row r="17479" spans="9:13" x14ac:dyDescent="0.3">
      <c r="I17479" s="82"/>
      <c r="M17479" s="85"/>
    </row>
    <row r="17480" spans="9:13" x14ac:dyDescent="0.3">
      <c r="I17480" s="82"/>
      <c r="M17480" s="85"/>
    </row>
    <row r="17481" spans="9:13" x14ac:dyDescent="0.3">
      <c r="I17481" s="82"/>
      <c r="M17481" s="85"/>
    </row>
    <row r="17482" spans="9:13" x14ac:dyDescent="0.3">
      <c r="I17482" s="82"/>
      <c r="M17482" s="85"/>
    </row>
    <row r="17483" spans="9:13" x14ac:dyDescent="0.3">
      <c r="I17483" s="82"/>
      <c r="M17483" s="85"/>
    </row>
    <row r="17484" spans="9:13" x14ac:dyDescent="0.3">
      <c r="I17484" s="82"/>
      <c r="M17484" s="85"/>
    </row>
    <row r="17485" spans="9:13" x14ac:dyDescent="0.3">
      <c r="I17485" s="82"/>
      <c r="M17485" s="85"/>
    </row>
    <row r="17486" spans="9:13" x14ac:dyDescent="0.3">
      <c r="I17486" s="82"/>
      <c r="M17486" s="85"/>
    </row>
    <row r="17487" spans="9:13" x14ac:dyDescent="0.3">
      <c r="I17487" s="82"/>
      <c r="M17487" s="85"/>
    </row>
    <row r="17488" spans="9:13" x14ac:dyDescent="0.3">
      <c r="I17488" s="82"/>
      <c r="M17488" s="85"/>
    </row>
    <row r="17489" spans="9:13" x14ac:dyDescent="0.3">
      <c r="I17489" s="82"/>
      <c r="M17489" s="85"/>
    </row>
    <row r="17490" spans="9:13" x14ac:dyDescent="0.3">
      <c r="I17490" s="82"/>
      <c r="M17490" s="85"/>
    </row>
    <row r="17491" spans="9:13" x14ac:dyDescent="0.3">
      <c r="I17491" s="82"/>
      <c r="M17491" s="85"/>
    </row>
    <row r="17492" spans="9:13" x14ac:dyDescent="0.3">
      <c r="I17492" s="82"/>
      <c r="M17492" s="85"/>
    </row>
    <row r="17493" spans="9:13" x14ac:dyDescent="0.3">
      <c r="I17493" s="82"/>
      <c r="M17493" s="85"/>
    </row>
    <row r="17494" spans="9:13" x14ac:dyDescent="0.3">
      <c r="I17494" s="82"/>
      <c r="M17494" s="85"/>
    </row>
    <row r="17495" spans="9:13" x14ac:dyDescent="0.3">
      <c r="I17495" s="82"/>
      <c r="M17495" s="85"/>
    </row>
    <row r="17496" spans="9:13" x14ac:dyDescent="0.3">
      <c r="I17496" s="82"/>
      <c r="M17496" s="85"/>
    </row>
    <row r="17497" spans="9:13" x14ac:dyDescent="0.3">
      <c r="I17497" s="82"/>
      <c r="M17497" s="85"/>
    </row>
    <row r="17498" spans="9:13" x14ac:dyDescent="0.3">
      <c r="I17498" s="82"/>
      <c r="M17498" s="85"/>
    </row>
    <row r="17499" spans="9:13" x14ac:dyDescent="0.3">
      <c r="I17499" s="82"/>
      <c r="M17499" s="85"/>
    </row>
    <row r="17500" spans="9:13" x14ac:dyDescent="0.3">
      <c r="I17500" s="82"/>
      <c r="M17500" s="85"/>
    </row>
    <row r="17501" spans="9:13" x14ac:dyDescent="0.3">
      <c r="I17501" s="82"/>
      <c r="M17501" s="85"/>
    </row>
    <row r="17502" spans="9:13" x14ac:dyDescent="0.3">
      <c r="I17502" s="82"/>
      <c r="M17502" s="85"/>
    </row>
    <row r="17503" spans="9:13" x14ac:dyDescent="0.3">
      <c r="I17503" s="82"/>
      <c r="M17503" s="85"/>
    </row>
    <row r="17504" spans="9:13" x14ac:dyDescent="0.3">
      <c r="I17504" s="82"/>
      <c r="M17504" s="85"/>
    </row>
    <row r="17505" spans="9:13" x14ac:dyDescent="0.3">
      <c r="I17505" s="82"/>
      <c r="M17505" s="85"/>
    </row>
    <row r="17506" spans="9:13" x14ac:dyDescent="0.3">
      <c r="I17506" s="82"/>
      <c r="M17506" s="85"/>
    </row>
    <row r="17507" spans="9:13" x14ac:dyDescent="0.3">
      <c r="I17507" s="82"/>
      <c r="M17507" s="85"/>
    </row>
    <row r="17508" spans="9:13" x14ac:dyDescent="0.3">
      <c r="I17508" s="82"/>
      <c r="M17508" s="85"/>
    </row>
    <row r="17509" spans="9:13" x14ac:dyDescent="0.3">
      <c r="I17509" s="82"/>
      <c r="M17509" s="85"/>
    </row>
    <row r="17510" spans="9:13" x14ac:dyDescent="0.3">
      <c r="I17510" s="82"/>
      <c r="M17510" s="85"/>
    </row>
    <row r="17511" spans="9:13" x14ac:dyDescent="0.3">
      <c r="I17511" s="82"/>
      <c r="M17511" s="85"/>
    </row>
    <row r="17512" spans="9:13" x14ac:dyDescent="0.3">
      <c r="I17512" s="82"/>
      <c r="M17512" s="85"/>
    </row>
    <row r="17513" spans="9:13" x14ac:dyDescent="0.3">
      <c r="I17513" s="82"/>
      <c r="M17513" s="85"/>
    </row>
    <row r="17514" spans="9:13" x14ac:dyDescent="0.3">
      <c r="I17514" s="82"/>
      <c r="M17514" s="85"/>
    </row>
    <row r="17515" spans="9:13" x14ac:dyDescent="0.3">
      <c r="I17515" s="82"/>
      <c r="M17515" s="85"/>
    </row>
    <row r="17516" spans="9:13" x14ac:dyDescent="0.3">
      <c r="I17516" s="82"/>
      <c r="M17516" s="85"/>
    </row>
    <row r="17517" spans="9:13" x14ac:dyDescent="0.3">
      <c r="I17517" s="82"/>
      <c r="M17517" s="85"/>
    </row>
    <row r="17518" spans="9:13" x14ac:dyDescent="0.3">
      <c r="I17518" s="82"/>
      <c r="M17518" s="85"/>
    </row>
    <row r="17519" spans="9:13" x14ac:dyDescent="0.3">
      <c r="I17519" s="82"/>
      <c r="M17519" s="85"/>
    </row>
    <row r="17520" spans="9:13" x14ac:dyDescent="0.3">
      <c r="I17520" s="82"/>
      <c r="M17520" s="85"/>
    </row>
    <row r="17521" spans="9:13" x14ac:dyDescent="0.3">
      <c r="I17521" s="82"/>
      <c r="M17521" s="85"/>
    </row>
    <row r="17522" spans="9:13" x14ac:dyDescent="0.3">
      <c r="I17522" s="82"/>
      <c r="M17522" s="85"/>
    </row>
    <row r="17523" spans="9:13" x14ac:dyDescent="0.3">
      <c r="I17523" s="82"/>
      <c r="M17523" s="85"/>
    </row>
    <row r="17524" spans="9:13" x14ac:dyDescent="0.3">
      <c r="I17524" s="82"/>
      <c r="M17524" s="85"/>
    </row>
    <row r="17525" spans="9:13" x14ac:dyDescent="0.3">
      <c r="I17525" s="82"/>
      <c r="M17525" s="85"/>
    </row>
    <row r="17526" spans="9:13" x14ac:dyDescent="0.3">
      <c r="I17526" s="82"/>
      <c r="M17526" s="85"/>
    </row>
    <row r="17527" spans="9:13" x14ac:dyDescent="0.3">
      <c r="I17527" s="82"/>
      <c r="M17527" s="85"/>
    </row>
    <row r="17528" spans="9:13" x14ac:dyDescent="0.3">
      <c r="I17528" s="82"/>
      <c r="M17528" s="85"/>
    </row>
    <row r="17529" spans="9:13" x14ac:dyDescent="0.3">
      <c r="I17529" s="82"/>
      <c r="M17529" s="85"/>
    </row>
    <row r="17530" spans="9:13" x14ac:dyDescent="0.3">
      <c r="I17530" s="82"/>
      <c r="M17530" s="85"/>
    </row>
    <row r="17531" spans="9:13" x14ac:dyDescent="0.3">
      <c r="I17531" s="82"/>
      <c r="M17531" s="85"/>
    </row>
    <row r="17532" spans="9:13" x14ac:dyDescent="0.3">
      <c r="I17532" s="82"/>
      <c r="M17532" s="85"/>
    </row>
    <row r="17533" spans="9:13" x14ac:dyDescent="0.3">
      <c r="I17533" s="82"/>
      <c r="M17533" s="85"/>
    </row>
    <row r="17534" spans="9:13" x14ac:dyDescent="0.3">
      <c r="I17534" s="82"/>
      <c r="M17534" s="85"/>
    </row>
    <row r="17535" spans="9:13" x14ac:dyDescent="0.3">
      <c r="I17535" s="82"/>
      <c r="M17535" s="85"/>
    </row>
    <row r="17536" spans="9:13" x14ac:dyDescent="0.3">
      <c r="I17536" s="82"/>
      <c r="M17536" s="85"/>
    </row>
    <row r="17537" spans="9:13" x14ac:dyDescent="0.3">
      <c r="I17537" s="82"/>
      <c r="M17537" s="85"/>
    </row>
    <row r="17538" spans="9:13" x14ac:dyDescent="0.3">
      <c r="I17538" s="82"/>
      <c r="M17538" s="85"/>
    </row>
    <row r="17539" spans="9:13" x14ac:dyDescent="0.3">
      <c r="I17539" s="82"/>
      <c r="M17539" s="85"/>
    </row>
    <row r="17540" spans="9:13" x14ac:dyDescent="0.3">
      <c r="I17540" s="82"/>
      <c r="M17540" s="85"/>
    </row>
    <row r="17541" spans="9:13" x14ac:dyDescent="0.3">
      <c r="I17541" s="82"/>
      <c r="M17541" s="85"/>
    </row>
    <row r="17542" spans="9:13" x14ac:dyDescent="0.3">
      <c r="I17542" s="82"/>
      <c r="M17542" s="85"/>
    </row>
    <row r="17543" spans="9:13" x14ac:dyDescent="0.3">
      <c r="I17543" s="82"/>
      <c r="M17543" s="85"/>
    </row>
    <row r="17544" spans="9:13" x14ac:dyDescent="0.3">
      <c r="I17544" s="82"/>
      <c r="M17544" s="85"/>
    </row>
    <row r="17545" spans="9:13" x14ac:dyDescent="0.3">
      <c r="I17545" s="82"/>
      <c r="M17545" s="85"/>
    </row>
    <row r="17546" spans="9:13" x14ac:dyDescent="0.3">
      <c r="I17546" s="82"/>
      <c r="M17546" s="85"/>
    </row>
    <row r="17547" spans="9:13" x14ac:dyDescent="0.3">
      <c r="I17547" s="82"/>
      <c r="M17547" s="85"/>
    </row>
    <row r="17548" spans="9:13" x14ac:dyDescent="0.3">
      <c r="I17548" s="82"/>
      <c r="M17548" s="85"/>
    </row>
    <row r="17549" spans="9:13" x14ac:dyDescent="0.3">
      <c r="I17549" s="82"/>
      <c r="M17549" s="85"/>
    </row>
    <row r="17550" spans="9:13" x14ac:dyDescent="0.3">
      <c r="I17550" s="82"/>
      <c r="M17550" s="85"/>
    </row>
    <row r="17551" spans="9:13" x14ac:dyDescent="0.3">
      <c r="I17551" s="82"/>
      <c r="M17551" s="85"/>
    </row>
    <row r="17552" spans="9:13" x14ac:dyDescent="0.3">
      <c r="I17552" s="82"/>
      <c r="M17552" s="85"/>
    </row>
    <row r="17553" spans="9:13" x14ac:dyDescent="0.3">
      <c r="I17553" s="82"/>
      <c r="M17553" s="85"/>
    </row>
    <row r="17554" spans="9:13" x14ac:dyDescent="0.3">
      <c r="I17554" s="82"/>
      <c r="M17554" s="85"/>
    </row>
    <row r="17555" spans="9:13" x14ac:dyDescent="0.3">
      <c r="I17555" s="82"/>
      <c r="M17555" s="85"/>
    </row>
    <row r="17556" spans="9:13" x14ac:dyDescent="0.3">
      <c r="I17556" s="82"/>
      <c r="M17556" s="85"/>
    </row>
    <row r="17557" spans="9:13" x14ac:dyDescent="0.3">
      <c r="I17557" s="82"/>
      <c r="M17557" s="85"/>
    </row>
    <row r="17558" spans="9:13" x14ac:dyDescent="0.3">
      <c r="I17558" s="82"/>
      <c r="M17558" s="85"/>
    </row>
    <row r="17559" spans="9:13" x14ac:dyDescent="0.3">
      <c r="I17559" s="82"/>
      <c r="M17559" s="85"/>
    </row>
    <row r="17560" spans="9:13" x14ac:dyDescent="0.3">
      <c r="I17560" s="82"/>
      <c r="M17560" s="85"/>
    </row>
    <row r="17561" spans="9:13" x14ac:dyDescent="0.3">
      <c r="I17561" s="82"/>
      <c r="M17561" s="85"/>
    </row>
    <row r="17562" spans="9:13" x14ac:dyDescent="0.3">
      <c r="I17562" s="82"/>
      <c r="M17562" s="85"/>
    </row>
    <row r="17563" spans="9:13" x14ac:dyDescent="0.3">
      <c r="I17563" s="82"/>
      <c r="M17563" s="85"/>
    </row>
    <row r="17564" spans="9:13" x14ac:dyDescent="0.3">
      <c r="I17564" s="82"/>
      <c r="M17564" s="85"/>
    </row>
    <row r="17565" spans="9:13" x14ac:dyDescent="0.3">
      <c r="I17565" s="82"/>
      <c r="M17565" s="85"/>
    </row>
    <row r="17566" spans="9:13" x14ac:dyDescent="0.3">
      <c r="I17566" s="82"/>
      <c r="M17566" s="85"/>
    </row>
    <row r="17567" spans="9:13" x14ac:dyDescent="0.3">
      <c r="I17567" s="82"/>
      <c r="M17567" s="85"/>
    </row>
    <row r="17568" spans="9:13" x14ac:dyDescent="0.3">
      <c r="I17568" s="82"/>
      <c r="M17568" s="85"/>
    </row>
    <row r="17569" spans="9:13" x14ac:dyDescent="0.3">
      <c r="I17569" s="82"/>
      <c r="M17569" s="85"/>
    </row>
    <row r="17570" spans="9:13" x14ac:dyDescent="0.3">
      <c r="I17570" s="82"/>
      <c r="M17570" s="85"/>
    </row>
    <row r="17571" spans="9:13" x14ac:dyDescent="0.3">
      <c r="I17571" s="82"/>
      <c r="M17571" s="85"/>
    </row>
    <row r="17572" spans="9:13" x14ac:dyDescent="0.3">
      <c r="I17572" s="82"/>
      <c r="M17572" s="85"/>
    </row>
    <row r="17573" spans="9:13" x14ac:dyDescent="0.3">
      <c r="I17573" s="82"/>
      <c r="M17573" s="85"/>
    </row>
    <row r="17574" spans="9:13" x14ac:dyDescent="0.3">
      <c r="I17574" s="82"/>
      <c r="M17574" s="85"/>
    </row>
    <row r="17575" spans="9:13" x14ac:dyDescent="0.3">
      <c r="I17575" s="82"/>
      <c r="M17575" s="85"/>
    </row>
    <row r="17576" spans="9:13" x14ac:dyDescent="0.3">
      <c r="I17576" s="82"/>
      <c r="M17576" s="85"/>
    </row>
    <row r="17577" spans="9:13" x14ac:dyDescent="0.3">
      <c r="I17577" s="82"/>
      <c r="M17577" s="85"/>
    </row>
    <row r="17578" spans="9:13" x14ac:dyDescent="0.3">
      <c r="I17578" s="82"/>
      <c r="M17578" s="85"/>
    </row>
    <row r="17579" spans="9:13" x14ac:dyDescent="0.3">
      <c r="I17579" s="82"/>
      <c r="M17579" s="85"/>
    </row>
    <row r="17580" spans="9:13" x14ac:dyDescent="0.3">
      <c r="I17580" s="82"/>
      <c r="M17580" s="85"/>
    </row>
    <row r="17581" spans="9:13" x14ac:dyDescent="0.3">
      <c r="I17581" s="82"/>
      <c r="M17581" s="85"/>
    </row>
    <row r="17582" spans="9:13" x14ac:dyDescent="0.3">
      <c r="I17582" s="82"/>
      <c r="M17582" s="85"/>
    </row>
    <row r="17583" spans="9:13" x14ac:dyDescent="0.3">
      <c r="I17583" s="82"/>
      <c r="M17583" s="85"/>
    </row>
    <row r="17584" spans="9:13" x14ac:dyDescent="0.3">
      <c r="I17584" s="82"/>
      <c r="M17584" s="85"/>
    </row>
    <row r="17585" spans="9:13" x14ac:dyDescent="0.3">
      <c r="I17585" s="82"/>
      <c r="M17585" s="85"/>
    </row>
    <row r="17586" spans="9:13" x14ac:dyDescent="0.3">
      <c r="I17586" s="82"/>
      <c r="M17586" s="85"/>
    </row>
    <row r="17587" spans="9:13" x14ac:dyDescent="0.3">
      <c r="I17587" s="82"/>
      <c r="M17587" s="85"/>
    </row>
    <row r="17588" spans="9:13" x14ac:dyDescent="0.3">
      <c r="I17588" s="82"/>
      <c r="M17588" s="85"/>
    </row>
    <row r="17589" spans="9:13" x14ac:dyDescent="0.3">
      <c r="I17589" s="82"/>
      <c r="M17589" s="85"/>
    </row>
    <row r="17590" spans="9:13" x14ac:dyDescent="0.3">
      <c r="I17590" s="82"/>
      <c r="M17590" s="85"/>
    </row>
    <row r="17591" spans="9:13" x14ac:dyDescent="0.3">
      <c r="I17591" s="82"/>
      <c r="M17591" s="85"/>
    </row>
    <row r="17592" spans="9:13" x14ac:dyDescent="0.3">
      <c r="I17592" s="82"/>
      <c r="M17592" s="85"/>
    </row>
    <row r="17593" spans="9:13" x14ac:dyDescent="0.3">
      <c r="I17593" s="82"/>
      <c r="M17593" s="85"/>
    </row>
    <row r="17594" spans="9:13" x14ac:dyDescent="0.3">
      <c r="I17594" s="82"/>
      <c r="M17594" s="85"/>
    </row>
    <row r="17595" spans="9:13" x14ac:dyDescent="0.3">
      <c r="I17595" s="82"/>
      <c r="M17595" s="85"/>
    </row>
    <row r="17596" spans="9:13" x14ac:dyDescent="0.3">
      <c r="I17596" s="82"/>
      <c r="M17596" s="85"/>
    </row>
    <row r="17597" spans="9:13" x14ac:dyDescent="0.3">
      <c r="I17597" s="82"/>
      <c r="M17597" s="85"/>
    </row>
    <row r="17598" spans="9:13" x14ac:dyDescent="0.3">
      <c r="I17598" s="82"/>
      <c r="M17598" s="85"/>
    </row>
    <row r="17599" spans="9:13" x14ac:dyDescent="0.3">
      <c r="I17599" s="82"/>
      <c r="M17599" s="85"/>
    </row>
    <row r="17600" spans="9:13" x14ac:dyDescent="0.3">
      <c r="I17600" s="82"/>
      <c r="M17600" s="85"/>
    </row>
    <row r="17601" spans="9:13" x14ac:dyDescent="0.3">
      <c r="I17601" s="82"/>
      <c r="M17601" s="85"/>
    </row>
    <row r="17602" spans="9:13" x14ac:dyDescent="0.3">
      <c r="I17602" s="82"/>
      <c r="M17602" s="85"/>
    </row>
    <row r="17603" spans="9:13" x14ac:dyDescent="0.3">
      <c r="I17603" s="82"/>
      <c r="M17603" s="85"/>
    </row>
    <row r="17604" spans="9:13" x14ac:dyDescent="0.3">
      <c r="I17604" s="82"/>
      <c r="M17604" s="85"/>
    </row>
    <row r="17605" spans="9:13" x14ac:dyDescent="0.3">
      <c r="I17605" s="82"/>
      <c r="M17605" s="85"/>
    </row>
    <row r="17606" spans="9:13" x14ac:dyDescent="0.3">
      <c r="I17606" s="82"/>
      <c r="M17606" s="85"/>
    </row>
    <row r="17607" spans="9:13" x14ac:dyDescent="0.3">
      <c r="I17607" s="82"/>
      <c r="M17607" s="85"/>
    </row>
    <row r="17608" spans="9:13" x14ac:dyDescent="0.3">
      <c r="I17608" s="82"/>
      <c r="M17608" s="85"/>
    </row>
    <row r="17609" spans="9:13" x14ac:dyDescent="0.3">
      <c r="I17609" s="82"/>
      <c r="M17609" s="85"/>
    </row>
    <row r="17610" spans="9:13" x14ac:dyDescent="0.3">
      <c r="I17610" s="82"/>
      <c r="M17610" s="85"/>
    </row>
    <row r="17611" spans="9:13" x14ac:dyDescent="0.3">
      <c r="I17611" s="82"/>
      <c r="M17611" s="85"/>
    </row>
    <row r="17612" spans="9:13" x14ac:dyDescent="0.3">
      <c r="I17612" s="82"/>
      <c r="M17612" s="85"/>
    </row>
    <row r="17613" spans="9:13" x14ac:dyDescent="0.3">
      <c r="I17613" s="82"/>
      <c r="M17613" s="85"/>
    </row>
    <row r="17614" spans="9:13" x14ac:dyDescent="0.3">
      <c r="I17614" s="82"/>
      <c r="M17614" s="85"/>
    </row>
    <row r="17615" spans="9:13" x14ac:dyDescent="0.3">
      <c r="I17615" s="82"/>
      <c r="M17615" s="85"/>
    </row>
    <row r="17616" spans="9:13" x14ac:dyDescent="0.3">
      <c r="I17616" s="82"/>
      <c r="M17616" s="85"/>
    </row>
    <row r="17617" spans="9:13" x14ac:dyDescent="0.3">
      <c r="I17617" s="82"/>
      <c r="M17617" s="85"/>
    </row>
    <row r="17618" spans="9:13" x14ac:dyDescent="0.3">
      <c r="I17618" s="82"/>
      <c r="M17618" s="85"/>
    </row>
    <row r="17619" spans="9:13" x14ac:dyDescent="0.3">
      <c r="I17619" s="82"/>
      <c r="M17619" s="85"/>
    </row>
    <row r="17620" spans="9:13" x14ac:dyDescent="0.3">
      <c r="I17620" s="82"/>
      <c r="M17620" s="85"/>
    </row>
    <row r="17621" spans="9:13" x14ac:dyDescent="0.3">
      <c r="I17621" s="82"/>
      <c r="M17621" s="85"/>
    </row>
    <row r="17622" spans="9:13" x14ac:dyDescent="0.3">
      <c r="I17622" s="82"/>
      <c r="M17622" s="85"/>
    </row>
    <row r="17623" spans="9:13" x14ac:dyDescent="0.3">
      <c r="I17623" s="82"/>
      <c r="M17623" s="85"/>
    </row>
    <row r="17624" spans="9:13" x14ac:dyDescent="0.3">
      <c r="I17624" s="82"/>
      <c r="M17624" s="85"/>
    </row>
    <row r="17625" spans="9:13" x14ac:dyDescent="0.3">
      <c r="I17625" s="82"/>
      <c r="M17625" s="85"/>
    </row>
    <row r="17626" spans="9:13" x14ac:dyDescent="0.3">
      <c r="I17626" s="82"/>
      <c r="M17626" s="85"/>
    </row>
    <row r="17627" spans="9:13" x14ac:dyDescent="0.3">
      <c r="I17627" s="82"/>
      <c r="M17627" s="85"/>
    </row>
    <row r="17628" spans="9:13" x14ac:dyDescent="0.3">
      <c r="I17628" s="82"/>
      <c r="M17628" s="85"/>
    </row>
    <row r="17629" spans="9:13" x14ac:dyDescent="0.3">
      <c r="I17629" s="82"/>
      <c r="M17629" s="85"/>
    </row>
    <row r="17630" spans="9:13" x14ac:dyDescent="0.3">
      <c r="I17630" s="82"/>
      <c r="M17630" s="85"/>
    </row>
    <row r="17631" spans="9:13" x14ac:dyDescent="0.3">
      <c r="I17631" s="82"/>
      <c r="M17631" s="85"/>
    </row>
    <row r="17632" spans="9:13" x14ac:dyDescent="0.3">
      <c r="I17632" s="82"/>
      <c r="M17632" s="85"/>
    </row>
    <row r="17633" spans="9:13" x14ac:dyDescent="0.3">
      <c r="I17633" s="82"/>
      <c r="M17633" s="85"/>
    </row>
    <row r="17634" spans="9:13" x14ac:dyDescent="0.3">
      <c r="I17634" s="82"/>
      <c r="M17634" s="85"/>
    </row>
    <row r="17635" spans="9:13" x14ac:dyDescent="0.3">
      <c r="I17635" s="82"/>
      <c r="M17635" s="85"/>
    </row>
    <row r="17636" spans="9:13" x14ac:dyDescent="0.3">
      <c r="I17636" s="82"/>
      <c r="M17636" s="85"/>
    </row>
    <row r="17637" spans="9:13" x14ac:dyDescent="0.3">
      <c r="I17637" s="82"/>
      <c r="M17637" s="85"/>
    </row>
    <row r="17638" spans="9:13" x14ac:dyDescent="0.3">
      <c r="I17638" s="82"/>
      <c r="M17638" s="85"/>
    </row>
    <row r="17639" spans="9:13" x14ac:dyDescent="0.3">
      <c r="I17639" s="82"/>
      <c r="M17639" s="85"/>
    </row>
    <row r="17640" spans="9:13" x14ac:dyDescent="0.3">
      <c r="I17640" s="82"/>
      <c r="M17640" s="85"/>
    </row>
    <row r="17641" spans="9:13" x14ac:dyDescent="0.3">
      <c r="I17641" s="82"/>
      <c r="M17641" s="85"/>
    </row>
    <row r="17642" spans="9:13" x14ac:dyDescent="0.3">
      <c r="I17642" s="82"/>
      <c r="M17642" s="85"/>
    </row>
    <row r="17643" spans="9:13" x14ac:dyDescent="0.3">
      <c r="I17643" s="82"/>
      <c r="M17643" s="85"/>
    </row>
    <row r="17644" spans="9:13" x14ac:dyDescent="0.3">
      <c r="I17644" s="82"/>
      <c r="M17644" s="85"/>
    </row>
    <row r="17645" spans="9:13" x14ac:dyDescent="0.3">
      <c r="I17645" s="82"/>
      <c r="M17645" s="85"/>
    </row>
    <row r="17646" spans="9:13" x14ac:dyDescent="0.3">
      <c r="I17646" s="82"/>
      <c r="M17646" s="85"/>
    </row>
    <row r="17647" spans="9:13" x14ac:dyDescent="0.3">
      <c r="I17647" s="82"/>
      <c r="M17647" s="85"/>
    </row>
    <row r="17648" spans="9:13" x14ac:dyDescent="0.3">
      <c r="I17648" s="82"/>
      <c r="M17648" s="85"/>
    </row>
    <row r="17649" spans="9:13" x14ac:dyDescent="0.3">
      <c r="I17649" s="82"/>
      <c r="M17649" s="85"/>
    </row>
    <row r="17650" spans="9:13" x14ac:dyDescent="0.3">
      <c r="I17650" s="82"/>
      <c r="M17650" s="85"/>
    </row>
    <row r="17651" spans="9:13" x14ac:dyDescent="0.3">
      <c r="I17651" s="82"/>
      <c r="M17651" s="85"/>
    </row>
    <row r="17652" spans="9:13" x14ac:dyDescent="0.3">
      <c r="I17652" s="82"/>
      <c r="M17652" s="85"/>
    </row>
    <row r="17653" spans="9:13" x14ac:dyDescent="0.3">
      <c r="I17653" s="82"/>
      <c r="M17653" s="85"/>
    </row>
    <row r="17654" spans="9:13" x14ac:dyDescent="0.3">
      <c r="I17654" s="82"/>
      <c r="M17654" s="85"/>
    </row>
    <row r="17655" spans="9:13" x14ac:dyDescent="0.3">
      <c r="I17655" s="82"/>
      <c r="M17655" s="85"/>
    </row>
    <row r="17656" spans="9:13" x14ac:dyDescent="0.3">
      <c r="I17656" s="82"/>
      <c r="M17656" s="85"/>
    </row>
    <row r="17657" spans="9:13" x14ac:dyDescent="0.3">
      <c r="I17657" s="82"/>
      <c r="M17657" s="85"/>
    </row>
    <row r="17658" spans="9:13" x14ac:dyDescent="0.3">
      <c r="I17658" s="82"/>
      <c r="M17658" s="85"/>
    </row>
    <row r="17659" spans="9:13" x14ac:dyDescent="0.3">
      <c r="I17659" s="82"/>
      <c r="M17659" s="85"/>
    </row>
    <row r="17660" spans="9:13" x14ac:dyDescent="0.3">
      <c r="I17660" s="82"/>
      <c r="M17660" s="85"/>
    </row>
    <row r="17661" spans="9:13" x14ac:dyDescent="0.3">
      <c r="I17661" s="82"/>
      <c r="M17661" s="85"/>
    </row>
    <row r="17662" spans="9:13" x14ac:dyDescent="0.3">
      <c r="I17662" s="82"/>
      <c r="M17662" s="85"/>
    </row>
    <row r="17663" spans="9:13" x14ac:dyDescent="0.3">
      <c r="I17663" s="82"/>
      <c r="M17663" s="85"/>
    </row>
    <row r="17664" spans="9:13" x14ac:dyDescent="0.3">
      <c r="I17664" s="82"/>
      <c r="M17664" s="85"/>
    </row>
    <row r="17665" spans="9:13" x14ac:dyDescent="0.3">
      <c r="I17665" s="82"/>
      <c r="M17665" s="85"/>
    </row>
    <row r="17666" spans="9:13" x14ac:dyDescent="0.3">
      <c r="I17666" s="82"/>
      <c r="M17666" s="85"/>
    </row>
    <row r="17667" spans="9:13" x14ac:dyDescent="0.3">
      <c r="I17667" s="82"/>
      <c r="M17667" s="85"/>
    </row>
    <row r="17668" spans="9:13" x14ac:dyDescent="0.3">
      <c r="I17668" s="82"/>
      <c r="M17668" s="85"/>
    </row>
    <row r="17669" spans="9:13" x14ac:dyDescent="0.3">
      <c r="I17669" s="82"/>
      <c r="M17669" s="85"/>
    </row>
    <row r="17670" spans="9:13" x14ac:dyDescent="0.3">
      <c r="I17670" s="82"/>
      <c r="M17670" s="85"/>
    </row>
    <row r="17671" spans="9:13" x14ac:dyDescent="0.3">
      <c r="I17671" s="82"/>
      <c r="M17671" s="85"/>
    </row>
    <row r="17672" spans="9:13" x14ac:dyDescent="0.3">
      <c r="I17672" s="82"/>
      <c r="M17672" s="85"/>
    </row>
    <row r="17673" spans="9:13" x14ac:dyDescent="0.3">
      <c r="I17673" s="82"/>
      <c r="M17673" s="85"/>
    </row>
    <row r="17674" spans="9:13" x14ac:dyDescent="0.3">
      <c r="I17674" s="82"/>
      <c r="M17674" s="85"/>
    </row>
    <row r="17675" spans="9:13" x14ac:dyDescent="0.3">
      <c r="I17675" s="82"/>
      <c r="M17675" s="85"/>
    </row>
    <row r="17676" spans="9:13" x14ac:dyDescent="0.3">
      <c r="I17676" s="82"/>
      <c r="M17676" s="85"/>
    </row>
    <row r="17677" spans="9:13" x14ac:dyDescent="0.3">
      <c r="I17677" s="82"/>
      <c r="M17677" s="85"/>
    </row>
    <row r="17678" spans="9:13" x14ac:dyDescent="0.3">
      <c r="I17678" s="82"/>
      <c r="M17678" s="85"/>
    </row>
    <row r="17679" spans="9:13" x14ac:dyDescent="0.3">
      <c r="I17679" s="82"/>
      <c r="M17679" s="85"/>
    </row>
    <row r="17680" spans="9:13" x14ac:dyDescent="0.3">
      <c r="I17680" s="82"/>
      <c r="M17680" s="85"/>
    </row>
    <row r="17681" spans="9:13" x14ac:dyDescent="0.3">
      <c r="I17681" s="82"/>
      <c r="M17681" s="85"/>
    </row>
    <row r="17682" spans="9:13" x14ac:dyDescent="0.3">
      <c r="I17682" s="82"/>
      <c r="M17682" s="85"/>
    </row>
    <row r="17683" spans="9:13" x14ac:dyDescent="0.3">
      <c r="I17683" s="82"/>
      <c r="M17683" s="85"/>
    </row>
    <row r="17684" spans="9:13" x14ac:dyDescent="0.3">
      <c r="I17684" s="82"/>
      <c r="M17684" s="85"/>
    </row>
    <row r="17685" spans="9:13" x14ac:dyDescent="0.3">
      <c r="I17685" s="82"/>
      <c r="M17685" s="85"/>
    </row>
    <row r="17686" spans="9:13" x14ac:dyDescent="0.3">
      <c r="I17686" s="82"/>
      <c r="M17686" s="85"/>
    </row>
    <row r="17687" spans="9:13" x14ac:dyDescent="0.3">
      <c r="I17687" s="82"/>
      <c r="M17687" s="85"/>
    </row>
    <row r="17688" spans="9:13" x14ac:dyDescent="0.3">
      <c r="I17688" s="82"/>
      <c r="M17688" s="85"/>
    </row>
    <row r="17689" spans="9:13" x14ac:dyDescent="0.3">
      <c r="I17689" s="82"/>
      <c r="M17689" s="85"/>
    </row>
    <row r="17690" spans="9:13" x14ac:dyDescent="0.3">
      <c r="I17690" s="82"/>
      <c r="M17690" s="85"/>
    </row>
    <row r="17691" spans="9:13" x14ac:dyDescent="0.3">
      <c r="I17691" s="82"/>
      <c r="M17691" s="85"/>
    </row>
    <row r="17692" spans="9:13" x14ac:dyDescent="0.3">
      <c r="I17692" s="82"/>
      <c r="M17692" s="85"/>
    </row>
    <row r="17693" spans="9:13" x14ac:dyDescent="0.3">
      <c r="I17693" s="82"/>
      <c r="M17693" s="85"/>
    </row>
    <row r="17694" spans="9:13" x14ac:dyDescent="0.3">
      <c r="I17694" s="82"/>
      <c r="M17694" s="85"/>
    </row>
    <row r="17695" spans="9:13" x14ac:dyDescent="0.3">
      <c r="I17695" s="82"/>
      <c r="M17695" s="85"/>
    </row>
    <row r="17696" spans="9:13" x14ac:dyDescent="0.3">
      <c r="I17696" s="82"/>
      <c r="M17696" s="85"/>
    </row>
    <row r="17697" spans="9:13" x14ac:dyDescent="0.3">
      <c r="I17697" s="82"/>
      <c r="M17697" s="85"/>
    </row>
    <row r="17698" spans="9:13" x14ac:dyDescent="0.3">
      <c r="I17698" s="82"/>
      <c r="M17698" s="85"/>
    </row>
    <row r="17699" spans="9:13" x14ac:dyDescent="0.3">
      <c r="I17699" s="82"/>
      <c r="M17699" s="85"/>
    </row>
    <row r="17700" spans="9:13" x14ac:dyDescent="0.3">
      <c r="I17700" s="82"/>
      <c r="M17700" s="85"/>
    </row>
    <row r="17701" spans="9:13" x14ac:dyDescent="0.3">
      <c r="I17701" s="82"/>
      <c r="M17701" s="85"/>
    </row>
    <row r="17702" spans="9:13" x14ac:dyDescent="0.3">
      <c r="I17702" s="82"/>
      <c r="M17702" s="85"/>
    </row>
    <row r="17703" spans="9:13" x14ac:dyDescent="0.3">
      <c r="I17703" s="82"/>
      <c r="M17703" s="85"/>
    </row>
    <row r="17704" spans="9:13" x14ac:dyDescent="0.3">
      <c r="I17704" s="82"/>
      <c r="M17704" s="85"/>
    </row>
    <row r="17705" spans="9:13" x14ac:dyDescent="0.3">
      <c r="I17705" s="82"/>
      <c r="M17705" s="85"/>
    </row>
    <row r="17706" spans="9:13" x14ac:dyDescent="0.3">
      <c r="I17706" s="82"/>
      <c r="M17706" s="85"/>
    </row>
    <row r="17707" spans="9:13" x14ac:dyDescent="0.3">
      <c r="I17707" s="82"/>
      <c r="M17707" s="85"/>
    </row>
    <row r="17708" spans="9:13" x14ac:dyDescent="0.3">
      <c r="I17708" s="82"/>
      <c r="M17708" s="85"/>
    </row>
    <row r="17709" spans="9:13" x14ac:dyDescent="0.3">
      <c r="I17709" s="82"/>
      <c r="M17709" s="85"/>
    </row>
    <row r="17710" spans="9:13" x14ac:dyDescent="0.3">
      <c r="I17710" s="82"/>
      <c r="M17710" s="85"/>
    </row>
    <row r="17711" spans="9:13" x14ac:dyDescent="0.3">
      <c r="I17711" s="82"/>
      <c r="M17711" s="85"/>
    </row>
    <row r="17712" spans="9:13" x14ac:dyDescent="0.3">
      <c r="I17712" s="82"/>
      <c r="M17712" s="85"/>
    </row>
    <row r="17713" spans="9:13" x14ac:dyDescent="0.3">
      <c r="I17713" s="82"/>
      <c r="M17713" s="85"/>
    </row>
    <row r="17714" spans="9:13" x14ac:dyDescent="0.3">
      <c r="I17714" s="82"/>
      <c r="M17714" s="85"/>
    </row>
    <row r="17715" spans="9:13" x14ac:dyDescent="0.3">
      <c r="I17715" s="82"/>
      <c r="M17715" s="85"/>
    </row>
    <row r="17716" spans="9:13" x14ac:dyDescent="0.3">
      <c r="I17716" s="82"/>
      <c r="M17716" s="85"/>
    </row>
    <row r="17717" spans="9:13" x14ac:dyDescent="0.3">
      <c r="I17717" s="82"/>
      <c r="M17717" s="85"/>
    </row>
    <row r="17718" spans="9:13" x14ac:dyDescent="0.3">
      <c r="I17718" s="82"/>
      <c r="M17718" s="85"/>
    </row>
    <row r="17719" spans="9:13" x14ac:dyDescent="0.3">
      <c r="I17719" s="82"/>
      <c r="M17719" s="85"/>
    </row>
    <row r="17720" spans="9:13" x14ac:dyDescent="0.3">
      <c r="I17720" s="82"/>
      <c r="M17720" s="85"/>
    </row>
    <row r="17721" spans="9:13" x14ac:dyDescent="0.3">
      <c r="I17721" s="82"/>
      <c r="M17721" s="85"/>
    </row>
    <row r="17722" spans="9:13" x14ac:dyDescent="0.3">
      <c r="I17722" s="82"/>
      <c r="M17722" s="85"/>
    </row>
    <row r="17723" spans="9:13" x14ac:dyDescent="0.3">
      <c r="I17723" s="82"/>
      <c r="M17723" s="85"/>
    </row>
    <row r="17724" spans="9:13" x14ac:dyDescent="0.3">
      <c r="I17724" s="82"/>
      <c r="M17724" s="85"/>
    </row>
    <row r="17725" spans="9:13" x14ac:dyDescent="0.3">
      <c r="I17725" s="82"/>
      <c r="M17725" s="85"/>
    </row>
    <row r="17726" spans="9:13" x14ac:dyDescent="0.3">
      <c r="I17726" s="82"/>
      <c r="M17726" s="85"/>
    </row>
    <row r="17727" spans="9:13" x14ac:dyDescent="0.3">
      <c r="I17727" s="82"/>
      <c r="M17727" s="85"/>
    </row>
    <row r="17728" spans="9:13" x14ac:dyDescent="0.3">
      <c r="I17728" s="82"/>
      <c r="M17728" s="85"/>
    </row>
    <row r="17729" spans="9:13" x14ac:dyDescent="0.3">
      <c r="I17729" s="82"/>
      <c r="M17729" s="85"/>
    </row>
    <row r="17730" spans="9:13" x14ac:dyDescent="0.3">
      <c r="I17730" s="82"/>
      <c r="M17730" s="85"/>
    </row>
    <row r="17731" spans="9:13" x14ac:dyDescent="0.3">
      <c r="I17731" s="82"/>
      <c r="M17731" s="85"/>
    </row>
    <row r="17732" spans="9:13" x14ac:dyDescent="0.3">
      <c r="I17732" s="82"/>
      <c r="M17732" s="85"/>
    </row>
    <row r="17733" spans="9:13" x14ac:dyDescent="0.3">
      <c r="I17733" s="82"/>
      <c r="M17733" s="85"/>
    </row>
    <row r="17734" spans="9:13" x14ac:dyDescent="0.3">
      <c r="I17734" s="82"/>
      <c r="M17734" s="85"/>
    </row>
    <row r="17735" spans="9:13" x14ac:dyDescent="0.3">
      <c r="I17735" s="82"/>
      <c r="M17735" s="85"/>
    </row>
    <row r="17736" spans="9:13" x14ac:dyDescent="0.3">
      <c r="I17736" s="82"/>
      <c r="M17736" s="85"/>
    </row>
    <row r="17737" spans="9:13" x14ac:dyDescent="0.3">
      <c r="I17737" s="82"/>
      <c r="M17737" s="85"/>
    </row>
    <row r="17738" spans="9:13" x14ac:dyDescent="0.3">
      <c r="I17738" s="82"/>
      <c r="M17738" s="85"/>
    </row>
    <row r="17739" spans="9:13" x14ac:dyDescent="0.3">
      <c r="I17739" s="82"/>
      <c r="M17739" s="85"/>
    </row>
    <row r="17740" spans="9:13" x14ac:dyDescent="0.3">
      <c r="I17740" s="82"/>
      <c r="M17740" s="85"/>
    </row>
    <row r="17741" spans="9:13" x14ac:dyDescent="0.3">
      <c r="I17741" s="82"/>
      <c r="M17741" s="85"/>
    </row>
    <row r="17742" spans="9:13" x14ac:dyDescent="0.3">
      <c r="I17742" s="82"/>
      <c r="M17742" s="85"/>
    </row>
    <row r="17743" spans="9:13" x14ac:dyDescent="0.3">
      <c r="I17743" s="82"/>
      <c r="M17743" s="85"/>
    </row>
    <row r="17744" spans="9:13" x14ac:dyDescent="0.3">
      <c r="I17744" s="82"/>
      <c r="M17744" s="85"/>
    </row>
    <row r="17745" spans="9:13" x14ac:dyDescent="0.3">
      <c r="I17745" s="82"/>
      <c r="M17745" s="85"/>
    </row>
    <row r="17746" spans="9:13" x14ac:dyDescent="0.3">
      <c r="I17746" s="82"/>
      <c r="M17746" s="85"/>
    </row>
    <row r="17747" spans="9:13" x14ac:dyDescent="0.3">
      <c r="I17747" s="82"/>
      <c r="M17747" s="85"/>
    </row>
    <row r="17748" spans="9:13" x14ac:dyDescent="0.3">
      <c r="I17748" s="82"/>
      <c r="M17748" s="85"/>
    </row>
    <row r="17749" spans="9:13" x14ac:dyDescent="0.3">
      <c r="I17749" s="82"/>
      <c r="M17749" s="85"/>
    </row>
    <row r="17750" spans="9:13" x14ac:dyDescent="0.3">
      <c r="I17750" s="82"/>
      <c r="M17750" s="85"/>
    </row>
    <row r="17751" spans="9:13" x14ac:dyDescent="0.3">
      <c r="I17751" s="82"/>
      <c r="M17751" s="85"/>
    </row>
    <row r="17752" spans="9:13" x14ac:dyDescent="0.3">
      <c r="I17752" s="82"/>
      <c r="M17752" s="85"/>
    </row>
    <row r="17753" spans="9:13" x14ac:dyDescent="0.3">
      <c r="I17753" s="82"/>
      <c r="M17753" s="85"/>
    </row>
    <row r="17754" spans="9:13" x14ac:dyDescent="0.3">
      <c r="I17754" s="82"/>
      <c r="M17754" s="85"/>
    </row>
    <row r="17755" spans="9:13" x14ac:dyDescent="0.3">
      <c r="I17755" s="82"/>
      <c r="M17755" s="85"/>
    </row>
    <row r="17756" spans="9:13" x14ac:dyDescent="0.3">
      <c r="I17756" s="82"/>
      <c r="M17756" s="85"/>
    </row>
    <row r="17757" spans="9:13" x14ac:dyDescent="0.3">
      <c r="I17757" s="82"/>
      <c r="M17757" s="85"/>
    </row>
    <row r="17758" spans="9:13" x14ac:dyDescent="0.3">
      <c r="I17758" s="82"/>
      <c r="M17758" s="85"/>
    </row>
    <row r="17759" spans="9:13" x14ac:dyDescent="0.3">
      <c r="I17759" s="82"/>
      <c r="M17759" s="85"/>
    </row>
    <row r="17760" spans="9:13" x14ac:dyDescent="0.3">
      <c r="I17760" s="82"/>
      <c r="M17760" s="85"/>
    </row>
    <row r="17761" spans="9:13" x14ac:dyDescent="0.3">
      <c r="I17761" s="82"/>
      <c r="M17761" s="85"/>
    </row>
    <row r="17762" spans="9:13" x14ac:dyDescent="0.3">
      <c r="I17762" s="82"/>
      <c r="M17762" s="85"/>
    </row>
    <row r="17763" spans="9:13" x14ac:dyDescent="0.3">
      <c r="I17763" s="82"/>
      <c r="M17763" s="85"/>
    </row>
    <row r="17764" spans="9:13" x14ac:dyDescent="0.3">
      <c r="I17764" s="82"/>
      <c r="M17764" s="85"/>
    </row>
    <row r="17765" spans="9:13" x14ac:dyDescent="0.3">
      <c r="I17765" s="82"/>
      <c r="M17765" s="85"/>
    </row>
    <row r="17766" spans="9:13" x14ac:dyDescent="0.3">
      <c r="I17766" s="82"/>
      <c r="M17766" s="85"/>
    </row>
    <row r="17767" spans="9:13" x14ac:dyDescent="0.3">
      <c r="I17767" s="82"/>
      <c r="M17767" s="85"/>
    </row>
    <row r="17768" spans="9:13" x14ac:dyDescent="0.3">
      <c r="I17768" s="82"/>
      <c r="M17768" s="85"/>
    </row>
    <row r="17769" spans="9:13" x14ac:dyDescent="0.3">
      <c r="I17769" s="82"/>
      <c r="M17769" s="85"/>
    </row>
    <row r="17770" spans="9:13" x14ac:dyDescent="0.3">
      <c r="I17770" s="82"/>
      <c r="M17770" s="85"/>
    </row>
    <row r="17771" spans="9:13" x14ac:dyDescent="0.3">
      <c r="I17771" s="82"/>
      <c r="M17771" s="85"/>
    </row>
    <row r="17772" spans="9:13" x14ac:dyDescent="0.3">
      <c r="I17772" s="82"/>
      <c r="M17772" s="85"/>
    </row>
    <row r="17773" spans="9:13" x14ac:dyDescent="0.3">
      <c r="I17773" s="82"/>
      <c r="M17773" s="85"/>
    </row>
    <row r="17774" spans="9:13" x14ac:dyDescent="0.3">
      <c r="I17774" s="82"/>
      <c r="M17774" s="85"/>
    </row>
    <row r="17775" spans="9:13" x14ac:dyDescent="0.3">
      <c r="I17775" s="82"/>
      <c r="M17775" s="85"/>
    </row>
    <row r="17776" spans="9:13" x14ac:dyDescent="0.3">
      <c r="I17776" s="82"/>
      <c r="M17776" s="85"/>
    </row>
    <row r="17777" spans="9:13" x14ac:dyDescent="0.3">
      <c r="I17777" s="82"/>
      <c r="M17777" s="85"/>
    </row>
    <row r="17778" spans="9:13" x14ac:dyDescent="0.3">
      <c r="I17778" s="82"/>
      <c r="M17778" s="85"/>
    </row>
    <row r="17779" spans="9:13" x14ac:dyDescent="0.3">
      <c r="I17779" s="82"/>
      <c r="M17779" s="85"/>
    </row>
    <row r="17780" spans="9:13" x14ac:dyDescent="0.3">
      <c r="I17780" s="82"/>
      <c r="M17780" s="85"/>
    </row>
    <row r="17781" spans="9:13" x14ac:dyDescent="0.3">
      <c r="I17781" s="82"/>
      <c r="M17781" s="85"/>
    </row>
    <row r="17782" spans="9:13" x14ac:dyDescent="0.3">
      <c r="I17782" s="82"/>
      <c r="M17782" s="85"/>
    </row>
    <row r="17783" spans="9:13" x14ac:dyDescent="0.3">
      <c r="I17783" s="82"/>
      <c r="M17783" s="85"/>
    </row>
    <row r="17784" spans="9:13" x14ac:dyDescent="0.3">
      <c r="I17784" s="82"/>
      <c r="M17784" s="85"/>
    </row>
    <row r="17785" spans="9:13" x14ac:dyDescent="0.3">
      <c r="I17785" s="82"/>
      <c r="M17785" s="85"/>
    </row>
    <row r="17786" spans="9:13" x14ac:dyDescent="0.3">
      <c r="I17786" s="82"/>
      <c r="M17786" s="85"/>
    </row>
    <row r="17787" spans="9:13" x14ac:dyDescent="0.3">
      <c r="I17787" s="82"/>
      <c r="M17787" s="85"/>
    </row>
    <row r="17788" spans="9:13" x14ac:dyDescent="0.3">
      <c r="I17788" s="82"/>
      <c r="M17788" s="85"/>
    </row>
    <row r="17789" spans="9:13" x14ac:dyDescent="0.3">
      <c r="I17789" s="82"/>
      <c r="M17789" s="85"/>
    </row>
    <row r="17790" spans="9:13" x14ac:dyDescent="0.3">
      <c r="I17790" s="82"/>
      <c r="M17790" s="85"/>
    </row>
    <row r="17791" spans="9:13" x14ac:dyDescent="0.3">
      <c r="I17791" s="82"/>
      <c r="M17791" s="85"/>
    </row>
    <row r="17792" spans="9:13" x14ac:dyDescent="0.3">
      <c r="I17792" s="82"/>
      <c r="M17792" s="85"/>
    </row>
    <row r="17793" spans="9:13" x14ac:dyDescent="0.3">
      <c r="I17793" s="82"/>
      <c r="M17793" s="85"/>
    </row>
    <row r="17794" spans="9:13" x14ac:dyDescent="0.3">
      <c r="I17794" s="82"/>
      <c r="M17794" s="85"/>
    </row>
    <row r="17795" spans="9:13" x14ac:dyDescent="0.3">
      <c r="I17795" s="82"/>
      <c r="M17795" s="85"/>
    </row>
    <row r="17796" spans="9:13" x14ac:dyDescent="0.3">
      <c r="I17796" s="82"/>
      <c r="M17796" s="85"/>
    </row>
    <row r="17797" spans="9:13" x14ac:dyDescent="0.3">
      <c r="I17797" s="82"/>
      <c r="M17797" s="85"/>
    </row>
    <row r="17798" spans="9:13" x14ac:dyDescent="0.3">
      <c r="I17798" s="82"/>
      <c r="M17798" s="85"/>
    </row>
    <row r="17799" spans="9:13" x14ac:dyDescent="0.3">
      <c r="I17799" s="82"/>
      <c r="M17799" s="85"/>
    </row>
    <row r="17800" spans="9:13" x14ac:dyDescent="0.3">
      <c r="I17800" s="82"/>
      <c r="M17800" s="85"/>
    </row>
    <row r="17801" spans="9:13" x14ac:dyDescent="0.3">
      <c r="I17801" s="82"/>
      <c r="M17801" s="85"/>
    </row>
    <row r="17802" spans="9:13" x14ac:dyDescent="0.3">
      <c r="I17802" s="82"/>
      <c r="M17802" s="85"/>
    </row>
    <row r="17803" spans="9:13" x14ac:dyDescent="0.3">
      <c r="I17803" s="82"/>
      <c r="M17803" s="85"/>
    </row>
    <row r="17804" spans="9:13" x14ac:dyDescent="0.3">
      <c r="I17804" s="82"/>
      <c r="M17804" s="85"/>
    </row>
    <row r="17805" spans="9:13" x14ac:dyDescent="0.3">
      <c r="I17805" s="82"/>
      <c r="M17805" s="85"/>
    </row>
    <row r="17806" spans="9:13" x14ac:dyDescent="0.3">
      <c r="I17806" s="82"/>
      <c r="M17806" s="85"/>
    </row>
    <row r="17807" spans="9:13" x14ac:dyDescent="0.3">
      <c r="I17807" s="82"/>
      <c r="M17807" s="85"/>
    </row>
    <row r="17808" spans="9:13" x14ac:dyDescent="0.3">
      <c r="I17808" s="82"/>
      <c r="M17808" s="85"/>
    </row>
    <row r="17809" spans="9:13" x14ac:dyDescent="0.3">
      <c r="I17809" s="82"/>
      <c r="M17809" s="85"/>
    </row>
    <row r="17810" spans="9:13" x14ac:dyDescent="0.3">
      <c r="I17810" s="82"/>
      <c r="M17810" s="85"/>
    </row>
    <row r="17811" spans="9:13" x14ac:dyDescent="0.3">
      <c r="I17811" s="82"/>
      <c r="M17811" s="85"/>
    </row>
    <row r="17812" spans="9:13" x14ac:dyDescent="0.3">
      <c r="I17812" s="82"/>
      <c r="M17812" s="85"/>
    </row>
    <row r="17813" spans="9:13" x14ac:dyDescent="0.3">
      <c r="I17813" s="82"/>
      <c r="M17813" s="85"/>
    </row>
    <row r="17814" spans="9:13" x14ac:dyDescent="0.3">
      <c r="I17814" s="82"/>
      <c r="M17814" s="85"/>
    </row>
    <row r="17815" spans="9:13" x14ac:dyDescent="0.3">
      <c r="I17815" s="82"/>
      <c r="M17815" s="85"/>
    </row>
    <row r="17816" spans="9:13" x14ac:dyDescent="0.3">
      <c r="I17816" s="82"/>
      <c r="M17816" s="85"/>
    </row>
    <row r="17817" spans="9:13" x14ac:dyDescent="0.3">
      <c r="I17817" s="82"/>
      <c r="M17817" s="85"/>
    </row>
    <row r="17818" spans="9:13" x14ac:dyDescent="0.3">
      <c r="I17818" s="82"/>
      <c r="M17818" s="85"/>
    </row>
    <row r="17819" spans="9:13" x14ac:dyDescent="0.3">
      <c r="I17819" s="82"/>
      <c r="M17819" s="85"/>
    </row>
    <row r="17820" spans="9:13" x14ac:dyDescent="0.3">
      <c r="I17820" s="82"/>
      <c r="M17820" s="85"/>
    </row>
    <row r="17821" spans="9:13" x14ac:dyDescent="0.3">
      <c r="I17821" s="82"/>
      <c r="M17821" s="85"/>
    </row>
    <row r="17822" spans="9:13" x14ac:dyDescent="0.3">
      <c r="I17822" s="82"/>
      <c r="M17822" s="85"/>
    </row>
    <row r="17823" spans="9:13" x14ac:dyDescent="0.3">
      <c r="I17823" s="82"/>
      <c r="M17823" s="85"/>
    </row>
    <row r="17824" spans="9:13" x14ac:dyDescent="0.3">
      <c r="I17824" s="82"/>
      <c r="M17824" s="85"/>
    </row>
    <row r="17825" spans="9:13" x14ac:dyDescent="0.3">
      <c r="I17825" s="82"/>
      <c r="M17825" s="85"/>
    </row>
    <row r="17826" spans="9:13" x14ac:dyDescent="0.3">
      <c r="I17826" s="82"/>
      <c r="M17826" s="85"/>
    </row>
    <row r="17827" spans="9:13" x14ac:dyDescent="0.3">
      <c r="I17827" s="82"/>
      <c r="M17827" s="85"/>
    </row>
    <row r="17828" spans="9:13" x14ac:dyDescent="0.3">
      <c r="I17828" s="82"/>
      <c r="M17828" s="85"/>
    </row>
    <row r="17829" spans="9:13" x14ac:dyDescent="0.3">
      <c r="I17829" s="82"/>
      <c r="M17829" s="85"/>
    </row>
    <row r="17830" spans="9:13" x14ac:dyDescent="0.3">
      <c r="I17830" s="82"/>
      <c r="M17830" s="85"/>
    </row>
    <row r="17831" spans="9:13" x14ac:dyDescent="0.3">
      <c r="I17831" s="82"/>
      <c r="M17831" s="85"/>
    </row>
    <row r="17832" spans="9:13" x14ac:dyDescent="0.3">
      <c r="I17832" s="82"/>
      <c r="M17832" s="85"/>
    </row>
    <row r="17833" spans="9:13" x14ac:dyDescent="0.3">
      <c r="I17833" s="82"/>
      <c r="M17833" s="85"/>
    </row>
    <row r="17834" spans="9:13" x14ac:dyDescent="0.3">
      <c r="I17834" s="82"/>
      <c r="M17834" s="85"/>
    </row>
    <row r="17835" spans="9:13" x14ac:dyDescent="0.3">
      <c r="I17835" s="82"/>
      <c r="M17835" s="85"/>
    </row>
    <row r="17836" spans="9:13" x14ac:dyDescent="0.3">
      <c r="I17836" s="82"/>
      <c r="M17836" s="85"/>
    </row>
    <row r="17837" spans="9:13" x14ac:dyDescent="0.3">
      <c r="I17837" s="82"/>
      <c r="M17837" s="85"/>
    </row>
    <row r="17838" spans="9:13" x14ac:dyDescent="0.3">
      <c r="I17838" s="82"/>
      <c r="M17838" s="85"/>
    </row>
    <row r="17839" spans="9:13" x14ac:dyDescent="0.3">
      <c r="I17839" s="82"/>
      <c r="M17839" s="85"/>
    </row>
    <row r="17840" spans="9:13" x14ac:dyDescent="0.3">
      <c r="I17840" s="82"/>
      <c r="M17840" s="85"/>
    </row>
    <row r="17841" spans="9:13" x14ac:dyDescent="0.3">
      <c r="I17841" s="82"/>
      <c r="M17841" s="85"/>
    </row>
    <row r="17842" spans="9:13" x14ac:dyDescent="0.3">
      <c r="I17842" s="82"/>
      <c r="M17842" s="85"/>
    </row>
    <row r="17843" spans="9:13" x14ac:dyDescent="0.3">
      <c r="I17843" s="82"/>
      <c r="M17843" s="85"/>
    </row>
    <row r="17844" spans="9:13" x14ac:dyDescent="0.3">
      <c r="I17844" s="82"/>
      <c r="M17844" s="85"/>
    </row>
    <row r="17845" spans="9:13" x14ac:dyDescent="0.3">
      <c r="I17845" s="82"/>
      <c r="M17845" s="85"/>
    </row>
    <row r="17846" spans="9:13" x14ac:dyDescent="0.3">
      <c r="I17846" s="82"/>
      <c r="M17846" s="85"/>
    </row>
    <row r="17847" spans="9:13" x14ac:dyDescent="0.3">
      <c r="I17847" s="82"/>
      <c r="M17847" s="85"/>
    </row>
    <row r="17848" spans="9:13" x14ac:dyDescent="0.3">
      <c r="I17848" s="82"/>
      <c r="M17848" s="85"/>
    </row>
    <row r="17849" spans="9:13" x14ac:dyDescent="0.3">
      <c r="I17849" s="82"/>
      <c r="M17849" s="85"/>
    </row>
    <row r="17850" spans="9:13" x14ac:dyDescent="0.3">
      <c r="I17850" s="82"/>
      <c r="M17850" s="85"/>
    </row>
    <row r="17851" spans="9:13" x14ac:dyDescent="0.3">
      <c r="I17851" s="82"/>
      <c r="M17851" s="85"/>
    </row>
    <row r="17852" spans="9:13" x14ac:dyDescent="0.3">
      <c r="I17852" s="82"/>
      <c r="M17852" s="85"/>
    </row>
    <row r="17853" spans="9:13" x14ac:dyDescent="0.3">
      <c r="I17853" s="82"/>
      <c r="M17853" s="85"/>
    </row>
    <row r="17854" spans="9:13" x14ac:dyDescent="0.3">
      <c r="I17854" s="82"/>
      <c r="M17854" s="85"/>
    </row>
    <row r="17855" spans="9:13" x14ac:dyDescent="0.3">
      <c r="I17855" s="82"/>
      <c r="M17855" s="85"/>
    </row>
    <row r="17856" spans="9:13" x14ac:dyDescent="0.3">
      <c r="I17856" s="82"/>
      <c r="M17856" s="85"/>
    </row>
    <row r="17857" spans="9:13" x14ac:dyDescent="0.3">
      <c r="I17857" s="82"/>
      <c r="M17857" s="85"/>
    </row>
    <row r="17858" spans="9:13" x14ac:dyDescent="0.3">
      <c r="I17858" s="82"/>
      <c r="M17858" s="85"/>
    </row>
    <row r="17859" spans="9:13" x14ac:dyDescent="0.3">
      <c r="I17859" s="82"/>
      <c r="M17859" s="85"/>
    </row>
    <row r="17860" spans="9:13" x14ac:dyDescent="0.3">
      <c r="I17860" s="82"/>
      <c r="M17860" s="85"/>
    </row>
    <row r="17861" spans="9:13" x14ac:dyDescent="0.3">
      <c r="I17861" s="82"/>
      <c r="M17861" s="85"/>
    </row>
    <row r="17862" spans="9:13" x14ac:dyDescent="0.3">
      <c r="I17862" s="82"/>
      <c r="M17862" s="85"/>
    </row>
    <row r="17863" spans="9:13" x14ac:dyDescent="0.3">
      <c r="I17863" s="82"/>
      <c r="M17863" s="85"/>
    </row>
    <row r="17864" spans="9:13" x14ac:dyDescent="0.3">
      <c r="I17864" s="82"/>
      <c r="M17864" s="85"/>
    </row>
    <row r="17865" spans="9:13" x14ac:dyDescent="0.3">
      <c r="I17865" s="82"/>
      <c r="M17865" s="85"/>
    </row>
    <row r="17866" spans="9:13" x14ac:dyDescent="0.3">
      <c r="I17866" s="82"/>
      <c r="M17866" s="85"/>
    </row>
    <row r="17867" spans="9:13" x14ac:dyDescent="0.3">
      <c r="I17867" s="82"/>
      <c r="M17867" s="85"/>
    </row>
    <row r="17868" spans="9:13" x14ac:dyDescent="0.3">
      <c r="I17868" s="82"/>
      <c r="M17868" s="85"/>
    </row>
    <row r="17869" spans="9:13" x14ac:dyDescent="0.3">
      <c r="I17869" s="82"/>
      <c r="M17869" s="85"/>
    </row>
    <row r="17870" spans="9:13" x14ac:dyDescent="0.3">
      <c r="I17870" s="82"/>
      <c r="M17870" s="85"/>
    </row>
    <row r="17871" spans="9:13" x14ac:dyDescent="0.3">
      <c r="I17871" s="82"/>
      <c r="M17871" s="85"/>
    </row>
    <row r="17872" spans="9:13" x14ac:dyDescent="0.3">
      <c r="I17872" s="82"/>
      <c r="M17872" s="85"/>
    </row>
    <row r="17873" spans="9:13" x14ac:dyDescent="0.3">
      <c r="I17873" s="82"/>
      <c r="M17873" s="85"/>
    </row>
    <row r="17874" spans="9:13" x14ac:dyDescent="0.3">
      <c r="I17874" s="82"/>
      <c r="M17874" s="85"/>
    </row>
    <row r="17875" spans="9:13" x14ac:dyDescent="0.3">
      <c r="I17875" s="82"/>
      <c r="M17875" s="85"/>
    </row>
    <row r="17876" spans="9:13" x14ac:dyDescent="0.3">
      <c r="I17876" s="82"/>
      <c r="M17876" s="85"/>
    </row>
    <row r="17877" spans="9:13" x14ac:dyDescent="0.3">
      <c r="I17877" s="82"/>
      <c r="M17877" s="85"/>
    </row>
    <row r="17878" spans="9:13" x14ac:dyDescent="0.3">
      <c r="I17878" s="82"/>
      <c r="M17878" s="85"/>
    </row>
    <row r="17879" spans="9:13" x14ac:dyDescent="0.3">
      <c r="I17879" s="82"/>
      <c r="M17879" s="85"/>
    </row>
    <row r="17880" spans="9:13" x14ac:dyDescent="0.3">
      <c r="I17880" s="82"/>
      <c r="M17880" s="85"/>
    </row>
    <row r="17881" spans="9:13" x14ac:dyDescent="0.3">
      <c r="I17881" s="82"/>
      <c r="M17881" s="85"/>
    </row>
    <row r="17882" spans="9:13" x14ac:dyDescent="0.3">
      <c r="I17882" s="82"/>
      <c r="M17882" s="85"/>
    </row>
    <row r="17883" spans="9:13" x14ac:dyDescent="0.3">
      <c r="I17883" s="82"/>
      <c r="M17883" s="85"/>
    </row>
    <row r="17884" spans="9:13" x14ac:dyDescent="0.3">
      <c r="I17884" s="82"/>
      <c r="M17884" s="85"/>
    </row>
    <row r="17885" spans="9:13" x14ac:dyDescent="0.3">
      <c r="I17885" s="82"/>
      <c r="M17885" s="85"/>
    </row>
    <row r="17886" spans="9:13" x14ac:dyDescent="0.3">
      <c r="I17886" s="82"/>
      <c r="M17886" s="85"/>
    </row>
    <row r="17887" spans="9:13" x14ac:dyDescent="0.3">
      <c r="I17887" s="82"/>
      <c r="M17887" s="85"/>
    </row>
    <row r="17888" spans="9:13" x14ac:dyDescent="0.3">
      <c r="I17888" s="82"/>
      <c r="M17888" s="85"/>
    </row>
    <row r="17889" spans="9:13" x14ac:dyDescent="0.3">
      <c r="I17889" s="82"/>
      <c r="M17889" s="85"/>
    </row>
    <row r="17890" spans="9:13" x14ac:dyDescent="0.3">
      <c r="I17890" s="82"/>
      <c r="M17890" s="85"/>
    </row>
    <row r="17891" spans="9:13" x14ac:dyDescent="0.3">
      <c r="I17891" s="82"/>
      <c r="M17891" s="85"/>
    </row>
    <row r="17892" spans="9:13" x14ac:dyDescent="0.3">
      <c r="I17892" s="82"/>
      <c r="M17892" s="85"/>
    </row>
    <row r="17893" spans="9:13" x14ac:dyDescent="0.3">
      <c r="I17893" s="82"/>
      <c r="M17893" s="85"/>
    </row>
    <row r="17894" spans="9:13" x14ac:dyDescent="0.3">
      <c r="I17894" s="82"/>
      <c r="M17894" s="85"/>
    </row>
    <row r="17895" spans="9:13" x14ac:dyDescent="0.3">
      <c r="I17895" s="82"/>
      <c r="M17895" s="85"/>
    </row>
    <row r="17896" spans="9:13" x14ac:dyDescent="0.3">
      <c r="I17896" s="82"/>
      <c r="M17896" s="85"/>
    </row>
    <row r="17897" spans="9:13" x14ac:dyDescent="0.3">
      <c r="I17897" s="82"/>
      <c r="M17897" s="85"/>
    </row>
    <row r="17898" spans="9:13" x14ac:dyDescent="0.3">
      <c r="I17898" s="82"/>
      <c r="M17898" s="85"/>
    </row>
    <row r="17899" spans="9:13" x14ac:dyDescent="0.3">
      <c r="I17899" s="82"/>
      <c r="M17899" s="85"/>
    </row>
    <row r="17900" spans="9:13" x14ac:dyDescent="0.3">
      <c r="I17900" s="82"/>
      <c r="M17900" s="85"/>
    </row>
    <row r="17901" spans="9:13" x14ac:dyDescent="0.3">
      <c r="I17901" s="82"/>
      <c r="M17901" s="85"/>
    </row>
    <row r="17902" spans="9:13" x14ac:dyDescent="0.3">
      <c r="I17902" s="82"/>
      <c r="M17902" s="85"/>
    </row>
    <row r="17903" spans="9:13" x14ac:dyDescent="0.3">
      <c r="I17903" s="82"/>
      <c r="M17903" s="85"/>
    </row>
    <row r="17904" spans="9:13" x14ac:dyDescent="0.3">
      <c r="I17904" s="82"/>
      <c r="M17904" s="85"/>
    </row>
    <row r="17905" spans="9:13" x14ac:dyDescent="0.3">
      <c r="I17905" s="82"/>
      <c r="M17905" s="85"/>
    </row>
    <row r="17906" spans="9:13" x14ac:dyDescent="0.3">
      <c r="I17906" s="82"/>
      <c r="M17906" s="85"/>
    </row>
    <row r="17907" spans="9:13" x14ac:dyDescent="0.3">
      <c r="I17907" s="82"/>
      <c r="M17907" s="85"/>
    </row>
    <row r="17908" spans="9:13" x14ac:dyDescent="0.3">
      <c r="I17908" s="82"/>
      <c r="M17908" s="85"/>
    </row>
    <row r="17909" spans="9:13" x14ac:dyDescent="0.3">
      <c r="I17909" s="82"/>
      <c r="M17909" s="85"/>
    </row>
    <row r="17910" spans="9:13" x14ac:dyDescent="0.3">
      <c r="I17910" s="82"/>
      <c r="M17910" s="85"/>
    </row>
    <row r="17911" spans="9:13" x14ac:dyDescent="0.3">
      <c r="I17911" s="82"/>
      <c r="M17911" s="85"/>
    </row>
    <row r="17912" spans="9:13" x14ac:dyDescent="0.3">
      <c r="I17912" s="82"/>
      <c r="M17912" s="85"/>
    </row>
    <row r="17913" spans="9:13" x14ac:dyDescent="0.3">
      <c r="I17913" s="82"/>
      <c r="M17913" s="85"/>
    </row>
    <row r="17914" spans="9:13" x14ac:dyDescent="0.3">
      <c r="I17914" s="82"/>
      <c r="M17914" s="85"/>
    </row>
    <row r="17915" spans="9:13" x14ac:dyDescent="0.3">
      <c r="I17915" s="82"/>
      <c r="M17915" s="85"/>
    </row>
    <row r="17916" spans="9:13" x14ac:dyDescent="0.3">
      <c r="I17916" s="82"/>
      <c r="M17916" s="85"/>
    </row>
    <row r="17917" spans="9:13" x14ac:dyDescent="0.3">
      <c r="I17917" s="82"/>
      <c r="M17917" s="85"/>
    </row>
    <row r="17918" spans="9:13" x14ac:dyDescent="0.3">
      <c r="I17918" s="82"/>
      <c r="M17918" s="85"/>
    </row>
    <row r="17919" spans="9:13" x14ac:dyDescent="0.3">
      <c r="I17919" s="82"/>
      <c r="M17919" s="85"/>
    </row>
    <row r="17920" spans="9:13" x14ac:dyDescent="0.3">
      <c r="I17920" s="82"/>
      <c r="M17920" s="85"/>
    </row>
    <row r="17921" spans="9:13" x14ac:dyDescent="0.3">
      <c r="I17921" s="82"/>
      <c r="M17921" s="85"/>
    </row>
    <row r="17922" spans="9:13" x14ac:dyDescent="0.3">
      <c r="I17922" s="82"/>
      <c r="M17922" s="85"/>
    </row>
    <row r="17923" spans="9:13" x14ac:dyDescent="0.3">
      <c r="I17923" s="82"/>
      <c r="M17923" s="85"/>
    </row>
    <row r="17924" spans="9:13" x14ac:dyDescent="0.3">
      <c r="I17924" s="82"/>
      <c r="M17924" s="85"/>
    </row>
    <row r="17925" spans="9:13" x14ac:dyDescent="0.3">
      <c r="I17925" s="82"/>
      <c r="M17925" s="85"/>
    </row>
    <row r="17926" spans="9:13" x14ac:dyDescent="0.3">
      <c r="I17926" s="82"/>
      <c r="M17926" s="85"/>
    </row>
    <row r="17927" spans="9:13" x14ac:dyDescent="0.3">
      <c r="I17927" s="82"/>
      <c r="M17927" s="85"/>
    </row>
    <row r="17928" spans="9:13" x14ac:dyDescent="0.3">
      <c r="I17928" s="82"/>
      <c r="M17928" s="85"/>
    </row>
    <row r="17929" spans="9:13" x14ac:dyDescent="0.3">
      <c r="I17929" s="82"/>
      <c r="M17929" s="85"/>
    </row>
    <row r="17930" spans="9:13" x14ac:dyDescent="0.3">
      <c r="I17930" s="82"/>
      <c r="M17930" s="85"/>
    </row>
    <row r="17931" spans="9:13" x14ac:dyDescent="0.3">
      <c r="I17931" s="82"/>
      <c r="M17931" s="85"/>
    </row>
    <row r="17932" spans="9:13" x14ac:dyDescent="0.3">
      <c r="I17932" s="82"/>
      <c r="M17932" s="85"/>
    </row>
    <row r="17933" spans="9:13" x14ac:dyDescent="0.3">
      <c r="I17933" s="82"/>
      <c r="M17933" s="85"/>
    </row>
    <row r="17934" spans="9:13" x14ac:dyDescent="0.3">
      <c r="I17934" s="82"/>
      <c r="M17934" s="85"/>
    </row>
    <row r="17935" spans="9:13" x14ac:dyDescent="0.3">
      <c r="I17935" s="82"/>
      <c r="M17935" s="85"/>
    </row>
    <row r="17936" spans="9:13" x14ac:dyDescent="0.3">
      <c r="I17936" s="82"/>
      <c r="M17936" s="85"/>
    </row>
    <row r="17937" spans="9:13" x14ac:dyDescent="0.3">
      <c r="I17937" s="82"/>
      <c r="M17937" s="85"/>
    </row>
    <row r="17938" spans="9:13" x14ac:dyDescent="0.3">
      <c r="I17938" s="82"/>
      <c r="M17938" s="85"/>
    </row>
    <row r="17939" spans="9:13" x14ac:dyDescent="0.3">
      <c r="I17939" s="82"/>
      <c r="M17939" s="85"/>
    </row>
    <row r="17940" spans="9:13" x14ac:dyDescent="0.3">
      <c r="I17940" s="82"/>
      <c r="M17940" s="85"/>
    </row>
    <row r="17941" spans="9:13" x14ac:dyDescent="0.3">
      <c r="I17941" s="82"/>
      <c r="M17941" s="85"/>
    </row>
    <row r="17942" spans="9:13" x14ac:dyDescent="0.3">
      <c r="I17942" s="82"/>
      <c r="M17942" s="85"/>
    </row>
    <row r="17943" spans="9:13" x14ac:dyDescent="0.3">
      <c r="I17943" s="82"/>
      <c r="M17943" s="85"/>
    </row>
    <row r="17944" spans="9:13" x14ac:dyDescent="0.3">
      <c r="I17944" s="82"/>
      <c r="M17944" s="85"/>
    </row>
    <row r="17945" spans="9:13" x14ac:dyDescent="0.3">
      <c r="I17945" s="82"/>
      <c r="M17945" s="85"/>
    </row>
    <row r="17946" spans="9:13" x14ac:dyDescent="0.3">
      <c r="I17946" s="82"/>
      <c r="M17946" s="85"/>
    </row>
    <row r="17947" spans="9:13" x14ac:dyDescent="0.3">
      <c r="I17947" s="82"/>
      <c r="M17947" s="85"/>
    </row>
    <row r="17948" spans="9:13" x14ac:dyDescent="0.3">
      <c r="I17948" s="82"/>
      <c r="M17948" s="85"/>
    </row>
    <row r="17949" spans="9:13" x14ac:dyDescent="0.3">
      <c r="I17949" s="82"/>
      <c r="M17949" s="85"/>
    </row>
    <row r="17950" spans="9:13" x14ac:dyDescent="0.3">
      <c r="I17950" s="82"/>
      <c r="M17950" s="85"/>
    </row>
    <row r="17951" spans="9:13" x14ac:dyDescent="0.3">
      <c r="I17951" s="82"/>
      <c r="M17951" s="85"/>
    </row>
    <row r="17952" spans="9:13" x14ac:dyDescent="0.3">
      <c r="I17952" s="82"/>
      <c r="M17952" s="85"/>
    </row>
    <row r="17953" spans="9:13" x14ac:dyDescent="0.3">
      <c r="I17953" s="82"/>
      <c r="M17953" s="85"/>
    </row>
    <row r="17954" spans="9:13" x14ac:dyDescent="0.3">
      <c r="I17954" s="82"/>
      <c r="M17954" s="85"/>
    </row>
    <row r="17955" spans="9:13" x14ac:dyDescent="0.3">
      <c r="I17955" s="82"/>
      <c r="M17955" s="85"/>
    </row>
    <row r="17956" spans="9:13" x14ac:dyDescent="0.3">
      <c r="I17956" s="82"/>
      <c r="M17956" s="85"/>
    </row>
    <row r="17957" spans="9:13" x14ac:dyDescent="0.3">
      <c r="I17957" s="82"/>
      <c r="M17957" s="85"/>
    </row>
    <row r="17958" spans="9:13" x14ac:dyDescent="0.3">
      <c r="I17958" s="82"/>
      <c r="M17958" s="85"/>
    </row>
    <row r="17959" spans="9:13" x14ac:dyDescent="0.3">
      <c r="I17959" s="82"/>
      <c r="M17959" s="85"/>
    </row>
    <row r="17960" spans="9:13" x14ac:dyDescent="0.3">
      <c r="I17960" s="82"/>
      <c r="M17960" s="85"/>
    </row>
    <row r="17961" spans="9:13" x14ac:dyDescent="0.3">
      <c r="I17961" s="82"/>
      <c r="M17961" s="85"/>
    </row>
    <row r="17962" spans="9:13" x14ac:dyDescent="0.3">
      <c r="I17962" s="82"/>
      <c r="M17962" s="85"/>
    </row>
    <row r="17963" spans="9:13" x14ac:dyDescent="0.3">
      <c r="I17963" s="82"/>
      <c r="M17963" s="85"/>
    </row>
    <row r="17964" spans="9:13" x14ac:dyDescent="0.3">
      <c r="I17964" s="82"/>
      <c r="M17964" s="85"/>
    </row>
    <row r="17965" spans="9:13" x14ac:dyDescent="0.3">
      <c r="I17965" s="82"/>
      <c r="M17965" s="85"/>
    </row>
    <row r="17966" spans="9:13" x14ac:dyDescent="0.3">
      <c r="I17966" s="82"/>
      <c r="M17966" s="85"/>
    </row>
    <row r="17967" spans="9:13" x14ac:dyDescent="0.3">
      <c r="I17967" s="82"/>
      <c r="M17967" s="85"/>
    </row>
    <row r="17968" spans="9:13" x14ac:dyDescent="0.3">
      <c r="I17968" s="82"/>
      <c r="M17968" s="85"/>
    </row>
    <row r="17969" spans="9:13" x14ac:dyDescent="0.3">
      <c r="I17969" s="82"/>
      <c r="M17969" s="85"/>
    </row>
    <row r="17970" spans="9:13" x14ac:dyDescent="0.3">
      <c r="I17970" s="82"/>
      <c r="M17970" s="85"/>
    </row>
    <row r="17971" spans="9:13" x14ac:dyDescent="0.3">
      <c r="I17971" s="82"/>
      <c r="M17971" s="85"/>
    </row>
    <row r="17972" spans="9:13" x14ac:dyDescent="0.3">
      <c r="I17972" s="82"/>
      <c r="M17972" s="85"/>
    </row>
    <row r="17973" spans="9:13" x14ac:dyDescent="0.3">
      <c r="I17973" s="82"/>
      <c r="M17973" s="85"/>
    </row>
    <row r="17974" spans="9:13" x14ac:dyDescent="0.3">
      <c r="I17974" s="82"/>
      <c r="M17974" s="85"/>
    </row>
    <row r="17975" spans="9:13" x14ac:dyDescent="0.3">
      <c r="I17975" s="82"/>
      <c r="M17975" s="85"/>
    </row>
    <row r="17976" spans="9:13" x14ac:dyDescent="0.3">
      <c r="I17976" s="82"/>
      <c r="M17976" s="85"/>
    </row>
    <row r="17977" spans="9:13" x14ac:dyDescent="0.3">
      <c r="I17977" s="82"/>
      <c r="M17977" s="85"/>
    </row>
    <row r="17978" spans="9:13" x14ac:dyDescent="0.3">
      <c r="I17978" s="82"/>
      <c r="M17978" s="85"/>
    </row>
    <row r="17979" spans="9:13" x14ac:dyDescent="0.3">
      <c r="I17979" s="82"/>
      <c r="M17979" s="85"/>
    </row>
    <row r="17980" spans="9:13" x14ac:dyDescent="0.3">
      <c r="I17980" s="82"/>
      <c r="M17980" s="85"/>
    </row>
    <row r="17981" spans="9:13" x14ac:dyDescent="0.3">
      <c r="I17981" s="82"/>
      <c r="M17981" s="85"/>
    </row>
    <row r="17982" spans="9:13" x14ac:dyDescent="0.3">
      <c r="I17982" s="82"/>
      <c r="M17982" s="85"/>
    </row>
    <row r="17983" spans="9:13" x14ac:dyDescent="0.3">
      <c r="I17983" s="82"/>
      <c r="M17983" s="85"/>
    </row>
    <row r="17984" spans="9:13" x14ac:dyDescent="0.3">
      <c r="I17984" s="82"/>
      <c r="M17984" s="85"/>
    </row>
    <row r="17985" spans="9:13" x14ac:dyDescent="0.3">
      <c r="I17985" s="82"/>
      <c r="M17985" s="85"/>
    </row>
    <row r="17986" spans="9:13" x14ac:dyDescent="0.3">
      <c r="I17986" s="82"/>
      <c r="M17986" s="85"/>
    </row>
    <row r="17987" spans="9:13" x14ac:dyDescent="0.3">
      <c r="I17987" s="82"/>
      <c r="M17987" s="85"/>
    </row>
    <row r="17988" spans="9:13" x14ac:dyDescent="0.3">
      <c r="I17988" s="82"/>
      <c r="M17988" s="85"/>
    </row>
    <row r="17989" spans="9:13" x14ac:dyDescent="0.3">
      <c r="I17989" s="82"/>
      <c r="M17989" s="85"/>
    </row>
    <row r="17990" spans="9:13" x14ac:dyDescent="0.3">
      <c r="I17990" s="82"/>
      <c r="M17990" s="85"/>
    </row>
    <row r="17991" spans="9:13" x14ac:dyDescent="0.3">
      <c r="I17991" s="82"/>
      <c r="M17991" s="85"/>
    </row>
    <row r="17992" spans="9:13" x14ac:dyDescent="0.3">
      <c r="I17992" s="82"/>
      <c r="M17992" s="85"/>
    </row>
    <row r="17993" spans="9:13" x14ac:dyDescent="0.3">
      <c r="I17993" s="82"/>
      <c r="M17993" s="85"/>
    </row>
    <row r="17994" spans="9:13" x14ac:dyDescent="0.3">
      <c r="I17994" s="82"/>
      <c r="M17994" s="85"/>
    </row>
    <row r="17995" spans="9:13" x14ac:dyDescent="0.3">
      <c r="I17995" s="82"/>
      <c r="M17995" s="85"/>
    </row>
    <row r="17996" spans="9:13" x14ac:dyDescent="0.3">
      <c r="I17996" s="82"/>
      <c r="M17996" s="85"/>
    </row>
    <row r="17997" spans="9:13" x14ac:dyDescent="0.3">
      <c r="I17997" s="82"/>
      <c r="M17997" s="85"/>
    </row>
    <row r="17998" spans="9:13" x14ac:dyDescent="0.3">
      <c r="I17998" s="82"/>
      <c r="M17998" s="85"/>
    </row>
    <row r="17999" spans="9:13" x14ac:dyDescent="0.3">
      <c r="I17999" s="82"/>
      <c r="M17999" s="85"/>
    </row>
    <row r="18000" spans="9:13" x14ac:dyDescent="0.3">
      <c r="I18000" s="82"/>
      <c r="M18000" s="85"/>
    </row>
    <row r="18001" spans="9:13" x14ac:dyDescent="0.3">
      <c r="I18001" s="82"/>
      <c r="M18001" s="85"/>
    </row>
    <row r="18002" spans="9:13" x14ac:dyDescent="0.3">
      <c r="I18002" s="82"/>
      <c r="M18002" s="85"/>
    </row>
    <row r="18003" spans="9:13" x14ac:dyDescent="0.3">
      <c r="I18003" s="82"/>
      <c r="M18003" s="85"/>
    </row>
    <row r="18004" spans="9:13" x14ac:dyDescent="0.3">
      <c r="I18004" s="82"/>
      <c r="M18004" s="85"/>
    </row>
    <row r="18005" spans="9:13" x14ac:dyDescent="0.3">
      <c r="I18005" s="82"/>
      <c r="M18005" s="85"/>
    </row>
    <row r="18006" spans="9:13" x14ac:dyDescent="0.3">
      <c r="I18006" s="82"/>
      <c r="M18006" s="85"/>
    </row>
    <row r="18007" spans="9:13" x14ac:dyDescent="0.3">
      <c r="I18007" s="82"/>
      <c r="M18007" s="85"/>
    </row>
    <row r="18008" spans="9:13" x14ac:dyDescent="0.3">
      <c r="I18008" s="82"/>
      <c r="M18008" s="85"/>
    </row>
    <row r="18009" spans="9:13" x14ac:dyDescent="0.3">
      <c r="I18009" s="82"/>
      <c r="M18009" s="85"/>
    </row>
    <row r="18010" spans="9:13" x14ac:dyDescent="0.3">
      <c r="I18010" s="82"/>
      <c r="M18010" s="85"/>
    </row>
    <row r="18011" spans="9:13" x14ac:dyDescent="0.3">
      <c r="I18011" s="82"/>
      <c r="M18011" s="85"/>
    </row>
    <row r="18012" spans="9:13" x14ac:dyDescent="0.3">
      <c r="I18012" s="82"/>
      <c r="M18012" s="85"/>
    </row>
    <row r="18013" spans="9:13" x14ac:dyDescent="0.3">
      <c r="I18013" s="82"/>
      <c r="M18013" s="85"/>
    </row>
    <row r="18014" spans="9:13" x14ac:dyDescent="0.3">
      <c r="I18014" s="82"/>
      <c r="M18014" s="85"/>
    </row>
    <row r="18015" spans="9:13" x14ac:dyDescent="0.3">
      <c r="I18015" s="82"/>
      <c r="M18015" s="85"/>
    </row>
    <row r="18016" spans="9:13" x14ac:dyDescent="0.3">
      <c r="I18016" s="82"/>
      <c r="M18016" s="85"/>
    </row>
    <row r="18017" spans="9:13" x14ac:dyDescent="0.3">
      <c r="I18017" s="82"/>
      <c r="M18017" s="85"/>
    </row>
    <row r="18018" spans="9:13" x14ac:dyDescent="0.3">
      <c r="I18018" s="82"/>
      <c r="M18018" s="85"/>
    </row>
    <row r="18019" spans="9:13" x14ac:dyDescent="0.3">
      <c r="I18019" s="82"/>
      <c r="M18019" s="85"/>
    </row>
    <row r="18020" spans="9:13" x14ac:dyDescent="0.3">
      <c r="I18020" s="82"/>
      <c r="M18020" s="85"/>
    </row>
    <row r="18021" spans="9:13" x14ac:dyDescent="0.3">
      <c r="I18021" s="82"/>
      <c r="M18021" s="85"/>
    </row>
    <row r="18022" spans="9:13" x14ac:dyDescent="0.3">
      <c r="I18022" s="82"/>
      <c r="M18022" s="85"/>
    </row>
    <row r="18023" spans="9:13" x14ac:dyDescent="0.3">
      <c r="I18023" s="82"/>
      <c r="M18023" s="85"/>
    </row>
    <row r="18024" spans="9:13" x14ac:dyDescent="0.3">
      <c r="I18024" s="82"/>
      <c r="M18024" s="85"/>
    </row>
    <row r="18025" spans="9:13" x14ac:dyDescent="0.3">
      <c r="I18025" s="82"/>
      <c r="M18025" s="85"/>
    </row>
    <row r="18026" spans="9:13" x14ac:dyDescent="0.3">
      <c r="I18026" s="82"/>
      <c r="M18026" s="85"/>
    </row>
    <row r="18027" spans="9:13" x14ac:dyDescent="0.3">
      <c r="I18027" s="82"/>
      <c r="M18027" s="85"/>
    </row>
    <row r="18028" spans="9:13" x14ac:dyDescent="0.3">
      <c r="I18028" s="82"/>
      <c r="M18028" s="85"/>
    </row>
    <row r="18029" spans="9:13" x14ac:dyDescent="0.3">
      <c r="I18029" s="82"/>
      <c r="M18029" s="85"/>
    </row>
    <row r="18030" spans="9:13" x14ac:dyDescent="0.3">
      <c r="I18030" s="82"/>
      <c r="M18030" s="85"/>
    </row>
    <row r="18031" spans="9:13" x14ac:dyDescent="0.3">
      <c r="I18031" s="82"/>
      <c r="M18031" s="85"/>
    </row>
    <row r="18032" spans="9:13" x14ac:dyDescent="0.3">
      <c r="I18032" s="82"/>
      <c r="M18032" s="85"/>
    </row>
    <row r="18033" spans="9:13" x14ac:dyDescent="0.3">
      <c r="I18033" s="82"/>
      <c r="M18033" s="85"/>
    </row>
    <row r="18034" spans="9:13" x14ac:dyDescent="0.3">
      <c r="I18034" s="82"/>
      <c r="M18034" s="85"/>
    </row>
    <row r="18035" spans="9:13" x14ac:dyDescent="0.3">
      <c r="I18035" s="82"/>
      <c r="M18035" s="85"/>
    </row>
    <row r="18036" spans="9:13" x14ac:dyDescent="0.3">
      <c r="I18036" s="82"/>
      <c r="M18036" s="85"/>
    </row>
    <row r="18037" spans="9:13" x14ac:dyDescent="0.3">
      <c r="I18037" s="82"/>
      <c r="M18037" s="85"/>
    </row>
    <row r="18038" spans="9:13" x14ac:dyDescent="0.3">
      <c r="I18038" s="82"/>
      <c r="M18038" s="85"/>
    </row>
    <row r="18039" spans="9:13" x14ac:dyDescent="0.3">
      <c r="I18039" s="82"/>
      <c r="M18039" s="85"/>
    </row>
    <row r="18040" spans="9:13" x14ac:dyDescent="0.3">
      <c r="I18040" s="82"/>
      <c r="M18040" s="85"/>
    </row>
    <row r="18041" spans="9:13" x14ac:dyDescent="0.3">
      <c r="I18041" s="82"/>
      <c r="M18041" s="85"/>
    </row>
    <row r="18042" spans="9:13" x14ac:dyDescent="0.3">
      <c r="I18042" s="82"/>
      <c r="M18042" s="85"/>
    </row>
    <row r="18043" spans="9:13" x14ac:dyDescent="0.3">
      <c r="I18043" s="82"/>
      <c r="M18043" s="85"/>
    </row>
    <row r="18044" spans="9:13" x14ac:dyDescent="0.3">
      <c r="I18044" s="82"/>
      <c r="M18044" s="85"/>
    </row>
    <row r="18045" spans="9:13" x14ac:dyDescent="0.3">
      <c r="I18045" s="82"/>
      <c r="M18045" s="85"/>
    </row>
    <row r="18046" spans="9:13" x14ac:dyDescent="0.3">
      <c r="I18046" s="82"/>
      <c r="M18046" s="85"/>
    </row>
    <row r="18047" spans="9:13" x14ac:dyDescent="0.3">
      <c r="I18047" s="82"/>
      <c r="M18047" s="85"/>
    </row>
    <row r="18048" spans="9:13" x14ac:dyDescent="0.3">
      <c r="I18048" s="82"/>
      <c r="M18048" s="85"/>
    </row>
    <row r="18049" spans="9:13" x14ac:dyDescent="0.3">
      <c r="I18049" s="82"/>
      <c r="M18049" s="85"/>
    </row>
    <row r="18050" spans="9:13" x14ac:dyDescent="0.3">
      <c r="I18050" s="82"/>
      <c r="M18050" s="85"/>
    </row>
    <row r="18051" spans="9:13" x14ac:dyDescent="0.3">
      <c r="I18051" s="82"/>
      <c r="M18051" s="85"/>
    </row>
    <row r="18052" spans="9:13" x14ac:dyDescent="0.3">
      <c r="I18052" s="82"/>
      <c r="M18052" s="85"/>
    </row>
    <row r="18053" spans="9:13" x14ac:dyDescent="0.3">
      <c r="I18053" s="82"/>
      <c r="M18053" s="85"/>
    </row>
    <row r="18054" spans="9:13" x14ac:dyDescent="0.3">
      <c r="I18054" s="82"/>
      <c r="M18054" s="85"/>
    </row>
    <row r="18055" spans="9:13" x14ac:dyDescent="0.3">
      <c r="I18055" s="82"/>
      <c r="M18055" s="85"/>
    </row>
    <row r="18056" spans="9:13" x14ac:dyDescent="0.3">
      <c r="I18056" s="82"/>
      <c r="M18056" s="85"/>
    </row>
    <row r="18057" spans="9:13" x14ac:dyDescent="0.3">
      <c r="I18057" s="82"/>
      <c r="M18057" s="85"/>
    </row>
    <row r="18058" spans="9:13" x14ac:dyDescent="0.3">
      <c r="I18058" s="82"/>
      <c r="M18058" s="85"/>
    </row>
    <row r="18059" spans="9:13" x14ac:dyDescent="0.3">
      <c r="I18059" s="82"/>
      <c r="M18059" s="85"/>
    </row>
    <row r="18060" spans="9:13" x14ac:dyDescent="0.3">
      <c r="I18060" s="82"/>
      <c r="M18060" s="85"/>
    </row>
    <row r="18061" spans="9:13" x14ac:dyDescent="0.3">
      <c r="I18061" s="82"/>
      <c r="M18061" s="85"/>
    </row>
    <row r="18062" spans="9:13" x14ac:dyDescent="0.3">
      <c r="I18062" s="82"/>
      <c r="M18062" s="85"/>
    </row>
    <row r="18063" spans="9:13" x14ac:dyDescent="0.3">
      <c r="I18063" s="82"/>
      <c r="M18063" s="85"/>
    </row>
    <row r="18064" spans="9:13" x14ac:dyDescent="0.3">
      <c r="I18064" s="82"/>
      <c r="M18064" s="85"/>
    </row>
    <row r="18065" spans="9:13" x14ac:dyDescent="0.3">
      <c r="I18065" s="82"/>
      <c r="M18065" s="85"/>
    </row>
    <row r="18066" spans="9:13" x14ac:dyDescent="0.3">
      <c r="I18066" s="82"/>
      <c r="M18066" s="85"/>
    </row>
    <row r="18067" spans="9:13" x14ac:dyDescent="0.3">
      <c r="I18067" s="82"/>
      <c r="M18067" s="85"/>
    </row>
    <row r="18068" spans="9:13" x14ac:dyDescent="0.3">
      <c r="I18068" s="82"/>
      <c r="M18068" s="85"/>
    </row>
    <row r="18069" spans="9:13" x14ac:dyDescent="0.3">
      <c r="I18069" s="82"/>
      <c r="M18069" s="85"/>
    </row>
    <row r="18070" spans="9:13" x14ac:dyDescent="0.3">
      <c r="I18070" s="82"/>
      <c r="M18070" s="85"/>
    </row>
    <row r="18071" spans="9:13" x14ac:dyDescent="0.3">
      <c r="I18071" s="82"/>
      <c r="M18071" s="85"/>
    </row>
    <row r="18072" spans="9:13" x14ac:dyDescent="0.3">
      <c r="I18072" s="82"/>
      <c r="M18072" s="85"/>
    </row>
    <row r="18073" spans="9:13" x14ac:dyDescent="0.3">
      <c r="I18073" s="82"/>
      <c r="M18073" s="85"/>
    </row>
    <row r="18074" spans="9:13" x14ac:dyDescent="0.3">
      <c r="I18074" s="82"/>
      <c r="M18074" s="85"/>
    </row>
    <row r="18075" spans="9:13" x14ac:dyDescent="0.3">
      <c r="I18075" s="82"/>
      <c r="M18075" s="85"/>
    </row>
    <row r="18076" spans="9:13" x14ac:dyDescent="0.3">
      <c r="I18076" s="82"/>
      <c r="M18076" s="85"/>
    </row>
    <row r="18077" spans="9:13" x14ac:dyDescent="0.3">
      <c r="I18077" s="82"/>
      <c r="M18077" s="85"/>
    </row>
    <row r="18078" spans="9:13" x14ac:dyDescent="0.3">
      <c r="I18078" s="82"/>
      <c r="M18078" s="85"/>
    </row>
    <row r="18079" spans="9:13" x14ac:dyDescent="0.3">
      <c r="I18079" s="82"/>
      <c r="M18079" s="85"/>
    </row>
    <row r="18080" spans="9:13" x14ac:dyDescent="0.3">
      <c r="I18080" s="82"/>
      <c r="M18080" s="85"/>
    </row>
    <row r="18081" spans="9:13" x14ac:dyDescent="0.3">
      <c r="I18081" s="82"/>
      <c r="M18081" s="85"/>
    </row>
    <row r="18082" spans="9:13" x14ac:dyDescent="0.3">
      <c r="I18082" s="82"/>
      <c r="M18082" s="85"/>
    </row>
    <row r="18083" spans="9:13" x14ac:dyDescent="0.3">
      <c r="I18083" s="82"/>
      <c r="M18083" s="85"/>
    </row>
    <row r="18084" spans="9:13" x14ac:dyDescent="0.3">
      <c r="I18084" s="82"/>
      <c r="M18084" s="85"/>
    </row>
    <row r="18085" spans="9:13" x14ac:dyDescent="0.3">
      <c r="I18085" s="82"/>
      <c r="M18085" s="85"/>
    </row>
    <row r="18086" spans="9:13" x14ac:dyDescent="0.3">
      <c r="I18086" s="82"/>
      <c r="M18086" s="85"/>
    </row>
    <row r="18087" spans="9:13" x14ac:dyDescent="0.3">
      <c r="I18087" s="82"/>
      <c r="M18087" s="85"/>
    </row>
    <row r="18088" spans="9:13" x14ac:dyDescent="0.3">
      <c r="I18088" s="82"/>
      <c r="M18088" s="85"/>
    </row>
    <row r="18089" spans="9:13" x14ac:dyDescent="0.3">
      <c r="I18089" s="82"/>
      <c r="M18089" s="85"/>
    </row>
    <row r="18090" spans="9:13" x14ac:dyDescent="0.3">
      <c r="I18090" s="82"/>
      <c r="M18090" s="85"/>
    </row>
    <row r="18091" spans="9:13" x14ac:dyDescent="0.3">
      <c r="I18091" s="82"/>
      <c r="M18091" s="85"/>
    </row>
    <row r="18092" spans="9:13" x14ac:dyDescent="0.3">
      <c r="I18092" s="82"/>
      <c r="M18092" s="85"/>
    </row>
    <row r="18093" spans="9:13" x14ac:dyDescent="0.3">
      <c r="I18093" s="82"/>
      <c r="M18093" s="85"/>
    </row>
    <row r="18094" spans="9:13" x14ac:dyDescent="0.3">
      <c r="I18094" s="82"/>
      <c r="M18094" s="85"/>
    </row>
    <row r="18095" spans="9:13" x14ac:dyDescent="0.3">
      <c r="I18095" s="82"/>
      <c r="M18095" s="85"/>
    </row>
    <row r="18096" spans="9:13" x14ac:dyDescent="0.3">
      <c r="I18096" s="82"/>
      <c r="M18096" s="85"/>
    </row>
    <row r="18097" spans="9:13" x14ac:dyDescent="0.3">
      <c r="I18097" s="82"/>
      <c r="M18097" s="85"/>
    </row>
    <row r="18098" spans="9:13" x14ac:dyDescent="0.3">
      <c r="I18098" s="82"/>
      <c r="M18098" s="85"/>
    </row>
    <row r="18099" spans="9:13" x14ac:dyDescent="0.3">
      <c r="I18099" s="82"/>
      <c r="M18099" s="85"/>
    </row>
    <row r="18100" spans="9:13" x14ac:dyDescent="0.3">
      <c r="I18100" s="82"/>
      <c r="M18100" s="85"/>
    </row>
    <row r="18101" spans="9:13" x14ac:dyDescent="0.3">
      <c r="I18101" s="82"/>
      <c r="M18101" s="85"/>
    </row>
    <row r="18102" spans="9:13" x14ac:dyDescent="0.3">
      <c r="I18102" s="82"/>
      <c r="M18102" s="85"/>
    </row>
    <row r="18103" spans="9:13" x14ac:dyDescent="0.3">
      <c r="I18103" s="82"/>
      <c r="M18103" s="85"/>
    </row>
    <row r="18104" spans="9:13" x14ac:dyDescent="0.3">
      <c r="I18104" s="82"/>
      <c r="M18104" s="85"/>
    </row>
    <row r="18105" spans="9:13" x14ac:dyDescent="0.3">
      <c r="I18105" s="82"/>
      <c r="M18105" s="85"/>
    </row>
    <row r="18106" spans="9:13" x14ac:dyDescent="0.3">
      <c r="I18106" s="82"/>
      <c r="M18106" s="85"/>
    </row>
    <row r="18107" spans="9:13" x14ac:dyDescent="0.3">
      <c r="I18107" s="82"/>
      <c r="M18107" s="85"/>
    </row>
    <row r="18108" spans="9:13" x14ac:dyDescent="0.3">
      <c r="I18108" s="82"/>
      <c r="M18108" s="85"/>
    </row>
    <row r="18109" spans="9:13" x14ac:dyDescent="0.3">
      <c r="I18109" s="82"/>
      <c r="M18109" s="85"/>
    </row>
    <row r="18110" spans="9:13" x14ac:dyDescent="0.3">
      <c r="I18110" s="82"/>
      <c r="M18110" s="85"/>
    </row>
    <row r="18111" spans="9:13" x14ac:dyDescent="0.3">
      <c r="I18111" s="82"/>
      <c r="M18111" s="85"/>
    </row>
    <row r="18112" spans="9:13" x14ac:dyDescent="0.3">
      <c r="I18112" s="82"/>
      <c r="M18112" s="85"/>
    </row>
    <row r="18113" spans="9:13" x14ac:dyDescent="0.3">
      <c r="I18113" s="82"/>
      <c r="M18113" s="85"/>
    </row>
    <row r="18114" spans="9:13" x14ac:dyDescent="0.3">
      <c r="I18114" s="82"/>
      <c r="M18114" s="85"/>
    </row>
    <row r="18115" spans="9:13" x14ac:dyDescent="0.3">
      <c r="I18115" s="82"/>
      <c r="M18115" s="85"/>
    </row>
    <row r="18116" spans="9:13" x14ac:dyDescent="0.3">
      <c r="I18116" s="82"/>
      <c r="M18116" s="85"/>
    </row>
    <row r="18117" spans="9:13" x14ac:dyDescent="0.3">
      <c r="I18117" s="82"/>
      <c r="M18117" s="85"/>
    </row>
    <row r="18118" spans="9:13" x14ac:dyDescent="0.3">
      <c r="I18118" s="82"/>
      <c r="M18118" s="85"/>
    </row>
    <row r="18119" spans="9:13" x14ac:dyDescent="0.3">
      <c r="I18119" s="82"/>
      <c r="M18119" s="85"/>
    </row>
    <row r="18120" spans="9:13" x14ac:dyDescent="0.3">
      <c r="I18120" s="82"/>
      <c r="M18120" s="85"/>
    </row>
    <row r="18121" spans="9:13" x14ac:dyDescent="0.3">
      <c r="I18121" s="82"/>
      <c r="M18121" s="85"/>
    </row>
    <row r="18122" spans="9:13" x14ac:dyDescent="0.3">
      <c r="I18122" s="82"/>
      <c r="M18122" s="85"/>
    </row>
    <row r="18123" spans="9:13" x14ac:dyDescent="0.3">
      <c r="I18123" s="82"/>
      <c r="M18123" s="85"/>
    </row>
    <row r="18124" spans="9:13" x14ac:dyDescent="0.3">
      <c r="I18124" s="82"/>
      <c r="M18124" s="85"/>
    </row>
    <row r="18125" spans="9:13" x14ac:dyDescent="0.3">
      <c r="I18125" s="82"/>
      <c r="M18125" s="85"/>
    </row>
    <row r="18126" spans="9:13" x14ac:dyDescent="0.3">
      <c r="I18126" s="82"/>
      <c r="M18126" s="85"/>
    </row>
    <row r="18127" spans="9:13" x14ac:dyDescent="0.3">
      <c r="I18127" s="82"/>
      <c r="M18127" s="85"/>
    </row>
    <row r="18128" spans="9:13" x14ac:dyDescent="0.3">
      <c r="I18128" s="82"/>
      <c r="M18128" s="85"/>
    </row>
    <row r="18129" spans="9:13" x14ac:dyDescent="0.3">
      <c r="I18129" s="82"/>
      <c r="M18129" s="85"/>
    </row>
    <row r="18130" spans="9:13" x14ac:dyDescent="0.3">
      <c r="I18130" s="82"/>
      <c r="M18130" s="85"/>
    </row>
    <row r="18131" spans="9:13" x14ac:dyDescent="0.3">
      <c r="I18131" s="82"/>
      <c r="M18131" s="85"/>
    </row>
    <row r="18132" spans="9:13" x14ac:dyDescent="0.3">
      <c r="I18132" s="82"/>
      <c r="M18132" s="85"/>
    </row>
    <row r="18133" spans="9:13" x14ac:dyDescent="0.3">
      <c r="I18133" s="82"/>
      <c r="M18133" s="85"/>
    </row>
    <row r="18134" spans="9:13" x14ac:dyDescent="0.3">
      <c r="I18134" s="82"/>
      <c r="M18134" s="85"/>
    </row>
    <row r="18135" spans="9:13" x14ac:dyDescent="0.3">
      <c r="I18135" s="82"/>
      <c r="M18135" s="85"/>
    </row>
    <row r="18136" spans="9:13" x14ac:dyDescent="0.3">
      <c r="I18136" s="82"/>
      <c r="M18136" s="85"/>
    </row>
    <row r="18137" spans="9:13" x14ac:dyDescent="0.3">
      <c r="I18137" s="82"/>
      <c r="M18137" s="85"/>
    </row>
    <row r="18138" spans="9:13" x14ac:dyDescent="0.3">
      <c r="I18138" s="82"/>
      <c r="M18138" s="85"/>
    </row>
    <row r="18139" spans="9:13" x14ac:dyDescent="0.3">
      <c r="I18139" s="82"/>
      <c r="M18139" s="85"/>
    </row>
    <row r="18140" spans="9:13" x14ac:dyDescent="0.3">
      <c r="I18140" s="82"/>
      <c r="M18140" s="85"/>
    </row>
    <row r="18141" spans="9:13" x14ac:dyDescent="0.3">
      <c r="I18141" s="82"/>
      <c r="M18141" s="85"/>
    </row>
    <row r="18142" spans="9:13" x14ac:dyDescent="0.3">
      <c r="I18142" s="82"/>
      <c r="M18142" s="85"/>
    </row>
    <row r="18143" spans="9:13" x14ac:dyDescent="0.3">
      <c r="I18143" s="82"/>
      <c r="M18143" s="85"/>
    </row>
    <row r="18144" spans="9:13" x14ac:dyDescent="0.3">
      <c r="I18144" s="82"/>
      <c r="M18144" s="85"/>
    </row>
    <row r="18145" spans="9:13" x14ac:dyDescent="0.3">
      <c r="I18145" s="82"/>
      <c r="M18145" s="85"/>
    </row>
    <row r="18146" spans="9:13" x14ac:dyDescent="0.3">
      <c r="I18146" s="82"/>
      <c r="M18146" s="85"/>
    </row>
    <row r="18147" spans="9:13" x14ac:dyDescent="0.3">
      <c r="I18147" s="82"/>
      <c r="M18147" s="85"/>
    </row>
    <row r="18148" spans="9:13" x14ac:dyDescent="0.3">
      <c r="I18148" s="82"/>
      <c r="M18148" s="85"/>
    </row>
    <row r="18149" spans="9:13" x14ac:dyDescent="0.3">
      <c r="I18149" s="82"/>
      <c r="M18149" s="85"/>
    </row>
    <row r="18150" spans="9:13" x14ac:dyDescent="0.3">
      <c r="I18150" s="82"/>
      <c r="M18150" s="85"/>
    </row>
    <row r="18151" spans="9:13" x14ac:dyDescent="0.3">
      <c r="I18151" s="82"/>
      <c r="M18151" s="85"/>
    </row>
    <row r="18152" spans="9:13" x14ac:dyDescent="0.3">
      <c r="I18152" s="82"/>
      <c r="M18152" s="85"/>
    </row>
    <row r="18153" spans="9:13" x14ac:dyDescent="0.3">
      <c r="I18153" s="82"/>
      <c r="M18153" s="85"/>
    </row>
    <row r="18154" spans="9:13" x14ac:dyDescent="0.3">
      <c r="I18154" s="82"/>
      <c r="M18154" s="85"/>
    </row>
    <row r="18155" spans="9:13" x14ac:dyDescent="0.3">
      <c r="I18155" s="82"/>
      <c r="M18155" s="85"/>
    </row>
    <row r="18156" spans="9:13" x14ac:dyDescent="0.3">
      <c r="I18156" s="82"/>
      <c r="M18156" s="85"/>
    </row>
    <row r="18157" spans="9:13" x14ac:dyDescent="0.3">
      <c r="I18157" s="82"/>
      <c r="M18157" s="85"/>
    </row>
    <row r="18158" spans="9:13" x14ac:dyDescent="0.3">
      <c r="I18158" s="82"/>
      <c r="M18158" s="85"/>
    </row>
    <row r="18159" spans="9:13" x14ac:dyDescent="0.3">
      <c r="I18159" s="82"/>
      <c r="M18159" s="85"/>
    </row>
    <row r="18160" spans="9:13" x14ac:dyDescent="0.3">
      <c r="I18160" s="82"/>
      <c r="M18160" s="85"/>
    </row>
    <row r="18161" spans="9:13" x14ac:dyDescent="0.3">
      <c r="I18161" s="82"/>
      <c r="M18161" s="85"/>
    </row>
    <row r="18162" spans="9:13" x14ac:dyDescent="0.3">
      <c r="I18162" s="82"/>
      <c r="M18162" s="85"/>
    </row>
    <row r="18163" spans="9:13" x14ac:dyDescent="0.3">
      <c r="I18163" s="82"/>
      <c r="M18163" s="85"/>
    </row>
    <row r="18164" spans="9:13" x14ac:dyDescent="0.3">
      <c r="I18164" s="82"/>
      <c r="M18164" s="85"/>
    </row>
    <row r="18165" spans="9:13" x14ac:dyDescent="0.3">
      <c r="I18165" s="82"/>
      <c r="M18165" s="85"/>
    </row>
    <row r="18166" spans="9:13" x14ac:dyDescent="0.3">
      <c r="I18166" s="82"/>
      <c r="M18166" s="85"/>
    </row>
    <row r="18167" spans="9:13" x14ac:dyDescent="0.3">
      <c r="I18167" s="82"/>
      <c r="M18167" s="85"/>
    </row>
    <row r="18168" spans="9:13" x14ac:dyDescent="0.3">
      <c r="I18168" s="82"/>
      <c r="M18168" s="85"/>
    </row>
    <row r="18169" spans="9:13" x14ac:dyDescent="0.3">
      <c r="I18169" s="82"/>
      <c r="M18169" s="85"/>
    </row>
    <row r="18170" spans="9:13" x14ac:dyDescent="0.3">
      <c r="I18170" s="82"/>
      <c r="M18170" s="85"/>
    </row>
    <row r="18171" spans="9:13" x14ac:dyDescent="0.3">
      <c r="I18171" s="82"/>
      <c r="M18171" s="85"/>
    </row>
    <row r="18172" spans="9:13" x14ac:dyDescent="0.3">
      <c r="I18172" s="82"/>
      <c r="M18172" s="85"/>
    </row>
    <row r="18173" spans="9:13" x14ac:dyDescent="0.3">
      <c r="I18173" s="82"/>
      <c r="M18173" s="85"/>
    </row>
    <row r="18174" spans="9:13" x14ac:dyDescent="0.3">
      <c r="I18174" s="82"/>
      <c r="M18174" s="85"/>
    </row>
    <row r="18175" spans="9:13" x14ac:dyDescent="0.3">
      <c r="I18175" s="82"/>
      <c r="M18175" s="85"/>
    </row>
    <row r="18176" spans="9:13" x14ac:dyDescent="0.3">
      <c r="I18176" s="82"/>
      <c r="M18176" s="85"/>
    </row>
    <row r="18177" spans="9:13" x14ac:dyDescent="0.3">
      <c r="I18177" s="82"/>
      <c r="M18177" s="85"/>
    </row>
    <row r="18178" spans="9:13" x14ac:dyDescent="0.3">
      <c r="I18178" s="82"/>
      <c r="M18178" s="85"/>
    </row>
    <row r="18179" spans="9:13" x14ac:dyDescent="0.3">
      <c r="I18179" s="82"/>
      <c r="M18179" s="85"/>
    </row>
    <row r="18180" spans="9:13" x14ac:dyDescent="0.3">
      <c r="I18180" s="82"/>
      <c r="M18180" s="85"/>
    </row>
    <row r="18181" spans="9:13" x14ac:dyDescent="0.3">
      <c r="I18181" s="82"/>
      <c r="M18181" s="85"/>
    </row>
    <row r="18182" spans="9:13" x14ac:dyDescent="0.3">
      <c r="I18182" s="82"/>
      <c r="M18182" s="85"/>
    </row>
    <row r="18183" spans="9:13" x14ac:dyDescent="0.3">
      <c r="I18183" s="82"/>
      <c r="M18183" s="85"/>
    </row>
    <row r="18184" spans="9:13" x14ac:dyDescent="0.3">
      <c r="I18184" s="82"/>
      <c r="M18184" s="85"/>
    </row>
    <row r="18185" spans="9:13" x14ac:dyDescent="0.3">
      <c r="I18185" s="82"/>
      <c r="M18185" s="85"/>
    </row>
    <row r="18186" spans="9:13" x14ac:dyDescent="0.3">
      <c r="I18186" s="82"/>
      <c r="M18186" s="85"/>
    </row>
    <row r="18187" spans="9:13" x14ac:dyDescent="0.3">
      <c r="I18187" s="82"/>
      <c r="M18187" s="85"/>
    </row>
    <row r="18188" spans="9:13" x14ac:dyDescent="0.3">
      <c r="I18188" s="82"/>
      <c r="M18188" s="85"/>
    </row>
    <row r="18189" spans="9:13" x14ac:dyDescent="0.3">
      <c r="I18189" s="82"/>
      <c r="M18189" s="85"/>
    </row>
    <row r="18190" spans="9:13" x14ac:dyDescent="0.3">
      <c r="I18190" s="82"/>
      <c r="M18190" s="85"/>
    </row>
    <row r="18191" spans="9:13" x14ac:dyDescent="0.3">
      <c r="I18191" s="82"/>
      <c r="M18191" s="85"/>
    </row>
    <row r="18192" spans="9:13" x14ac:dyDescent="0.3">
      <c r="I18192" s="82"/>
      <c r="M18192" s="85"/>
    </row>
    <row r="18193" spans="9:13" x14ac:dyDescent="0.3">
      <c r="I18193" s="82"/>
      <c r="M18193" s="85"/>
    </row>
    <row r="18194" spans="9:13" x14ac:dyDescent="0.3">
      <c r="I18194" s="82"/>
      <c r="M18194" s="85"/>
    </row>
    <row r="18195" spans="9:13" x14ac:dyDescent="0.3">
      <c r="I18195" s="82"/>
      <c r="M18195" s="85"/>
    </row>
    <row r="18196" spans="9:13" x14ac:dyDescent="0.3">
      <c r="I18196" s="82"/>
      <c r="M18196" s="85"/>
    </row>
    <row r="18197" spans="9:13" x14ac:dyDescent="0.3">
      <c r="I18197" s="82"/>
      <c r="M18197" s="85"/>
    </row>
    <row r="18198" spans="9:13" x14ac:dyDescent="0.3">
      <c r="I18198" s="82"/>
      <c r="M18198" s="85"/>
    </row>
    <row r="18199" spans="9:13" x14ac:dyDescent="0.3">
      <c r="I18199" s="82"/>
      <c r="M18199" s="85"/>
    </row>
    <row r="18200" spans="9:13" x14ac:dyDescent="0.3">
      <c r="I18200" s="82"/>
      <c r="M18200" s="85"/>
    </row>
    <row r="18201" spans="9:13" x14ac:dyDescent="0.3">
      <c r="I18201" s="82"/>
      <c r="M18201" s="85"/>
    </row>
    <row r="18202" spans="9:13" x14ac:dyDescent="0.3">
      <c r="I18202" s="82"/>
      <c r="M18202" s="85"/>
    </row>
    <row r="18203" spans="9:13" x14ac:dyDescent="0.3">
      <c r="I18203" s="82"/>
      <c r="M18203" s="85"/>
    </row>
    <row r="18204" spans="9:13" x14ac:dyDescent="0.3">
      <c r="I18204" s="82"/>
      <c r="M18204" s="85"/>
    </row>
    <row r="18205" spans="9:13" x14ac:dyDescent="0.3">
      <c r="I18205" s="82"/>
      <c r="M18205" s="85"/>
    </row>
    <row r="18206" spans="9:13" x14ac:dyDescent="0.3">
      <c r="I18206" s="82"/>
      <c r="M18206" s="85"/>
    </row>
    <row r="18207" spans="9:13" x14ac:dyDescent="0.3">
      <c r="I18207" s="82"/>
      <c r="M18207" s="85"/>
    </row>
    <row r="18208" spans="9:13" x14ac:dyDescent="0.3">
      <c r="I18208" s="82"/>
      <c r="M18208" s="85"/>
    </row>
    <row r="18209" spans="9:13" x14ac:dyDescent="0.3">
      <c r="I18209" s="82"/>
      <c r="M18209" s="85"/>
    </row>
    <row r="18210" spans="9:13" x14ac:dyDescent="0.3">
      <c r="I18210" s="82"/>
      <c r="M18210" s="85"/>
    </row>
    <row r="18211" spans="9:13" x14ac:dyDescent="0.3">
      <c r="I18211" s="82"/>
      <c r="M18211" s="85"/>
    </row>
    <row r="18212" spans="9:13" x14ac:dyDescent="0.3">
      <c r="I18212" s="82"/>
      <c r="M18212" s="85"/>
    </row>
    <row r="18213" spans="9:13" x14ac:dyDescent="0.3">
      <c r="I18213" s="82"/>
      <c r="M18213" s="85"/>
    </row>
    <row r="18214" spans="9:13" x14ac:dyDescent="0.3">
      <c r="I18214" s="82"/>
      <c r="M18214" s="85"/>
    </row>
    <row r="18215" spans="9:13" x14ac:dyDescent="0.3">
      <c r="I18215" s="82"/>
      <c r="M18215" s="85"/>
    </row>
    <row r="18216" spans="9:13" x14ac:dyDescent="0.3">
      <c r="I18216" s="82"/>
      <c r="M18216" s="85"/>
    </row>
    <row r="18217" spans="9:13" x14ac:dyDescent="0.3">
      <c r="I18217" s="82"/>
      <c r="M18217" s="85"/>
    </row>
    <row r="18218" spans="9:13" x14ac:dyDescent="0.3">
      <c r="I18218" s="82"/>
      <c r="M18218" s="85"/>
    </row>
    <row r="18219" spans="9:13" x14ac:dyDescent="0.3">
      <c r="I18219" s="82"/>
      <c r="M18219" s="85"/>
    </row>
    <row r="18220" spans="9:13" x14ac:dyDescent="0.3">
      <c r="I18220" s="82"/>
      <c r="M18220" s="85"/>
    </row>
    <row r="18221" spans="9:13" x14ac:dyDescent="0.3">
      <c r="I18221" s="82"/>
      <c r="M18221" s="85"/>
    </row>
    <row r="18222" spans="9:13" x14ac:dyDescent="0.3">
      <c r="I18222" s="82"/>
      <c r="M18222" s="85"/>
    </row>
    <row r="18223" spans="9:13" x14ac:dyDescent="0.3">
      <c r="I18223" s="82"/>
      <c r="M18223" s="85"/>
    </row>
    <row r="18224" spans="9:13" x14ac:dyDescent="0.3">
      <c r="I18224" s="82"/>
      <c r="M18224" s="85"/>
    </row>
    <row r="18225" spans="9:13" x14ac:dyDescent="0.3">
      <c r="I18225" s="82"/>
      <c r="M18225" s="85"/>
    </row>
    <row r="18226" spans="9:13" x14ac:dyDescent="0.3">
      <c r="I18226" s="82"/>
      <c r="M18226" s="85"/>
    </row>
    <row r="18227" spans="9:13" x14ac:dyDescent="0.3">
      <c r="I18227" s="82"/>
      <c r="M18227" s="85"/>
    </row>
    <row r="18228" spans="9:13" x14ac:dyDescent="0.3">
      <c r="I18228" s="82"/>
      <c r="M18228" s="85"/>
    </row>
    <row r="18229" spans="9:13" x14ac:dyDescent="0.3">
      <c r="I18229" s="82"/>
      <c r="M18229" s="85"/>
    </row>
    <row r="18230" spans="9:13" x14ac:dyDescent="0.3">
      <c r="I18230" s="82"/>
      <c r="M18230" s="85"/>
    </row>
    <row r="18231" spans="9:13" x14ac:dyDescent="0.3">
      <c r="I18231" s="82"/>
      <c r="M18231" s="85"/>
    </row>
    <row r="18232" spans="9:13" x14ac:dyDescent="0.3">
      <c r="I18232" s="82"/>
      <c r="M18232" s="85"/>
    </row>
    <row r="18233" spans="9:13" x14ac:dyDescent="0.3">
      <c r="I18233" s="82"/>
      <c r="M18233" s="85"/>
    </row>
    <row r="18234" spans="9:13" x14ac:dyDescent="0.3">
      <c r="I18234" s="82"/>
      <c r="M18234" s="85"/>
    </row>
    <row r="18235" spans="9:13" x14ac:dyDescent="0.3">
      <c r="I18235" s="82"/>
      <c r="M18235" s="85"/>
    </row>
    <row r="18236" spans="9:13" x14ac:dyDescent="0.3">
      <c r="I18236" s="82"/>
      <c r="M18236" s="85"/>
    </row>
    <row r="18237" spans="9:13" x14ac:dyDescent="0.3">
      <c r="I18237" s="82"/>
      <c r="M18237" s="85"/>
    </row>
    <row r="18238" spans="9:13" x14ac:dyDescent="0.3">
      <c r="I18238" s="82"/>
      <c r="M18238" s="85"/>
    </row>
    <row r="18239" spans="9:13" x14ac:dyDescent="0.3">
      <c r="I18239" s="82"/>
      <c r="M18239" s="85"/>
    </row>
    <row r="18240" spans="9:13" x14ac:dyDescent="0.3">
      <c r="I18240" s="82"/>
      <c r="M18240" s="85"/>
    </row>
    <row r="18241" spans="9:13" x14ac:dyDescent="0.3">
      <c r="I18241" s="82"/>
      <c r="M18241" s="85"/>
    </row>
    <row r="18242" spans="9:13" x14ac:dyDescent="0.3">
      <c r="I18242" s="82"/>
      <c r="M18242" s="85"/>
    </row>
    <row r="18243" spans="9:13" x14ac:dyDescent="0.3">
      <c r="I18243" s="82"/>
      <c r="M18243" s="85"/>
    </row>
    <row r="18244" spans="9:13" x14ac:dyDescent="0.3">
      <c r="I18244" s="82"/>
      <c r="M18244" s="85"/>
    </row>
    <row r="18245" spans="9:13" x14ac:dyDescent="0.3">
      <c r="I18245" s="82"/>
      <c r="M18245" s="85"/>
    </row>
    <row r="18246" spans="9:13" x14ac:dyDescent="0.3">
      <c r="I18246" s="82"/>
      <c r="M18246" s="85"/>
    </row>
    <row r="18247" spans="9:13" x14ac:dyDescent="0.3">
      <c r="I18247" s="82"/>
      <c r="M18247" s="85"/>
    </row>
    <row r="18248" spans="9:13" x14ac:dyDescent="0.3">
      <c r="I18248" s="82"/>
      <c r="M18248" s="85"/>
    </row>
    <row r="18249" spans="9:13" x14ac:dyDescent="0.3">
      <c r="I18249" s="82"/>
      <c r="M18249" s="85"/>
    </row>
    <row r="18250" spans="9:13" x14ac:dyDescent="0.3">
      <c r="I18250" s="82"/>
      <c r="M18250" s="85"/>
    </row>
    <row r="18251" spans="9:13" x14ac:dyDescent="0.3">
      <c r="I18251" s="82"/>
      <c r="M18251" s="85"/>
    </row>
    <row r="18252" spans="9:13" x14ac:dyDescent="0.3">
      <c r="I18252" s="82"/>
      <c r="M18252" s="85"/>
    </row>
    <row r="18253" spans="9:13" x14ac:dyDescent="0.3">
      <c r="I18253" s="82"/>
      <c r="M18253" s="85"/>
    </row>
    <row r="18254" spans="9:13" x14ac:dyDescent="0.3">
      <c r="I18254" s="82"/>
      <c r="M18254" s="85"/>
    </row>
    <row r="18255" spans="9:13" x14ac:dyDescent="0.3">
      <c r="I18255" s="82"/>
      <c r="M18255" s="85"/>
    </row>
    <row r="18256" spans="9:13" x14ac:dyDescent="0.3">
      <c r="I18256" s="82"/>
      <c r="M18256" s="85"/>
    </row>
    <row r="18257" spans="9:13" x14ac:dyDescent="0.3">
      <c r="I18257" s="82"/>
      <c r="M18257" s="85"/>
    </row>
    <row r="18258" spans="9:13" x14ac:dyDescent="0.3">
      <c r="I18258" s="82"/>
      <c r="M18258" s="85"/>
    </row>
    <row r="18259" spans="9:13" x14ac:dyDescent="0.3">
      <c r="I18259" s="82"/>
      <c r="M18259" s="85"/>
    </row>
    <row r="18260" spans="9:13" x14ac:dyDescent="0.3">
      <c r="I18260" s="82"/>
      <c r="M18260" s="85"/>
    </row>
    <row r="18261" spans="9:13" x14ac:dyDescent="0.3">
      <c r="I18261" s="82"/>
      <c r="M18261" s="85"/>
    </row>
    <row r="18262" spans="9:13" x14ac:dyDescent="0.3">
      <c r="I18262" s="82"/>
      <c r="M18262" s="85"/>
    </row>
    <row r="18263" spans="9:13" x14ac:dyDescent="0.3">
      <c r="I18263" s="82"/>
      <c r="M18263" s="85"/>
    </row>
    <row r="18264" spans="9:13" x14ac:dyDescent="0.3">
      <c r="I18264" s="82"/>
      <c r="M18264" s="85"/>
    </row>
    <row r="18265" spans="9:13" x14ac:dyDescent="0.3">
      <c r="I18265" s="82"/>
      <c r="M18265" s="85"/>
    </row>
    <row r="18266" spans="9:13" x14ac:dyDescent="0.3">
      <c r="I18266" s="82"/>
      <c r="M18266" s="85"/>
    </row>
    <row r="18267" spans="9:13" x14ac:dyDescent="0.3">
      <c r="I18267" s="82"/>
      <c r="M18267" s="85"/>
    </row>
    <row r="18268" spans="9:13" x14ac:dyDescent="0.3">
      <c r="I18268" s="82"/>
      <c r="M18268" s="85"/>
    </row>
    <row r="18269" spans="9:13" x14ac:dyDescent="0.3">
      <c r="I18269" s="82"/>
      <c r="M18269" s="85"/>
    </row>
    <row r="18270" spans="9:13" x14ac:dyDescent="0.3">
      <c r="I18270" s="82"/>
      <c r="M18270" s="85"/>
    </row>
    <row r="18271" spans="9:13" x14ac:dyDescent="0.3">
      <c r="I18271" s="82"/>
      <c r="M18271" s="85"/>
    </row>
    <row r="18272" spans="9:13" x14ac:dyDescent="0.3">
      <c r="I18272" s="82"/>
      <c r="M18272" s="85"/>
    </row>
    <row r="18273" spans="9:13" x14ac:dyDescent="0.3">
      <c r="I18273" s="82"/>
      <c r="M18273" s="85"/>
    </row>
    <row r="18274" spans="9:13" x14ac:dyDescent="0.3">
      <c r="I18274" s="82"/>
      <c r="M18274" s="85"/>
    </row>
    <row r="18275" spans="9:13" x14ac:dyDescent="0.3">
      <c r="I18275" s="82"/>
      <c r="M18275" s="85"/>
    </row>
    <row r="18276" spans="9:13" x14ac:dyDescent="0.3">
      <c r="I18276" s="82"/>
      <c r="M18276" s="85"/>
    </row>
    <row r="18277" spans="9:13" x14ac:dyDescent="0.3">
      <c r="I18277" s="82"/>
      <c r="M18277" s="85"/>
    </row>
    <row r="18278" spans="9:13" x14ac:dyDescent="0.3">
      <c r="I18278" s="82"/>
      <c r="M18278" s="85"/>
    </row>
    <row r="18279" spans="9:13" x14ac:dyDescent="0.3">
      <c r="I18279" s="82"/>
      <c r="M18279" s="85"/>
    </row>
    <row r="18280" spans="9:13" x14ac:dyDescent="0.3">
      <c r="I18280" s="82"/>
      <c r="M18280" s="85"/>
    </row>
    <row r="18281" spans="9:13" x14ac:dyDescent="0.3">
      <c r="I18281" s="82"/>
      <c r="M18281" s="85"/>
    </row>
    <row r="18282" spans="9:13" x14ac:dyDescent="0.3">
      <c r="I18282" s="82"/>
      <c r="M18282" s="85"/>
    </row>
    <row r="18283" spans="9:13" x14ac:dyDescent="0.3">
      <c r="I18283" s="82"/>
      <c r="M18283" s="85"/>
    </row>
    <row r="18284" spans="9:13" x14ac:dyDescent="0.3">
      <c r="I18284" s="82"/>
      <c r="M18284" s="85"/>
    </row>
    <row r="18285" spans="9:13" x14ac:dyDescent="0.3">
      <c r="I18285" s="82"/>
      <c r="M18285" s="85"/>
    </row>
    <row r="18286" spans="9:13" x14ac:dyDescent="0.3">
      <c r="I18286" s="82"/>
      <c r="M18286" s="85"/>
    </row>
    <row r="18287" spans="9:13" x14ac:dyDescent="0.3">
      <c r="I18287" s="82"/>
      <c r="M18287" s="85"/>
    </row>
    <row r="18288" spans="9:13" x14ac:dyDescent="0.3">
      <c r="I18288" s="82"/>
      <c r="M18288" s="85"/>
    </row>
    <row r="18289" spans="9:13" x14ac:dyDescent="0.3">
      <c r="I18289" s="82"/>
      <c r="M18289" s="85"/>
    </row>
    <row r="18290" spans="9:13" x14ac:dyDescent="0.3">
      <c r="I18290" s="82"/>
      <c r="M18290" s="85"/>
    </row>
    <row r="18291" spans="9:13" x14ac:dyDescent="0.3">
      <c r="I18291" s="82"/>
      <c r="M18291" s="85"/>
    </row>
    <row r="18292" spans="9:13" x14ac:dyDescent="0.3">
      <c r="I18292" s="82"/>
      <c r="M18292" s="85"/>
    </row>
    <row r="18293" spans="9:13" x14ac:dyDescent="0.3">
      <c r="I18293" s="82"/>
      <c r="M18293" s="85"/>
    </row>
    <row r="18294" spans="9:13" x14ac:dyDescent="0.3">
      <c r="I18294" s="82"/>
      <c r="M18294" s="85"/>
    </row>
    <row r="18295" spans="9:13" x14ac:dyDescent="0.3">
      <c r="I18295" s="82"/>
      <c r="M18295" s="85"/>
    </row>
    <row r="18296" spans="9:13" x14ac:dyDescent="0.3">
      <c r="I18296" s="82"/>
      <c r="M18296" s="85"/>
    </row>
    <row r="18297" spans="9:13" x14ac:dyDescent="0.3">
      <c r="I18297" s="82"/>
      <c r="M18297" s="85"/>
    </row>
    <row r="18298" spans="9:13" x14ac:dyDescent="0.3">
      <c r="I18298" s="82"/>
      <c r="M18298" s="85"/>
    </row>
    <row r="18299" spans="9:13" x14ac:dyDescent="0.3">
      <c r="I18299" s="82"/>
      <c r="M18299" s="85"/>
    </row>
    <row r="18300" spans="9:13" x14ac:dyDescent="0.3">
      <c r="I18300" s="82"/>
      <c r="M18300" s="85"/>
    </row>
    <row r="18301" spans="9:13" x14ac:dyDescent="0.3">
      <c r="I18301" s="82"/>
      <c r="M18301" s="85"/>
    </row>
    <row r="18302" spans="9:13" x14ac:dyDescent="0.3">
      <c r="I18302" s="82"/>
      <c r="M18302" s="85"/>
    </row>
    <row r="18303" spans="9:13" x14ac:dyDescent="0.3">
      <c r="I18303" s="82"/>
      <c r="M18303" s="85"/>
    </row>
    <row r="18304" spans="9:13" x14ac:dyDescent="0.3">
      <c r="I18304" s="82"/>
      <c r="M18304" s="85"/>
    </row>
    <row r="18305" spans="9:13" x14ac:dyDescent="0.3">
      <c r="I18305" s="82"/>
      <c r="M18305" s="85"/>
    </row>
    <row r="18306" spans="9:13" x14ac:dyDescent="0.3">
      <c r="I18306" s="82"/>
      <c r="M18306" s="85"/>
    </row>
    <row r="18307" spans="9:13" x14ac:dyDescent="0.3">
      <c r="I18307" s="82"/>
      <c r="M18307" s="85"/>
    </row>
    <row r="18308" spans="9:13" x14ac:dyDescent="0.3">
      <c r="I18308" s="82"/>
      <c r="M18308" s="85"/>
    </row>
    <row r="18309" spans="9:13" x14ac:dyDescent="0.3">
      <c r="I18309" s="82"/>
      <c r="M18309" s="85"/>
    </row>
    <row r="18310" spans="9:13" x14ac:dyDescent="0.3">
      <c r="I18310" s="82"/>
      <c r="M18310" s="85"/>
    </row>
    <row r="18311" spans="9:13" x14ac:dyDescent="0.3">
      <c r="I18311" s="82"/>
      <c r="M18311" s="85"/>
    </row>
    <row r="18312" spans="9:13" x14ac:dyDescent="0.3">
      <c r="I18312" s="82"/>
      <c r="M18312" s="85"/>
    </row>
    <row r="18313" spans="9:13" x14ac:dyDescent="0.3">
      <c r="I18313" s="82"/>
      <c r="M18313" s="85"/>
    </row>
    <row r="18314" spans="9:13" x14ac:dyDescent="0.3">
      <c r="I18314" s="82"/>
      <c r="M18314" s="85"/>
    </row>
    <row r="18315" spans="9:13" x14ac:dyDescent="0.3">
      <c r="I18315" s="82"/>
      <c r="M18315" s="85"/>
    </row>
    <row r="18316" spans="9:13" x14ac:dyDescent="0.3">
      <c r="I18316" s="82"/>
      <c r="M18316" s="85"/>
    </row>
    <row r="18317" spans="9:13" x14ac:dyDescent="0.3">
      <c r="I18317" s="82"/>
      <c r="M18317" s="85"/>
    </row>
    <row r="18318" spans="9:13" x14ac:dyDescent="0.3">
      <c r="I18318" s="82"/>
      <c r="M18318" s="85"/>
    </row>
    <row r="18319" spans="9:13" x14ac:dyDescent="0.3">
      <c r="I18319" s="82"/>
      <c r="M18319" s="85"/>
    </row>
    <row r="18320" spans="9:13" x14ac:dyDescent="0.3">
      <c r="I18320" s="82"/>
      <c r="M18320" s="85"/>
    </row>
    <row r="18321" spans="9:13" x14ac:dyDescent="0.3">
      <c r="I18321" s="82"/>
      <c r="M18321" s="85"/>
    </row>
    <row r="18322" spans="9:13" x14ac:dyDescent="0.3">
      <c r="I18322" s="82"/>
      <c r="M18322" s="85"/>
    </row>
    <row r="18323" spans="9:13" x14ac:dyDescent="0.3">
      <c r="I18323" s="82"/>
      <c r="M18323" s="85"/>
    </row>
    <row r="18324" spans="9:13" x14ac:dyDescent="0.3">
      <c r="I18324" s="82"/>
      <c r="M18324" s="85"/>
    </row>
    <row r="18325" spans="9:13" x14ac:dyDescent="0.3">
      <c r="I18325" s="82"/>
      <c r="M18325" s="85"/>
    </row>
    <row r="18326" spans="9:13" x14ac:dyDescent="0.3">
      <c r="I18326" s="82"/>
      <c r="M18326" s="85"/>
    </row>
    <row r="18327" spans="9:13" x14ac:dyDescent="0.3">
      <c r="I18327" s="82"/>
      <c r="M18327" s="85"/>
    </row>
    <row r="18328" spans="9:13" x14ac:dyDescent="0.3">
      <c r="I18328" s="82"/>
      <c r="M18328" s="85"/>
    </row>
    <row r="18329" spans="9:13" x14ac:dyDescent="0.3">
      <c r="I18329" s="82"/>
      <c r="M18329" s="85"/>
    </row>
    <row r="18330" spans="9:13" x14ac:dyDescent="0.3">
      <c r="I18330" s="82"/>
      <c r="M18330" s="85"/>
    </row>
    <row r="18331" spans="9:13" x14ac:dyDescent="0.3">
      <c r="I18331" s="82"/>
      <c r="M18331" s="85"/>
    </row>
    <row r="18332" spans="9:13" x14ac:dyDescent="0.3">
      <c r="I18332" s="82"/>
      <c r="M18332" s="85"/>
    </row>
    <row r="18333" spans="9:13" x14ac:dyDescent="0.3">
      <c r="I18333" s="82"/>
      <c r="M18333" s="85"/>
    </row>
    <row r="18334" spans="9:13" x14ac:dyDescent="0.3">
      <c r="I18334" s="82"/>
      <c r="M18334" s="85"/>
    </row>
    <row r="18335" spans="9:13" x14ac:dyDescent="0.3">
      <c r="I18335" s="82"/>
      <c r="M18335" s="85"/>
    </row>
    <row r="18336" spans="9:13" x14ac:dyDescent="0.3">
      <c r="I18336" s="82"/>
      <c r="M18336" s="85"/>
    </row>
    <row r="18337" spans="9:13" x14ac:dyDescent="0.3">
      <c r="I18337" s="82"/>
      <c r="M18337" s="85"/>
    </row>
    <row r="18338" spans="9:13" x14ac:dyDescent="0.3">
      <c r="I18338" s="82"/>
      <c r="M18338" s="85"/>
    </row>
    <row r="18339" spans="9:13" x14ac:dyDescent="0.3">
      <c r="I18339" s="82"/>
      <c r="M18339" s="85"/>
    </row>
    <row r="18340" spans="9:13" x14ac:dyDescent="0.3">
      <c r="I18340" s="82"/>
      <c r="M18340" s="85"/>
    </row>
    <row r="18341" spans="9:13" x14ac:dyDescent="0.3">
      <c r="I18341" s="82"/>
      <c r="M18341" s="85"/>
    </row>
    <row r="18342" spans="9:13" x14ac:dyDescent="0.3">
      <c r="I18342" s="82"/>
      <c r="M18342" s="85"/>
    </row>
    <row r="18343" spans="9:13" x14ac:dyDescent="0.3">
      <c r="I18343" s="82"/>
      <c r="M18343" s="85"/>
    </row>
    <row r="18344" spans="9:13" x14ac:dyDescent="0.3">
      <c r="I18344" s="82"/>
      <c r="M18344" s="85"/>
    </row>
    <row r="18345" spans="9:13" x14ac:dyDescent="0.3">
      <c r="I18345" s="82"/>
      <c r="M18345" s="85"/>
    </row>
    <row r="18346" spans="9:13" x14ac:dyDescent="0.3">
      <c r="I18346" s="82"/>
      <c r="M18346" s="85"/>
    </row>
    <row r="18347" spans="9:13" x14ac:dyDescent="0.3">
      <c r="I18347" s="82"/>
      <c r="M18347" s="85"/>
    </row>
    <row r="18348" spans="9:13" x14ac:dyDescent="0.3">
      <c r="I18348" s="82"/>
      <c r="M18348" s="85"/>
    </row>
    <row r="18349" spans="9:13" x14ac:dyDescent="0.3">
      <c r="I18349" s="82"/>
      <c r="M18349" s="85"/>
    </row>
    <row r="18350" spans="9:13" x14ac:dyDescent="0.3">
      <c r="I18350" s="82"/>
      <c r="M18350" s="85"/>
    </row>
    <row r="18351" spans="9:13" x14ac:dyDescent="0.3">
      <c r="I18351" s="82"/>
      <c r="M18351" s="85"/>
    </row>
    <row r="18352" spans="9:13" x14ac:dyDescent="0.3">
      <c r="I18352" s="82"/>
      <c r="M18352" s="85"/>
    </row>
    <row r="18353" spans="9:13" x14ac:dyDescent="0.3">
      <c r="I18353" s="82"/>
      <c r="M18353" s="85"/>
    </row>
    <row r="18354" spans="9:13" x14ac:dyDescent="0.3">
      <c r="I18354" s="82"/>
      <c r="M18354" s="85"/>
    </row>
    <row r="18355" spans="9:13" x14ac:dyDescent="0.3">
      <c r="I18355" s="82"/>
      <c r="M18355" s="85"/>
    </row>
    <row r="18356" spans="9:13" x14ac:dyDescent="0.3">
      <c r="I18356" s="82"/>
      <c r="M18356" s="85"/>
    </row>
    <row r="18357" spans="9:13" x14ac:dyDescent="0.3">
      <c r="I18357" s="82"/>
      <c r="M18357" s="85"/>
    </row>
    <row r="18358" spans="9:13" x14ac:dyDescent="0.3">
      <c r="I18358" s="82"/>
      <c r="M18358" s="85"/>
    </row>
    <row r="18359" spans="9:13" x14ac:dyDescent="0.3">
      <c r="I18359" s="82"/>
      <c r="M18359" s="85"/>
    </row>
    <row r="18360" spans="9:13" x14ac:dyDescent="0.3">
      <c r="I18360" s="82"/>
      <c r="M18360" s="85"/>
    </row>
    <row r="18361" spans="9:13" x14ac:dyDescent="0.3">
      <c r="I18361" s="82"/>
      <c r="M18361" s="85"/>
    </row>
    <row r="18362" spans="9:13" x14ac:dyDescent="0.3">
      <c r="I18362" s="82"/>
      <c r="M18362" s="85"/>
    </row>
    <row r="18363" spans="9:13" x14ac:dyDescent="0.3">
      <c r="I18363" s="82"/>
      <c r="M18363" s="85"/>
    </row>
    <row r="18364" spans="9:13" x14ac:dyDescent="0.3">
      <c r="I18364" s="82"/>
      <c r="M18364" s="85"/>
    </row>
    <row r="18365" spans="9:13" x14ac:dyDescent="0.3">
      <c r="I18365" s="82"/>
      <c r="M18365" s="85"/>
    </row>
    <row r="18366" spans="9:13" x14ac:dyDescent="0.3">
      <c r="I18366" s="82"/>
      <c r="M18366" s="85"/>
    </row>
    <row r="18367" spans="9:13" x14ac:dyDescent="0.3">
      <c r="I18367" s="82"/>
      <c r="M18367" s="85"/>
    </row>
    <row r="18368" spans="9:13" x14ac:dyDescent="0.3">
      <c r="I18368" s="82"/>
      <c r="M18368" s="85"/>
    </row>
    <row r="18369" spans="9:13" x14ac:dyDescent="0.3">
      <c r="I18369" s="82"/>
      <c r="M18369" s="85"/>
    </row>
    <row r="18370" spans="9:13" x14ac:dyDescent="0.3">
      <c r="I18370" s="82"/>
      <c r="M18370" s="85"/>
    </row>
    <row r="18371" spans="9:13" x14ac:dyDescent="0.3">
      <c r="I18371" s="82"/>
      <c r="M18371" s="85"/>
    </row>
    <row r="18372" spans="9:13" x14ac:dyDescent="0.3">
      <c r="I18372" s="82"/>
      <c r="M18372" s="85"/>
    </row>
    <row r="18373" spans="9:13" x14ac:dyDescent="0.3">
      <c r="I18373" s="82"/>
      <c r="M18373" s="85"/>
    </row>
    <row r="18374" spans="9:13" x14ac:dyDescent="0.3">
      <c r="I18374" s="82"/>
      <c r="M18374" s="85"/>
    </row>
    <row r="18375" spans="9:13" x14ac:dyDescent="0.3">
      <c r="I18375" s="82"/>
      <c r="M18375" s="85"/>
    </row>
    <row r="18376" spans="9:13" x14ac:dyDescent="0.3">
      <c r="I18376" s="82"/>
      <c r="M18376" s="85"/>
    </row>
    <row r="18377" spans="9:13" x14ac:dyDescent="0.3">
      <c r="I18377" s="82"/>
      <c r="M18377" s="85"/>
    </row>
    <row r="18378" spans="9:13" x14ac:dyDescent="0.3">
      <c r="I18378" s="82"/>
      <c r="M18378" s="85"/>
    </row>
    <row r="18379" spans="9:13" x14ac:dyDescent="0.3">
      <c r="I18379" s="82"/>
      <c r="M18379" s="85"/>
    </row>
    <row r="18380" spans="9:13" x14ac:dyDescent="0.3">
      <c r="I18380" s="82"/>
      <c r="M18380" s="85"/>
    </row>
    <row r="18381" spans="9:13" x14ac:dyDescent="0.3">
      <c r="I18381" s="82"/>
      <c r="M18381" s="85"/>
    </row>
    <row r="18382" spans="9:13" x14ac:dyDescent="0.3">
      <c r="I18382" s="82"/>
      <c r="M18382" s="85"/>
    </row>
    <row r="18383" spans="9:13" x14ac:dyDescent="0.3">
      <c r="I18383" s="82"/>
      <c r="M18383" s="85"/>
    </row>
    <row r="18384" spans="9:13" x14ac:dyDescent="0.3">
      <c r="I18384" s="82"/>
      <c r="M18384" s="85"/>
    </row>
    <row r="18385" spans="9:13" x14ac:dyDescent="0.3">
      <c r="I18385" s="82"/>
      <c r="M18385" s="85"/>
    </row>
    <row r="18386" spans="9:13" x14ac:dyDescent="0.3">
      <c r="I18386" s="82"/>
      <c r="M18386" s="85"/>
    </row>
    <row r="18387" spans="9:13" x14ac:dyDescent="0.3">
      <c r="I18387" s="82"/>
      <c r="M18387" s="85"/>
    </row>
    <row r="18388" spans="9:13" x14ac:dyDescent="0.3">
      <c r="I18388" s="82"/>
      <c r="M18388" s="85"/>
    </row>
    <row r="18389" spans="9:13" x14ac:dyDescent="0.3">
      <c r="I18389" s="82"/>
      <c r="M18389" s="85"/>
    </row>
    <row r="18390" spans="9:13" x14ac:dyDescent="0.3">
      <c r="I18390" s="82"/>
      <c r="M18390" s="85"/>
    </row>
    <row r="18391" spans="9:13" x14ac:dyDescent="0.3">
      <c r="I18391" s="82"/>
      <c r="M18391" s="85"/>
    </row>
    <row r="18392" spans="9:13" x14ac:dyDescent="0.3">
      <c r="I18392" s="82"/>
      <c r="M18392" s="85"/>
    </row>
    <row r="18393" spans="9:13" x14ac:dyDescent="0.3">
      <c r="I18393" s="82"/>
      <c r="M18393" s="85"/>
    </row>
    <row r="18394" spans="9:13" x14ac:dyDescent="0.3">
      <c r="I18394" s="82"/>
      <c r="M18394" s="85"/>
    </row>
    <row r="18395" spans="9:13" x14ac:dyDescent="0.3">
      <c r="I18395" s="82"/>
      <c r="M18395" s="85"/>
    </row>
    <row r="18396" spans="9:13" x14ac:dyDescent="0.3">
      <c r="I18396" s="82"/>
      <c r="M18396" s="85"/>
    </row>
    <row r="18397" spans="9:13" x14ac:dyDescent="0.3">
      <c r="I18397" s="82"/>
      <c r="M18397" s="85"/>
    </row>
    <row r="18398" spans="9:13" x14ac:dyDescent="0.3">
      <c r="I18398" s="82"/>
      <c r="M18398" s="85"/>
    </row>
    <row r="18399" spans="9:13" x14ac:dyDescent="0.3">
      <c r="I18399" s="82"/>
      <c r="M18399" s="85"/>
    </row>
    <row r="18400" spans="9:13" x14ac:dyDescent="0.3">
      <c r="I18400" s="82"/>
      <c r="M18400" s="85"/>
    </row>
    <row r="18401" spans="9:13" x14ac:dyDescent="0.3">
      <c r="I18401" s="82"/>
      <c r="M18401" s="85"/>
    </row>
    <row r="18402" spans="9:13" x14ac:dyDescent="0.3">
      <c r="I18402" s="82"/>
      <c r="M18402" s="85"/>
    </row>
    <row r="18403" spans="9:13" x14ac:dyDescent="0.3">
      <c r="I18403" s="82"/>
      <c r="M18403" s="85"/>
    </row>
    <row r="18404" spans="9:13" x14ac:dyDescent="0.3">
      <c r="I18404" s="82"/>
      <c r="M18404" s="85"/>
    </row>
    <row r="18405" spans="9:13" x14ac:dyDescent="0.3">
      <c r="I18405" s="82"/>
      <c r="M18405" s="85"/>
    </row>
    <row r="18406" spans="9:13" x14ac:dyDescent="0.3">
      <c r="I18406" s="82"/>
      <c r="M18406" s="85"/>
    </row>
    <row r="18407" spans="9:13" x14ac:dyDescent="0.3">
      <c r="I18407" s="82"/>
      <c r="M18407" s="85"/>
    </row>
    <row r="18408" spans="9:13" x14ac:dyDescent="0.3">
      <c r="I18408" s="82"/>
      <c r="M18408" s="85"/>
    </row>
    <row r="18409" spans="9:13" x14ac:dyDescent="0.3">
      <c r="I18409" s="82"/>
      <c r="M18409" s="85"/>
    </row>
    <row r="18410" spans="9:13" x14ac:dyDescent="0.3">
      <c r="I18410" s="82"/>
      <c r="M18410" s="85"/>
    </row>
    <row r="18411" spans="9:13" x14ac:dyDescent="0.3">
      <c r="I18411" s="82"/>
      <c r="M18411" s="85"/>
    </row>
    <row r="18412" spans="9:13" x14ac:dyDescent="0.3">
      <c r="I18412" s="82"/>
      <c r="M18412" s="85"/>
    </row>
    <row r="18413" spans="9:13" x14ac:dyDescent="0.3">
      <c r="I18413" s="82"/>
      <c r="M18413" s="85"/>
    </row>
    <row r="18414" spans="9:13" x14ac:dyDescent="0.3">
      <c r="I18414" s="82"/>
      <c r="M18414" s="85"/>
    </row>
    <row r="18415" spans="9:13" x14ac:dyDescent="0.3">
      <c r="I18415" s="82"/>
      <c r="M18415" s="85"/>
    </row>
    <row r="18416" spans="9:13" x14ac:dyDescent="0.3">
      <c r="I18416" s="82"/>
      <c r="M18416" s="85"/>
    </row>
    <row r="18417" spans="9:13" x14ac:dyDescent="0.3">
      <c r="I18417" s="82"/>
      <c r="M18417" s="85"/>
    </row>
    <row r="18418" spans="9:13" x14ac:dyDescent="0.3">
      <c r="I18418" s="82"/>
      <c r="M18418" s="85"/>
    </row>
    <row r="18419" spans="9:13" x14ac:dyDescent="0.3">
      <c r="I18419" s="82"/>
      <c r="M18419" s="85"/>
    </row>
    <row r="18420" spans="9:13" x14ac:dyDescent="0.3">
      <c r="I18420" s="82"/>
      <c r="M18420" s="85"/>
    </row>
    <row r="18421" spans="9:13" x14ac:dyDescent="0.3">
      <c r="I18421" s="82"/>
      <c r="M18421" s="85"/>
    </row>
    <row r="18422" spans="9:13" x14ac:dyDescent="0.3">
      <c r="I18422" s="82"/>
      <c r="M18422" s="85"/>
    </row>
    <row r="18423" spans="9:13" x14ac:dyDescent="0.3">
      <c r="I18423" s="82"/>
      <c r="M18423" s="85"/>
    </row>
    <row r="18424" spans="9:13" x14ac:dyDescent="0.3">
      <c r="I18424" s="82"/>
      <c r="M18424" s="85"/>
    </row>
    <row r="18425" spans="9:13" x14ac:dyDescent="0.3">
      <c r="I18425" s="82"/>
      <c r="M18425" s="85"/>
    </row>
    <row r="18426" spans="9:13" x14ac:dyDescent="0.3">
      <c r="I18426" s="82"/>
      <c r="M18426" s="85"/>
    </row>
    <row r="18427" spans="9:13" x14ac:dyDescent="0.3">
      <c r="I18427" s="82"/>
      <c r="M18427" s="85"/>
    </row>
    <row r="18428" spans="9:13" x14ac:dyDescent="0.3">
      <c r="I18428" s="82"/>
      <c r="M18428" s="85"/>
    </row>
    <row r="18429" spans="9:13" x14ac:dyDescent="0.3">
      <c r="I18429" s="82"/>
      <c r="M18429" s="85"/>
    </row>
    <row r="18430" spans="9:13" x14ac:dyDescent="0.3">
      <c r="I18430" s="82"/>
      <c r="M18430" s="85"/>
    </row>
    <row r="18431" spans="9:13" x14ac:dyDescent="0.3">
      <c r="I18431" s="82"/>
      <c r="M18431" s="85"/>
    </row>
    <row r="18432" spans="9:13" x14ac:dyDescent="0.3">
      <c r="I18432" s="82"/>
      <c r="M18432" s="85"/>
    </row>
    <row r="18433" spans="9:13" x14ac:dyDescent="0.3">
      <c r="I18433" s="82"/>
      <c r="M18433" s="85"/>
    </row>
    <row r="18434" spans="9:13" x14ac:dyDescent="0.3">
      <c r="I18434" s="82"/>
      <c r="M18434" s="85"/>
    </row>
    <row r="18435" spans="9:13" x14ac:dyDescent="0.3">
      <c r="I18435" s="82"/>
      <c r="M18435" s="85"/>
    </row>
    <row r="18436" spans="9:13" x14ac:dyDescent="0.3">
      <c r="I18436" s="82"/>
      <c r="M18436" s="85"/>
    </row>
    <row r="18437" spans="9:13" x14ac:dyDescent="0.3">
      <c r="I18437" s="82"/>
      <c r="M18437" s="85"/>
    </row>
    <row r="18438" spans="9:13" x14ac:dyDescent="0.3">
      <c r="I18438" s="82"/>
      <c r="M18438" s="85"/>
    </row>
    <row r="18439" spans="9:13" x14ac:dyDescent="0.3">
      <c r="I18439" s="82"/>
      <c r="M18439" s="85"/>
    </row>
    <row r="18440" spans="9:13" x14ac:dyDescent="0.3">
      <c r="I18440" s="82"/>
      <c r="M18440" s="85"/>
    </row>
    <row r="18441" spans="9:13" x14ac:dyDescent="0.3">
      <c r="I18441" s="82"/>
      <c r="M18441" s="85"/>
    </row>
    <row r="18442" spans="9:13" x14ac:dyDescent="0.3">
      <c r="I18442" s="82"/>
      <c r="M18442" s="85"/>
    </row>
    <row r="18443" spans="9:13" x14ac:dyDescent="0.3">
      <c r="I18443" s="82"/>
      <c r="M18443" s="85"/>
    </row>
    <row r="18444" spans="9:13" x14ac:dyDescent="0.3">
      <c r="I18444" s="82"/>
      <c r="M18444" s="85"/>
    </row>
    <row r="18445" spans="9:13" x14ac:dyDescent="0.3">
      <c r="I18445" s="82"/>
      <c r="M18445" s="85"/>
    </row>
    <row r="18446" spans="9:13" x14ac:dyDescent="0.3">
      <c r="I18446" s="82"/>
      <c r="M18446" s="85"/>
    </row>
    <row r="18447" spans="9:13" x14ac:dyDescent="0.3">
      <c r="I18447" s="82"/>
      <c r="M18447" s="85"/>
    </row>
    <row r="18448" spans="9:13" x14ac:dyDescent="0.3">
      <c r="I18448" s="82"/>
      <c r="M18448" s="85"/>
    </row>
    <row r="18449" spans="9:13" x14ac:dyDescent="0.3">
      <c r="I18449" s="82"/>
      <c r="M18449" s="85"/>
    </row>
    <row r="18450" spans="9:13" x14ac:dyDescent="0.3">
      <c r="I18450" s="82"/>
      <c r="M18450" s="85"/>
    </row>
    <row r="18451" spans="9:13" x14ac:dyDescent="0.3">
      <c r="I18451" s="82"/>
      <c r="M18451" s="85"/>
    </row>
    <row r="18452" spans="9:13" x14ac:dyDescent="0.3">
      <c r="I18452" s="82"/>
      <c r="M18452" s="85"/>
    </row>
    <row r="18453" spans="9:13" x14ac:dyDescent="0.3">
      <c r="I18453" s="82"/>
      <c r="M18453" s="85"/>
    </row>
    <row r="18454" spans="9:13" x14ac:dyDescent="0.3">
      <c r="I18454" s="82"/>
      <c r="M18454" s="85"/>
    </row>
    <row r="18455" spans="9:13" x14ac:dyDescent="0.3">
      <c r="I18455" s="82"/>
      <c r="M18455" s="85"/>
    </row>
    <row r="18456" spans="9:13" x14ac:dyDescent="0.3">
      <c r="I18456" s="82"/>
      <c r="M18456" s="85"/>
    </row>
    <row r="18457" spans="9:13" x14ac:dyDescent="0.3">
      <c r="I18457" s="82"/>
      <c r="M18457" s="85"/>
    </row>
    <row r="18458" spans="9:13" x14ac:dyDescent="0.3">
      <c r="I18458" s="82"/>
      <c r="M18458" s="85"/>
    </row>
    <row r="18459" spans="9:13" x14ac:dyDescent="0.3">
      <c r="I18459" s="82"/>
      <c r="M18459" s="85"/>
    </row>
    <row r="18460" spans="9:13" x14ac:dyDescent="0.3">
      <c r="I18460" s="82"/>
      <c r="M18460" s="85"/>
    </row>
    <row r="18461" spans="9:13" x14ac:dyDescent="0.3">
      <c r="I18461" s="82"/>
      <c r="M18461" s="85"/>
    </row>
    <row r="18462" spans="9:13" x14ac:dyDescent="0.3">
      <c r="I18462" s="82"/>
      <c r="M18462" s="85"/>
    </row>
    <row r="18463" spans="9:13" x14ac:dyDescent="0.3">
      <c r="I18463" s="82"/>
      <c r="M18463" s="85"/>
    </row>
    <row r="18464" spans="9:13" x14ac:dyDescent="0.3">
      <c r="I18464" s="82"/>
      <c r="M18464" s="85"/>
    </row>
    <row r="18465" spans="9:13" x14ac:dyDescent="0.3">
      <c r="I18465" s="82"/>
      <c r="M18465" s="85"/>
    </row>
    <row r="18466" spans="9:13" x14ac:dyDescent="0.3">
      <c r="I18466" s="82"/>
      <c r="M18466" s="85"/>
    </row>
    <row r="18467" spans="9:13" x14ac:dyDescent="0.3">
      <c r="I18467" s="82"/>
      <c r="M18467" s="85"/>
    </row>
    <row r="18468" spans="9:13" x14ac:dyDescent="0.3">
      <c r="I18468" s="82"/>
      <c r="M18468" s="85"/>
    </row>
    <row r="18469" spans="9:13" x14ac:dyDescent="0.3">
      <c r="I18469" s="82"/>
      <c r="M18469" s="85"/>
    </row>
    <row r="18470" spans="9:13" x14ac:dyDescent="0.3">
      <c r="I18470" s="82"/>
      <c r="M18470" s="85"/>
    </row>
    <row r="18471" spans="9:13" x14ac:dyDescent="0.3">
      <c r="I18471" s="82"/>
      <c r="M18471" s="85"/>
    </row>
    <row r="18472" spans="9:13" x14ac:dyDescent="0.3">
      <c r="I18472" s="82"/>
      <c r="M18472" s="85"/>
    </row>
    <row r="18473" spans="9:13" x14ac:dyDescent="0.3">
      <c r="I18473" s="82"/>
      <c r="M18473" s="85"/>
    </row>
    <row r="18474" spans="9:13" x14ac:dyDescent="0.3">
      <c r="I18474" s="82"/>
      <c r="M18474" s="85"/>
    </row>
    <row r="18475" spans="9:13" x14ac:dyDescent="0.3">
      <c r="I18475" s="82"/>
      <c r="M18475" s="85"/>
    </row>
    <row r="18476" spans="9:13" x14ac:dyDescent="0.3">
      <c r="I18476" s="82"/>
      <c r="M18476" s="85"/>
    </row>
    <row r="18477" spans="9:13" x14ac:dyDescent="0.3">
      <c r="I18477" s="82"/>
      <c r="M18477" s="85"/>
    </row>
    <row r="18478" spans="9:13" x14ac:dyDescent="0.3">
      <c r="I18478" s="82"/>
      <c r="M18478" s="85"/>
    </row>
    <row r="18479" spans="9:13" x14ac:dyDescent="0.3">
      <c r="I18479" s="82"/>
      <c r="M18479" s="85"/>
    </row>
    <row r="18480" spans="9:13" x14ac:dyDescent="0.3">
      <c r="I18480" s="82"/>
      <c r="M18480" s="85"/>
    </row>
    <row r="18481" spans="9:13" x14ac:dyDescent="0.3">
      <c r="I18481" s="82"/>
      <c r="M18481" s="85"/>
    </row>
    <row r="18482" spans="9:13" x14ac:dyDescent="0.3">
      <c r="I18482" s="82"/>
      <c r="M18482" s="85"/>
    </row>
    <row r="18483" spans="9:13" x14ac:dyDescent="0.3">
      <c r="I18483" s="82"/>
      <c r="M18483" s="85"/>
    </row>
    <row r="18484" spans="9:13" x14ac:dyDescent="0.3">
      <c r="I18484" s="82"/>
      <c r="M18484" s="85"/>
    </row>
    <row r="18485" spans="9:13" x14ac:dyDescent="0.3">
      <c r="I18485" s="82"/>
      <c r="M18485" s="85"/>
    </row>
    <row r="18486" spans="9:13" x14ac:dyDescent="0.3">
      <c r="I18486" s="82"/>
      <c r="M18486" s="85"/>
    </row>
    <row r="18487" spans="9:13" x14ac:dyDescent="0.3">
      <c r="I18487" s="82"/>
      <c r="M18487" s="85"/>
    </row>
    <row r="18488" spans="9:13" x14ac:dyDescent="0.3">
      <c r="I18488" s="82"/>
      <c r="M18488" s="85"/>
    </row>
    <row r="18489" spans="9:13" x14ac:dyDescent="0.3">
      <c r="I18489" s="82"/>
      <c r="M18489" s="85"/>
    </row>
    <row r="18490" spans="9:13" x14ac:dyDescent="0.3">
      <c r="I18490" s="82"/>
      <c r="M18490" s="85"/>
    </row>
    <row r="18491" spans="9:13" x14ac:dyDescent="0.3">
      <c r="I18491" s="82"/>
      <c r="M18491" s="85"/>
    </row>
    <row r="18492" spans="9:13" x14ac:dyDescent="0.3">
      <c r="I18492" s="82"/>
      <c r="M18492" s="85"/>
    </row>
    <row r="18493" spans="9:13" x14ac:dyDescent="0.3">
      <c r="I18493" s="82"/>
      <c r="M18493" s="85"/>
    </row>
    <row r="18494" spans="9:13" x14ac:dyDescent="0.3">
      <c r="I18494" s="82"/>
      <c r="M18494" s="85"/>
    </row>
    <row r="18495" spans="9:13" x14ac:dyDescent="0.3">
      <c r="I18495" s="82"/>
      <c r="M18495" s="85"/>
    </row>
    <row r="18496" spans="9:13" x14ac:dyDescent="0.3">
      <c r="I18496" s="82"/>
      <c r="M18496" s="85"/>
    </row>
    <row r="18497" spans="9:13" x14ac:dyDescent="0.3">
      <c r="I18497" s="82"/>
      <c r="M18497" s="85"/>
    </row>
    <row r="18498" spans="9:13" x14ac:dyDescent="0.3">
      <c r="I18498" s="82"/>
      <c r="M18498" s="85"/>
    </row>
    <row r="18499" spans="9:13" x14ac:dyDescent="0.3">
      <c r="I18499" s="82"/>
      <c r="M18499" s="85"/>
    </row>
    <row r="18500" spans="9:13" x14ac:dyDescent="0.3">
      <c r="I18500" s="82"/>
      <c r="M18500" s="85"/>
    </row>
    <row r="18501" spans="9:13" x14ac:dyDescent="0.3">
      <c r="I18501" s="82"/>
      <c r="M18501" s="85"/>
    </row>
    <row r="18502" spans="9:13" x14ac:dyDescent="0.3">
      <c r="I18502" s="82"/>
      <c r="M18502" s="85"/>
    </row>
    <row r="18503" spans="9:13" x14ac:dyDescent="0.3">
      <c r="I18503" s="82"/>
      <c r="M18503" s="85"/>
    </row>
    <row r="18504" spans="9:13" x14ac:dyDescent="0.3">
      <c r="I18504" s="82"/>
      <c r="M18504" s="85"/>
    </row>
    <row r="18505" spans="9:13" x14ac:dyDescent="0.3">
      <c r="I18505" s="82"/>
      <c r="M18505" s="85"/>
    </row>
    <row r="18506" spans="9:13" x14ac:dyDescent="0.3">
      <c r="I18506" s="82"/>
      <c r="M18506" s="85"/>
    </row>
    <row r="18507" spans="9:13" x14ac:dyDescent="0.3">
      <c r="I18507" s="82"/>
      <c r="M18507" s="85"/>
    </row>
    <row r="18508" spans="9:13" x14ac:dyDescent="0.3">
      <c r="I18508" s="82"/>
      <c r="M18508" s="85"/>
    </row>
    <row r="18509" spans="9:13" x14ac:dyDescent="0.3">
      <c r="I18509" s="82"/>
      <c r="M18509" s="85"/>
    </row>
    <row r="18510" spans="9:13" x14ac:dyDescent="0.3">
      <c r="I18510" s="82"/>
      <c r="M18510" s="85"/>
    </row>
    <row r="18511" spans="9:13" x14ac:dyDescent="0.3">
      <c r="I18511" s="82"/>
      <c r="M18511" s="85"/>
    </row>
    <row r="18512" spans="9:13" x14ac:dyDescent="0.3">
      <c r="I18512" s="82"/>
      <c r="M18512" s="85"/>
    </row>
    <row r="18513" spans="9:13" x14ac:dyDescent="0.3">
      <c r="I18513" s="82"/>
      <c r="M18513" s="85"/>
    </row>
    <row r="18514" spans="9:13" x14ac:dyDescent="0.3">
      <c r="I18514" s="82"/>
      <c r="M18514" s="85"/>
    </row>
    <row r="18515" spans="9:13" x14ac:dyDescent="0.3">
      <c r="I18515" s="82"/>
      <c r="M18515" s="85"/>
    </row>
    <row r="18516" spans="9:13" x14ac:dyDescent="0.3">
      <c r="I18516" s="82"/>
      <c r="M18516" s="85"/>
    </row>
    <row r="18517" spans="9:13" x14ac:dyDescent="0.3">
      <c r="I18517" s="82"/>
      <c r="M18517" s="85"/>
    </row>
    <row r="18518" spans="9:13" x14ac:dyDescent="0.3">
      <c r="I18518" s="82"/>
      <c r="M18518" s="85"/>
    </row>
    <row r="18519" spans="9:13" x14ac:dyDescent="0.3">
      <c r="I18519" s="82"/>
      <c r="M18519" s="85"/>
    </row>
    <row r="18520" spans="9:13" x14ac:dyDescent="0.3">
      <c r="I18520" s="82"/>
      <c r="M18520" s="85"/>
    </row>
    <row r="18521" spans="9:13" x14ac:dyDescent="0.3">
      <c r="I18521" s="82"/>
      <c r="M18521" s="85"/>
    </row>
    <row r="18522" spans="9:13" x14ac:dyDescent="0.3">
      <c r="I18522" s="82"/>
      <c r="M18522" s="85"/>
    </row>
    <row r="18523" spans="9:13" x14ac:dyDescent="0.3">
      <c r="I18523" s="82"/>
      <c r="M18523" s="85"/>
    </row>
    <row r="18524" spans="9:13" x14ac:dyDescent="0.3">
      <c r="I18524" s="82"/>
      <c r="M18524" s="85"/>
    </row>
    <row r="18525" spans="9:13" x14ac:dyDescent="0.3">
      <c r="I18525" s="82"/>
      <c r="M18525" s="85"/>
    </row>
    <row r="18526" spans="9:13" x14ac:dyDescent="0.3">
      <c r="I18526" s="82"/>
      <c r="M18526" s="85"/>
    </row>
    <row r="18527" spans="9:13" x14ac:dyDescent="0.3">
      <c r="I18527" s="82"/>
      <c r="M18527" s="85"/>
    </row>
    <row r="18528" spans="9:13" x14ac:dyDescent="0.3">
      <c r="I18528" s="82"/>
      <c r="M18528" s="85"/>
    </row>
    <row r="18529" spans="9:13" x14ac:dyDescent="0.3">
      <c r="I18529" s="82"/>
      <c r="M18529" s="85"/>
    </row>
    <row r="18530" spans="9:13" x14ac:dyDescent="0.3">
      <c r="I18530" s="82"/>
      <c r="M18530" s="85"/>
    </row>
    <row r="18531" spans="9:13" x14ac:dyDescent="0.3">
      <c r="I18531" s="82"/>
      <c r="M18531" s="85"/>
    </row>
    <row r="18532" spans="9:13" x14ac:dyDescent="0.3">
      <c r="I18532" s="82"/>
      <c r="M18532" s="85"/>
    </row>
    <row r="18533" spans="9:13" x14ac:dyDescent="0.3">
      <c r="I18533" s="82"/>
      <c r="M18533" s="85"/>
    </row>
    <row r="18534" spans="9:13" x14ac:dyDescent="0.3">
      <c r="I18534" s="82"/>
      <c r="M18534" s="85"/>
    </row>
    <row r="18535" spans="9:13" x14ac:dyDescent="0.3">
      <c r="I18535" s="82"/>
      <c r="M18535" s="85"/>
    </row>
    <row r="18536" spans="9:13" x14ac:dyDescent="0.3">
      <c r="I18536" s="82"/>
      <c r="M18536" s="85"/>
    </row>
    <row r="18537" spans="9:13" x14ac:dyDescent="0.3">
      <c r="I18537" s="82"/>
      <c r="M18537" s="85"/>
    </row>
    <row r="18538" spans="9:13" x14ac:dyDescent="0.3">
      <c r="I18538" s="82"/>
      <c r="M18538" s="85"/>
    </row>
    <row r="18539" spans="9:13" x14ac:dyDescent="0.3">
      <c r="I18539" s="82"/>
      <c r="M18539" s="85"/>
    </row>
    <row r="18540" spans="9:13" x14ac:dyDescent="0.3">
      <c r="I18540" s="82"/>
      <c r="M18540" s="85"/>
    </row>
    <row r="18541" spans="9:13" x14ac:dyDescent="0.3">
      <c r="I18541" s="82"/>
      <c r="M18541" s="85"/>
    </row>
    <row r="18542" spans="9:13" x14ac:dyDescent="0.3">
      <c r="I18542" s="82"/>
      <c r="M18542" s="85"/>
    </row>
    <row r="18543" spans="9:13" x14ac:dyDescent="0.3">
      <c r="I18543" s="82"/>
      <c r="M18543" s="85"/>
    </row>
    <row r="18544" spans="9:13" x14ac:dyDescent="0.3">
      <c r="I18544" s="82"/>
      <c r="M18544" s="85"/>
    </row>
    <row r="18545" spans="9:13" x14ac:dyDescent="0.3">
      <c r="I18545" s="82"/>
      <c r="M18545" s="85"/>
    </row>
    <row r="18546" spans="9:13" x14ac:dyDescent="0.3">
      <c r="I18546" s="82"/>
      <c r="M18546" s="85"/>
    </row>
    <row r="18547" spans="9:13" x14ac:dyDescent="0.3">
      <c r="I18547" s="82"/>
      <c r="M18547" s="85"/>
    </row>
    <row r="18548" spans="9:13" x14ac:dyDescent="0.3">
      <c r="I18548" s="82"/>
      <c r="M18548" s="85"/>
    </row>
    <row r="18549" spans="9:13" x14ac:dyDescent="0.3">
      <c r="I18549" s="82"/>
      <c r="M18549" s="85"/>
    </row>
    <row r="18550" spans="9:13" x14ac:dyDescent="0.3">
      <c r="I18550" s="82"/>
      <c r="M18550" s="85"/>
    </row>
    <row r="18551" spans="9:13" x14ac:dyDescent="0.3">
      <c r="I18551" s="82"/>
      <c r="M18551" s="85"/>
    </row>
    <row r="18552" spans="9:13" x14ac:dyDescent="0.3">
      <c r="I18552" s="82"/>
      <c r="M18552" s="85"/>
    </row>
    <row r="18553" spans="9:13" x14ac:dyDescent="0.3">
      <c r="I18553" s="82"/>
      <c r="M18553" s="85"/>
    </row>
    <row r="18554" spans="9:13" x14ac:dyDescent="0.3">
      <c r="I18554" s="82"/>
      <c r="M18554" s="85"/>
    </row>
    <row r="18555" spans="9:13" x14ac:dyDescent="0.3">
      <c r="I18555" s="82"/>
      <c r="M18555" s="85"/>
    </row>
    <row r="18556" spans="9:13" x14ac:dyDescent="0.3">
      <c r="I18556" s="82"/>
      <c r="M18556" s="85"/>
    </row>
    <row r="18557" spans="9:13" x14ac:dyDescent="0.3">
      <c r="I18557" s="82"/>
      <c r="M18557" s="85"/>
    </row>
    <row r="18558" spans="9:13" x14ac:dyDescent="0.3">
      <c r="I18558" s="82"/>
      <c r="M18558" s="85"/>
    </row>
    <row r="18559" spans="9:13" x14ac:dyDescent="0.3">
      <c r="I18559" s="82"/>
      <c r="M18559" s="85"/>
    </row>
    <row r="18560" spans="9:13" x14ac:dyDescent="0.3">
      <c r="I18560" s="82"/>
      <c r="M18560" s="85"/>
    </row>
    <row r="18561" spans="9:13" x14ac:dyDescent="0.3">
      <c r="I18561" s="82"/>
      <c r="M18561" s="85"/>
    </row>
    <row r="18562" spans="9:13" x14ac:dyDescent="0.3">
      <c r="I18562" s="82"/>
      <c r="M18562" s="85"/>
    </row>
    <row r="18563" spans="9:13" x14ac:dyDescent="0.3">
      <c r="I18563" s="82"/>
      <c r="M18563" s="85"/>
    </row>
    <row r="18564" spans="9:13" x14ac:dyDescent="0.3">
      <c r="I18564" s="82"/>
      <c r="M18564" s="85"/>
    </row>
    <row r="18565" spans="9:13" x14ac:dyDescent="0.3">
      <c r="I18565" s="82"/>
      <c r="M18565" s="85"/>
    </row>
    <row r="18566" spans="9:13" x14ac:dyDescent="0.3">
      <c r="I18566" s="82"/>
      <c r="M18566" s="85"/>
    </row>
    <row r="18567" spans="9:13" x14ac:dyDescent="0.3">
      <c r="I18567" s="82"/>
      <c r="M18567" s="85"/>
    </row>
    <row r="18568" spans="9:13" x14ac:dyDescent="0.3">
      <c r="I18568" s="82"/>
      <c r="M18568" s="85"/>
    </row>
    <row r="18569" spans="9:13" x14ac:dyDescent="0.3">
      <c r="I18569" s="82"/>
      <c r="M18569" s="85"/>
    </row>
    <row r="18570" spans="9:13" x14ac:dyDescent="0.3">
      <c r="I18570" s="82"/>
      <c r="M18570" s="85"/>
    </row>
    <row r="18571" spans="9:13" x14ac:dyDescent="0.3">
      <c r="I18571" s="82"/>
      <c r="M18571" s="85"/>
    </row>
    <row r="18572" spans="9:13" x14ac:dyDescent="0.3">
      <c r="I18572" s="82"/>
      <c r="M18572" s="85"/>
    </row>
    <row r="18573" spans="9:13" x14ac:dyDescent="0.3">
      <c r="I18573" s="82"/>
      <c r="M18573" s="85"/>
    </row>
    <row r="18574" spans="9:13" x14ac:dyDescent="0.3">
      <c r="I18574" s="82"/>
      <c r="M18574" s="85"/>
    </row>
    <row r="18575" spans="9:13" x14ac:dyDescent="0.3">
      <c r="I18575" s="82"/>
      <c r="M18575" s="85"/>
    </row>
    <row r="18576" spans="9:13" x14ac:dyDescent="0.3">
      <c r="I18576" s="82"/>
      <c r="M18576" s="85"/>
    </row>
    <row r="18577" spans="9:13" x14ac:dyDescent="0.3">
      <c r="I18577" s="82"/>
      <c r="M18577" s="85"/>
    </row>
    <row r="18578" spans="9:13" x14ac:dyDescent="0.3">
      <c r="I18578" s="82"/>
      <c r="M18578" s="85"/>
    </row>
    <row r="18579" spans="9:13" x14ac:dyDescent="0.3">
      <c r="I18579" s="82"/>
      <c r="M18579" s="85"/>
    </row>
    <row r="18580" spans="9:13" x14ac:dyDescent="0.3">
      <c r="I18580" s="82"/>
      <c r="M18580" s="85"/>
    </row>
    <row r="18581" spans="9:13" x14ac:dyDescent="0.3">
      <c r="I18581" s="82"/>
      <c r="M18581" s="85"/>
    </row>
    <row r="18582" spans="9:13" x14ac:dyDescent="0.3">
      <c r="I18582" s="82"/>
      <c r="M18582" s="85"/>
    </row>
    <row r="18583" spans="9:13" x14ac:dyDescent="0.3">
      <c r="I18583" s="82"/>
      <c r="M18583" s="85"/>
    </row>
    <row r="18584" spans="9:13" x14ac:dyDescent="0.3">
      <c r="I18584" s="82"/>
      <c r="M18584" s="85"/>
    </row>
    <row r="18585" spans="9:13" x14ac:dyDescent="0.3">
      <c r="I18585" s="82"/>
      <c r="M18585" s="85"/>
    </row>
    <row r="18586" spans="9:13" x14ac:dyDescent="0.3">
      <c r="I18586" s="82"/>
      <c r="M18586" s="85"/>
    </row>
    <row r="18587" spans="9:13" x14ac:dyDescent="0.3">
      <c r="I18587" s="82"/>
      <c r="M18587" s="85"/>
    </row>
    <row r="18588" spans="9:13" x14ac:dyDescent="0.3">
      <c r="I18588" s="82"/>
      <c r="M18588" s="85"/>
    </row>
    <row r="18589" spans="9:13" x14ac:dyDescent="0.3">
      <c r="I18589" s="82"/>
      <c r="M18589" s="85"/>
    </row>
    <row r="18590" spans="9:13" x14ac:dyDescent="0.3">
      <c r="I18590" s="82"/>
      <c r="M18590" s="85"/>
    </row>
    <row r="18591" spans="9:13" x14ac:dyDescent="0.3">
      <c r="I18591" s="82"/>
      <c r="M18591" s="85"/>
    </row>
    <row r="18592" spans="9:13" x14ac:dyDescent="0.3">
      <c r="I18592" s="82"/>
      <c r="M18592" s="85"/>
    </row>
    <row r="18593" spans="9:13" x14ac:dyDescent="0.3">
      <c r="I18593" s="82"/>
      <c r="M18593" s="85"/>
    </row>
    <row r="18594" spans="9:13" x14ac:dyDescent="0.3">
      <c r="I18594" s="82"/>
      <c r="M18594" s="85"/>
    </row>
    <row r="18595" spans="9:13" x14ac:dyDescent="0.3">
      <c r="I18595" s="82"/>
      <c r="M18595" s="85"/>
    </row>
    <row r="18596" spans="9:13" x14ac:dyDescent="0.3">
      <c r="I18596" s="82"/>
      <c r="M18596" s="85"/>
    </row>
    <row r="18597" spans="9:13" x14ac:dyDescent="0.3">
      <c r="I18597" s="82"/>
      <c r="M18597" s="85"/>
    </row>
    <row r="18598" spans="9:13" x14ac:dyDescent="0.3">
      <c r="I18598" s="82"/>
      <c r="M18598" s="85"/>
    </row>
    <row r="18599" spans="9:13" x14ac:dyDescent="0.3">
      <c r="I18599" s="82"/>
      <c r="M18599" s="85"/>
    </row>
    <row r="18600" spans="9:13" x14ac:dyDescent="0.3">
      <c r="I18600" s="82"/>
      <c r="M18600" s="85"/>
    </row>
    <row r="18601" spans="9:13" x14ac:dyDescent="0.3">
      <c r="I18601" s="82"/>
      <c r="M18601" s="85"/>
    </row>
    <row r="18602" spans="9:13" x14ac:dyDescent="0.3">
      <c r="I18602" s="82"/>
      <c r="M18602" s="85"/>
    </row>
    <row r="18603" spans="9:13" x14ac:dyDescent="0.3">
      <c r="I18603" s="82"/>
      <c r="M18603" s="85"/>
    </row>
    <row r="18604" spans="9:13" x14ac:dyDescent="0.3">
      <c r="I18604" s="82"/>
      <c r="M18604" s="85"/>
    </row>
    <row r="18605" spans="9:13" x14ac:dyDescent="0.3">
      <c r="I18605" s="82"/>
      <c r="M18605" s="85"/>
    </row>
    <row r="18606" spans="9:13" x14ac:dyDescent="0.3">
      <c r="I18606" s="82"/>
      <c r="M18606" s="85"/>
    </row>
    <row r="18607" spans="9:13" x14ac:dyDescent="0.3">
      <c r="I18607" s="82"/>
      <c r="M18607" s="85"/>
    </row>
    <row r="18608" spans="9:13" x14ac:dyDescent="0.3">
      <c r="I18608" s="82"/>
      <c r="M18608" s="85"/>
    </row>
    <row r="18609" spans="9:13" x14ac:dyDescent="0.3">
      <c r="I18609" s="82"/>
      <c r="M18609" s="85"/>
    </row>
    <row r="18610" spans="9:13" x14ac:dyDescent="0.3">
      <c r="I18610" s="82"/>
      <c r="M18610" s="85"/>
    </row>
    <row r="18611" spans="9:13" x14ac:dyDescent="0.3">
      <c r="I18611" s="82"/>
      <c r="M18611" s="85"/>
    </row>
    <row r="18612" spans="9:13" x14ac:dyDescent="0.3">
      <c r="I18612" s="82"/>
      <c r="M18612" s="85"/>
    </row>
    <row r="18613" spans="9:13" x14ac:dyDescent="0.3">
      <c r="I18613" s="82"/>
      <c r="M18613" s="85"/>
    </row>
    <row r="18614" spans="9:13" x14ac:dyDescent="0.3">
      <c r="I18614" s="82"/>
      <c r="M18614" s="85"/>
    </row>
    <row r="18615" spans="9:13" x14ac:dyDescent="0.3">
      <c r="I18615" s="82"/>
      <c r="M18615" s="85"/>
    </row>
    <row r="18616" spans="9:13" x14ac:dyDescent="0.3">
      <c r="I18616" s="82"/>
      <c r="M18616" s="85"/>
    </row>
    <row r="18617" spans="9:13" x14ac:dyDescent="0.3">
      <c r="I18617" s="82"/>
      <c r="M18617" s="85"/>
    </row>
    <row r="18618" spans="9:13" x14ac:dyDescent="0.3">
      <c r="I18618" s="82"/>
      <c r="M18618" s="85"/>
    </row>
    <row r="18619" spans="9:13" x14ac:dyDescent="0.3">
      <c r="I18619" s="82"/>
      <c r="M18619" s="85"/>
    </row>
    <row r="18620" spans="9:13" x14ac:dyDescent="0.3">
      <c r="I18620" s="82"/>
      <c r="M18620" s="85"/>
    </row>
    <row r="18621" spans="9:13" x14ac:dyDescent="0.3">
      <c r="I18621" s="82"/>
      <c r="M18621" s="85"/>
    </row>
    <row r="18622" spans="9:13" x14ac:dyDescent="0.3">
      <c r="I18622" s="82"/>
      <c r="M18622" s="85"/>
    </row>
    <row r="18623" spans="9:13" x14ac:dyDescent="0.3">
      <c r="I18623" s="82"/>
      <c r="M18623" s="85"/>
    </row>
    <row r="18624" spans="9:13" x14ac:dyDescent="0.3">
      <c r="I18624" s="82"/>
      <c r="M18624" s="85"/>
    </row>
    <row r="18625" spans="9:13" x14ac:dyDescent="0.3">
      <c r="I18625" s="82"/>
      <c r="M18625" s="85"/>
    </row>
    <row r="18626" spans="9:13" x14ac:dyDescent="0.3">
      <c r="I18626" s="82"/>
      <c r="M18626" s="85"/>
    </row>
    <row r="18627" spans="9:13" x14ac:dyDescent="0.3">
      <c r="I18627" s="82"/>
      <c r="M18627" s="85"/>
    </row>
    <row r="18628" spans="9:13" x14ac:dyDescent="0.3">
      <c r="I18628" s="82"/>
      <c r="M18628" s="85"/>
    </row>
    <row r="18629" spans="9:13" x14ac:dyDescent="0.3">
      <c r="I18629" s="82"/>
      <c r="M18629" s="85"/>
    </row>
    <row r="18630" spans="9:13" x14ac:dyDescent="0.3">
      <c r="I18630" s="82"/>
      <c r="M18630" s="85"/>
    </row>
    <row r="18631" spans="9:13" x14ac:dyDescent="0.3">
      <c r="I18631" s="82"/>
      <c r="M18631" s="85"/>
    </row>
    <row r="18632" spans="9:13" x14ac:dyDescent="0.3">
      <c r="I18632" s="82"/>
      <c r="M18632" s="85"/>
    </row>
    <row r="18633" spans="9:13" x14ac:dyDescent="0.3">
      <c r="I18633" s="82"/>
      <c r="M18633" s="85"/>
    </row>
    <row r="18634" spans="9:13" x14ac:dyDescent="0.3">
      <c r="I18634" s="82"/>
      <c r="M18634" s="85"/>
    </row>
    <row r="18635" spans="9:13" x14ac:dyDescent="0.3">
      <c r="I18635" s="82"/>
      <c r="M18635" s="85"/>
    </row>
    <row r="18636" spans="9:13" x14ac:dyDescent="0.3">
      <c r="I18636" s="82"/>
      <c r="M18636" s="85"/>
    </row>
    <row r="18637" spans="9:13" x14ac:dyDescent="0.3">
      <c r="I18637" s="82"/>
      <c r="M18637" s="85"/>
    </row>
    <row r="18638" spans="9:13" x14ac:dyDescent="0.3">
      <c r="I18638" s="82"/>
      <c r="M18638" s="85"/>
    </row>
    <row r="18639" spans="9:13" x14ac:dyDescent="0.3">
      <c r="I18639" s="82"/>
      <c r="M18639" s="85"/>
    </row>
    <row r="18640" spans="9:13" x14ac:dyDescent="0.3">
      <c r="I18640" s="82"/>
      <c r="M18640" s="85"/>
    </row>
    <row r="18641" spans="9:13" x14ac:dyDescent="0.3">
      <c r="I18641" s="82"/>
      <c r="M18641" s="85"/>
    </row>
    <row r="18642" spans="9:13" x14ac:dyDescent="0.3">
      <c r="I18642" s="82"/>
      <c r="M18642" s="85"/>
    </row>
    <row r="18643" spans="9:13" x14ac:dyDescent="0.3">
      <c r="I18643" s="82"/>
      <c r="M18643" s="85"/>
    </row>
    <row r="18644" spans="9:13" x14ac:dyDescent="0.3">
      <c r="I18644" s="82"/>
      <c r="M18644" s="85"/>
    </row>
    <row r="18645" spans="9:13" x14ac:dyDescent="0.3">
      <c r="I18645" s="82"/>
      <c r="M18645" s="85"/>
    </row>
    <row r="18646" spans="9:13" x14ac:dyDescent="0.3">
      <c r="I18646" s="82"/>
      <c r="M18646" s="85"/>
    </row>
    <row r="18647" spans="9:13" x14ac:dyDescent="0.3">
      <c r="I18647" s="82"/>
      <c r="M18647" s="85"/>
    </row>
    <row r="18648" spans="9:13" x14ac:dyDescent="0.3">
      <c r="I18648" s="82"/>
      <c r="M18648" s="85"/>
    </row>
    <row r="18649" spans="9:13" x14ac:dyDescent="0.3">
      <c r="I18649" s="82"/>
      <c r="M18649" s="85"/>
    </row>
    <row r="18650" spans="9:13" x14ac:dyDescent="0.3">
      <c r="I18650" s="82"/>
      <c r="M18650" s="85"/>
    </row>
    <row r="18651" spans="9:13" x14ac:dyDescent="0.3">
      <c r="I18651" s="82"/>
      <c r="M18651" s="85"/>
    </row>
    <row r="18652" spans="9:13" x14ac:dyDescent="0.3">
      <c r="I18652" s="82"/>
      <c r="M18652" s="85"/>
    </row>
    <row r="18653" spans="9:13" x14ac:dyDescent="0.3">
      <c r="I18653" s="82"/>
      <c r="M18653" s="85"/>
    </row>
    <row r="18654" spans="9:13" x14ac:dyDescent="0.3">
      <c r="I18654" s="82"/>
      <c r="M18654" s="85"/>
    </row>
    <row r="18655" spans="9:13" x14ac:dyDescent="0.3">
      <c r="I18655" s="82"/>
      <c r="M18655" s="85"/>
    </row>
    <row r="18656" spans="9:13" x14ac:dyDescent="0.3">
      <c r="I18656" s="82"/>
      <c r="M18656" s="85"/>
    </row>
    <row r="18657" spans="9:13" x14ac:dyDescent="0.3">
      <c r="I18657" s="82"/>
      <c r="M18657" s="85"/>
    </row>
    <row r="18658" spans="9:13" x14ac:dyDescent="0.3">
      <c r="I18658" s="82"/>
      <c r="M18658" s="85"/>
    </row>
    <row r="18659" spans="9:13" x14ac:dyDescent="0.3">
      <c r="I18659" s="82"/>
      <c r="M18659" s="85"/>
    </row>
    <row r="18660" spans="9:13" x14ac:dyDescent="0.3">
      <c r="I18660" s="82"/>
      <c r="M18660" s="85"/>
    </row>
    <row r="18661" spans="9:13" x14ac:dyDescent="0.3">
      <c r="I18661" s="82"/>
      <c r="M18661" s="85"/>
    </row>
    <row r="18662" spans="9:13" x14ac:dyDescent="0.3">
      <c r="I18662" s="82"/>
      <c r="M18662" s="85"/>
    </row>
    <row r="18663" spans="9:13" x14ac:dyDescent="0.3">
      <c r="I18663" s="82"/>
      <c r="M18663" s="85"/>
    </row>
    <row r="18664" spans="9:13" x14ac:dyDescent="0.3">
      <c r="I18664" s="82"/>
      <c r="M18664" s="85"/>
    </row>
    <row r="18665" spans="9:13" x14ac:dyDescent="0.3">
      <c r="I18665" s="82"/>
      <c r="M18665" s="85"/>
    </row>
    <row r="18666" spans="9:13" x14ac:dyDescent="0.3">
      <c r="I18666" s="82"/>
      <c r="M18666" s="85"/>
    </row>
    <row r="18667" spans="9:13" x14ac:dyDescent="0.3">
      <c r="I18667" s="82"/>
      <c r="M18667" s="85"/>
    </row>
    <row r="18668" spans="9:13" x14ac:dyDescent="0.3">
      <c r="I18668" s="82"/>
      <c r="M18668" s="85"/>
    </row>
    <row r="18669" spans="9:13" x14ac:dyDescent="0.3">
      <c r="I18669" s="82"/>
      <c r="M18669" s="85"/>
    </row>
    <row r="18670" spans="9:13" x14ac:dyDescent="0.3">
      <c r="I18670" s="82"/>
      <c r="M18670" s="85"/>
    </row>
    <row r="18671" spans="9:13" x14ac:dyDescent="0.3">
      <c r="I18671" s="82"/>
      <c r="M18671" s="85"/>
    </row>
    <row r="18672" spans="9:13" x14ac:dyDescent="0.3">
      <c r="I18672" s="82"/>
      <c r="M18672" s="85"/>
    </row>
    <row r="18673" spans="9:13" x14ac:dyDescent="0.3">
      <c r="I18673" s="82"/>
      <c r="M18673" s="85"/>
    </row>
    <row r="18674" spans="9:13" x14ac:dyDescent="0.3">
      <c r="I18674" s="82"/>
      <c r="M18674" s="85"/>
    </row>
    <row r="18675" spans="9:13" x14ac:dyDescent="0.3">
      <c r="I18675" s="82"/>
      <c r="M18675" s="85"/>
    </row>
    <row r="18676" spans="9:13" x14ac:dyDescent="0.3">
      <c r="I18676" s="82"/>
      <c r="M18676" s="85"/>
    </row>
    <row r="18677" spans="9:13" x14ac:dyDescent="0.3">
      <c r="I18677" s="82"/>
      <c r="M18677" s="85"/>
    </row>
    <row r="18678" spans="9:13" x14ac:dyDescent="0.3">
      <c r="I18678" s="82"/>
      <c r="M18678" s="85"/>
    </row>
    <row r="18679" spans="9:13" x14ac:dyDescent="0.3">
      <c r="I18679" s="82"/>
      <c r="M18679" s="85"/>
    </row>
    <row r="18680" spans="9:13" x14ac:dyDescent="0.3">
      <c r="I18680" s="82"/>
      <c r="M18680" s="85"/>
    </row>
    <row r="18681" spans="9:13" x14ac:dyDescent="0.3">
      <c r="I18681" s="82"/>
      <c r="M18681" s="85"/>
    </row>
    <row r="18682" spans="9:13" x14ac:dyDescent="0.3">
      <c r="I18682" s="82"/>
      <c r="M18682" s="85"/>
    </row>
    <row r="18683" spans="9:13" x14ac:dyDescent="0.3">
      <c r="I18683" s="82"/>
      <c r="M18683" s="85"/>
    </row>
    <row r="18684" spans="9:13" x14ac:dyDescent="0.3">
      <c r="I18684" s="82"/>
      <c r="M18684" s="85"/>
    </row>
    <row r="18685" spans="9:13" x14ac:dyDescent="0.3">
      <c r="I18685" s="82"/>
      <c r="M18685" s="85"/>
    </row>
    <row r="18686" spans="9:13" x14ac:dyDescent="0.3">
      <c r="I18686" s="82"/>
      <c r="M18686" s="85"/>
    </row>
    <row r="18687" spans="9:13" x14ac:dyDescent="0.3">
      <c r="I18687" s="82"/>
      <c r="M18687" s="85"/>
    </row>
    <row r="18688" spans="9:13" x14ac:dyDescent="0.3">
      <c r="I18688" s="82"/>
      <c r="M18688" s="85"/>
    </row>
    <row r="18689" spans="9:13" x14ac:dyDescent="0.3">
      <c r="I18689" s="82"/>
      <c r="M18689" s="85"/>
    </row>
    <row r="18690" spans="9:13" x14ac:dyDescent="0.3">
      <c r="I18690" s="82"/>
      <c r="M18690" s="85"/>
    </row>
    <row r="18691" spans="9:13" x14ac:dyDescent="0.3">
      <c r="I18691" s="82"/>
      <c r="M18691" s="85"/>
    </row>
    <row r="18692" spans="9:13" x14ac:dyDescent="0.3">
      <c r="I18692" s="82"/>
      <c r="M18692" s="85"/>
    </row>
    <row r="18693" spans="9:13" x14ac:dyDescent="0.3">
      <c r="I18693" s="82"/>
      <c r="M18693" s="85"/>
    </row>
    <row r="18694" spans="9:13" x14ac:dyDescent="0.3">
      <c r="I18694" s="82"/>
      <c r="M18694" s="85"/>
    </row>
    <row r="18695" spans="9:13" x14ac:dyDescent="0.3">
      <c r="I18695" s="82"/>
      <c r="M18695" s="85"/>
    </row>
    <row r="18696" spans="9:13" x14ac:dyDescent="0.3">
      <c r="I18696" s="82"/>
      <c r="M18696" s="85"/>
    </row>
    <row r="18697" spans="9:13" x14ac:dyDescent="0.3">
      <c r="I18697" s="82"/>
      <c r="M18697" s="85"/>
    </row>
    <row r="18698" spans="9:13" x14ac:dyDescent="0.3">
      <c r="I18698" s="82"/>
      <c r="M18698" s="85"/>
    </row>
    <row r="18699" spans="9:13" x14ac:dyDescent="0.3">
      <c r="I18699" s="82"/>
      <c r="M18699" s="85"/>
    </row>
    <row r="18700" spans="9:13" x14ac:dyDescent="0.3">
      <c r="I18700" s="82"/>
      <c r="M18700" s="85"/>
    </row>
    <row r="18701" spans="9:13" x14ac:dyDescent="0.3">
      <c r="I18701" s="82"/>
      <c r="M18701" s="85"/>
    </row>
    <row r="18702" spans="9:13" x14ac:dyDescent="0.3">
      <c r="I18702" s="82"/>
      <c r="M18702" s="85"/>
    </row>
    <row r="18703" spans="9:13" x14ac:dyDescent="0.3">
      <c r="I18703" s="82"/>
      <c r="M18703" s="85"/>
    </row>
    <row r="18704" spans="9:13" x14ac:dyDescent="0.3">
      <c r="I18704" s="82"/>
      <c r="M18704" s="85"/>
    </row>
    <row r="18705" spans="9:13" x14ac:dyDescent="0.3">
      <c r="I18705" s="82"/>
      <c r="M18705" s="85"/>
    </row>
    <row r="18706" spans="9:13" x14ac:dyDescent="0.3">
      <c r="I18706" s="82"/>
      <c r="M18706" s="85"/>
    </row>
    <row r="18707" spans="9:13" x14ac:dyDescent="0.3">
      <c r="I18707" s="82"/>
      <c r="M18707" s="85"/>
    </row>
    <row r="18708" spans="9:13" x14ac:dyDescent="0.3">
      <c r="I18708" s="82"/>
      <c r="M18708" s="85"/>
    </row>
    <row r="18709" spans="9:13" x14ac:dyDescent="0.3">
      <c r="I18709" s="82"/>
      <c r="M18709" s="85"/>
    </row>
    <row r="18710" spans="9:13" x14ac:dyDescent="0.3">
      <c r="I18710" s="82"/>
      <c r="M18710" s="85"/>
    </row>
    <row r="18711" spans="9:13" x14ac:dyDescent="0.3">
      <c r="I18711" s="82"/>
      <c r="M18711" s="85"/>
    </row>
    <row r="18712" spans="9:13" x14ac:dyDescent="0.3">
      <c r="I18712" s="82"/>
      <c r="M18712" s="85"/>
    </row>
    <row r="18713" spans="9:13" x14ac:dyDescent="0.3">
      <c r="I18713" s="82"/>
      <c r="M18713" s="85"/>
    </row>
    <row r="18714" spans="9:13" x14ac:dyDescent="0.3">
      <c r="I18714" s="82"/>
      <c r="M18714" s="85"/>
    </row>
    <row r="18715" spans="9:13" x14ac:dyDescent="0.3">
      <c r="I18715" s="82"/>
      <c r="M18715" s="85"/>
    </row>
    <row r="18716" spans="9:13" x14ac:dyDescent="0.3">
      <c r="I18716" s="82"/>
      <c r="M18716" s="85"/>
    </row>
    <row r="18717" spans="9:13" x14ac:dyDescent="0.3">
      <c r="I18717" s="82"/>
      <c r="M18717" s="85"/>
    </row>
    <row r="18718" spans="9:13" x14ac:dyDescent="0.3">
      <c r="I18718" s="82"/>
      <c r="M18718" s="85"/>
    </row>
    <row r="18719" spans="9:13" x14ac:dyDescent="0.3">
      <c r="I18719" s="82"/>
      <c r="M18719" s="85"/>
    </row>
    <row r="18720" spans="9:13" x14ac:dyDescent="0.3">
      <c r="I18720" s="82"/>
      <c r="M18720" s="85"/>
    </row>
    <row r="18721" spans="9:13" x14ac:dyDescent="0.3">
      <c r="I18721" s="82"/>
      <c r="M18721" s="85"/>
    </row>
    <row r="18722" spans="9:13" x14ac:dyDescent="0.3">
      <c r="I18722" s="82"/>
      <c r="M18722" s="85"/>
    </row>
    <row r="18723" spans="9:13" x14ac:dyDescent="0.3">
      <c r="I18723" s="82"/>
      <c r="M18723" s="85"/>
    </row>
    <row r="18724" spans="9:13" x14ac:dyDescent="0.3">
      <c r="I18724" s="82"/>
      <c r="M18724" s="85"/>
    </row>
    <row r="18725" spans="9:13" x14ac:dyDescent="0.3">
      <c r="I18725" s="82"/>
      <c r="M18725" s="85"/>
    </row>
    <row r="18726" spans="9:13" x14ac:dyDescent="0.3">
      <c r="I18726" s="82"/>
      <c r="M18726" s="85"/>
    </row>
    <row r="18727" spans="9:13" x14ac:dyDescent="0.3">
      <c r="I18727" s="82"/>
      <c r="M18727" s="85"/>
    </row>
    <row r="18728" spans="9:13" x14ac:dyDescent="0.3">
      <c r="I18728" s="82"/>
      <c r="M18728" s="85"/>
    </row>
    <row r="18729" spans="9:13" x14ac:dyDescent="0.3">
      <c r="I18729" s="82"/>
      <c r="M18729" s="85"/>
    </row>
    <row r="18730" spans="9:13" x14ac:dyDescent="0.3">
      <c r="I18730" s="82"/>
      <c r="M18730" s="85"/>
    </row>
    <row r="18731" spans="9:13" x14ac:dyDescent="0.3">
      <c r="I18731" s="82"/>
      <c r="M18731" s="85"/>
    </row>
    <row r="18732" spans="9:13" x14ac:dyDescent="0.3">
      <c r="I18732" s="82"/>
      <c r="M18732" s="85"/>
    </row>
    <row r="18733" spans="9:13" x14ac:dyDescent="0.3">
      <c r="I18733" s="82"/>
      <c r="M18733" s="85"/>
    </row>
    <row r="18734" spans="9:13" x14ac:dyDescent="0.3">
      <c r="I18734" s="82"/>
      <c r="M18734" s="85"/>
    </row>
    <row r="18735" spans="9:13" x14ac:dyDescent="0.3">
      <c r="I18735" s="82"/>
      <c r="M18735" s="85"/>
    </row>
    <row r="18736" spans="9:13" x14ac:dyDescent="0.3">
      <c r="I18736" s="82"/>
      <c r="M18736" s="85"/>
    </row>
    <row r="18737" spans="9:13" x14ac:dyDescent="0.3">
      <c r="I18737" s="82"/>
      <c r="M18737" s="85"/>
    </row>
    <row r="18738" spans="9:13" x14ac:dyDescent="0.3">
      <c r="I18738" s="82"/>
      <c r="M18738" s="85"/>
    </row>
    <row r="18739" spans="9:13" x14ac:dyDescent="0.3">
      <c r="I18739" s="82"/>
      <c r="M18739" s="85"/>
    </row>
    <row r="18740" spans="9:13" x14ac:dyDescent="0.3">
      <c r="I18740" s="82"/>
      <c r="M18740" s="85"/>
    </row>
    <row r="18741" spans="9:13" x14ac:dyDescent="0.3">
      <c r="I18741" s="82"/>
      <c r="M18741" s="85"/>
    </row>
    <row r="18742" spans="9:13" x14ac:dyDescent="0.3">
      <c r="I18742" s="82"/>
      <c r="M18742" s="85"/>
    </row>
    <row r="18743" spans="9:13" x14ac:dyDescent="0.3">
      <c r="I18743" s="82"/>
      <c r="M18743" s="85"/>
    </row>
    <row r="18744" spans="9:13" x14ac:dyDescent="0.3">
      <c r="I18744" s="82"/>
      <c r="M18744" s="85"/>
    </row>
    <row r="18745" spans="9:13" x14ac:dyDescent="0.3">
      <c r="I18745" s="82"/>
      <c r="M18745" s="85"/>
    </row>
    <row r="18746" spans="9:13" x14ac:dyDescent="0.3">
      <c r="I18746" s="82"/>
      <c r="M18746" s="85"/>
    </row>
    <row r="18747" spans="9:13" x14ac:dyDescent="0.3">
      <c r="I18747" s="82"/>
      <c r="M18747" s="85"/>
    </row>
    <row r="18748" spans="9:13" x14ac:dyDescent="0.3">
      <c r="I18748" s="82"/>
      <c r="M18748" s="85"/>
    </row>
    <row r="18749" spans="9:13" x14ac:dyDescent="0.3">
      <c r="I18749" s="82"/>
      <c r="M18749" s="85"/>
    </row>
    <row r="18750" spans="9:13" x14ac:dyDescent="0.3">
      <c r="I18750" s="82"/>
      <c r="M18750" s="85"/>
    </row>
    <row r="18751" spans="9:13" x14ac:dyDescent="0.3">
      <c r="I18751" s="82"/>
      <c r="M18751" s="85"/>
    </row>
    <row r="18752" spans="9:13" x14ac:dyDescent="0.3">
      <c r="I18752" s="82"/>
      <c r="M18752" s="85"/>
    </row>
    <row r="18753" spans="9:13" x14ac:dyDescent="0.3">
      <c r="I18753" s="82"/>
      <c r="M18753" s="85"/>
    </row>
    <row r="18754" spans="9:13" x14ac:dyDescent="0.3">
      <c r="I18754" s="82"/>
      <c r="M18754" s="85"/>
    </row>
    <row r="18755" spans="9:13" x14ac:dyDescent="0.3">
      <c r="I18755" s="82"/>
      <c r="M18755" s="85"/>
    </row>
    <row r="18756" spans="9:13" x14ac:dyDescent="0.3">
      <c r="I18756" s="82"/>
      <c r="M18756" s="85"/>
    </row>
    <row r="18757" spans="9:13" x14ac:dyDescent="0.3">
      <c r="I18757" s="82"/>
      <c r="M18757" s="85"/>
    </row>
    <row r="18758" spans="9:13" x14ac:dyDescent="0.3">
      <c r="I18758" s="82"/>
      <c r="M18758" s="85"/>
    </row>
    <row r="18759" spans="9:13" x14ac:dyDescent="0.3">
      <c r="I18759" s="82"/>
      <c r="M18759" s="85"/>
    </row>
    <row r="18760" spans="9:13" x14ac:dyDescent="0.3">
      <c r="I18760" s="82"/>
      <c r="M18760" s="85"/>
    </row>
    <row r="18761" spans="9:13" x14ac:dyDescent="0.3">
      <c r="I18761" s="82"/>
      <c r="M18761" s="85"/>
    </row>
    <row r="18762" spans="9:13" x14ac:dyDescent="0.3">
      <c r="I18762" s="82"/>
      <c r="M18762" s="85"/>
    </row>
    <row r="18763" spans="9:13" x14ac:dyDescent="0.3">
      <c r="I18763" s="82"/>
      <c r="M18763" s="85"/>
    </row>
    <row r="18764" spans="9:13" x14ac:dyDescent="0.3">
      <c r="I18764" s="82"/>
      <c r="M18764" s="85"/>
    </row>
    <row r="18765" spans="9:13" x14ac:dyDescent="0.3">
      <c r="I18765" s="82"/>
      <c r="M18765" s="85"/>
    </row>
    <row r="18766" spans="9:13" x14ac:dyDescent="0.3">
      <c r="I18766" s="82"/>
      <c r="M18766" s="85"/>
    </row>
    <row r="18767" spans="9:13" x14ac:dyDescent="0.3">
      <c r="I18767" s="82"/>
      <c r="M18767" s="85"/>
    </row>
    <row r="18768" spans="9:13" x14ac:dyDescent="0.3">
      <c r="I18768" s="82"/>
      <c r="M18768" s="85"/>
    </row>
    <row r="18769" spans="9:13" x14ac:dyDescent="0.3">
      <c r="I18769" s="82"/>
      <c r="M18769" s="85"/>
    </row>
    <row r="18770" spans="9:13" x14ac:dyDescent="0.3">
      <c r="I18770" s="82"/>
      <c r="M18770" s="85"/>
    </row>
    <row r="18771" spans="9:13" x14ac:dyDescent="0.3">
      <c r="I18771" s="82"/>
      <c r="M18771" s="85"/>
    </row>
    <row r="18772" spans="9:13" x14ac:dyDescent="0.3">
      <c r="I18772" s="82"/>
      <c r="M18772" s="85"/>
    </row>
    <row r="18773" spans="9:13" x14ac:dyDescent="0.3">
      <c r="I18773" s="82"/>
      <c r="M18773" s="85"/>
    </row>
    <row r="18774" spans="9:13" x14ac:dyDescent="0.3">
      <c r="I18774" s="82"/>
      <c r="M18774" s="85"/>
    </row>
    <row r="18775" spans="9:13" x14ac:dyDescent="0.3">
      <c r="I18775" s="82"/>
      <c r="M18775" s="85"/>
    </row>
    <row r="18776" spans="9:13" x14ac:dyDescent="0.3">
      <c r="I18776" s="82"/>
      <c r="M18776" s="85"/>
    </row>
    <row r="18777" spans="9:13" x14ac:dyDescent="0.3">
      <c r="I18777" s="82"/>
      <c r="M18777" s="85"/>
    </row>
    <row r="18778" spans="9:13" x14ac:dyDescent="0.3">
      <c r="I18778" s="82"/>
      <c r="M18778" s="85"/>
    </row>
    <row r="18779" spans="9:13" x14ac:dyDescent="0.3">
      <c r="I18779" s="82"/>
      <c r="M18779" s="85"/>
    </row>
    <row r="18780" spans="9:13" x14ac:dyDescent="0.3">
      <c r="I18780" s="82"/>
      <c r="M18780" s="85"/>
    </row>
    <row r="18781" spans="9:13" x14ac:dyDescent="0.3">
      <c r="I18781" s="82"/>
      <c r="M18781" s="85"/>
    </row>
    <row r="18782" spans="9:13" x14ac:dyDescent="0.3">
      <c r="I18782" s="82"/>
      <c r="M18782" s="85"/>
    </row>
    <row r="18783" spans="9:13" x14ac:dyDescent="0.3">
      <c r="I18783" s="82"/>
      <c r="M18783" s="85"/>
    </row>
    <row r="18784" spans="9:13" x14ac:dyDescent="0.3">
      <c r="I18784" s="82"/>
      <c r="M18784" s="85"/>
    </row>
    <row r="18785" spans="9:13" x14ac:dyDescent="0.3">
      <c r="I18785" s="82"/>
      <c r="M18785" s="85"/>
    </row>
    <row r="18786" spans="9:13" x14ac:dyDescent="0.3">
      <c r="I18786" s="82"/>
      <c r="M18786" s="85"/>
    </row>
    <row r="18787" spans="9:13" x14ac:dyDescent="0.3">
      <c r="I18787" s="82"/>
      <c r="M18787" s="85"/>
    </row>
    <row r="18788" spans="9:13" x14ac:dyDescent="0.3">
      <c r="I18788" s="82"/>
      <c r="M18788" s="85"/>
    </row>
    <row r="18789" spans="9:13" x14ac:dyDescent="0.3">
      <c r="I18789" s="82"/>
      <c r="M18789" s="85"/>
    </row>
    <row r="18790" spans="9:13" x14ac:dyDescent="0.3">
      <c r="I18790" s="82"/>
      <c r="M18790" s="85"/>
    </row>
    <row r="18791" spans="9:13" x14ac:dyDescent="0.3">
      <c r="I18791" s="82"/>
      <c r="M18791" s="85"/>
    </row>
    <row r="18792" spans="9:13" x14ac:dyDescent="0.3">
      <c r="I18792" s="82"/>
      <c r="M18792" s="85"/>
    </row>
    <row r="18793" spans="9:13" x14ac:dyDescent="0.3">
      <c r="I18793" s="82"/>
      <c r="M18793" s="85"/>
    </row>
    <row r="18794" spans="9:13" x14ac:dyDescent="0.3">
      <c r="I18794" s="82"/>
      <c r="M18794" s="85"/>
    </row>
    <row r="18795" spans="9:13" x14ac:dyDescent="0.3">
      <c r="I18795" s="82"/>
      <c r="M18795" s="85"/>
    </row>
    <row r="18796" spans="9:13" x14ac:dyDescent="0.3">
      <c r="I18796" s="82"/>
      <c r="M18796" s="85"/>
    </row>
    <row r="18797" spans="9:13" x14ac:dyDescent="0.3">
      <c r="I18797" s="82"/>
      <c r="M18797" s="85"/>
    </row>
    <row r="18798" spans="9:13" x14ac:dyDescent="0.3">
      <c r="I18798" s="82"/>
      <c r="M18798" s="85"/>
    </row>
    <row r="18799" spans="9:13" x14ac:dyDescent="0.3">
      <c r="I18799" s="82"/>
      <c r="M18799" s="85"/>
    </row>
    <row r="18800" spans="9:13" x14ac:dyDescent="0.3">
      <c r="I18800" s="82"/>
      <c r="M18800" s="85"/>
    </row>
    <row r="18801" spans="9:13" x14ac:dyDescent="0.3">
      <c r="I18801" s="82"/>
      <c r="M18801" s="85"/>
    </row>
    <row r="18802" spans="9:13" x14ac:dyDescent="0.3">
      <c r="I18802" s="82"/>
      <c r="M18802" s="85"/>
    </row>
    <row r="18803" spans="9:13" x14ac:dyDescent="0.3">
      <c r="I18803" s="82"/>
      <c r="M18803" s="85"/>
    </row>
    <row r="18804" spans="9:13" x14ac:dyDescent="0.3">
      <c r="I18804" s="82"/>
      <c r="M18804" s="85"/>
    </row>
    <row r="18805" spans="9:13" x14ac:dyDescent="0.3">
      <c r="I18805" s="82"/>
      <c r="M18805" s="85"/>
    </row>
    <row r="18806" spans="9:13" x14ac:dyDescent="0.3">
      <c r="I18806" s="82"/>
      <c r="M18806" s="85"/>
    </row>
    <row r="18807" spans="9:13" x14ac:dyDescent="0.3">
      <c r="I18807" s="82"/>
      <c r="M18807" s="85"/>
    </row>
    <row r="18808" spans="9:13" x14ac:dyDescent="0.3">
      <c r="I18808" s="82"/>
      <c r="M18808" s="85"/>
    </row>
    <row r="18809" spans="9:13" x14ac:dyDescent="0.3">
      <c r="I18809" s="82"/>
      <c r="M18809" s="85"/>
    </row>
    <row r="18810" spans="9:13" x14ac:dyDescent="0.3">
      <c r="I18810" s="82"/>
      <c r="M18810" s="85"/>
    </row>
    <row r="18811" spans="9:13" x14ac:dyDescent="0.3">
      <c r="I18811" s="82"/>
      <c r="M18811" s="85"/>
    </row>
    <row r="18812" spans="9:13" x14ac:dyDescent="0.3">
      <c r="I18812" s="82"/>
      <c r="M18812" s="85"/>
    </row>
    <row r="18813" spans="9:13" x14ac:dyDescent="0.3">
      <c r="I18813" s="82"/>
      <c r="M18813" s="85"/>
    </row>
    <row r="18814" spans="9:13" x14ac:dyDescent="0.3">
      <c r="I18814" s="82"/>
      <c r="M18814" s="85"/>
    </row>
    <row r="18815" spans="9:13" x14ac:dyDescent="0.3">
      <c r="I18815" s="82"/>
      <c r="M18815" s="85"/>
    </row>
    <row r="18816" spans="9:13" x14ac:dyDescent="0.3">
      <c r="I18816" s="82"/>
      <c r="M18816" s="85"/>
    </row>
    <row r="18817" spans="9:13" x14ac:dyDescent="0.3">
      <c r="I18817" s="82"/>
      <c r="M18817" s="85"/>
    </row>
    <row r="18818" spans="9:13" x14ac:dyDescent="0.3">
      <c r="I18818" s="82"/>
      <c r="M18818" s="85"/>
    </row>
    <row r="18819" spans="9:13" x14ac:dyDescent="0.3">
      <c r="I18819" s="82"/>
      <c r="M18819" s="85"/>
    </row>
    <row r="18820" spans="9:13" x14ac:dyDescent="0.3">
      <c r="I18820" s="82"/>
      <c r="M18820" s="85"/>
    </row>
    <row r="18821" spans="9:13" x14ac:dyDescent="0.3">
      <c r="I18821" s="82"/>
      <c r="M18821" s="85"/>
    </row>
    <row r="18822" spans="9:13" x14ac:dyDescent="0.3">
      <c r="I18822" s="82"/>
      <c r="M18822" s="85"/>
    </row>
    <row r="18823" spans="9:13" x14ac:dyDescent="0.3">
      <c r="I18823" s="82"/>
      <c r="M18823" s="85"/>
    </row>
    <row r="18824" spans="9:13" x14ac:dyDescent="0.3">
      <c r="I18824" s="82"/>
      <c r="M18824" s="85"/>
    </row>
    <row r="18825" spans="9:13" x14ac:dyDescent="0.3">
      <c r="I18825" s="82"/>
      <c r="M18825" s="85"/>
    </row>
    <row r="18826" spans="9:13" x14ac:dyDescent="0.3">
      <c r="I18826" s="82"/>
      <c r="M18826" s="85"/>
    </row>
    <row r="18827" spans="9:13" x14ac:dyDescent="0.3">
      <c r="I18827" s="82"/>
      <c r="M18827" s="85"/>
    </row>
    <row r="18828" spans="9:13" x14ac:dyDescent="0.3">
      <c r="I18828" s="82"/>
      <c r="M18828" s="85"/>
    </row>
    <row r="18829" spans="9:13" x14ac:dyDescent="0.3">
      <c r="I18829" s="82"/>
      <c r="M18829" s="85"/>
    </row>
    <row r="18830" spans="9:13" x14ac:dyDescent="0.3">
      <c r="I18830" s="82"/>
      <c r="M18830" s="85"/>
    </row>
    <row r="18831" spans="9:13" x14ac:dyDescent="0.3">
      <c r="I18831" s="82"/>
      <c r="M18831" s="85"/>
    </row>
    <row r="18832" spans="9:13" x14ac:dyDescent="0.3">
      <c r="I18832" s="82"/>
      <c r="M18832" s="85"/>
    </row>
    <row r="18833" spans="9:13" x14ac:dyDescent="0.3">
      <c r="I18833" s="82"/>
      <c r="M18833" s="85"/>
    </row>
    <row r="18834" spans="9:13" x14ac:dyDescent="0.3">
      <c r="I18834" s="82"/>
      <c r="M18834" s="85"/>
    </row>
    <row r="18835" spans="9:13" x14ac:dyDescent="0.3">
      <c r="I18835" s="82"/>
      <c r="M18835" s="85"/>
    </row>
    <row r="18836" spans="9:13" x14ac:dyDescent="0.3">
      <c r="I18836" s="82"/>
      <c r="M18836" s="85"/>
    </row>
    <row r="18837" spans="9:13" x14ac:dyDescent="0.3">
      <c r="I18837" s="82"/>
      <c r="M18837" s="85"/>
    </row>
    <row r="18838" spans="9:13" x14ac:dyDescent="0.3">
      <c r="I18838" s="82"/>
      <c r="M18838" s="85"/>
    </row>
    <row r="18839" spans="9:13" x14ac:dyDescent="0.3">
      <c r="I18839" s="82"/>
      <c r="M18839" s="85"/>
    </row>
    <row r="18840" spans="9:13" x14ac:dyDescent="0.3">
      <c r="I18840" s="82"/>
      <c r="M18840" s="85"/>
    </row>
    <row r="18841" spans="9:13" x14ac:dyDescent="0.3">
      <c r="I18841" s="82"/>
      <c r="M18841" s="85"/>
    </row>
    <row r="18842" spans="9:13" x14ac:dyDescent="0.3">
      <c r="I18842" s="82"/>
      <c r="M18842" s="85"/>
    </row>
    <row r="18843" spans="9:13" x14ac:dyDescent="0.3">
      <c r="I18843" s="82"/>
      <c r="M18843" s="85"/>
    </row>
    <row r="18844" spans="9:13" x14ac:dyDescent="0.3">
      <c r="I18844" s="82"/>
      <c r="M18844" s="85"/>
    </row>
    <row r="18845" spans="9:13" x14ac:dyDescent="0.3">
      <c r="I18845" s="82"/>
      <c r="M18845" s="85"/>
    </row>
    <row r="18846" spans="9:13" x14ac:dyDescent="0.3">
      <c r="I18846" s="82"/>
      <c r="M18846" s="85"/>
    </row>
    <row r="18847" spans="9:13" x14ac:dyDescent="0.3">
      <c r="I18847" s="82"/>
      <c r="M18847" s="85"/>
    </row>
    <row r="18848" spans="9:13" x14ac:dyDescent="0.3">
      <c r="I18848" s="82"/>
      <c r="M18848" s="85"/>
    </row>
    <row r="18849" spans="9:13" x14ac:dyDescent="0.3">
      <c r="I18849" s="82"/>
      <c r="M18849" s="85"/>
    </row>
    <row r="18850" spans="9:13" x14ac:dyDescent="0.3">
      <c r="I18850" s="82"/>
      <c r="M18850" s="85"/>
    </row>
    <row r="18851" spans="9:13" x14ac:dyDescent="0.3">
      <c r="I18851" s="82"/>
      <c r="M18851" s="85"/>
    </row>
    <row r="18852" spans="9:13" x14ac:dyDescent="0.3">
      <c r="I18852" s="82"/>
      <c r="M18852" s="85"/>
    </row>
    <row r="18853" spans="9:13" x14ac:dyDescent="0.3">
      <c r="I18853" s="82"/>
      <c r="M18853" s="85"/>
    </row>
    <row r="18854" spans="9:13" x14ac:dyDescent="0.3">
      <c r="I18854" s="82"/>
      <c r="M18854" s="85"/>
    </row>
    <row r="18855" spans="9:13" x14ac:dyDescent="0.3">
      <c r="I18855" s="82"/>
      <c r="M18855" s="85"/>
    </row>
    <row r="18856" spans="9:13" x14ac:dyDescent="0.3">
      <c r="I18856" s="82"/>
      <c r="M18856" s="85"/>
    </row>
    <row r="18857" spans="9:13" x14ac:dyDescent="0.3">
      <c r="I18857" s="82"/>
      <c r="M18857" s="85"/>
    </row>
    <row r="18858" spans="9:13" x14ac:dyDescent="0.3">
      <c r="I18858" s="82"/>
      <c r="M18858" s="85"/>
    </row>
    <row r="18859" spans="9:13" x14ac:dyDescent="0.3">
      <c r="I18859" s="82"/>
      <c r="M18859" s="85"/>
    </row>
    <row r="18860" spans="9:13" x14ac:dyDescent="0.3">
      <c r="I18860" s="82"/>
      <c r="M18860" s="85"/>
    </row>
    <row r="18861" spans="9:13" x14ac:dyDescent="0.3">
      <c r="I18861" s="82"/>
      <c r="M18861" s="85"/>
    </row>
    <row r="18862" spans="9:13" x14ac:dyDescent="0.3">
      <c r="I18862" s="82"/>
      <c r="M18862" s="85"/>
    </row>
    <row r="18863" spans="9:13" x14ac:dyDescent="0.3">
      <c r="I18863" s="82"/>
      <c r="M18863" s="85"/>
    </row>
    <row r="18864" spans="9:13" x14ac:dyDescent="0.3">
      <c r="I18864" s="82"/>
      <c r="M18864" s="85"/>
    </row>
    <row r="18865" spans="9:13" x14ac:dyDescent="0.3">
      <c r="I18865" s="82"/>
      <c r="M18865" s="85"/>
    </row>
    <row r="18866" spans="9:13" x14ac:dyDescent="0.3">
      <c r="I18866" s="82"/>
      <c r="M18866" s="85"/>
    </row>
    <row r="18867" spans="9:13" x14ac:dyDescent="0.3">
      <c r="I18867" s="82"/>
      <c r="M18867" s="85"/>
    </row>
    <row r="18868" spans="9:13" x14ac:dyDescent="0.3">
      <c r="I18868" s="82"/>
      <c r="M18868" s="85"/>
    </row>
    <row r="18869" spans="9:13" x14ac:dyDescent="0.3">
      <c r="I18869" s="82"/>
      <c r="M18869" s="85"/>
    </row>
    <row r="18870" spans="9:13" x14ac:dyDescent="0.3">
      <c r="I18870" s="82"/>
      <c r="M18870" s="85"/>
    </row>
    <row r="18871" spans="9:13" x14ac:dyDescent="0.3">
      <c r="I18871" s="82"/>
      <c r="M18871" s="85"/>
    </row>
    <row r="18872" spans="9:13" x14ac:dyDescent="0.3">
      <c r="I18872" s="82"/>
      <c r="M18872" s="85"/>
    </row>
    <row r="18873" spans="9:13" x14ac:dyDescent="0.3">
      <c r="I18873" s="82"/>
      <c r="M18873" s="85"/>
    </row>
    <row r="18874" spans="9:13" x14ac:dyDescent="0.3">
      <c r="I18874" s="82"/>
      <c r="M18874" s="85"/>
    </row>
    <row r="18875" spans="9:13" x14ac:dyDescent="0.3">
      <c r="I18875" s="82"/>
      <c r="M18875" s="85"/>
    </row>
    <row r="18876" spans="9:13" x14ac:dyDescent="0.3">
      <c r="I18876" s="82"/>
      <c r="M18876" s="85"/>
    </row>
    <row r="18877" spans="9:13" x14ac:dyDescent="0.3">
      <c r="I18877" s="82"/>
      <c r="M18877" s="85"/>
    </row>
    <row r="18878" spans="9:13" x14ac:dyDescent="0.3">
      <c r="I18878" s="82"/>
      <c r="M18878" s="85"/>
    </row>
    <row r="18879" spans="9:13" x14ac:dyDescent="0.3">
      <c r="I18879" s="82"/>
      <c r="M18879" s="85"/>
    </row>
    <row r="18880" spans="9:13" x14ac:dyDescent="0.3">
      <c r="I18880" s="82"/>
      <c r="M18880" s="85"/>
    </row>
    <row r="18881" spans="9:13" x14ac:dyDescent="0.3">
      <c r="I18881" s="82"/>
      <c r="M18881" s="85"/>
    </row>
    <row r="18882" spans="9:13" x14ac:dyDescent="0.3">
      <c r="I18882" s="82"/>
      <c r="M18882" s="85"/>
    </row>
    <row r="18883" spans="9:13" x14ac:dyDescent="0.3">
      <c r="I18883" s="82"/>
      <c r="M18883" s="85"/>
    </row>
    <row r="18884" spans="9:13" x14ac:dyDescent="0.3">
      <c r="I18884" s="82"/>
      <c r="M18884" s="85"/>
    </row>
    <row r="18885" spans="9:13" x14ac:dyDescent="0.3">
      <c r="I18885" s="82"/>
      <c r="M18885" s="85"/>
    </row>
    <row r="18886" spans="9:13" x14ac:dyDescent="0.3">
      <c r="I18886" s="82"/>
      <c r="M18886" s="85"/>
    </row>
    <row r="18887" spans="9:13" x14ac:dyDescent="0.3">
      <c r="I18887" s="82"/>
      <c r="M18887" s="85"/>
    </row>
    <row r="18888" spans="9:13" x14ac:dyDescent="0.3">
      <c r="I18888" s="82"/>
      <c r="M18888" s="85"/>
    </row>
    <row r="18889" spans="9:13" x14ac:dyDescent="0.3">
      <c r="I18889" s="82"/>
      <c r="M18889" s="85"/>
    </row>
    <row r="18890" spans="9:13" x14ac:dyDescent="0.3">
      <c r="I18890" s="82"/>
      <c r="M18890" s="85"/>
    </row>
    <row r="18891" spans="9:13" x14ac:dyDescent="0.3">
      <c r="I18891" s="82"/>
      <c r="M18891" s="85"/>
    </row>
    <row r="18892" spans="9:13" x14ac:dyDescent="0.3">
      <c r="I18892" s="82"/>
      <c r="M18892" s="85"/>
    </row>
    <row r="18893" spans="9:13" x14ac:dyDescent="0.3">
      <c r="I18893" s="82"/>
      <c r="M18893" s="85"/>
    </row>
    <row r="18894" spans="9:13" x14ac:dyDescent="0.3">
      <c r="I18894" s="82"/>
      <c r="M18894" s="85"/>
    </row>
    <row r="18895" spans="9:13" x14ac:dyDescent="0.3">
      <c r="I18895" s="82"/>
      <c r="M18895" s="85"/>
    </row>
    <row r="18896" spans="9:13" x14ac:dyDescent="0.3">
      <c r="I18896" s="82"/>
      <c r="M18896" s="85"/>
    </row>
    <row r="18897" spans="9:13" x14ac:dyDescent="0.3">
      <c r="I18897" s="82"/>
      <c r="M18897" s="85"/>
    </row>
    <row r="18898" spans="9:13" x14ac:dyDescent="0.3">
      <c r="I18898" s="82"/>
      <c r="M18898" s="85"/>
    </row>
    <row r="18899" spans="9:13" x14ac:dyDescent="0.3">
      <c r="I18899" s="82"/>
      <c r="M18899" s="85"/>
    </row>
    <row r="18900" spans="9:13" x14ac:dyDescent="0.3">
      <c r="I18900" s="82"/>
      <c r="M18900" s="85"/>
    </row>
    <row r="18901" spans="9:13" x14ac:dyDescent="0.3">
      <c r="I18901" s="82"/>
      <c r="M18901" s="85"/>
    </row>
    <row r="18902" spans="9:13" x14ac:dyDescent="0.3">
      <c r="I18902" s="82"/>
      <c r="M18902" s="85"/>
    </row>
    <row r="18903" spans="9:13" x14ac:dyDescent="0.3">
      <c r="I18903" s="82"/>
      <c r="M18903" s="85"/>
    </row>
    <row r="18904" spans="9:13" x14ac:dyDescent="0.3">
      <c r="I18904" s="82"/>
      <c r="M18904" s="85"/>
    </row>
    <row r="18905" spans="9:13" x14ac:dyDescent="0.3">
      <c r="I18905" s="82"/>
      <c r="M18905" s="85"/>
    </row>
    <row r="18906" spans="9:13" x14ac:dyDescent="0.3">
      <c r="I18906" s="82"/>
      <c r="M18906" s="85"/>
    </row>
    <row r="18907" spans="9:13" x14ac:dyDescent="0.3">
      <c r="I18907" s="82"/>
      <c r="M18907" s="85"/>
    </row>
    <row r="18908" spans="9:13" x14ac:dyDescent="0.3">
      <c r="I18908" s="82"/>
      <c r="M18908" s="85"/>
    </row>
    <row r="18909" spans="9:13" x14ac:dyDescent="0.3">
      <c r="I18909" s="82"/>
      <c r="M18909" s="85"/>
    </row>
    <row r="18910" spans="9:13" x14ac:dyDescent="0.3">
      <c r="I18910" s="82"/>
      <c r="M18910" s="85"/>
    </row>
    <row r="18911" spans="9:13" x14ac:dyDescent="0.3">
      <c r="I18911" s="82"/>
      <c r="M18911" s="85"/>
    </row>
    <row r="18912" spans="9:13" x14ac:dyDescent="0.3">
      <c r="I18912" s="82"/>
      <c r="M18912" s="85"/>
    </row>
    <row r="18913" spans="9:13" x14ac:dyDescent="0.3">
      <c r="I18913" s="82"/>
      <c r="M18913" s="85"/>
    </row>
    <row r="18914" spans="9:13" x14ac:dyDescent="0.3">
      <c r="I18914" s="82"/>
      <c r="M18914" s="85"/>
    </row>
    <row r="18915" spans="9:13" x14ac:dyDescent="0.3">
      <c r="I18915" s="82"/>
      <c r="M18915" s="85"/>
    </row>
    <row r="18916" spans="9:13" x14ac:dyDescent="0.3">
      <c r="I18916" s="82"/>
      <c r="M18916" s="85"/>
    </row>
    <row r="18917" spans="9:13" x14ac:dyDescent="0.3">
      <c r="I18917" s="82"/>
      <c r="M18917" s="85"/>
    </row>
    <row r="18918" spans="9:13" x14ac:dyDescent="0.3">
      <c r="I18918" s="82"/>
      <c r="M18918" s="85"/>
    </row>
    <row r="18919" spans="9:13" x14ac:dyDescent="0.3">
      <c r="I18919" s="82"/>
      <c r="M18919" s="85"/>
    </row>
    <row r="18920" spans="9:13" x14ac:dyDescent="0.3">
      <c r="I18920" s="82"/>
      <c r="M18920" s="85"/>
    </row>
    <row r="18921" spans="9:13" x14ac:dyDescent="0.3">
      <c r="I18921" s="82"/>
      <c r="M18921" s="85"/>
    </row>
    <row r="18922" spans="9:13" x14ac:dyDescent="0.3">
      <c r="I18922" s="82"/>
      <c r="M18922" s="85"/>
    </row>
    <row r="18923" spans="9:13" x14ac:dyDescent="0.3">
      <c r="I18923" s="82"/>
      <c r="M18923" s="85"/>
    </row>
    <row r="18924" spans="9:13" x14ac:dyDescent="0.3">
      <c r="I18924" s="82"/>
      <c r="M18924" s="85"/>
    </row>
    <row r="18925" spans="9:13" x14ac:dyDescent="0.3">
      <c r="I18925" s="82"/>
      <c r="M18925" s="85"/>
    </row>
    <row r="18926" spans="9:13" x14ac:dyDescent="0.3">
      <c r="I18926" s="82"/>
      <c r="M18926" s="85"/>
    </row>
    <row r="18927" spans="9:13" x14ac:dyDescent="0.3">
      <c r="I18927" s="82"/>
      <c r="M18927" s="85"/>
    </row>
    <row r="18928" spans="9:13" x14ac:dyDescent="0.3">
      <c r="I18928" s="82"/>
      <c r="M18928" s="85"/>
    </row>
    <row r="18929" spans="9:13" x14ac:dyDescent="0.3">
      <c r="I18929" s="82"/>
      <c r="M18929" s="85"/>
    </row>
    <row r="18930" spans="9:13" x14ac:dyDescent="0.3">
      <c r="I18930" s="82"/>
      <c r="M18930" s="85"/>
    </row>
    <row r="18931" spans="9:13" x14ac:dyDescent="0.3">
      <c r="I18931" s="82"/>
      <c r="M18931" s="85"/>
    </row>
    <row r="18932" spans="9:13" x14ac:dyDescent="0.3">
      <c r="I18932" s="82"/>
      <c r="M18932" s="85"/>
    </row>
    <row r="18933" spans="9:13" x14ac:dyDescent="0.3">
      <c r="I18933" s="82"/>
      <c r="M18933" s="85"/>
    </row>
    <row r="18934" spans="9:13" x14ac:dyDescent="0.3">
      <c r="I18934" s="82"/>
      <c r="M18934" s="85"/>
    </row>
    <row r="18935" spans="9:13" x14ac:dyDescent="0.3">
      <c r="I18935" s="82"/>
      <c r="M18935" s="85"/>
    </row>
    <row r="18936" spans="9:13" x14ac:dyDescent="0.3">
      <c r="I18936" s="82"/>
      <c r="M18936" s="85"/>
    </row>
    <row r="18937" spans="9:13" x14ac:dyDescent="0.3">
      <c r="I18937" s="82"/>
      <c r="M18937" s="85"/>
    </row>
    <row r="18938" spans="9:13" x14ac:dyDescent="0.3">
      <c r="I18938" s="82"/>
      <c r="M18938" s="85"/>
    </row>
    <row r="18939" spans="9:13" x14ac:dyDescent="0.3">
      <c r="I18939" s="82"/>
      <c r="M18939" s="85"/>
    </row>
    <row r="18940" spans="9:13" x14ac:dyDescent="0.3">
      <c r="I18940" s="82"/>
      <c r="M18940" s="85"/>
    </row>
    <row r="18941" spans="9:13" x14ac:dyDescent="0.3">
      <c r="I18941" s="82"/>
      <c r="M18941" s="85"/>
    </row>
    <row r="18942" spans="9:13" x14ac:dyDescent="0.3">
      <c r="I18942" s="82"/>
      <c r="M18942" s="85"/>
    </row>
    <row r="18943" spans="9:13" x14ac:dyDescent="0.3">
      <c r="I18943" s="82"/>
      <c r="M18943" s="85"/>
    </row>
    <row r="18944" spans="9:13" x14ac:dyDescent="0.3">
      <c r="I18944" s="82"/>
      <c r="M18944" s="85"/>
    </row>
    <row r="18945" spans="9:13" x14ac:dyDescent="0.3">
      <c r="I18945" s="82"/>
      <c r="M18945" s="85"/>
    </row>
    <row r="18946" spans="9:13" x14ac:dyDescent="0.3">
      <c r="I18946" s="82"/>
      <c r="M18946" s="85"/>
    </row>
    <row r="18947" spans="9:13" x14ac:dyDescent="0.3">
      <c r="I18947" s="82"/>
      <c r="M18947" s="85"/>
    </row>
    <row r="18948" spans="9:13" x14ac:dyDescent="0.3">
      <c r="I18948" s="82"/>
      <c r="M18948" s="85"/>
    </row>
    <row r="18949" spans="9:13" x14ac:dyDescent="0.3">
      <c r="I18949" s="82"/>
      <c r="M18949" s="85"/>
    </row>
    <row r="18950" spans="9:13" x14ac:dyDescent="0.3">
      <c r="I18950" s="82"/>
      <c r="M18950" s="85"/>
    </row>
    <row r="18951" spans="9:13" x14ac:dyDescent="0.3">
      <c r="I18951" s="82"/>
      <c r="M18951" s="85"/>
    </row>
    <row r="18952" spans="9:13" x14ac:dyDescent="0.3">
      <c r="I18952" s="82"/>
      <c r="M18952" s="85"/>
    </row>
    <row r="18953" spans="9:13" x14ac:dyDescent="0.3">
      <c r="I18953" s="82"/>
      <c r="M18953" s="85"/>
    </row>
    <row r="18954" spans="9:13" x14ac:dyDescent="0.3">
      <c r="I18954" s="82"/>
      <c r="M18954" s="85"/>
    </row>
    <row r="18955" spans="9:13" x14ac:dyDescent="0.3">
      <c r="I18955" s="82"/>
      <c r="M18955" s="85"/>
    </row>
    <row r="18956" spans="9:13" x14ac:dyDescent="0.3">
      <c r="I18956" s="82"/>
      <c r="M18956" s="85"/>
    </row>
    <row r="18957" spans="9:13" x14ac:dyDescent="0.3">
      <c r="I18957" s="82"/>
      <c r="M18957" s="85"/>
    </row>
    <row r="18958" spans="9:13" x14ac:dyDescent="0.3">
      <c r="I18958" s="82"/>
      <c r="M18958" s="85"/>
    </row>
    <row r="18959" spans="9:13" x14ac:dyDescent="0.3">
      <c r="I18959" s="82"/>
      <c r="M18959" s="85"/>
    </row>
    <row r="18960" spans="9:13" x14ac:dyDescent="0.3">
      <c r="I18960" s="82"/>
      <c r="M18960" s="85"/>
    </row>
    <row r="18961" spans="9:13" x14ac:dyDescent="0.3">
      <c r="I18961" s="82"/>
      <c r="M18961" s="85"/>
    </row>
    <row r="18962" spans="9:13" x14ac:dyDescent="0.3">
      <c r="I18962" s="82"/>
      <c r="M18962" s="85"/>
    </row>
    <row r="18963" spans="9:13" x14ac:dyDescent="0.3">
      <c r="I18963" s="82"/>
      <c r="M18963" s="85"/>
    </row>
    <row r="18964" spans="9:13" x14ac:dyDescent="0.3">
      <c r="I18964" s="82"/>
      <c r="M18964" s="85"/>
    </row>
    <row r="18965" spans="9:13" x14ac:dyDescent="0.3">
      <c r="I18965" s="82"/>
      <c r="M18965" s="85"/>
    </row>
    <row r="18966" spans="9:13" x14ac:dyDescent="0.3">
      <c r="I18966" s="82"/>
      <c r="M18966" s="85"/>
    </row>
    <row r="18967" spans="9:13" x14ac:dyDescent="0.3">
      <c r="I18967" s="82"/>
      <c r="M18967" s="85"/>
    </row>
    <row r="18968" spans="9:13" x14ac:dyDescent="0.3">
      <c r="I18968" s="82"/>
      <c r="M18968" s="85"/>
    </row>
    <row r="18969" spans="9:13" x14ac:dyDescent="0.3">
      <c r="I18969" s="82"/>
      <c r="M18969" s="85"/>
    </row>
    <row r="18970" spans="9:13" x14ac:dyDescent="0.3">
      <c r="I18970" s="82"/>
      <c r="M18970" s="85"/>
    </row>
    <row r="18971" spans="9:13" x14ac:dyDescent="0.3">
      <c r="I18971" s="82"/>
      <c r="M18971" s="85"/>
    </row>
    <row r="18972" spans="9:13" x14ac:dyDescent="0.3">
      <c r="I18972" s="82"/>
      <c r="M18972" s="85"/>
    </row>
    <row r="18973" spans="9:13" x14ac:dyDescent="0.3">
      <c r="I18973" s="82"/>
      <c r="M18973" s="85"/>
    </row>
    <row r="18974" spans="9:13" x14ac:dyDescent="0.3">
      <c r="I18974" s="82"/>
      <c r="M18974" s="85"/>
    </row>
    <row r="18975" spans="9:13" x14ac:dyDescent="0.3">
      <c r="I18975" s="82"/>
      <c r="M18975" s="85"/>
    </row>
    <row r="18976" spans="9:13" x14ac:dyDescent="0.3">
      <c r="I18976" s="82"/>
      <c r="M18976" s="85"/>
    </row>
    <row r="18977" spans="9:13" x14ac:dyDescent="0.3">
      <c r="I18977" s="82"/>
      <c r="M18977" s="85"/>
    </row>
    <row r="18978" spans="9:13" x14ac:dyDescent="0.3">
      <c r="I18978" s="82"/>
      <c r="M18978" s="85"/>
    </row>
    <row r="18979" spans="9:13" x14ac:dyDescent="0.3">
      <c r="I18979" s="82"/>
      <c r="M18979" s="85"/>
    </row>
    <row r="18980" spans="9:13" x14ac:dyDescent="0.3">
      <c r="I18980" s="82"/>
      <c r="M18980" s="85"/>
    </row>
    <row r="18981" spans="9:13" x14ac:dyDescent="0.3">
      <c r="I18981" s="82"/>
      <c r="M18981" s="85"/>
    </row>
    <row r="18982" spans="9:13" x14ac:dyDescent="0.3">
      <c r="I18982" s="82"/>
      <c r="M18982" s="85"/>
    </row>
    <row r="18983" spans="9:13" x14ac:dyDescent="0.3">
      <c r="I18983" s="82"/>
      <c r="M18983" s="85"/>
    </row>
    <row r="18984" spans="9:13" x14ac:dyDescent="0.3">
      <c r="I18984" s="82"/>
      <c r="M18984" s="85"/>
    </row>
    <row r="18985" spans="9:13" x14ac:dyDescent="0.3">
      <c r="I18985" s="82"/>
      <c r="M18985" s="85"/>
    </row>
    <row r="18986" spans="9:13" x14ac:dyDescent="0.3">
      <c r="I18986" s="82"/>
      <c r="M18986" s="85"/>
    </row>
    <row r="18987" spans="9:13" x14ac:dyDescent="0.3">
      <c r="I18987" s="82"/>
      <c r="M18987" s="85"/>
    </row>
    <row r="18988" spans="9:13" x14ac:dyDescent="0.3">
      <c r="I18988" s="82"/>
      <c r="M18988" s="85"/>
    </row>
    <row r="18989" spans="9:13" x14ac:dyDescent="0.3">
      <c r="I18989" s="82"/>
      <c r="M18989" s="85"/>
    </row>
    <row r="18990" spans="9:13" x14ac:dyDescent="0.3">
      <c r="I18990" s="82"/>
      <c r="M18990" s="85"/>
    </row>
    <row r="18991" spans="9:13" x14ac:dyDescent="0.3">
      <c r="I18991" s="82"/>
      <c r="M18991" s="85"/>
    </row>
    <row r="18992" spans="9:13" x14ac:dyDescent="0.3">
      <c r="I18992" s="82"/>
      <c r="M18992" s="85"/>
    </row>
    <row r="18993" spans="9:13" x14ac:dyDescent="0.3">
      <c r="I18993" s="82"/>
      <c r="M18993" s="85"/>
    </row>
    <row r="18994" spans="9:13" x14ac:dyDescent="0.3">
      <c r="I18994" s="82"/>
      <c r="M18994" s="85"/>
    </row>
    <row r="18995" spans="9:13" x14ac:dyDescent="0.3">
      <c r="I18995" s="82"/>
      <c r="M18995" s="85"/>
    </row>
    <row r="18996" spans="9:13" x14ac:dyDescent="0.3">
      <c r="I18996" s="82"/>
      <c r="M18996" s="85"/>
    </row>
    <row r="18997" spans="9:13" x14ac:dyDescent="0.3">
      <c r="I18997" s="82"/>
      <c r="M18997" s="85"/>
    </row>
    <row r="18998" spans="9:13" x14ac:dyDescent="0.3">
      <c r="I18998" s="82"/>
      <c r="M18998" s="85"/>
    </row>
    <row r="18999" spans="9:13" x14ac:dyDescent="0.3">
      <c r="I18999" s="82"/>
      <c r="M18999" s="85"/>
    </row>
    <row r="19000" spans="9:13" x14ac:dyDescent="0.3">
      <c r="I19000" s="82"/>
      <c r="M19000" s="85"/>
    </row>
    <row r="19001" spans="9:13" x14ac:dyDescent="0.3">
      <c r="I19001" s="82"/>
      <c r="M19001" s="85"/>
    </row>
    <row r="19002" spans="9:13" x14ac:dyDescent="0.3">
      <c r="I19002" s="82"/>
      <c r="M19002" s="85"/>
    </row>
    <row r="19003" spans="9:13" x14ac:dyDescent="0.3">
      <c r="I19003" s="82"/>
      <c r="M19003" s="85"/>
    </row>
    <row r="19004" spans="9:13" x14ac:dyDescent="0.3">
      <c r="I19004" s="82"/>
      <c r="M19004" s="85"/>
    </row>
    <row r="19005" spans="9:13" x14ac:dyDescent="0.3">
      <c r="I19005" s="82"/>
      <c r="M19005" s="85"/>
    </row>
    <row r="19006" spans="9:13" x14ac:dyDescent="0.3">
      <c r="I19006" s="82"/>
      <c r="M19006" s="85"/>
    </row>
    <row r="19007" spans="9:13" x14ac:dyDescent="0.3">
      <c r="I19007" s="82"/>
      <c r="M19007" s="85"/>
    </row>
    <row r="19008" spans="9:13" x14ac:dyDescent="0.3">
      <c r="I19008" s="82"/>
      <c r="M19008" s="85"/>
    </row>
    <row r="19009" spans="9:13" x14ac:dyDescent="0.3">
      <c r="I19009" s="82"/>
      <c r="M19009" s="85"/>
    </row>
    <row r="19010" spans="9:13" x14ac:dyDescent="0.3">
      <c r="I19010" s="82"/>
      <c r="M19010" s="85"/>
    </row>
    <row r="19011" spans="9:13" x14ac:dyDescent="0.3">
      <c r="I19011" s="82"/>
      <c r="M19011" s="85"/>
    </row>
    <row r="19012" spans="9:13" x14ac:dyDescent="0.3">
      <c r="I19012" s="82"/>
      <c r="M19012" s="85"/>
    </row>
    <row r="19013" spans="9:13" x14ac:dyDescent="0.3">
      <c r="I19013" s="82"/>
      <c r="M19013" s="85"/>
    </row>
    <row r="19014" spans="9:13" x14ac:dyDescent="0.3">
      <c r="I19014" s="82"/>
      <c r="M19014" s="85"/>
    </row>
    <row r="19015" spans="9:13" x14ac:dyDescent="0.3">
      <c r="I19015" s="82"/>
      <c r="M19015" s="85"/>
    </row>
    <row r="19016" spans="9:13" x14ac:dyDescent="0.3">
      <c r="I19016" s="82"/>
      <c r="M19016" s="85"/>
    </row>
    <row r="19017" spans="9:13" x14ac:dyDescent="0.3">
      <c r="I19017" s="82"/>
      <c r="M19017" s="85"/>
    </row>
    <row r="19018" spans="9:13" x14ac:dyDescent="0.3">
      <c r="I19018" s="82"/>
      <c r="M19018" s="85"/>
    </row>
    <row r="19019" spans="9:13" x14ac:dyDescent="0.3">
      <c r="I19019" s="82"/>
      <c r="M19019" s="85"/>
    </row>
    <row r="19020" spans="9:13" x14ac:dyDescent="0.3">
      <c r="I19020" s="82"/>
      <c r="M19020" s="85"/>
    </row>
    <row r="19021" spans="9:13" x14ac:dyDescent="0.3">
      <c r="I19021" s="82"/>
      <c r="M19021" s="85"/>
    </row>
    <row r="19022" spans="9:13" x14ac:dyDescent="0.3">
      <c r="I19022" s="82"/>
      <c r="M19022" s="85"/>
    </row>
    <row r="19023" spans="9:13" x14ac:dyDescent="0.3">
      <c r="I19023" s="82"/>
      <c r="M19023" s="85"/>
    </row>
    <row r="19024" spans="9:13" x14ac:dyDescent="0.3">
      <c r="I19024" s="82"/>
      <c r="M19024" s="85"/>
    </row>
    <row r="19025" spans="9:13" x14ac:dyDescent="0.3">
      <c r="I19025" s="82"/>
      <c r="M19025" s="85"/>
    </row>
    <row r="19026" spans="9:13" x14ac:dyDescent="0.3">
      <c r="I19026" s="82"/>
      <c r="M19026" s="85"/>
    </row>
    <row r="19027" spans="9:13" x14ac:dyDescent="0.3">
      <c r="I19027" s="82"/>
      <c r="M19027" s="85"/>
    </row>
    <row r="19028" spans="9:13" x14ac:dyDescent="0.3">
      <c r="I19028" s="82"/>
      <c r="M19028" s="85"/>
    </row>
    <row r="19029" spans="9:13" x14ac:dyDescent="0.3">
      <c r="I19029" s="82"/>
      <c r="M19029" s="85"/>
    </row>
    <row r="19030" spans="9:13" x14ac:dyDescent="0.3">
      <c r="I19030" s="82"/>
      <c r="M19030" s="85"/>
    </row>
    <row r="19031" spans="9:13" x14ac:dyDescent="0.3">
      <c r="I19031" s="82"/>
      <c r="M19031" s="85"/>
    </row>
    <row r="19032" spans="9:13" x14ac:dyDescent="0.3">
      <c r="I19032" s="82"/>
      <c r="M19032" s="85"/>
    </row>
    <row r="19033" spans="9:13" x14ac:dyDescent="0.3">
      <c r="I19033" s="82"/>
      <c r="M19033" s="85"/>
    </row>
    <row r="19034" spans="9:13" x14ac:dyDescent="0.3">
      <c r="I19034" s="82"/>
      <c r="M19034" s="85"/>
    </row>
    <row r="19035" spans="9:13" x14ac:dyDescent="0.3">
      <c r="I19035" s="82"/>
      <c r="M19035" s="85"/>
    </row>
    <row r="19036" spans="9:13" x14ac:dyDescent="0.3">
      <c r="I19036" s="82"/>
      <c r="M19036" s="85"/>
    </row>
    <row r="19037" spans="9:13" x14ac:dyDescent="0.3">
      <c r="I19037" s="82"/>
      <c r="M19037" s="85"/>
    </row>
    <row r="19038" spans="9:13" x14ac:dyDescent="0.3">
      <c r="I19038" s="82"/>
      <c r="M19038" s="85"/>
    </row>
    <row r="19039" spans="9:13" x14ac:dyDescent="0.3">
      <c r="I19039" s="82"/>
      <c r="M19039" s="85"/>
    </row>
    <row r="19040" spans="9:13" x14ac:dyDescent="0.3">
      <c r="I19040" s="82"/>
      <c r="M19040" s="85"/>
    </row>
    <row r="19041" spans="9:13" x14ac:dyDescent="0.3">
      <c r="I19041" s="82"/>
      <c r="M19041" s="85"/>
    </row>
    <row r="19042" spans="9:13" x14ac:dyDescent="0.3">
      <c r="I19042" s="82"/>
      <c r="M19042" s="85"/>
    </row>
    <row r="19043" spans="9:13" x14ac:dyDescent="0.3">
      <c r="I19043" s="82"/>
      <c r="M19043" s="85"/>
    </row>
    <row r="19044" spans="9:13" x14ac:dyDescent="0.3">
      <c r="I19044" s="82"/>
      <c r="M19044" s="85"/>
    </row>
    <row r="19045" spans="9:13" x14ac:dyDescent="0.3">
      <c r="I19045" s="82"/>
      <c r="M19045" s="85"/>
    </row>
    <row r="19046" spans="9:13" x14ac:dyDescent="0.3">
      <c r="I19046" s="82"/>
      <c r="M19046" s="85"/>
    </row>
    <row r="19047" spans="9:13" x14ac:dyDescent="0.3">
      <c r="I19047" s="82"/>
      <c r="M19047" s="85"/>
    </row>
    <row r="19048" spans="9:13" x14ac:dyDescent="0.3">
      <c r="I19048" s="82"/>
      <c r="M19048" s="85"/>
    </row>
    <row r="19049" spans="9:13" x14ac:dyDescent="0.3">
      <c r="I19049" s="82"/>
      <c r="M19049" s="85"/>
    </row>
    <row r="19050" spans="9:13" x14ac:dyDescent="0.3">
      <c r="I19050" s="82"/>
      <c r="M19050" s="85"/>
    </row>
    <row r="19051" spans="9:13" x14ac:dyDescent="0.3">
      <c r="I19051" s="82"/>
      <c r="M19051" s="85"/>
    </row>
    <row r="19052" spans="9:13" x14ac:dyDescent="0.3">
      <c r="I19052" s="82"/>
      <c r="M19052" s="85"/>
    </row>
    <row r="19053" spans="9:13" x14ac:dyDescent="0.3">
      <c r="I19053" s="82"/>
      <c r="M19053" s="85"/>
    </row>
    <row r="19054" spans="9:13" x14ac:dyDescent="0.3">
      <c r="I19054" s="82"/>
      <c r="M19054" s="85"/>
    </row>
    <row r="19055" spans="9:13" x14ac:dyDescent="0.3">
      <c r="I19055" s="82"/>
      <c r="M19055" s="85"/>
    </row>
    <row r="19056" spans="9:13" x14ac:dyDescent="0.3">
      <c r="I19056" s="82"/>
      <c r="M19056" s="85"/>
    </row>
    <row r="19057" spans="9:13" x14ac:dyDescent="0.3">
      <c r="I19057" s="82"/>
      <c r="M19057" s="85"/>
    </row>
    <row r="19058" spans="9:13" x14ac:dyDescent="0.3">
      <c r="I19058" s="82"/>
      <c r="M19058" s="85"/>
    </row>
    <row r="19059" spans="9:13" x14ac:dyDescent="0.3">
      <c r="I19059" s="82"/>
      <c r="M19059" s="85"/>
    </row>
    <row r="19060" spans="9:13" x14ac:dyDescent="0.3">
      <c r="I19060" s="82"/>
      <c r="M19060" s="85"/>
    </row>
    <row r="19061" spans="9:13" x14ac:dyDescent="0.3">
      <c r="I19061" s="82"/>
      <c r="M19061" s="85"/>
    </row>
    <row r="19062" spans="9:13" x14ac:dyDescent="0.3">
      <c r="I19062" s="82"/>
      <c r="M19062" s="85"/>
    </row>
    <row r="19063" spans="9:13" x14ac:dyDescent="0.3">
      <c r="I19063" s="82"/>
      <c r="M19063" s="85"/>
    </row>
    <row r="19064" spans="9:13" x14ac:dyDescent="0.3">
      <c r="I19064" s="82"/>
      <c r="M19064" s="85"/>
    </row>
    <row r="19065" spans="9:13" x14ac:dyDescent="0.3">
      <c r="I19065" s="82"/>
      <c r="M19065" s="85"/>
    </row>
    <row r="19066" spans="9:13" x14ac:dyDescent="0.3">
      <c r="I19066" s="82"/>
      <c r="M19066" s="85"/>
    </row>
    <row r="19067" spans="9:13" x14ac:dyDescent="0.3">
      <c r="I19067" s="82"/>
      <c r="M19067" s="85"/>
    </row>
    <row r="19068" spans="9:13" x14ac:dyDescent="0.3">
      <c r="I19068" s="82"/>
      <c r="M19068" s="85"/>
    </row>
    <row r="19069" spans="9:13" x14ac:dyDescent="0.3">
      <c r="I19069" s="82"/>
      <c r="M19069" s="85"/>
    </row>
    <row r="19070" spans="9:13" x14ac:dyDescent="0.3">
      <c r="I19070" s="82"/>
      <c r="M19070" s="85"/>
    </row>
    <row r="19071" spans="9:13" x14ac:dyDescent="0.3">
      <c r="I19071" s="82"/>
      <c r="M19071" s="85"/>
    </row>
    <row r="19072" spans="9:13" x14ac:dyDescent="0.3">
      <c r="I19072" s="82"/>
      <c r="M19072" s="85"/>
    </row>
    <row r="19073" spans="9:13" x14ac:dyDescent="0.3">
      <c r="I19073" s="82"/>
      <c r="M19073" s="85"/>
    </row>
    <row r="19074" spans="9:13" x14ac:dyDescent="0.3">
      <c r="I19074" s="82"/>
      <c r="M19074" s="85"/>
    </row>
    <row r="19075" spans="9:13" x14ac:dyDescent="0.3">
      <c r="I19075" s="82"/>
      <c r="M19075" s="85"/>
    </row>
    <row r="19076" spans="9:13" x14ac:dyDescent="0.3">
      <c r="I19076" s="82"/>
      <c r="M19076" s="85"/>
    </row>
    <row r="19077" spans="9:13" x14ac:dyDescent="0.3">
      <c r="I19077" s="82"/>
      <c r="M19077" s="85"/>
    </row>
    <row r="19078" spans="9:13" x14ac:dyDescent="0.3">
      <c r="I19078" s="82"/>
      <c r="M19078" s="85"/>
    </row>
    <row r="19079" spans="9:13" x14ac:dyDescent="0.3">
      <c r="I19079" s="82"/>
      <c r="M19079" s="85"/>
    </row>
    <row r="19080" spans="9:13" x14ac:dyDescent="0.3">
      <c r="I19080" s="82"/>
      <c r="M19080" s="85"/>
    </row>
    <row r="19081" spans="9:13" x14ac:dyDescent="0.3">
      <c r="I19081" s="82"/>
      <c r="M19081" s="85"/>
    </row>
    <row r="19082" spans="9:13" x14ac:dyDescent="0.3">
      <c r="I19082" s="82"/>
      <c r="M19082" s="85"/>
    </row>
    <row r="19083" spans="9:13" x14ac:dyDescent="0.3">
      <c r="I19083" s="82"/>
      <c r="M19083" s="85"/>
    </row>
    <row r="19084" spans="9:13" x14ac:dyDescent="0.3">
      <c r="I19084" s="82"/>
      <c r="M19084" s="85"/>
    </row>
    <row r="19085" spans="9:13" x14ac:dyDescent="0.3">
      <c r="I19085" s="82"/>
      <c r="M19085" s="85"/>
    </row>
    <row r="19086" spans="9:13" x14ac:dyDescent="0.3">
      <c r="I19086" s="82"/>
      <c r="M19086" s="85"/>
    </row>
    <row r="19087" spans="9:13" x14ac:dyDescent="0.3">
      <c r="I19087" s="82"/>
      <c r="M19087" s="85"/>
    </row>
    <row r="19088" spans="9:13" x14ac:dyDescent="0.3">
      <c r="I19088" s="82"/>
      <c r="M19088" s="85"/>
    </row>
    <row r="19089" spans="9:13" x14ac:dyDescent="0.3">
      <c r="I19089" s="82"/>
      <c r="M19089" s="85"/>
    </row>
    <row r="19090" spans="9:13" x14ac:dyDescent="0.3">
      <c r="I19090" s="82"/>
      <c r="M19090" s="85"/>
    </row>
    <row r="19091" spans="9:13" x14ac:dyDescent="0.3">
      <c r="I19091" s="82"/>
      <c r="M19091" s="85"/>
    </row>
    <row r="19092" spans="9:13" x14ac:dyDescent="0.3">
      <c r="I19092" s="82"/>
      <c r="M19092" s="85"/>
    </row>
    <row r="19093" spans="9:13" x14ac:dyDescent="0.3">
      <c r="I19093" s="82"/>
      <c r="M19093" s="85"/>
    </row>
    <row r="19094" spans="9:13" x14ac:dyDescent="0.3">
      <c r="I19094" s="82"/>
      <c r="M19094" s="85"/>
    </row>
    <row r="19095" spans="9:13" x14ac:dyDescent="0.3">
      <c r="I19095" s="82"/>
      <c r="M19095" s="85"/>
    </row>
    <row r="19096" spans="9:13" x14ac:dyDescent="0.3">
      <c r="I19096" s="82"/>
      <c r="M19096" s="85"/>
    </row>
    <row r="19097" spans="9:13" x14ac:dyDescent="0.3">
      <c r="I19097" s="82"/>
      <c r="M19097" s="85"/>
    </row>
    <row r="19098" spans="9:13" x14ac:dyDescent="0.3">
      <c r="I19098" s="82"/>
      <c r="M19098" s="85"/>
    </row>
    <row r="19099" spans="9:13" x14ac:dyDescent="0.3">
      <c r="I19099" s="82"/>
      <c r="M19099" s="85"/>
    </row>
    <row r="19100" spans="9:13" x14ac:dyDescent="0.3">
      <c r="I19100" s="82"/>
      <c r="M19100" s="85"/>
    </row>
    <row r="19101" spans="9:13" x14ac:dyDescent="0.3">
      <c r="I19101" s="82"/>
      <c r="M19101" s="85"/>
    </row>
    <row r="19102" spans="9:13" x14ac:dyDescent="0.3">
      <c r="I19102" s="82"/>
      <c r="M19102" s="85"/>
    </row>
    <row r="19103" spans="9:13" x14ac:dyDescent="0.3">
      <c r="I19103" s="82"/>
      <c r="M19103" s="85"/>
    </row>
    <row r="19104" spans="9:13" x14ac:dyDescent="0.3">
      <c r="I19104" s="82"/>
      <c r="M19104" s="85"/>
    </row>
    <row r="19105" spans="9:13" x14ac:dyDescent="0.3">
      <c r="I19105" s="82"/>
      <c r="M19105" s="85"/>
    </row>
    <row r="19106" spans="9:13" x14ac:dyDescent="0.3">
      <c r="I19106" s="82"/>
      <c r="M19106" s="85"/>
    </row>
    <row r="19107" spans="9:13" x14ac:dyDescent="0.3">
      <c r="I19107" s="82"/>
      <c r="M19107" s="85"/>
    </row>
    <row r="19108" spans="9:13" x14ac:dyDescent="0.3">
      <c r="I19108" s="82"/>
      <c r="M19108" s="85"/>
    </row>
    <row r="19109" spans="9:13" x14ac:dyDescent="0.3">
      <c r="I19109" s="82"/>
      <c r="M19109" s="85"/>
    </row>
    <row r="19110" spans="9:13" x14ac:dyDescent="0.3">
      <c r="I19110" s="82"/>
      <c r="M19110" s="85"/>
    </row>
    <row r="19111" spans="9:13" x14ac:dyDescent="0.3">
      <c r="I19111" s="82"/>
      <c r="M19111" s="85"/>
    </row>
    <row r="19112" spans="9:13" x14ac:dyDescent="0.3">
      <c r="I19112" s="82"/>
      <c r="M19112" s="85"/>
    </row>
    <row r="19113" spans="9:13" x14ac:dyDescent="0.3">
      <c r="I19113" s="82"/>
      <c r="M19113" s="85"/>
    </row>
    <row r="19114" spans="9:13" x14ac:dyDescent="0.3">
      <c r="I19114" s="82"/>
      <c r="M19114" s="85"/>
    </row>
    <row r="19115" spans="9:13" x14ac:dyDescent="0.3">
      <c r="I19115" s="82"/>
      <c r="M19115" s="85"/>
    </row>
    <row r="19116" spans="9:13" x14ac:dyDescent="0.3">
      <c r="I19116" s="82"/>
      <c r="M19116" s="85"/>
    </row>
    <row r="19117" spans="9:13" x14ac:dyDescent="0.3">
      <c r="I19117" s="82"/>
      <c r="M19117" s="85"/>
    </row>
    <row r="19118" spans="9:13" x14ac:dyDescent="0.3">
      <c r="I19118" s="82"/>
      <c r="M19118" s="85"/>
    </row>
    <row r="19119" spans="9:13" x14ac:dyDescent="0.3">
      <c r="I19119" s="82"/>
      <c r="M19119" s="85"/>
    </row>
    <row r="19120" spans="9:13" x14ac:dyDescent="0.3">
      <c r="I19120" s="82"/>
      <c r="M19120" s="85"/>
    </row>
    <row r="19121" spans="9:13" x14ac:dyDescent="0.3">
      <c r="I19121" s="82"/>
      <c r="M19121" s="85"/>
    </row>
    <row r="19122" spans="9:13" x14ac:dyDescent="0.3">
      <c r="I19122" s="82"/>
      <c r="M19122" s="85"/>
    </row>
    <row r="19123" spans="9:13" x14ac:dyDescent="0.3">
      <c r="I19123" s="82"/>
      <c r="M19123" s="85"/>
    </row>
    <row r="19124" spans="9:13" x14ac:dyDescent="0.3">
      <c r="I19124" s="82"/>
      <c r="M19124" s="85"/>
    </row>
    <row r="19125" spans="9:13" x14ac:dyDescent="0.3">
      <c r="I19125" s="82"/>
      <c r="M19125" s="85"/>
    </row>
    <row r="19126" spans="9:13" x14ac:dyDescent="0.3">
      <c r="I19126" s="82"/>
      <c r="M19126" s="85"/>
    </row>
    <row r="19127" spans="9:13" x14ac:dyDescent="0.3">
      <c r="I19127" s="82"/>
      <c r="M19127" s="85"/>
    </row>
    <row r="19128" spans="9:13" x14ac:dyDescent="0.3">
      <c r="I19128" s="82"/>
      <c r="M19128" s="85"/>
    </row>
    <row r="19129" spans="9:13" x14ac:dyDescent="0.3">
      <c r="I19129" s="82"/>
      <c r="M19129" s="85"/>
    </row>
    <row r="19130" spans="9:13" x14ac:dyDescent="0.3">
      <c r="I19130" s="82"/>
      <c r="M19130" s="85"/>
    </row>
    <row r="19131" spans="9:13" x14ac:dyDescent="0.3">
      <c r="I19131" s="82"/>
      <c r="M19131" s="85"/>
    </row>
    <row r="19132" spans="9:13" x14ac:dyDescent="0.3">
      <c r="I19132" s="82"/>
      <c r="M19132" s="85"/>
    </row>
    <row r="19133" spans="9:13" x14ac:dyDescent="0.3">
      <c r="I19133" s="82"/>
      <c r="M19133" s="85"/>
    </row>
    <row r="19134" spans="9:13" x14ac:dyDescent="0.3">
      <c r="I19134" s="82"/>
      <c r="M19134" s="85"/>
    </row>
    <row r="19135" spans="9:13" x14ac:dyDescent="0.3">
      <c r="I19135" s="82"/>
      <c r="M19135" s="85"/>
    </row>
    <row r="19136" spans="9:13" x14ac:dyDescent="0.3">
      <c r="I19136" s="82"/>
      <c r="M19136" s="85"/>
    </row>
    <row r="19137" spans="9:13" x14ac:dyDescent="0.3">
      <c r="I19137" s="82"/>
      <c r="M19137" s="85"/>
    </row>
    <row r="19138" spans="9:13" x14ac:dyDescent="0.3">
      <c r="I19138" s="82"/>
      <c r="M19138" s="85"/>
    </row>
    <row r="19139" spans="9:13" x14ac:dyDescent="0.3">
      <c r="I19139" s="82"/>
      <c r="M19139" s="85"/>
    </row>
    <row r="19140" spans="9:13" x14ac:dyDescent="0.3">
      <c r="I19140" s="82"/>
      <c r="M19140" s="85"/>
    </row>
    <row r="19141" spans="9:13" x14ac:dyDescent="0.3">
      <c r="I19141" s="82"/>
      <c r="M19141" s="85"/>
    </row>
    <row r="19142" spans="9:13" x14ac:dyDescent="0.3">
      <c r="I19142" s="82"/>
      <c r="M19142" s="85"/>
    </row>
    <row r="19143" spans="9:13" x14ac:dyDescent="0.3">
      <c r="I19143" s="82"/>
      <c r="M19143" s="85"/>
    </row>
    <row r="19144" spans="9:13" x14ac:dyDescent="0.3">
      <c r="I19144" s="82"/>
      <c r="M19144" s="85"/>
    </row>
    <row r="19145" spans="9:13" x14ac:dyDescent="0.3">
      <c r="I19145" s="82"/>
      <c r="M19145" s="85"/>
    </row>
    <row r="19146" spans="9:13" x14ac:dyDescent="0.3">
      <c r="I19146" s="82"/>
      <c r="M19146" s="85"/>
    </row>
    <row r="19147" spans="9:13" x14ac:dyDescent="0.3">
      <c r="I19147" s="82"/>
      <c r="M19147" s="85"/>
    </row>
    <row r="19148" spans="9:13" x14ac:dyDescent="0.3">
      <c r="I19148" s="82"/>
      <c r="M19148" s="85"/>
    </row>
    <row r="19149" spans="9:13" x14ac:dyDescent="0.3">
      <c r="I19149" s="82"/>
      <c r="M19149" s="85"/>
    </row>
    <row r="19150" spans="9:13" x14ac:dyDescent="0.3">
      <c r="I19150" s="82"/>
      <c r="M19150" s="85"/>
    </row>
    <row r="19151" spans="9:13" x14ac:dyDescent="0.3">
      <c r="I19151" s="82"/>
      <c r="M19151" s="85"/>
    </row>
    <row r="19152" spans="9:13" x14ac:dyDescent="0.3">
      <c r="I19152" s="82"/>
      <c r="M19152" s="85"/>
    </row>
    <row r="19153" spans="9:13" x14ac:dyDescent="0.3">
      <c r="I19153" s="82"/>
      <c r="M19153" s="85"/>
    </row>
    <row r="19154" spans="9:13" x14ac:dyDescent="0.3">
      <c r="I19154" s="82"/>
      <c r="M19154" s="85"/>
    </row>
    <row r="19155" spans="9:13" x14ac:dyDescent="0.3">
      <c r="I19155" s="82"/>
      <c r="M19155" s="85"/>
    </row>
    <row r="19156" spans="9:13" x14ac:dyDescent="0.3">
      <c r="I19156" s="82"/>
      <c r="M19156" s="85"/>
    </row>
    <row r="19157" spans="9:13" x14ac:dyDescent="0.3">
      <c r="I19157" s="82"/>
      <c r="M19157" s="85"/>
    </row>
    <row r="19158" spans="9:13" x14ac:dyDescent="0.3">
      <c r="I19158" s="82"/>
      <c r="M19158" s="85"/>
    </row>
    <row r="19159" spans="9:13" x14ac:dyDescent="0.3">
      <c r="I19159" s="82"/>
      <c r="M19159" s="85"/>
    </row>
    <row r="19160" spans="9:13" x14ac:dyDescent="0.3">
      <c r="I19160" s="82"/>
      <c r="M19160" s="85"/>
    </row>
    <row r="19161" spans="9:13" x14ac:dyDescent="0.3">
      <c r="I19161" s="82"/>
      <c r="M19161" s="85"/>
    </row>
    <row r="19162" spans="9:13" x14ac:dyDescent="0.3">
      <c r="I19162" s="82"/>
      <c r="M19162" s="85"/>
    </row>
    <row r="19163" spans="9:13" x14ac:dyDescent="0.3">
      <c r="I19163" s="82"/>
      <c r="M19163" s="85"/>
    </row>
    <row r="19164" spans="9:13" x14ac:dyDescent="0.3">
      <c r="I19164" s="82"/>
      <c r="M19164" s="85"/>
    </row>
    <row r="19165" spans="9:13" x14ac:dyDescent="0.3">
      <c r="I19165" s="82"/>
      <c r="M19165" s="85"/>
    </row>
    <row r="19166" spans="9:13" x14ac:dyDescent="0.3">
      <c r="I19166" s="82"/>
      <c r="M19166" s="85"/>
    </row>
    <row r="19167" spans="9:13" x14ac:dyDescent="0.3">
      <c r="I19167" s="82"/>
      <c r="M19167" s="85"/>
    </row>
    <row r="19168" spans="9:13" x14ac:dyDescent="0.3">
      <c r="I19168" s="82"/>
      <c r="M19168" s="85"/>
    </row>
    <row r="19169" spans="9:13" x14ac:dyDescent="0.3">
      <c r="I19169" s="82"/>
      <c r="M19169" s="85"/>
    </row>
    <row r="19170" spans="9:13" x14ac:dyDescent="0.3">
      <c r="I19170" s="82"/>
      <c r="M19170" s="85"/>
    </row>
    <row r="19171" spans="9:13" x14ac:dyDescent="0.3">
      <c r="I19171" s="82"/>
      <c r="M19171" s="85"/>
    </row>
    <row r="19172" spans="9:13" x14ac:dyDescent="0.3">
      <c r="I19172" s="82"/>
      <c r="M19172" s="85"/>
    </row>
    <row r="19173" spans="9:13" x14ac:dyDescent="0.3">
      <c r="I19173" s="82"/>
      <c r="M19173" s="85"/>
    </row>
    <row r="19174" spans="9:13" x14ac:dyDescent="0.3">
      <c r="I19174" s="82"/>
      <c r="M19174" s="85"/>
    </row>
    <row r="19175" spans="9:13" x14ac:dyDescent="0.3">
      <c r="I19175" s="82"/>
      <c r="M19175" s="85"/>
    </row>
    <row r="19176" spans="9:13" x14ac:dyDescent="0.3">
      <c r="I19176" s="82"/>
      <c r="M19176" s="85"/>
    </row>
    <row r="19177" spans="9:13" x14ac:dyDescent="0.3">
      <c r="I19177" s="82"/>
      <c r="M19177" s="85"/>
    </row>
    <row r="19178" spans="9:13" x14ac:dyDescent="0.3">
      <c r="I19178" s="82"/>
      <c r="M19178" s="85"/>
    </row>
    <row r="19179" spans="9:13" x14ac:dyDescent="0.3">
      <c r="I19179" s="82"/>
      <c r="M19179" s="85"/>
    </row>
    <row r="19180" spans="9:13" x14ac:dyDescent="0.3">
      <c r="I19180" s="82"/>
      <c r="M19180" s="85"/>
    </row>
    <row r="19181" spans="9:13" x14ac:dyDescent="0.3">
      <c r="I19181" s="82"/>
      <c r="M19181" s="85"/>
    </row>
    <row r="19182" spans="9:13" x14ac:dyDescent="0.3">
      <c r="I19182" s="82"/>
      <c r="M19182" s="85"/>
    </row>
    <row r="19183" spans="9:13" x14ac:dyDescent="0.3">
      <c r="I19183" s="82"/>
      <c r="M19183" s="85"/>
    </row>
    <row r="19184" spans="9:13" x14ac:dyDescent="0.3">
      <c r="I19184" s="82"/>
      <c r="M19184" s="85"/>
    </row>
    <row r="19185" spans="9:13" x14ac:dyDescent="0.3">
      <c r="I19185" s="82"/>
      <c r="M19185" s="85"/>
    </row>
    <row r="19186" spans="9:13" x14ac:dyDescent="0.3">
      <c r="I19186" s="82"/>
      <c r="M19186" s="85"/>
    </row>
    <row r="19187" spans="9:13" x14ac:dyDescent="0.3">
      <c r="I19187" s="82"/>
      <c r="M19187" s="85"/>
    </row>
    <row r="19188" spans="9:13" x14ac:dyDescent="0.3">
      <c r="I19188" s="82"/>
      <c r="M19188" s="85"/>
    </row>
    <row r="19189" spans="9:13" x14ac:dyDescent="0.3">
      <c r="I19189" s="82"/>
      <c r="M19189" s="85"/>
    </row>
    <row r="19190" spans="9:13" x14ac:dyDescent="0.3">
      <c r="I19190" s="82"/>
      <c r="M19190" s="85"/>
    </row>
    <row r="19191" spans="9:13" x14ac:dyDescent="0.3">
      <c r="I19191" s="82"/>
      <c r="M19191" s="85"/>
    </row>
    <row r="19192" spans="9:13" x14ac:dyDescent="0.3">
      <c r="I19192" s="82"/>
      <c r="M19192" s="85"/>
    </row>
    <row r="19193" spans="9:13" x14ac:dyDescent="0.3">
      <c r="I19193" s="82"/>
      <c r="M19193" s="85"/>
    </row>
    <row r="19194" spans="9:13" x14ac:dyDescent="0.3">
      <c r="I19194" s="82"/>
      <c r="M19194" s="85"/>
    </row>
    <row r="19195" spans="9:13" x14ac:dyDescent="0.3">
      <c r="I19195" s="82"/>
      <c r="M19195" s="85"/>
    </row>
    <row r="19196" spans="9:13" x14ac:dyDescent="0.3">
      <c r="I19196" s="82"/>
      <c r="M19196" s="85"/>
    </row>
    <row r="19197" spans="9:13" x14ac:dyDescent="0.3">
      <c r="I19197" s="82"/>
      <c r="M19197" s="85"/>
    </row>
    <row r="19198" spans="9:13" x14ac:dyDescent="0.3">
      <c r="I19198" s="82"/>
      <c r="M19198" s="85"/>
    </row>
    <row r="19199" spans="9:13" x14ac:dyDescent="0.3">
      <c r="I19199" s="82"/>
      <c r="M19199" s="85"/>
    </row>
    <row r="19200" spans="9:13" x14ac:dyDescent="0.3">
      <c r="I19200" s="82"/>
      <c r="M19200" s="85"/>
    </row>
    <row r="19201" spans="9:13" x14ac:dyDescent="0.3">
      <c r="I19201" s="82"/>
      <c r="M19201" s="85"/>
    </row>
    <row r="19202" spans="9:13" x14ac:dyDescent="0.3">
      <c r="I19202" s="82"/>
      <c r="M19202" s="85"/>
    </row>
    <row r="19203" spans="9:13" x14ac:dyDescent="0.3">
      <c r="I19203" s="82"/>
      <c r="M19203" s="85"/>
    </row>
    <row r="19204" spans="9:13" x14ac:dyDescent="0.3">
      <c r="I19204" s="82"/>
      <c r="M19204" s="85"/>
    </row>
    <row r="19205" spans="9:13" x14ac:dyDescent="0.3">
      <c r="I19205" s="82"/>
      <c r="M19205" s="85"/>
    </row>
    <row r="19206" spans="9:13" x14ac:dyDescent="0.3">
      <c r="I19206" s="82"/>
      <c r="M19206" s="85"/>
    </row>
    <row r="19207" spans="9:13" x14ac:dyDescent="0.3">
      <c r="I19207" s="82"/>
      <c r="M19207" s="85"/>
    </row>
    <row r="19208" spans="9:13" x14ac:dyDescent="0.3">
      <c r="I19208" s="82"/>
      <c r="M19208" s="85"/>
    </row>
    <row r="19209" spans="9:13" x14ac:dyDescent="0.3">
      <c r="I19209" s="82"/>
      <c r="M19209" s="85"/>
    </row>
    <row r="19210" spans="9:13" x14ac:dyDescent="0.3">
      <c r="I19210" s="82"/>
      <c r="M19210" s="85"/>
    </row>
    <row r="19211" spans="9:13" x14ac:dyDescent="0.3">
      <c r="I19211" s="82"/>
      <c r="M19211" s="85"/>
    </row>
    <row r="19212" spans="9:13" x14ac:dyDescent="0.3">
      <c r="I19212" s="82"/>
      <c r="M19212" s="85"/>
    </row>
    <row r="19213" spans="9:13" x14ac:dyDescent="0.3">
      <c r="I19213" s="82"/>
      <c r="M19213" s="85"/>
    </row>
    <row r="19214" spans="9:13" x14ac:dyDescent="0.3">
      <c r="I19214" s="82"/>
      <c r="M19214" s="85"/>
    </row>
    <row r="19215" spans="9:13" x14ac:dyDescent="0.3">
      <c r="I19215" s="82"/>
      <c r="M19215" s="85"/>
    </row>
    <row r="19216" spans="9:13" x14ac:dyDescent="0.3">
      <c r="I19216" s="82"/>
      <c r="M19216" s="85"/>
    </row>
    <row r="19217" spans="9:13" x14ac:dyDescent="0.3">
      <c r="I19217" s="82"/>
      <c r="M19217" s="85"/>
    </row>
    <row r="19218" spans="9:13" x14ac:dyDescent="0.3">
      <c r="I19218" s="82"/>
      <c r="M19218" s="85"/>
    </row>
    <row r="19219" spans="9:13" x14ac:dyDescent="0.3">
      <c r="I19219" s="82"/>
      <c r="M19219" s="85"/>
    </row>
    <row r="19220" spans="9:13" x14ac:dyDescent="0.3">
      <c r="I19220" s="82"/>
      <c r="M19220" s="85"/>
    </row>
    <row r="19221" spans="9:13" x14ac:dyDescent="0.3">
      <c r="I19221" s="82"/>
      <c r="M19221" s="85"/>
    </row>
    <row r="19222" spans="9:13" x14ac:dyDescent="0.3">
      <c r="I19222" s="82"/>
      <c r="M19222" s="85"/>
    </row>
    <row r="19223" spans="9:13" x14ac:dyDescent="0.3">
      <c r="I19223" s="82"/>
      <c r="M19223" s="85"/>
    </row>
    <row r="19224" spans="9:13" x14ac:dyDescent="0.3">
      <c r="I19224" s="82"/>
      <c r="M19224" s="85"/>
    </row>
    <row r="19225" spans="9:13" x14ac:dyDescent="0.3">
      <c r="I19225" s="82"/>
      <c r="M19225" s="85"/>
    </row>
    <row r="19226" spans="9:13" x14ac:dyDescent="0.3">
      <c r="I19226" s="82"/>
      <c r="M19226" s="85"/>
    </row>
    <row r="19227" spans="9:13" x14ac:dyDescent="0.3">
      <c r="I19227" s="82"/>
      <c r="M19227" s="85"/>
    </row>
    <row r="19228" spans="9:13" x14ac:dyDescent="0.3">
      <c r="I19228" s="82"/>
      <c r="M19228" s="85"/>
    </row>
    <row r="19229" spans="9:13" x14ac:dyDescent="0.3">
      <c r="I19229" s="82"/>
      <c r="M19229" s="85"/>
    </row>
    <row r="19230" spans="9:13" x14ac:dyDescent="0.3">
      <c r="I19230" s="82"/>
      <c r="M19230" s="85"/>
    </row>
    <row r="19231" spans="9:13" x14ac:dyDescent="0.3">
      <c r="I19231" s="82"/>
      <c r="M19231" s="85"/>
    </row>
    <row r="19232" spans="9:13" x14ac:dyDescent="0.3">
      <c r="I19232" s="82"/>
      <c r="M19232" s="85"/>
    </row>
    <row r="19233" spans="9:13" x14ac:dyDescent="0.3">
      <c r="I19233" s="82"/>
      <c r="M19233" s="85"/>
    </row>
    <row r="19234" spans="9:13" x14ac:dyDescent="0.3">
      <c r="I19234" s="82"/>
      <c r="M19234" s="85"/>
    </row>
    <row r="19235" spans="9:13" x14ac:dyDescent="0.3">
      <c r="I19235" s="82"/>
      <c r="M19235" s="85"/>
    </row>
    <row r="19236" spans="9:13" x14ac:dyDescent="0.3">
      <c r="I19236" s="82"/>
      <c r="M19236" s="85"/>
    </row>
    <row r="19237" spans="9:13" x14ac:dyDescent="0.3">
      <c r="I19237" s="82"/>
      <c r="M19237" s="85"/>
    </row>
    <row r="19238" spans="9:13" x14ac:dyDescent="0.3">
      <c r="I19238" s="82"/>
      <c r="M19238" s="85"/>
    </row>
    <row r="19239" spans="9:13" x14ac:dyDescent="0.3">
      <c r="I19239" s="82"/>
      <c r="M19239" s="85"/>
    </row>
    <row r="19240" spans="9:13" x14ac:dyDescent="0.3">
      <c r="I19240" s="82"/>
      <c r="M19240" s="85"/>
    </row>
    <row r="19241" spans="9:13" x14ac:dyDescent="0.3">
      <c r="I19241" s="82"/>
      <c r="M19241" s="85"/>
    </row>
    <row r="19242" spans="9:13" x14ac:dyDescent="0.3">
      <c r="I19242" s="82"/>
      <c r="M19242" s="85"/>
    </row>
    <row r="19243" spans="9:13" x14ac:dyDescent="0.3">
      <c r="I19243" s="82"/>
      <c r="M19243" s="85"/>
    </row>
    <row r="19244" spans="9:13" x14ac:dyDescent="0.3">
      <c r="I19244" s="82"/>
      <c r="M19244" s="85"/>
    </row>
    <row r="19245" spans="9:13" x14ac:dyDescent="0.3">
      <c r="I19245" s="82"/>
      <c r="M19245" s="85"/>
    </row>
    <row r="19246" spans="9:13" x14ac:dyDescent="0.3">
      <c r="I19246" s="82"/>
      <c r="M19246" s="85"/>
    </row>
    <row r="19247" spans="9:13" x14ac:dyDescent="0.3">
      <c r="I19247" s="82"/>
      <c r="M19247" s="85"/>
    </row>
    <row r="19248" spans="9:13" x14ac:dyDescent="0.3">
      <c r="I19248" s="82"/>
      <c r="M19248" s="85"/>
    </row>
    <row r="19249" spans="9:13" x14ac:dyDescent="0.3">
      <c r="I19249" s="82"/>
      <c r="M19249" s="85"/>
    </row>
    <row r="19250" spans="9:13" x14ac:dyDescent="0.3">
      <c r="I19250" s="82"/>
      <c r="M19250" s="85"/>
    </row>
    <row r="19251" spans="9:13" x14ac:dyDescent="0.3">
      <c r="I19251" s="82"/>
      <c r="M19251" s="85"/>
    </row>
    <row r="19252" spans="9:13" x14ac:dyDescent="0.3">
      <c r="I19252" s="82"/>
      <c r="M19252" s="85"/>
    </row>
    <row r="19253" spans="9:13" x14ac:dyDescent="0.3">
      <c r="I19253" s="82"/>
      <c r="M19253" s="85"/>
    </row>
    <row r="19254" spans="9:13" x14ac:dyDescent="0.3">
      <c r="I19254" s="82"/>
      <c r="M19254" s="85"/>
    </row>
    <row r="19255" spans="9:13" x14ac:dyDescent="0.3">
      <c r="I19255" s="82"/>
      <c r="M19255" s="85"/>
    </row>
    <row r="19256" spans="9:13" x14ac:dyDescent="0.3">
      <c r="I19256" s="82"/>
      <c r="M19256" s="85"/>
    </row>
    <row r="19257" spans="9:13" x14ac:dyDescent="0.3">
      <c r="I19257" s="82"/>
      <c r="M19257" s="85"/>
    </row>
    <row r="19258" spans="9:13" x14ac:dyDescent="0.3">
      <c r="I19258" s="82"/>
      <c r="M19258" s="85"/>
    </row>
    <row r="19259" spans="9:13" x14ac:dyDescent="0.3">
      <c r="I19259" s="82"/>
      <c r="M19259" s="85"/>
    </row>
    <row r="19260" spans="9:13" x14ac:dyDescent="0.3">
      <c r="I19260" s="82"/>
      <c r="M19260" s="85"/>
    </row>
    <row r="19261" spans="9:13" x14ac:dyDescent="0.3">
      <c r="I19261" s="82"/>
      <c r="M19261" s="85"/>
    </row>
    <row r="19262" spans="9:13" x14ac:dyDescent="0.3">
      <c r="I19262" s="82"/>
      <c r="M19262" s="85"/>
    </row>
    <row r="19263" spans="9:13" x14ac:dyDescent="0.3">
      <c r="I19263" s="82"/>
      <c r="M19263" s="85"/>
    </row>
    <row r="19264" spans="9:13" x14ac:dyDescent="0.3">
      <c r="I19264" s="82"/>
      <c r="M19264" s="85"/>
    </row>
    <row r="19265" spans="9:13" x14ac:dyDescent="0.3">
      <c r="I19265" s="82"/>
      <c r="M19265" s="85"/>
    </row>
    <row r="19266" spans="9:13" x14ac:dyDescent="0.3">
      <c r="I19266" s="82"/>
      <c r="M19266" s="85"/>
    </row>
    <row r="19267" spans="9:13" x14ac:dyDescent="0.3">
      <c r="I19267" s="82"/>
      <c r="M19267" s="85"/>
    </row>
    <row r="19268" spans="9:13" x14ac:dyDescent="0.3">
      <c r="I19268" s="82"/>
      <c r="M19268" s="85"/>
    </row>
    <row r="19269" spans="9:13" x14ac:dyDescent="0.3">
      <c r="I19269" s="82"/>
      <c r="M19269" s="85"/>
    </row>
    <row r="19270" spans="9:13" x14ac:dyDescent="0.3">
      <c r="I19270" s="82"/>
      <c r="M19270" s="85"/>
    </row>
    <row r="19271" spans="9:13" x14ac:dyDescent="0.3">
      <c r="I19271" s="82"/>
      <c r="M19271" s="85"/>
    </row>
    <row r="19272" spans="9:13" x14ac:dyDescent="0.3">
      <c r="I19272" s="82"/>
      <c r="M19272" s="85"/>
    </row>
    <row r="19273" spans="9:13" x14ac:dyDescent="0.3">
      <c r="I19273" s="82"/>
      <c r="M19273" s="85"/>
    </row>
    <row r="19274" spans="9:13" x14ac:dyDescent="0.3">
      <c r="I19274" s="82"/>
      <c r="M19274" s="85"/>
    </row>
    <row r="19275" spans="9:13" x14ac:dyDescent="0.3">
      <c r="I19275" s="82"/>
      <c r="M19275" s="85"/>
    </row>
    <row r="19276" spans="9:13" x14ac:dyDescent="0.3">
      <c r="I19276" s="82"/>
      <c r="M19276" s="85"/>
    </row>
    <row r="19277" spans="9:13" x14ac:dyDescent="0.3">
      <c r="I19277" s="82"/>
      <c r="M19277" s="85"/>
    </row>
    <row r="19278" spans="9:13" x14ac:dyDescent="0.3">
      <c r="I19278" s="82"/>
      <c r="M19278" s="85"/>
    </row>
    <row r="19279" spans="9:13" x14ac:dyDescent="0.3">
      <c r="I19279" s="82"/>
      <c r="M19279" s="85"/>
    </row>
    <row r="19280" spans="9:13" x14ac:dyDescent="0.3">
      <c r="I19280" s="82"/>
      <c r="M19280" s="85"/>
    </row>
    <row r="19281" spans="9:13" x14ac:dyDescent="0.3">
      <c r="I19281" s="82"/>
      <c r="M19281" s="85"/>
    </row>
    <row r="19282" spans="9:13" x14ac:dyDescent="0.3">
      <c r="I19282" s="82"/>
      <c r="M19282" s="85"/>
    </row>
    <row r="19283" spans="9:13" x14ac:dyDescent="0.3">
      <c r="I19283" s="82"/>
      <c r="M19283" s="85"/>
    </row>
    <row r="19284" spans="9:13" x14ac:dyDescent="0.3">
      <c r="I19284" s="82"/>
      <c r="M19284" s="85"/>
    </row>
    <row r="19285" spans="9:13" x14ac:dyDescent="0.3">
      <c r="I19285" s="82"/>
      <c r="M19285" s="85"/>
    </row>
    <row r="19286" spans="9:13" x14ac:dyDescent="0.3">
      <c r="I19286" s="82"/>
      <c r="M19286" s="85"/>
    </row>
    <row r="19287" spans="9:13" x14ac:dyDescent="0.3">
      <c r="I19287" s="82"/>
      <c r="M19287" s="85"/>
    </row>
    <row r="19288" spans="9:13" x14ac:dyDescent="0.3">
      <c r="I19288" s="82"/>
      <c r="M19288" s="85"/>
    </row>
    <row r="19289" spans="9:13" x14ac:dyDescent="0.3">
      <c r="I19289" s="82"/>
      <c r="M19289" s="85"/>
    </row>
    <row r="19290" spans="9:13" x14ac:dyDescent="0.3">
      <c r="I19290" s="82"/>
      <c r="M19290" s="85"/>
    </row>
    <row r="19291" spans="9:13" x14ac:dyDescent="0.3">
      <c r="I19291" s="82"/>
      <c r="M19291" s="85"/>
    </row>
    <row r="19292" spans="9:13" x14ac:dyDescent="0.3">
      <c r="I19292" s="82"/>
      <c r="M19292" s="85"/>
    </row>
    <row r="19293" spans="9:13" x14ac:dyDescent="0.3">
      <c r="I19293" s="82"/>
      <c r="M19293" s="85"/>
    </row>
    <row r="19294" spans="9:13" x14ac:dyDescent="0.3">
      <c r="I19294" s="82"/>
      <c r="M19294" s="85"/>
    </row>
    <row r="19295" spans="9:13" x14ac:dyDescent="0.3">
      <c r="I19295" s="82"/>
      <c r="M19295" s="85"/>
    </row>
    <row r="19296" spans="9:13" x14ac:dyDescent="0.3">
      <c r="I19296" s="82"/>
      <c r="M19296" s="85"/>
    </row>
    <row r="19297" spans="9:13" x14ac:dyDescent="0.3">
      <c r="I19297" s="82"/>
      <c r="M19297" s="85"/>
    </row>
    <row r="19298" spans="9:13" x14ac:dyDescent="0.3">
      <c r="I19298" s="82"/>
      <c r="M19298" s="85"/>
    </row>
    <row r="19299" spans="9:13" x14ac:dyDescent="0.3">
      <c r="I19299" s="82"/>
      <c r="M19299" s="85"/>
    </row>
    <row r="19300" spans="9:13" x14ac:dyDescent="0.3">
      <c r="I19300" s="82"/>
      <c r="M19300" s="85"/>
    </row>
    <row r="19301" spans="9:13" x14ac:dyDescent="0.3">
      <c r="I19301" s="82"/>
      <c r="M19301" s="85"/>
    </row>
    <row r="19302" spans="9:13" x14ac:dyDescent="0.3">
      <c r="I19302" s="82"/>
      <c r="M19302" s="85"/>
    </row>
    <row r="19303" spans="9:13" x14ac:dyDescent="0.3">
      <c r="I19303" s="82"/>
      <c r="M19303" s="85"/>
    </row>
    <row r="19304" spans="9:13" x14ac:dyDescent="0.3">
      <c r="I19304" s="82"/>
      <c r="M19304" s="85"/>
    </row>
    <row r="19305" spans="9:13" x14ac:dyDescent="0.3">
      <c r="I19305" s="82"/>
      <c r="M19305" s="85"/>
    </row>
    <row r="19306" spans="9:13" x14ac:dyDescent="0.3">
      <c r="I19306" s="82"/>
      <c r="M19306" s="85"/>
    </row>
    <row r="19307" spans="9:13" x14ac:dyDescent="0.3">
      <c r="I19307" s="82"/>
      <c r="M19307" s="85"/>
    </row>
    <row r="19308" spans="9:13" x14ac:dyDescent="0.3">
      <c r="I19308" s="82"/>
      <c r="M19308" s="85"/>
    </row>
    <row r="19309" spans="9:13" x14ac:dyDescent="0.3">
      <c r="I19309" s="82"/>
      <c r="M19309" s="85"/>
    </row>
    <row r="19310" spans="9:13" x14ac:dyDescent="0.3">
      <c r="I19310" s="82"/>
      <c r="M19310" s="85"/>
    </row>
    <row r="19311" spans="9:13" x14ac:dyDescent="0.3">
      <c r="I19311" s="82"/>
      <c r="M19311" s="85"/>
    </row>
    <row r="19312" spans="9:13" x14ac:dyDescent="0.3">
      <c r="I19312" s="82"/>
      <c r="M19312" s="85"/>
    </row>
    <row r="19313" spans="9:13" x14ac:dyDescent="0.3">
      <c r="I19313" s="82"/>
      <c r="M19313" s="85"/>
    </row>
    <row r="19314" spans="9:13" x14ac:dyDescent="0.3">
      <c r="I19314" s="82"/>
      <c r="M19314" s="85"/>
    </row>
    <row r="19315" spans="9:13" x14ac:dyDescent="0.3">
      <c r="I19315" s="82"/>
      <c r="M19315" s="85"/>
    </row>
    <row r="19316" spans="9:13" x14ac:dyDescent="0.3">
      <c r="I19316" s="82"/>
      <c r="M19316" s="85"/>
    </row>
    <row r="19317" spans="9:13" x14ac:dyDescent="0.3">
      <c r="I19317" s="82"/>
      <c r="M19317" s="85"/>
    </row>
    <row r="19318" spans="9:13" x14ac:dyDescent="0.3">
      <c r="I19318" s="82"/>
      <c r="M19318" s="85"/>
    </row>
    <row r="19319" spans="9:13" x14ac:dyDescent="0.3">
      <c r="I19319" s="82"/>
      <c r="M19319" s="85"/>
    </row>
    <row r="19320" spans="9:13" x14ac:dyDescent="0.3">
      <c r="I19320" s="82"/>
      <c r="M19320" s="85"/>
    </row>
    <row r="19321" spans="9:13" x14ac:dyDescent="0.3">
      <c r="I19321" s="82"/>
      <c r="M19321" s="85"/>
    </row>
    <row r="19322" spans="9:13" x14ac:dyDescent="0.3">
      <c r="I19322" s="82"/>
      <c r="M19322" s="85"/>
    </row>
    <row r="19323" spans="9:13" x14ac:dyDescent="0.3">
      <c r="I19323" s="82"/>
      <c r="M19323" s="85"/>
    </row>
    <row r="19324" spans="9:13" x14ac:dyDescent="0.3">
      <c r="I19324" s="82"/>
      <c r="M19324" s="85"/>
    </row>
    <row r="19325" spans="9:13" x14ac:dyDescent="0.3">
      <c r="I19325" s="82"/>
      <c r="M19325" s="85"/>
    </row>
    <row r="19326" spans="9:13" x14ac:dyDescent="0.3">
      <c r="I19326" s="82"/>
      <c r="M19326" s="85"/>
    </row>
    <row r="19327" spans="9:13" x14ac:dyDescent="0.3">
      <c r="I19327" s="82"/>
      <c r="M19327" s="85"/>
    </row>
    <row r="19328" spans="9:13" x14ac:dyDescent="0.3">
      <c r="I19328" s="82"/>
      <c r="M19328" s="85"/>
    </row>
    <row r="19329" spans="9:13" x14ac:dyDescent="0.3">
      <c r="I19329" s="82"/>
      <c r="M19329" s="85"/>
    </row>
    <row r="19330" spans="9:13" x14ac:dyDescent="0.3">
      <c r="I19330" s="82"/>
      <c r="M19330" s="85"/>
    </row>
    <row r="19331" spans="9:13" x14ac:dyDescent="0.3">
      <c r="I19331" s="82"/>
      <c r="M19331" s="85"/>
    </row>
    <row r="19332" spans="9:13" x14ac:dyDescent="0.3">
      <c r="I19332" s="82"/>
      <c r="M19332" s="85"/>
    </row>
    <row r="19333" spans="9:13" x14ac:dyDescent="0.3">
      <c r="I19333" s="82"/>
      <c r="M19333" s="85"/>
    </row>
    <row r="19334" spans="9:13" x14ac:dyDescent="0.3">
      <c r="I19334" s="82"/>
      <c r="M19334" s="85"/>
    </row>
    <row r="19335" spans="9:13" x14ac:dyDescent="0.3">
      <c r="I19335" s="82"/>
      <c r="M19335" s="85"/>
    </row>
    <row r="19336" spans="9:13" x14ac:dyDescent="0.3">
      <c r="I19336" s="82"/>
      <c r="M19336" s="85"/>
    </row>
    <row r="19337" spans="9:13" x14ac:dyDescent="0.3">
      <c r="I19337" s="82"/>
      <c r="M19337" s="85"/>
    </row>
    <row r="19338" spans="9:13" x14ac:dyDescent="0.3">
      <c r="I19338" s="82"/>
      <c r="M19338" s="85"/>
    </row>
    <row r="19339" spans="9:13" x14ac:dyDescent="0.3">
      <c r="I19339" s="82"/>
      <c r="M19339" s="85"/>
    </row>
    <row r="19340" spans="9:13" x14ac:dyDescent="0.3">
      <c r="I19340" s="82"/>
      <c r="M19340" s="85"/>
    </row>
    <row r="19341" spans="9:13" x14ac:dyDescent="0.3">
      <c r="I19341" s="82"/>
      <c r="M19341" s="85"/>
    </row>
    <row r="19342" spans="9:13" x14ac:dyDescent="0.3">
      <c r="I19342" s="82"/>
      <c r="M19342" s="85"/>
    </row>
    <row r="19343" spans="9:13" x14ac:dyDescent="0.3">
      <c r="I19343" s="82"/>
      <c r="M19343" s="85"/>
    </row>
    <row r="19344" spans="9:13" x14ac:dyDescent="0.3">
      <c r="I19344" s="82"/>
      <c r="M19344" s="85"/>
    </row>
    <row r="19345" spans="9:13" x14ac:dyDescent="0.3">
      <c r="I19345" s="82"/>
      <c r="M19345" s="85"/>
    </row>
    <row r="19346" spans="9:13" x14ac:dyDescent="0.3">
      <c r="I19346" s="82"/>
      <c r="M19346" s="85"/>
    </row>
    <row r="19347" spans="9:13" x14ac:dyDescent="0.3">
      <c r="I19347" s="82"/>
      <c r="M19347" s="85"/>
    </row>
    <row r="19348" spans="9:13" x14ac:dyDescent="0.3">
      <c r="I19348" s="82"/>
      <c r="M19348" s="85"/>
    </row>
    <row r="19349" spans="9:13" x14ac:dyDescent="0.3">
      <c r="I19349" s="82"/>
      <c r="M19349" s="85"/>
    </row>
    <row r="19350" spans="9:13" x14ac:dyDescent="0.3">
      <c r="I19350" s="82"/>
      <c r="M19350" s="85"/>
    </row>
    <row r="19351" spans="9:13" x14ac:dyDescent="0.3">
      <c r="I19351" s="82"/>
      <c r="M19351" s="85"/>
    </row>
    <row r="19352" spans="9:13" x14ac:dyDescent="0.3">
      <c r="I19352" s="82"/>
      <c r="M19352" s="85"/>
    </row>
    <row r="19353" spans="9:13" x14ac:dyDescent="0.3">
      <c r="I19353" s="82"/>
      <c r="M19353" s="85"/>
    </row>
    <row r="19354" spans="9:13" x14ac:dyDescent="0.3">
      <c r="I19354" s="82"/>
      <c r="M19354" s="85"/>
    </row>
    <row r="19355" spans="9:13" x14ac:dyDescent="0.3">
      <c r="I19355" s="82"/>
      <c r="M19355" s="85"/>
    </row>
    <row r="19356" spans="9:13" x14ac:dyDescent="0.3">
      <c r="I19356" s="82"/>
      <c r="M19356" s="85"/>
    </row>
    <row r="19357" spans="9:13" x14ac:dyDescent="0.3">
      <c r="I19357" s="82"/>
      <c r="M19357" s="85"/>
    </row>
    <row r="19358" spans="9:13" x14ac:dyDescent="0.3">
      <c r="I19358" s="82"/>
      <c r="M19358" s="85"/>
    </row>
    <row r="19359" spans="9:13" x14ac:dyDescent="0.3">
      <c r="I19359" s="82"/>
      <c r="M19359" s="85"/>
    </row>
    <row r="19360" spans="9:13" x14ac:dyDescent="0.3">
      <c r="I19360" s="82"/>
      <c r="M19360" s="85"/>
    </row>
    <row r="19361" spans="9:13" x14ac:dyDescent="0.3">
      <c r="I19361" s="82"/>
      <c r="M19361" s="85"/>
    </row>
    <row r="19362" spans="9:13" x14ac:dyDescent="0.3">
      <c r="I19362" s="82"/>
      <c r="M19362" s="85"/>
    </row>
    <row r="19363" spans="9:13" x14ac:dyDescent="0.3">
      <c r="I19363" s="82"/>
      <c r="M19363" s="85"/>
    </row>
    <row r="19364" spans="9:13" x14ac:dyDescent="0.3">
      <c r="I19364" s="82"/>
      <c r="M19364" s="85"/>
    </row>
    <row r="19365" spans="9:13" x14ac:dyDescent="0.3">
      <c r="I19365" s="82"/>
      <c r="M19365" s="85"/>
    </row>
    <row r="19366" spans="9:13" x14ac:dyDescent="0.3">
      <c r="I19366" s="82"/>
      <c r="M19366" s="85"/>
    </row>
    <row r="19367" spans="9:13" x14ac:dyDescent="0.3">
      <c r="I19367" s="82"/>
      <c r="M19367" s="85"/>
    </row>
    <row r="19368" spans="9:13" x14ac:dyDescent="0.3">
      <c r="I19368" s="82"/>
      <c r="M19368" s="85"/>
    </row>
    <row r="19369" spans="9:13" x14ac:dyDescent="0.3">
      <c r="I19369" s="82"/>
      <c r="M19369" s="85"/>
    </row>
    <row r="19370" spans="9:13" x14ac:dyDescent="0.3">
      <c r="I19370" s="82"/>
      <c r="M19370" s="85"/>
    </row>
    <row r="19371" spans="9:13" x14ac:dyDescent="0.3">
      <c r="I19371" s="82"/>
      <c r="M19371" s="85"/>
    </row>
    <row r="19372" spans="9:13" x14ac:dyDescent="0.3">
      <c r="I19372" s="82"/>
      <c r="M19372" s="85"/>
    </row>
    <row r="19373" spans="9:13" x14ac:dyDescent="0.3">
      <c r="I19373" s="82"/>
      <c r="M19373" s="85"/>
    </row>
    <row r="19374" spans="9:13" x14ac:dyDescent="0.3">
      <c r="I19374" s="82"/>
      <c r="M19374" s="85"/>
    </row>
    <row r="19375" spans="9:13" x14ac:dyDescent="0.3">
      <c r="I19375" s="82"/>
      <c r="M19375" s="85"/>
    </row>
    <row r="19376" spans="9:13" x14ac:dyDescent="0.3">
      <c r="I19376" s="82"/>
      <c r="M19376" s="85"/>
    </row>
    <row r="19377" spans="9:13" x14ac:dyDescent="0.3">
      <c r="I19377" s="82"/>
      <c r="M19377" s="85"/>
    </row>
    <row r="19378" spans="9:13" x14ac:dyDescent="0.3">
      <c r="I19378" s="82"/>
      <c r="M19378" s="85"/>
    </row>
    <row r="19379" spans="9:13" x14ac:dyDescent="0.3">
      <c r="I19379" s="82"/>
      <c r="M19379" s="85"/>
    </row>
    <row r="19380" spans="9:13" x14ac:dyDescent="0.3">
      <c r="I19380" s="82"/>
      <c r="M19380" s="85"/>
    </row>
    <row r="19381" spans="9:13" x14ac:dyDescent="0.3">
      <c r="I19381" s="82"/>
      <c r="M19381" s="85"/>
    </row>
    <row r="19382" spans="9:13" x14ac:dyDescent="0.3">
      <c r="I19382" s="82"/>
      <c r="M19382" s="85"/>
    </row>
    <row r="19383" spans="9:13" x14ac:dyDescent="0.3">
      <c r="I19383" s="82"/>
      <c r="M19383" s="85"/>
    </row>
    <row r="19384" spans="9:13" x14ac:dyDescent="0.3">
      <c r="I19384" s="82"/>
      <c r="M19384" s="85"/>
    </row>
    <row r="19385" spans="9:13" x14ac:dyDescent="0.3">
      <c r="I19385" s="82"/>
      <c r="M19385" s="85"/>
    </row>
    <row r="19386" spans="9:13" x14ac:dyDescent="0.3">
      <c r="I19386" s="82"/>
      <c r="M19386" s="85"/>
    </row>
    <row r="19387" spans="9:13" x14ac:dyDescent="0.3">
      <c r="I19387" s="82"/>
      <c r="M19387" s="85"/>
    </row>
    <row r="19388" spans="9:13" x14ac:dyDescent="0.3">
      <c r="I19388" s="82"/>
      <c r="M19388" s="85"/>
    </row>
    <row r="19389" spans="9:13" x14ac:dyDescent="0.3">
      <c r="I19389" s="82"/>
      <c r="M19389" s="85"/>
    </row>
    <row r="19390" spans="9:13" x14ac:dyDescent="0.3">
      <c r="I19390" s="82"/>
      <c r="M19390" s="85"/>
    </row>
    <row r="19391" spans="9:13" x14ac:dyDescent="0.3">
      <c r="I19391" s="82"/>
      <c r="M19391" s="85"/>
    </row>
    <row r="19392" spans="9:13" x14ac:dyDescent="0.3">
      <c r="I19392" s="82"/>
      <c r="M19392" s="85"/>
    </row>
    <row r="19393" spans="9:13" x14ac:dyDescent="0.3">
      <c r="I19393" s="82"/>
      <c r="M19393" s="85"/>
    </row>
    <row r="19394" spans="9:13" x14ac:dyDescent="0.3">
      <c r="I19394" s="82"/>
      <c r="M19394" s="85"/>
    </row>
    <row r="19395" spans="9:13" x14ac:dyDescent="0.3">
      <c r="I19395" s="82"/>
      <c r="M19395" s="85"/>
    </row>
    <row r="19396" spans="9:13" x14ac:dyDescent="0.3">
      <c r="I19396" s="82"/>
      <c r="M19396" s="85"/>
    </row>
    <row r="19397" spans="9:13" x14ac:dyDescent="0.3">
      <c r="I19397" s="82"/>
      <c r="M19397" s="85"/>
    </row>
    <row r="19398" spans="9:13" x14ac:dyDescent="0.3">
      <c r="I19398" s="82"/>
      <c r="M19398" s="85"/>
    </row>
    <row r="19399" spans="9:13" x14ac:dyDescent="0.3">
      <c r="I19399" s="82"/>
      <c r="M19399" s="85"/>
    </row>
    <row r="19400" spans="9:13" x14ac:dyDescent="0.3">
      <c r="I19400" s="82"/>
      <c r="M19400" s="85"/>
    </row>
    <row r="19401" spans="9:13" x14ac:dyDescent="0.3">
      <c r="I19401" s="82"/>
      <c r="M19401" s="85"/>
    </row>
    <row r="19402" spans="9:13" x14ac:dyDescent="0.3">
      <c r="I19402" s="82"/>
      <c r="M19402" s="85"/>
    </row>
    <row r="19403" spans="9:13" x14ac:dyDescent="0.3">
      <c r="I19403" s="82"/>
      <c r="M19403" s="85"/>
    </row>
    <row r="19404" spans="9:13" x14ac:dyDescent="0.3">
      <c r="I19404" s="82"/>
      <c r="M19404" s="85"/>
    </row>
    <row r="19405" spans="9:13" x14ac:dyDescent="0.3">
      <c r="I19405" s="82"/>
      <c r="M19405" s="85"/>
    </row>
    <row r="19406" spans="9:13" x14ac:dyDescent="0.3">
      <c r="I19406" s="82"/>
      <c r="M19406" s="85"/>
    </row>
    <row r="19407" spans="9:13" x14ac:dyDescent="0.3">
      <c r="I19407" s="82"/>
      <c r="M19407" s="85"/>
    </row>
    <row r="19408" spans="9:13" x14ac:dyDescent="0.3">
      <c r="I19408" s="82"/>
      <c r="M19408" s="85"/>
    </row>
    <row r="19409" spans="9:13" x14ac:dyDescent="0.3">
      <c r="I19409" s="82"/>
      <c r="M19409" s="85"/>
    </row>
    <row r="19410" spans="9:13" x14ac:dyDescent="0.3">
      <c r="I19410" s="82"/>
      <c r="M19410" s="85"/>
    </row>
    <row r="19411" spans="9:13" x14ac:dyDescent="0.3">
      <c r="I19411" s="82"/>
      <c r="M19411" s="85"/>
    </row>
    <row r="19412" spans="9:13" x14ac:dyDescent="0.3">
      <c r="I19412" s="82"/>
      <c r="M19412" s="85"/>
    </row>
    <row r="19413" spans="9:13" x14ac:dyDescent="0.3">
      <c r="I19413" s="82"/>
      <c r="M19413" s="85"/>
    </row>
    <row r="19414" spans="9:13" x14ac:dyDescent="0.3">
      <c r="I19414" s="82"/>
      <c r="M19414" s="85"/>
    </row>
    <row r="19415" spans="9:13" x14ac:dyDescent="0.3">
      <c r="I19415" s="82"/>
      <c r="M19415" s="85"/>
    </row>
    <row r="19416" spans="9:13" x14ac:dyDescent="0.3">
      <c r="I19416" s="82"/>
      <c r="M19416" s="85"/>
    </row>
    <row r="19417" spans="9:13" x14ac:dyDescent="0.3">
      <c r="I19417" s="82"/>
      <c r="M19417" s="85"/>
    </row>
    <row r="19418" spans="9:13" x14ac:dyDescent="0.3">
      <c r="I19418" s="82"/>
      <c r="M19418" s="85"/>
    </row>
    <row r="19419" spans="9:13" x14ac:dyDescent="0.3">
      <c r="I19419" s="82"/>
      <c r="M19419" s="85"/>
    </row>
    <row r="19420" spans="9:13" x14ac:dyDescent="0.3">
      <c r="I19420" s="82"/>
      <c r="M19420" s="85"/>
    </row>
    <row r="19421" spans="9:13" x14ac:dyDescent="0.3">
      <c r="I19421" s="82"/>
      <c r="M19421" s="85"/>
    </row>
    <row r="19422" spans="9:13" x14ac:dyDescent="0.3">
      <c r="I19422" s="82"/>
      <c r="M19422" s="85"/>
    </row>
    <row r="19423" spans="9:13" x14ac:dyDescent="0.3">
      <c r="I19423" s="82"/>
      <c r="M19423" s="85"/>
    </row>
    <row r="19424" spans="9:13" x14ac:dyDescent="0.3">
      <c r="I19424" s="82"/>
      <c r="M19424" s="85"/>
    </row>
    <row r="19425" spans="9:13" x14ac:dyDescent="0.3">
      <c r="I19425" s="82"/>
      <c r="M19425" s="85"/>
    </row>
    <row r="19426" spans="9:13" x14ac:dyDescent="0.3">
      <c r="I19426" s="82"/>
      <c r="M19426" s="85"/>
    </row>
    <row r="19427" spans="9:13" x14ac:dyDescent="0.3">
      <c r="I19427" s="82"/>
      <c r="M19427" s="85"/>
    </row>
    <row r="19428" spans="9:13" x14ac:dyDescent="0.3">
      <c r="I19428" s="82"/>
      <c r="M19428" s="85"/>
    </row>
    <row r="19429" spans="9:13" x14ac:dyDescent="0.3">
      <c r="I19429" s="82"/>
      <c r="M19429" s="85"/>
    </row>
    <row r="19430" spans="9:13" x14ac:dyDescent="0.3">
      <c r="I19430" s="82"/>
      <c r="M19430" s="85"/>
    </row>
    <row r="19431" spans="9:13" x14ac:dyDescent="0.3">
      <c r="I19431" s="82"/>
      <c r="M19431" s="85"/>
    </row>
    <row r="19432" spans="9:13" x14ac:dyDescent="0.3">
      <c r="I19432" s="82"/>
      <c r="M19432" s="85"/>
    </row>
    <row r="19433" spans="9:13" x14ac:dyDescent="0.3">
      <c r="I19433" s="82"/>
      <c r="M19433" s="85"/>
    </row>
    <row r="19434" spans="9:13" x14ac:dyDescent="0.3">
      <c r="I19434" s="82"/>
      <c r="M19434" s="85"/>
    </row>
    <row r="19435" spans="9:13" x14ac:dyDescent="0.3">
      <c r="I19435" s="82"/>
      <c r="M19435" s="85"/>
    </row>
    <row r="19436" spans="9:13" x14ac:dyDescent="0.3">
      <c r="I19436" s="82"/>
      <c r="M19436" s="85"/>
    </row>
    <row r="19437" spans="9:13" x14ac:dyDescent="0.3">
      <c r="I19437" s="82"/>
      <c r="M19437" s="85"/>
    </row>
    <row r="19438" spans="9:13" x14ac:dyDescent="0.3">
      <c r="I19438" s="82"/>
      <c r="M19438" s="85"/>
    </row>
    <row r="19439" spans="9:13" x14ac:dyDescent="0.3">
      <c r="I19439" s="82"/>
      <c r="M19439" s="85"/>
    </row>
    <row r="19440" spans="9:13" x14ac:dyDescent="0.3">
      <c r="I19440" s="82"/>
      <c r="M19440" s="85"/>
    </row>
    <row r="19441" spans="9:13" x14ac:dyDescent="0.3">
      <c r="I19441" s="82"/>
      <c r="M19441" s="85"/>
    </row>
    <row r="19442" spans="9:13" x14ac:dyDescent="0.3">
      <c r="I19442" s="82"/>
      <c r="M19442" s="85"/>
    </row>
    <row r="19443" spans="9:13" x14ac:dyDescent="0.3">
      <c r="I19443" s="82"/>
      <c r="M19443" s="85"/>
    </row>
    <row r="19444" spans="9:13" x14ac:dyDescent="0.3">
      <c r="I19444" s="82"/>
      <c r="M19444" s="85"/>
    </row>
    <row r="19445" spans="9:13" x14ac:dyDescent="0.3">
      <c r="I19445" s="82"/>
      <c r="M19445" s="85"/>
    </row>
    <row r="19446" spans="9:13" x14ac:dyDescent="0.3">
      <c r="I19446" s="82"/>
      <c r="M19446" s="85"/>
    </row>
    <row r="19447" spans="9:13" x14ac:dyDescent="0.3">
      <c r="I19447" s="82"/>
      <c r="M19447" s="85"/>
    </row>
    <row r="19448" spans="9:13" x14ac:dyDescent="0.3">
      <c r="I19448" s="82"/>
      <c r="M19448" s="85"/>
    </row>
    <row r="19449" spans="9:13" x14ac:dyDescent="0.3">
      <c r="I19449" s="82"/>
      <c r="M19449" s="85"/>
    </row>
    <row r="19450" spans="9:13" x14ac:dyDescent="0.3">
      <c r="I19450" s="82"/>
      <c r="M19450" s="85"/>
    </row>
    <row r="19451" spans="9:13" x14ac:dyDescent="0.3">
      <c r="I19451" s="82"/>
      <c r="M19451" s="85"/>
    </row>
    <row r="19452" spans="9:13" x14ac:dyDescent="0.3">
      <c r="I19452" s="82"/>
      <c r="M19452" s="85"/>
    </row>
    <row r="19453" spans="9:13" x14ac:dyDescent="0.3">
      <c r="I19453" s="82"/>
      <c r="M19453" s="85"/>
    </row>
    <row r="19454" spans="9:13" x14ac:dyDescent="0.3">
      <c r="I19454" s="82"/>
      <c r="M19454" s="85"/>
    </row>
    <row r="19455" spans="9:13" x14ac:dyDescent="0.3">
      <c r="I19455" s="82"/>
      <c r="M19455" s="85"/>
    </row>
    <row r="19456" spans="9:13" x14ac:dyDescent="0.3">
      <c r="I19456" s="82"/>
      <c r="M19456" s="85"/>
    </row>
    <row r="19457" spans="9:13" x14ac:dyDescent="0.3">
      <c r="I19457" s="82"/>
      <c r="M19457" s="85"/>
    </row>
    <row r="19458" spans="9:13" x14ac:dyDescent="0.3">
      <c r="I19458" s="82"/>
      <c r="M19458" s="85"/>
    </row>
    <row r="19459" spans="9:13" x14ac:dyDescent="0.3">
      <c r="I19459" s="82"/>
      <c r="M19459" s="85"/>
    </row>
    <row r="19460" spans="9:13" x14ac:dyDescent="0.3">
      <c r="I19460" s="82"/>
      <c r="M19460" s="85"/>
    </row>
    <row r="19461" spans="9:13" x14ac:dyDescent="0.3">
      <c r="I19461" s="82"/>
      <c r="M19461" s="85"/>
    </row>
    <row r="19462" spans="9:13" x14ac:dyDescent="0.3">
      <c r="I19462" s="82"/>
      <c r="M19462" s="85"/>
    </row>
    <row r="19463" spans="9:13" x14ac:dyDescent="0.3">
      <c r="I19463" s="82"/>
      <c r="M19463" s="85"/>
    </row>
    <row r="19464" spans="9:13" x14ac:dyDescent="0.3">
      <c r="I19464" s="82"/>
      <c r="M19464" s="85"/>
    </row>
    <row r="19465" spans="9:13" x14ac:dyDescent="0.3">
      <c r="I19465" s="82"/>
      <c r="M19465" s="85"/>
    </row>
    <row r="19466" spans="9:13" x14ac:dyDescent="0.3">
      <c r="I19466" s="82"/>
      <c r="M19466" s="85"/>
    </row>
    <row r="19467" spans="9:13" x14ac:dyDescent="0.3">
      <c r="I19467" s="82"/>
      <c r="M19467" s="85"/>
    </row>
    <row r="19468" spans="9:13" x14ac:dyDescent="0.3">
      <c r="I19468" s="82"/>
      <c r="M19468" s="85"/>
    </row>
    <row r="19469" spans="9:13" x14ac:dyDescent="0.3">
      <c r="I19469" s="82"/>
      <c r="M19469" s="85"/>
    </row>
    <row r="19470" spans="9:13" x14ac:dyDescent="0.3">
      <c r="I19470" s="82"/>
      <c r="M19470" s="85"/>
    </row>
    <row r="19471" spans="9:13" x14ac:dyDescent="0.3">
      <c r="I19471" s="82"/>
      <c r="M19471" s="85"/>
    </row>
    <row r="19472" spans="9:13" x14ac:dyDescent="0.3">
      <c r="I19472" s="82"/>
      <c r="M19472" s="85"/>
    </row>
    <row r="19473" spans="9:13" x14ac:dyDescent="0.3">
      <c r="I19473" s="82"/>
      <c r="M19473" s="85"/>
    </row>
    <row r="19474" spans="9:13" x14ac:dyDescent="0.3">
      <c r="I19474" s="82"/>
      <c r="M19474" s="85"/>
    </row>
    <row r="19475" spans="9:13" x14ac:dyDescent="0.3">
      <c r="I19475" s="82"/>
      <c r="M19475" s="85"/>
    </row>
    <row r="19476" spans="9:13" x14ac:dyDescent="0.3">
      <c r="I19476" s="82"/>
      <c r="M19476" s="85"/>
    </row>
    <row r="19477" spans="9:13" x14ac:dyDescent="0.3">
      <c r="I19477" s="82"/>
      <c r="M19477" s="85"/>
    </row>
    <row r="19478" spans="9:13" x14ac:dyDescent="0.3">
      <c r="I19478" s="82"/>
      <c r="M19478" s="85"/>
    </row>
    <row r="19479" spans="9:13" x14ac:dyDescent="0.3">
      <c r="I19479" s="82"/>
      <c r="M19479" s="85"/>
    </row>
    <row r="19480" spans="9:13" x14ac:dyDescent="0.3">
      <c r="I19480" s="82"/>
      <c r="M19480" s="85"/>
    </row>
    <row r="19481" spans="9:13" x14ac:dyDescent="0.3">
      <c r="I19481" s="82"/>
      <c r="M19481" s="85"/>
    </row>
    <row r="19482" spans="9:13" x14ac:dyDescent="0.3">
      <c r="I19482" s="82"/>
      <c r="M19482" s="85"/>
    </row>
    <row r="19483" spans="9:13" x14ac:dyDescent="0.3">
      <c r="I19483" s="82"/>
      <c r="M19483" s="85"/>
    </row>
    <row r="19484" spans="9:13" x14ac:dyDescent="0.3">
      <c r="I19484" s="82"/>
      <c r="M19484" s="85"/>
    </row>
    <row r="19485" spans="9:13" x14ac:dyDescent="0.3">
      <c r="I19485" s="82"/>
      <c r="M19485" s="85"/>
    </row>
    <row r="19486" spans="9:13" x14ac:dyDescent="0.3">
      <c r="I19486" s="82"/>
      <c r="M19486" s="85"/>
    </row>
    <row r="19487" spans="9:13" x14ac:dyDescent="0.3">
      <c r="I19487" s="82"/>
      <c r="M19487" s="85"/>
    </row>
    <row r="19488" spans="9:13" x14ac:dyDescent="0.3">
      <c r="I19488" s="82"/>
      <c r="M19488" s="85"/>
    </row>
    <row r="19489" spans="9:13" x14ac:dyDescent="0.3">
      <c r="I19489" s="82"/>
      <c r="M19489" s="85"/>
    </row>
    <row r="19490" spans="9:13" x14ac:dyDescent="0.3">
      <c r="I19490" s="82"/>
      <c r="M19490" s="85"/>
    </row>
    <row r="19491" spans="9:13" x14ac:dyDescent="0.3">
      <c r="I19491" s="82"/>
      <c r="M19491" s="85"/>
    </row>
    <row r="19492" spans="9:13" x14ac:dyDescent="0.3">
      <c r="I19492" s="82"/>
      <c r="M19492" s="85"/>
    </row>
    <row r="19493" spans="9:13" x14ac:dyDescent="0.3">
      <c r="I19493" s="82"/>
      <c r="M19493" s="85"/>
    </row>
    <row r="19494" spans="9:13" x14ac:dyDescent="0.3">
      <c r="I19494" s="82"/>
      <c r="M19494" s="85"/>
    </row>
    <row r="19495" spans="9:13" x14ac:dyDescent="0.3">
      <c r="I19495" s="82"/>
      <c r="M19495" s="85"/>
    </row>
    <row r="19496" spans="9:13" x14ac:dyDescent="0.3">
      <c r="I19496" s="82"/>
      <c r="M19496" s="85"/>
    </row>
    <row r="19497" spans="9:13" x14ac:dyDescent="0.3">
      <c r="I19497" s="82"/>
      <c r="M19497" s="85"/>
    </row>
    <row r="19498" spans="9:13" x14ac:dyDescent="0.3">
      <c r="I19498" s="82"/>
      <c r="M19498" s="85"/>
    </row>
    <row r="19499" spans="9:13" x14ac:dyDescent="0.3">
      <c r="I19499" s="82"/>
      <c r="M19499" s="85"/>
    </row>
    <row r="19500" spans="9:13" x14ac:dyDescent="0.3">
      <c r="I19500" s="82"/>
      <c r="M19500" s="85"/>
    </row>
    <row r="19501" spans="9:13" x14ac:dyDescent="0.3">
      <c r="I19501" s="82"/>
      <c r="M19501" s="85"/>
    </row>
    <row r="19502" spans="9:13" x14ac:dyDescent="0.3">
      <c r="I19502" s="82"/>
      <c r="M19502" s="85"/>
    </row>
    <row r="19503" spans="9:13" x14ac:dyDescent="0.3">
      <c r="I19503" s="82"/>
      <c r="M19503" s="85"/>
    </row>
    <row r="19504" spans="9:13" x14ac:dyDescent="0.3">
      <c r="I19504" s="82"/>
      <c r="M19504" s="85"/>
    </row>
    <row r="19505" spans="9:13" x14ac:dyDescent="0.3">
      <c r="I19505" s="82"/>
      <c r="M19505" s="85"/>
    </row>
    <row r="19506" spans="9:13" x14ac:dyDescent="0.3">
      <c r="I19506" s="82"/>
      <c r="M19506" s="85"/>
    </row>
    <row r="19507" spans="9:13" x14ac:dyDescent="0.3">
      <c r="I19507" s="82"/>
      <c r="M19507" s="85"/>
    </row>
    <row r="19508" spans="9:13" x14ac:dyDescent="0.3">
      <c r="I19508" s="82"/>
      <c r="M19508" s="85"/>
    </row>
    <row r="19509" spans="9:13" x14ac:dyDescent="0.3">
      <c r="I19509" s="82"/>
      <c r="M19509" s="85"/>
    </row>
    <row r="19510" spans="9:13" x14ac:dyDescent="0.3">
      <c r="I19510" s="82"/>
      <c r="M19510" s="85"/>
    </row>
    <row r="19511" spans="9:13" x14ac:dyDescent="0.3">
      <c r="I19511" s="82"/>
      <c r="M19511" s="85"/>
    </row>
    <row r="19512" spans="9:13" x14ac:dyDescent="0.3">
      <c r="I19512" s="82"/>
      <c r="M19512" s="85"/>
    </row>
    <row r="19513" spans="9:13" x14ac:dyDescent="0.3">
      <c r="I19513" s="82"/>
      <c r="M19513" s="85"/>
    </row>
    <row r="19514" spans="9:13" x14ac:dyDescent="0.3">
      <c r="I19514" s="82"/>
      <c r="M19514" s="85"/>
    </row>
    <row r="19515" spans="9:13" x14ac:dyDescent="0.3">
      <c r="I19515" s="82"/>
      <c r="M19515" s="85"/>
    </row>
    <row r="19516" spans="9:13" x14ac:dyDescent="0.3">
      <c r="I19516" s="82"/>
      <c r="M19516" s="85"/>
    </row>
    <row r="19517" spans="9:13" x14ac:dyDescent="0.3">
      <c r="I19517" s="82"/>
      <c r="M19517" s="85"/>
    </row>
    <row r="19518" spans="9:13" x14ac:dyDescent="0.3">
      <c r="I19518" s="82"/>
      <c r="M19518" s="85"/>
    </row>
    <row r="19519" spans="9:13" x14ac:dyDescent="0.3">
      <c r="I19519" s="82"/>
      <c r="M19519" s="85"/>
    </row>
    <row r="19520" spans="9:13" x14ac:dyDescent="0.3">
      <c r="I19520" s="82"/>
      <c r="M19520" s="85"/>
    </row>
    <row r="19521" spans="9:13" x14ac:dyDescent="0.3">
      <c r="I19521" s="82"/>
      <c r="M19521" s="85"/>
    </row>
    <row r="19522" spans="9:13" x14ac:dyDescent="0.3">
      <c r="I19522" s="82"/>
      <c r="M19522" s="85"/>
    </row>
    <row r="19523" spans="9:13" x14ac:dyDescent="0.3">
      <c r="I19523" s="82"/>
      <c r="M19523" s="85"/>
    </row>
    <row r="19524" spans="9:13" x14ac:dyDescent="0.3">
      <c r="I19524" s="82"/>
      <c r="M19524" s="85"/>
    </row>
    <row r="19525" spans="9:13" x14ac:dyDescent="0.3">
      <c r="I19525" s="82"/>
      <c r="M19525" s="85"/>
    </row>
    <row r="19526" spans="9:13" x14ac:dyDescent="0.3">
      <c r="I19526" s="82"/>
      <c r="M19526" s="85"/>
    </row>
    <row r="19527" spans="9:13" x14ac:dyDescent="0.3">
      <c r="I19527" s="82"/>
      <c r="M19527" s="85"/>
    </row>
    <row r="19528" spans="9:13" x14ac:dyDescent="0.3">
      <c r="I19528" s="82"/>
      <c r="M19528" s="85"/>
    </row>
    <row r="19529" spans="9:13" x14ac:dyDescent="0.3">
      <c r="I19529" s="82"/>
      <c r="M19529" s="85"/>
    </row>
    <row r="19530" spans="9:13" x14ac:dyDescent="0.3">
      <c r="I19530" s="82"/>
      <c r="M19530" s="85"/>
    </row>
    <row r="19531" spans="9:13" x14ac:dyDescent="0.3">
      <c r="I19531" s="82"/>
      <c r="M19531" s="85"/>
    </row>
    <row r="19532" spans="9:13" x14ac:dyDescent="0.3">
      <c r="I19532" s="82"/>
      <c r="M19532" s="85"/>
    </row>
    <row r="19533" spans="9:13" x14ac:dyDescent="0.3">
      <c r="I19533" s="82"/>
      <c r="M19533" s="85"/>
    </row>
    <row r="19534" spans="9:13" x14ac:dyDescent="0.3">
      <c r="I19534" s="82"/>
      <c r="M19534" s="85"/>
    </row>
    <row r="19535" spans="9:13" x14ac:dyDescent="0.3">
      <c r="I19535" s="82"/>
      <c r="M19535" s="85"/>
    </row>
    <row r="19536" spans="9:13" x14ac:dyDescent="0.3">
      <c r="I19536" s="82"/>
      <c r="M19536" s="85"/>
    </row>
    <row r="19537" spans="9:13" x14ac:dyDescent="0.3">
      <c r="I19537" s="82"/>
      <c r="M19537" s="85"/>
    </row>
    <row r="19538" spans="9:13" x14ac:dyDescent="0.3">
      <c r="I19538" s="82"/>
      <c r="M19538" s="85"/>
    </row>
    <row r="19539" spans="9:13" x14ac:dyDescent="0.3">
      <c r="I19539" s="82"/>
      <c r="M19539" s="85"/>
    </row>
    <row r="19540" spans="9:13" x14ac:dyDescent="0.3">
      <c r="I19540" s="82"/>
      <c r="M19540" s="85"/>
    </row>
    <row r="19541" spans="9:13" x14ac:dyDescent="0.3">
      <c r="I19541" s="82"/>
      <c r="M19541" s="85"/>
    </row>
    <row r="19542" spans="9:13" x14ac:dyDescent="0.3">
      <c r="I19542" s="82"/>
      <c r="M19542" s="85"/>
    </row>
    <row r="19543" spans="9:13" x14ac:dyDescent="0.3">
      <c r="I19543" s="82"/>
      <c r="M19543" s="85"/>
    </row>
    <row r="19544" spans="9:13" x14ac:dyDescent="0.3">
      <c r="I19544" s="82"/>
      <c r="M19544" s="85"/>
    </row>
    <row r="19545" spans="9:13" x14ac:dyDescent="0.3">
      <c r="I19545" s="82"/>
      <c r="M19545" s="85"/>
    </row>
    <row r="19546" spans="9:13" x14ac:dyDescent="0.3">
      <c r="I19546" s="82"/>
      <c r="M19546" s="85"/>
    </row>
    <row r="19547" spans="9:13" x14ac:dyDescent="0.3">
      <c r="I19547" s="82"/>
      <c r="M19547" s="85"/>
    </row>
    <row r="19548" spans="9:13" x14ac:dyDescent="0.3">
      <c r="I19548" s="82"/>
      <c r="M19548" s="85"/>
    </row>
    <row r="19549" spans="9:13" x14ac:dyDescent="0.3">
      <c r="I19549" s="82"/>
      <c r="M19549" s="85"/>
    </row>
    <row r="19550" spans="9:13" x14ac:dyDescent="0.3">
      <c r="I19550" s="82"/>
      <c r="M19550" s="85"/>
    </row>
    <row r="19551" spans="9:13" x14ac:dyDescent="0.3">
      <c r="I19551" s="82"/>
      <c r="M19551" s="85"/>
    </row>
    <row r="19552" spans="9:13" x14ac:dyDescent="0.3">
      <c r="I19552" s="82"/>
      <c r="M19552" s="85"/>
    </row>
    <row r="19553" spans="9:13" x14ac:dyDescent="0.3">
      <c r="I19553" s="82"/>
      <c r="M19553" s="85"/>
    </row>
    <row r="19554" spans="9:13" x14ac:dyDescent="0.3">
      <c r="I19554" s="82"/>
      <c r="M19554" s="85"/>
    </row>
    <row r="19555" spans="9:13" x14ac:dyDescent="0.3">
      <c r="I19555" s="82"/>
      <c r="M19555" s="85"/>
    </row>
    <row r="19556" spans="9:13" x14ac:dyDescent="0.3">
      <c r="I19556" s="82"/>
      <c r="M19556" s="85"/>
    </row>
    <row r="19557" spans="9:13" x14ac:dyDescent="0.3">
      <c r="I19557" s="82"/>
      <c r="M19557" s="85"/>
    </row>
    <row r="19558" spans="9:13" x14ac:dyDescent="0.3">
      <c r="I19558" s="82"/>
      <c r="M19558" s="85"/>
    </row>
    <row r="19559" spans="9:13" x14ac:dyDescent="0.3">
      <c r="I19559" s="82"/>
      <c r="M19559" s="85"/>
    </row>
    <row r="19560" spans="9:13" x14ac:dyDescent="0.3">
      <c r="I19560" s="82"/>
      <c r="M19560" s="85"/>
    </row>
    <row r="19561" spans="9:13" x14ac:dyDescent="0.3">
      <c r="I19561" s="82"/>
      <c r="M19561" s="85"/>
    </row>
    <row r="19562" spans="9:13" x14ac:dyDescent="0.3">
      <c r="I19562" s="82"/>
      <c r="M19562" s="85"/>
    </row>
    <row r="19563" spans="9:13" x14ac:dyDescent="0.3">
      <c r="I19563" s="82"/>
      <c r="M19563" s="85"/>
    </row>
    <row r="19564" spans="9:13" x14ac:dyDescent="0.3">
      <c r="I19564" s="82"/>
      <c r="M19564" s="85"/>
    </row>
    <row r="19565" spans="9:13" x14ac:dyDescent="0.3">
      <c r="I19565" s="82"/>
      <c r="M19565" s="85"/>
    </row>
    <row r="19566" spans="9:13" x14ac:dyDescent="0.3">
      <c r="I19566" s="82"/>
      <c r="M19566" s="85"/>
    </row>
    <row r="19567" spans="9:13" x14ac:dyDescent="0.3">
      <c r="I19567" s="82"/>
      <c r="M19567" s="85"/>
    </row>
    <row r="19568" spans="9:13" x14ac:dyDescent="0.3">
      <c r="I19568" s="82"/>
      <c r="M19568" s="85"/>
    </row>
    <row r="19569" spans="9:13" x14ac:dyDescent="0.3">
      <c r="I19569" s="82"/>
      <c r="M19569" s="85"/>
    </row>
    <row r="19570" spans="9:13" x14ac:dyDescent="0.3">
      <c r="I19570" s="82"/>
      <c r="M19570" s="85"/>
    </row>
    <row r="19571" spans="9:13" x14ac:dyDescent="0.3">
      <c r="I19571" s="82"/>
      <c r="M19571" s="85"/>
    </row>
    <row r="19572" spans="9:13" x14ac:dyDescent="0.3">
      <c r="I19572" s="82"/>
      <c r="M19572" s="85"/>
    </row>
    <row r="19573" spans="9:13" x14ac:dyDescent="0.3">
      <c r="I19573" s="82"/>
      <c r="M19573" s="85"/>
    </row>
    <row r="19574" spans="9:13" x14ac:dyDescent="0.3">
      <c r="I19574" s="82"/>
      <c r="M19574" s="85"/>
    </row>
    <row r="19575" spans="9:13" x14ac:dyDescent="0.3">
      <c r="I19575" s="82"/>
      <c r="M19575" s="85"/>
    </row>
    <row r="19576" spans="9:13" x14ac:dyDescent="0.3">
      <c r="I19576" s="82"/>
      <c r="M19576" s="85"/>
    </row>
    <row r="19577" spans="9:13" x14ac:dyDescent="0.3">
      <c r="I19577" s="82"/>
      <c r="M19577" s="85"/>
    </row>
    <row r="19578" spans="9:13" x14ac:dyDescent="0.3">
      <c r="I19578" s="82"/>
      <c r="M19578" s="85"/>
    </row>
    <row r="19579" spans="9:13" x14ac:dyDescent="0.3">
      <c r="I19579" s="82"/>
      <c r="M19579" s="85"/>
    </row>
    <row r="19580" spans="9:13" x14ac:dyDescent="0.3">
      <c r="I19580" s="82"/>
      <c r="M19580" s="85"/>
    </row>
    <row r="19581" spans="9:13" x14ac:dyDescent="0.3">
      <c r="I19581" s="82"/>
      <c r="M19581" s="85"/>
    </row>
    <row r="19582" spans="9:13" x14ac:dyDescent="0.3">
      <c r="I19582" s="82"/>
      <c r="M19582" s="85"/>
    </row>
    <row r="19583" spans="9:13" x14ac:dyDescent="0.3">
      <c r="I19583" s="82"/>
      <c r="M19583" s="85"/>
    </row>
    <row r="19584" spans="9:13" x14ac:dyDescent="0.3">
      <c r="I19584" s="82"/>
      <c r="M19584" s="85"/>
    </row>
    <row r="19585" spans="9:13" x14ac:dyDescent="0.3">
      <c r="I19585" s="82"/>
      <c r="M19585" s="85"/>
    </row>
    <row r="19586" spans="9:13" x14ac:dyDescent="0.3">
      <c r="I19586" s="82"/>
      <c r="M19586" s="85"/>
    </row>
    <row r="19587" spans="9:13" x14ac:dyDescent="0.3">
      <c r="I19587" s="82"/>
      <c r="M19587" s="85"/>
    </row>
    <row r="19588" spans="9:13" x14ac:dyDescent="0.3">
      <c r="I19588" s="82"/>
      <c r="M19588" s="85"/>
    </row>
    <row r="19589" spans="9:13" x14ac:dyDescent="0.3">
      <c r="I19589" s="82"/>
      <c r="M19589" s="85"/>
    </row>
    <row r="19590" spans="9:13" x14ac:dyDescent="0.3">
      <c r="I19590" s="82"/>
      <c r="M19590" s="85"/>
    </row>
    <row r="19591" spans="9:13" x14ac:dyDescent="0.3">
      <c r="I19591" s="82"/>
      <c r="M19591" s="85"/>
    </row>
    <row r="19592" spans="9:13" x14ac:dyDescent="0.3">
      <c r="I19592" s="82"/>
      <c r="M19592" s="85"/>
    </row>
    <row r="19593" spans="9:13" x14ac:dyDescent="0.3">
      <c r="I19593" s="82"/>
      <c r="M19593" s="85"/>
    </row>
    <row r="19594" spans="9:13" x14ac:dyDescent="0.3">
      <c r="I19594" s="82"/>
      <c r="M19594" s="85"/>
    </row>
    <row r="19595" spans="9:13" x14ac:dyDescent="0.3">
      <c r="I19595" s="82"/>
      <c r="M19595" s="85"/>
    </row>
    <row r="19596" spans="9:13" x14ac:dyDescent="0.3">
      <c r="I19596" s="82"/>
      <c r="M19596" s="85"/>
    </row>
    <row r="19597" spans="9:13" x14ac:dyDescent="0.3">
      <c r="I19597" s="82"/>
      <c r="M19597" s="85"/>
    </row>
    <row r="19598" spans="9:13" x14ac:dyDescent="0.3">
      <c r="I19598" s="82"/>
      <c r="M19598" s="85"/>
    </row>
    <row r="19599" spans="9:13" x14ac:dyDescent="0.3">
      <c r="I19599" s="82"/>
      <c r="M19599" s="85"/>
    </row>
    <row r="19600" spans="9:13" x14ac:dyDescent="0.3">
      <c r="I19600" s="82"/>
      <c r="M19600" s="85"/>
    </row>
    <row r="19601" spans="9:13" x14ac:dyDescent="0.3">
      <c r="I19601" s="82"/>
      <c r="M19601" s="85"/>
    </row>
    <row r="19602" spans="9:13" x14ac:dyDescent="0.3">
      <c r="I19602" s="82"/>
      <c r="M19602" s="85"/>
    </row>
    <row r="19603" spans="9:13" x14ac:dyDescent="0.3">
      <c r="I19603" s="82"/>
      <c r="M19603" s="85"/>
    </row>
    <row r="19604" spans="9:13" x14ac:dyDescent="0.3">
      <c r="I19604" s="82"/>
      <c r="M19604" s="85"/>
    </row>
    <row r="19605" spans="9:13" x14ac:dyDescent="0.3">
      <c r="I19605" s="82"/>
      <c r="M19605" s="85"/>
    </row>
    <row r="19606" spans="9:13" x14ac:dyDescent="0.3">
      <c r="I19606" s="82"/>
      <c r="M19606" s="85"/>
    </row>
    <row r="19607" spans="9:13" x14ac:dyDescent="0.3">
      <c r="I19607" s="82"/>
      <c r="M19607" s="85"/>
    </row>
    <row r="19608" spans="9:13" x14ac:dyDescent="0.3">
      <c r="I19608" s="82"/>
      <c r="M19608" s="85"/>
    </row>
    <row r="19609" spans="9:13" x14ac:dyDescent="0.3">
      <c r="I19609" s="82"/>
      <c r="M19609" s="85"/>
    </row>
    <row r="19610" spans="9:13" x14ac:dyDescent="0.3">
      <c r="I19610" s="82"/>
      <c r="M19610" s="85"/>
    </row>
    <row r="19611" spans="9:13" x14ac:dyDescent="0.3">
      <c r="I19611" s="82"/>
      <c r="M19611" s="85"/>
    </row>
    <row r="19612" spans="9:13" x14ac:dyDescent="0.3">
      <c r="I19612" s="82"/>
      <c r="M19612" s="85"/>
    </row>
    <row r="19613" spans="9:13" x14ac:dyDescent="0.3">
      <c r="I19613" s="82"/>
      <c r="M19613" s="85"/>
    </row>
    <row r="19614" spans="9:13" x14ac:dyDescent="0.3">
      <c r="I19614" s="82"/>
      <c r="M19614" s="85"/>
    </row>
    <row r="19615" spans="9:13" x14ac:dyDescent="0.3">
      <c r="I19615" s="82"/>
      <c r="M19615" s="85"/>
    </row>
    <row r="19616" spans="9:13" x14ac:dyDescent="0.3">
      <c r="I19616" s="82"/>
      <c r="M19616" s="85"/>
    </row>
    <row r="19617" spans="9:13" x14ac:dyDescent="0.3">
      <c r="I19617" s="82"/>
      <c r="M19617" s="85"/>
    </row>
    <row r="19618" spans="9:13" x14ac:dyDescent="0.3">
      <c r="I19618" s="82"/>
      <c r="M19618" s="85"/>
    </row>
    <row r="19619" spans="9:13" x14ac:dyDescent="0.3">
      <c r="I19619" s="82"/>
      <c r="M19619" s="85"/>
    </row>
    <row r="19620" spans="9:13" x14ac:dyDescent="0.3">
      <c r="I19620" s="82"/>
      <c r="M19620" s="85"/>
    </row>
    <row r="19621" spans="9:13" x14ac:dyDescent="0.3">
      <c r="I19621" s="82"/>
      <c r="M19621" s="85"/>
    </row>
    <row r="19622" spans="9:13" x14ac:dyDescent="0.3">
      <c r="I19622" s="82"/>
      <c r="M19622" s="85"/>
    </row>
    <row r="19623" spans="9:13" x14ac:dyDescent="0.3">
      <c r="I19623" s="82"/>
      <c r="M19623" s="85"/>
    </row>
    <row r="19624" spans="9:13" x14ac:dyDescent="0.3">
      <c r="I19624" s="82"/>
      <c r="M19624" s="85"/>
    </row>
    <row r="19625" spans="9:13" x14ac:dyDescent="0.3">
      <c r="I19625" s="82"/>
      <c r="M19625" s="85"/>
    </row>
    <row r="19626" spans="9:13" x14ac:dyDescent="0.3">
      <c r="I19626" s="82"/>
      <c r="M19626" s="85"/>
    </row>
    <row r="19627" spans="9:13" x14ac:dyDescent="0.3">
      <c r="I19627" s="82"/>
      <c r="M19627" s="85"/>
    </row>
    <row r="19628" spans="9:13" x14ac:dyDescent="0.3">
      <c r="I19628" s="82"/>
      <c r="M19628" s="85"/>
    </row>
    <row r="19629" spans="9:13" x14ac:dyDescent="0.3">
      <c r="I19629" s="82"/>
      <c r="M19629" s="85"/>
    </row>
    <row r="19630" spans="9:13" x14ac:dyDescent="0.3">
      <c r="I19630" s="82"/>
      <c r="M19630" s="85"/>
    </row>
    <row r="19631" spans="9:13" x14ac:dyDescent="0.3">
      <c r="I19631" s="82"/>
      <c r="M19631" s="85"/>
    </row>
    <row r="19632" spans="9:13" x14ac:dyDescent="0.3">
      <c r="I19632" s="82"/>
      <c r="M19632" s="85"/>
    </row>
    <row r="19633" spans="9:13" x14ac:dyDescent="0.3">
      <c r="I19633" s="82"/>
      <c r="M19633" s="85"/>
    </row>
    <row r="19634" spans="9:13" x14ac:dyDescent="0.3">
      <c r="I19634" s="82"/>
      <c r="M19634" s="85"/>
    </row>
    <row r="19635" spans="9:13" x14ac:dyDescent="0.3">
      <c r="I19635" s="82"/>
      <c r="M19635" s="85"/>
    </row>
    <row r="19636" spans="9:13" x14ac:dyDescent="0.3">
      <c r="I19636" s="82"/>
      <c r="M19636" s="85"/>
    </row>
    <row r="19637" spans="9:13" x14ac:dyDescent="0.3">
      <c r="I19637" s="82"/>
      <c r="M19637" s="85"/>
    </row>
    <row r="19638" spans="9:13" x14ac:dyDescent="0.3">
      <c r="I19638" s="82"/>
      <c r="M19638" s="85"/>
    </row>
    <row r="19639" spans="9:13" x14ac:dyDescent="0.3">
      <c r="I19639" s="82"/>
      <c r="M19639" s="85"/>
    </row>
    <row r="19640" spans="9:13" x14ac:dyDescent="0.3">
      <c r="I19640" s="82"/>
      <c r="M19640" s="85"/>
    </row>
    <row r="19641" spans="9:13" x14ac:dyDescent="0.3">
      <c r="I19641" s="82"/>
      <c r="M19641" s="85"/>
    </row>
    <row r="19642" spans="9:13" x14ac:dyDescent="0.3">
      <c r="I19642" s="82"/>
      <c r="M19642" s="85"/>
    </row>
    <row r="19643" spans="9:13" x14ac:dyDescent="0.3">
      <c r="I19643" s="82"/>
      <c r="M19643" s="85"/>
    </row>
    <row r="19644" spans="9:13" x14ac:dyDescent="0.3">
      <c r="I19644" s="82"/>
      <c r="M19644" s="85"/>
    </row>
    <row r="19645" spans="9:13" x14ac:dyDescent="0.3">
      <c r="I19645" s="82"/>
      <c r="M19645" s="85"/>
    </row>
    <row r="19646" spans="9:13" x14ac:dyDescent="0.3">
      <c r="I19646" s="82"/>
      <c r="M19646" s="85"/>
    </row>
    <row r="19647" spans="9:13" x14ac:dyDescent="0.3">
      <c r="I19647" s="82"/>
      <c r="M19647" s="85"/>
    </row>
    <row r="19648" spans="9:13" x14ac:dyDescent="0.3">
      <c r="I19648" s="82"/>
      <c r="M19648" s="85"/>
    </row>
    <row r="19649" spans="9:13" x14ac:dyDescent="0.3">
      <c r="I19649" s="82"/>
      <c r="M19649" s="85"/>
    </row>
    <row r="19650" spans="9:13" x14ac:dyDescent="0.3">
      <c r="I19650" s="82"/>
      <c r="M19650" s="85"/>
    </row>
    <row r="19651" spans="9:13" x14ac:dyDescent="0.3">
      <c r="I19651" s="82"/>
      <c r="M19651" s="85"/>
    </row>
    <row r="19652" spans="9:13" x14ac:dyDescent="0.3">
      <c r="I19652" s="82"/>
      <c r="M19652" s="85"/>
    </row>
    <row r="19653" spans="9:13" x14ac:dyDescent="0.3">
      <c r="I19653" s="82"/>
      <c r="M19653" s="85"/>
    </row>
    <row r="19654" spans="9:13" x14ac:dyDescent="0.3">
      <c r="I19654" s="82"/>
      <c r="M19654" s="85"/>
    </row>
    <row r="19655" spans="9:13" x14ac:dyDescent="0.3">
      <c r="I19655" s="82"/>
      <c r="M19655" s="85"/>
    </row>
    <row r="19656" spans="9:13" x14ac:dyDescent="0.3">
      <c r="I19656" s="82"/>
      <c r="M19656" s="85"/>
    </row>
    <row r="19657" spans="9:13" x14ac:dyDescent="0.3">
      <c r="I19657" s="82"/>
      <c r="M19657" s="85"/>
    </row>
    <row r="19658" spans="9:13" x14ac:dyDescent="0.3">
      <c r="I19658" s="82"/>
      <c r="M19658" s="85"/>
    </row>
    <row r="19659" spans="9:13" x14ac:dyDescent="0.3">
      <c r="I19659" s="82"/>
      <c r="M19659" s="85"/>
    </row>
    <row r="19660" spans="9:13" x14ac:dyDescent="0.3">
      <c r="I19660" s="82"/>
      <c r="M19660" s="85"/>
    </row>
    <row r="19661" spans="9:13" x14ac:dyDescent="0.3">
      <c r="I19661" s="82"/>
      <c r="M19661" s="85"/>
    </row>
    <row r="19662" spans="9:13" x14ac:dyDescent="0.3">
      <c r="I19662" s="82"/>
      <c r="M19662" s="85"/>
    </row>
    <row r="19663" spans="9:13" x14ac:dyDescent="0.3">
      <c r="I19663" s="82"/>
      <c r="M19663" s="85"/>
    </row>
    <row r="19664" spans="9:13" x14ac:dyDescent="0.3">
      <c r="I19664" s="82"/>
      <c r="M19664" s="85"/>
    </row>
    <row r="19665" spans="9:13" x14ac:dyDescent="0.3">
      <c r="I19665" s="82"/>
      <c r="M19665" s="85"/>
    </row>
    <row r="19666" spans="9:13" x14ac:dyDescent="0.3">
      <c r="I19666" s="82"/>
      <c r="M19666" s="85"/>
    </row>
    <row r="19667" spans="9:13" x14ac:dyDescent="0.3">
      <c r="I19667" s="82"/>
      <c r="M19667" s="85"/>
    </row>
    <row r="19668" spans="9:13" x14ac:dyDescent="0.3">
      <c r="I19668" s="82"/>
      <c r="M19668" s="85"/>
    </row>
    <row r="19669" spans="9:13" x14ac:dyDescent="0.3">
      <c r="I19669" s="82"/>
      <c r="M19669" s="85"/>
    </row>
    <row r="19670" spans="9:13" x14ac:dyDescent="0.3">
      <c r="I19670" s="82"/>
      <c r="M19670" s="85"/>
    </row>
    <row r="19671" spans="9:13" x14ac:dyDescent="0.3">
      <c r="I19671" s="82"/>
      <c r="M19671" s="85"/>
    </row>
    <row r="19672" spans="9:13" x14ac:dyDescent="0.3">
      <c r="I19672" s="82"/>
      <c r="M19672" s="85"/>
    </row>
    <row r="19673" spans="9:13" x14ac:dyDescent="0.3">
      <c r="I19673" s="82"/>
      <c r="M19673" s="85"/>
    </row>
    <row r="19674" spans="9:13" x14ac:dyDescent="0.3">
      <c r="I19674" s="82"/>
      <c r="M19674" s="85"/>
    </row>
    <row r="19675" spans="9:13" x14ac:dyDescent="0.3">
      <c r="I19675" s="82"/>
      <c r="M19675" s="85"/>
    </row>
    <row r="19676" spans="9:13" x14ac:dyDescent="0.3">
      <c r="I19676" s="82"/>
      <c r="M19676" s="85"/>
    </row>
    <row r="19677" spans="9:13" x14ac:dyDescent="0.3">
      <c r="I19677" s="82"/>
      <c r="M19677" s="85"/>
    </row>
    <row r="19678" spans="9:13" x14ac:dyDescent="0.3">
      <c r="I19678" s="82"/>
      <c r="M19678" s="85"/>
    </row>
    <row r="19679" spans="9:13" x14ac:dyDescent="0.3">
      <c r="I19679" s="82"/>
      <c r="M19679" s="85"/>
    </row>
    <row r="19680" spans="9:13" x14ac:dyDescent="0.3">
      <c r="I19680" s="82"/>
      <c r="M19680" s="85"/>
    </row>
    <row r="19681" spans="9:13" x14ac:dyDescent="0.3">
      <c r="I19681" s="82"/>
      <c r="M19681" s="85"/>
    </row>
    <row r="19682" spans="9:13" x14ac:dyDescent="0.3">
      <c r="I19682" s="82"/>
      <c r="M19682" s="85"/>
    </row>
    <row r="19683" spans="9:13" x14ac:dyDescent="0.3">
      <c r="I19683" s="82"/>
      <c r="M19683" s="85"/>
    </row>
    <row r="19684" spans="9:13" x14ac:dyDescent="0.3">
      <c r="I19684" s="82"/>
      <c r="M19684" s="85"/>
    </row>
    <row r="19685" spans="9:13" x14ac:dyDescent="0.3">
      <c r="I19685" s="82"/>
      <c r="M19685" s="85"/>
    </row>
    <row r="19686" spans="9:13" x14ac:dyDescent="0.3">
      <c r="I19686" s="82"/>
      <c r="M19686" s="85"/>
    </row>
    <row r="19687" spans="9:13" x14ac:dyDescent="0.3">
      <c r="I19687" s="82"/>
      <c r="M19687" s="85"/>
    </row>
    <row r="19688" spans="9:13" x14ac:dyDescent="0.3">
      <c r="I19688" s="82"/>
      <c r="M19688" s="85"/>
    </row>
    <row r="19689" spans="9:13" x14ac:dyDescent="0.3">
      <c r="I19689" s="82"/>
      <c r="M19689" s="85"/>
    </row>
    <row r="19690" spans="9:13" x14ac:dyDescent="0.3">
      <c r="I19690" s="82"/>
      <c r="M19690" s="85"/>
    </row>
    <row r="19691" spans="9:13" x14ac:dyDescent="0.3">
      <c r="I19691" s="82"/>
      <c r="M19691" s="85"/>
    </row>
    <row r="19692" spans="9:13" x14ac:dyDescent="0.3">
      <c r="I19692" s="82"/>
      <c r="M19692" s="85"/>
    </row>
    <row r="19693" spans="9:13" x14ac:dyDescent="0.3">
      <c r="I19693" s="82"/>
      <c r="M19693" s="85"/>
    </row>
    <row r="19694" spans="9:13" x14ac:dyDescent="0.3">
      <c r="I19694" s="82"/>
      <c r="M19694" s="85"/>
    </row>
    <row r="19695" spans="9:13" x14ac:dyDescent="0.3">
      <c r="I19695" s="82"/>
      <c r="M19695" s="85"/>
    </row>
    <row r="19696" spans="9:13" x14ac:dyDescent="0.3">
      <c r="I19696" s="82"/>
      <c r="M19696" s="85"/>
    </row>
    <row r="19697" spans="9:13" x14ac:dyDescent="0.3">
      <c r="I19697" s="82"/>
      <c r="M19697" s="85"/>
    </row>
    <row r="19698" spans="9:13" x14ac:dyDescent="0.3">
      <c r="I19698" s="82"/>
      <c r="M19698" s="85"/>
    </row>
    <row r="19699" spans="9:13" x14ac:dyDescent="0.3">
      <c r="I19699" s="82"/>
      <c r="M19699" s="85"/>
    </row>
    <row r="19700" spans="9:13" x14ac:dyDescent="0.3">
      <c r="I19700" s="82"/>
      <c r="M19700" s="85"/>
    </row>
    <row r="19701" spans="9:13" x14ac:dyDescent="0.3">
      <c r="I19701" s="82"/>
      <c r="M19701" s="85"/>
    </row>
    <row r="19702" spans="9:13" x14ac:dyDescent="0.3">
      <c r="I19702" s="82"/>
      <c r="M19702" s="85"/>
    </row>
    <row r="19703" spans="9:13" x14ac:dyDescent="0.3">
      <c r="I19703" s="82"/>
      <c r="M19703" s="85"/>
    </row>
    <row r="19704" spans="9:13" x14ac:dyDescent="0.3">
      <c r="I19704" s="82"/>
      <c r="M19704" s="85"/>
    </row>
    <row r="19705" spans="9:13" x14ac:dyDescent="0.3">
      <c r="I19705" s="82"/>
      <c r="M19705" s="85"/>
    </row>
    <row r="19706" spans="9:13" x14ac:dyDescent="0.3">
      <c r="I19706" s="82"/>
      <c r="M19706" s="85"/>
    </row>
    <row r="19707" spans="9:13" x14ac:dyDescent="0.3">
      <c r="I19707" s="82"/>
      <c r="M19707" s="85"/>
    </row>
    <row r="19708" spans="9:13" x14ac:dyDescent="0.3">
      <c r="I19708" s="82"/>
      <c r="M19708" s="85"/>
    </row>
    <row r="19709" spans="9:13" x14ac:dyDescent="0.3">
      <c r="I19709" s="82"/>
      <c r="M19709" s="85"/>
    </row>
    <row r="19710" spans="9:13" x14ac:dyDescent="0.3">
      <c r="I19710" s="82"/>
      <c r="M19710" s="85"/>
    </row>
    <row r="19711" spans="9:13" x14ac:dyDescent="0.3">
      <c r="I19711" s="82"/>
      <c r="M19711" s="85"/>
    </row>
    <row r="19712" spans="9:13" x14ac:dyDescent="0.3">
      <c r="I19712" s="82"/>
      <c r="M19712" s="85"/>
    </row>
    <row r="19713" spans="9:13" x14ac:dyDescent="0.3">
      <c r="I19713" s="82"/>
      <c r="M19713" s="85"/>
    </row>
    <row r="19714" spans="9:13" x14ac:dyDescent="0.3">
      <c r="I19714" s="82"/>
      <c r="M19714" s="85"/>
    </row>
    <row r="19715" spans="9:13" x14ac:dyDescent="0.3">
      <c r="I19715" s="82"/>
      <c r="M19715" s="85"/>
    </row>
    <row r="19716" spans="9:13" x14ac:dyDescent="0.3">
      <c r="I19716" s="82"/>
      <c r="M19716" s="85"/>
    </row>
    <row r="19717" spans="9:13" x14ac:dyDescent="0.3">
      <c r="I19717" s="82"/>
      <c r="M19717" s="85"/>
    </row>
    <row r="19718" spans="9:13" x14ac:dyDescent="0.3">
      <c r="I19718" s="82"/>
      <c r="M19718" s="85"/>
    </row>
    <row r="19719" spans="9:13" x14ac:dyDescent="0.3">
      <c r="I19719" s="82"/>
      <c r="M19719" s="85"/>
    </row>
    <row r="19720" spans="9:13" x14ac:dyDescent="0.3">
      <c r="I19720" s="82"/>
      <c r="M19720" s="85"/>
    </row>
    <row r="19721" spans="9:13" x14ac:dyDescent="0.3">
      <c r="I19721" s="82"/>
      <c r="M19721" s="85"/>
    </row>
    <row r="19722" spans="9:13" x14ac:dyDescent="0.3">
      <c r="I19722" s="82"/>
      <c r="M19722" s="85"/>
    </row>
    <row r="19723" spans="9:13" x14ac:dyDescent="0.3">
      <c r="I19723" s="82"/>
      <c r="M19723" s="85"/>
    </row>
    <row r="19724" spans="9:13" x14ac:dyDescent="0.3">
      <c r="I19724" s="82"/>
      <c r="M19724" s="85"/>
    </row>
    <row r="19725" spans="9:13" x14ac:dyDescent="0.3">
      <c r="I19725" s="82"/>
      <c r="M19725" s="85"/>
    </row>
    <row r="19726" spans="9:13" x14ac:dyDescent="0.3">
      <c r="I19726" s="82"/>
      <c r="M19726" s="85"/>
    </row>
    <row r="19727" spans="9:13" x14ac:dyDescent="0.3">
      <c r="I19727" s="82"/>
      <c r="M19727" s="85"/>
    </row>
    <row r="19728" spans="9:13" x14ac:dyDescent="0.3">
      <c r="I19728" s="82"/>
      <c r="M19728" s="85"/>
    </row>
    <row r="19729" spans="9:13" x14ac:dyDescent="0.3">
      <c r="I19729" s="82"/>
      <c r="M19729" s="85"/>
    </row>
    <row r="19730" spans="9:13" x14ac:dyDescent="0.3">
      <c r="I19730" s="82"/>
      <c r="M19730" s="85"/>
    </row>
    <row r="19731" spans="9:13" x14ac:dyDescent="0.3">
      <c r="I19731" s="82"/>
      <c r="M19731" s="85"/>
    </row>
    <row r="19732" spans="9:13" x14ac:dyDescent="0.3">
      <c r="I19732" s="82"/>
      <c r="M19732" s="85"/>
    </row>
    <row r="19733" spans="9:13" x14ac:dyDescent="0.3">
      <c r="I19733" s="82"/>
      <c r="M19733" s="85"/>
    </row>
    <row r="19734" spans="9:13" x14ac:dyDescent="0.3">
      <c r="I19734" s="82"/>
      <c r="M19734" s="85"/>
    </row>
    <row r="19735" spans="9:13" x14ac:dyDescent="0.3">
      <c r="I19735" s="82"/>
      <c r="M19735" s="85"/>
    </row>
    <row r="19736" spans="9:13" x14ac:dyDescent="0.3">
      <c r="I19736" s="82"/>
      <c r="M19736" s="85"/>
    </row>
    <row r="19737" spans="9:13" x14ac:dyDescent="0.3">
      <c r="I19737" s="82"/>
      <c r="M19737" s="85"/>
    </row>
    <row r="19738" spans="9:13" x14ac:dyDescent="0.3">
      <c r="I19738" s="82"/>
      <c r="M19738" s="85"/>
    </row>
    <row r="19739" spans="9:13" x14ac:dyDescent="0.3">
      <c r="I19739" s="82"/>
      <c r="M19739" s="85"/>
    </row>
    <row r="19740" spans="9:13" x14ac:dyDescent="0.3">
      <c r="I19740" s="82"/>
      <c r="M19740" s="85"/>
    </row>
    <row r="19741" spans="9:13" x14ac:dyDescent="0.3">
      <c r="I19741" s="82"/>
      <c r="M19741" s="85"/>
    </row>
    <row r="19742" spans="9:13" x14ac:dyDescent="0.3">
      <c r="I19742" s="82"/>
      <c r="M19742" s="85"/>
    </row>
    <row r="19743" spans="9:13" x14ac:dyDescent="0.3">
      <c r="I19743" s="82"/>
      <c r="M19743" s="85"/>
    </row>
    <row r="19744" spans="9:13" x14ac:dyDescent="0.3">
      <c r="I19744" s="82"/>
      <c r="M19744" s="85"/>
    </row>
    <row r="19745" spans="9:13" x14ac:dyDescent="0.3">
      <c r="I19745" s="82"/>
      <c r="M19745" s="85"/>
    </row>
    <row r="19746" spans="9:13" x14ac:dyDescent="0.3">
      <c r="I19746" s="82"/>
      <c r="M19746" s="85"/>
    </row>
    <row r="19747" spans="9:13" x14ac:dyDescent="0.3">
      <c r="I19747" s="82"/>
      <c r="M19747" s="85"/>
    </row>
    <row r="19748" spans="9:13" x14ac:dyDescent="0.3">
      <c r="I19748" s="82"/>
      <c r="M19748" s="85"/>
    </row>
    <row r="19749" spans="9:13" x14ac:dyDescent="0.3">
      <c r="I19749" s="82"/>
      <c r="M19749" s="85"/>
    </row>
    <row r="19750" spans="9:13" x14ac:dyDescent="0.3">
      <c r="I19750" s="82"/>
      <c r="M19750" s="85"/>
    </row>
    <row r="19751" spans="9:13" x14ac:dyDescent="0.3">
      <c r="I19751" s="82"/>
      <c r="M19751" s="85"/>
    </row>
    <row r="19752" spans="9:13" x14ac:dyDescent="0.3">
      <c r="I19752" s="82"/>
      <c r="M19752" s="85"/>
    </row>
    <row r="19753" spans="9:13" x14ac:dyDescent="0.3">
      <c r="I19753" s="82"/>
      <c r="M19753" s="85"/>
    </row>
    <row r="19754" spans="9:13" x14ac:dyDescent="0.3">
      <c r="I19754" s="82"/>
      <c r="M19754" s="85"/>
    </row>
    <row r="19755" spans="9:13" x14ac:dyDescent="0.3">
      <c r="I19755" s="82"/>
      <c r="M19755" s="85"/>
    </row>
    <row r="19756" spans="9:13" x14ac:dyDescent="0.3">
      <c r="I19756" s="82"/>
      <c r="M19756" s="85"/>
    </row>
    <row r="19757" spans="9:13" x14ac:dyDescent="0.3">
      <c r="I19757" s="82"/>
      <c r="M19757" s="85"/>
    </row>
    <row r="19758" spans="9:13" x14ac:dyDescent="0.3">
      <c r="I19758" s="82"/>
      <c r="M19758" s="85"/>
    </row>
    <row r="19759" spans="9:13" x14ac:dyDescent="0.3">
      <c r="I19759" s="82"/>
      <c r="M19759" s="85"/>
    </row>
    <row r="19760" spans="9:13" x14ac:dyDescent="0.3">
      <c r="I19760" s="82"/>
      <c r="M19760" s="85"/>
    </row>
    <row r="19761" spans="9:13" x14ac:dyDescent="0.3">
      <c r="I19761" s="82"/>
      <c r="M19761" s="85"/>
    </row>
    <row r="19762" spans="9:13" x14ac:dyDescent="0.3">
      <c r="I19762" s="82"/>
      <c r="M19762" s="85"/>
    </row>
    <row r="19763" spans="9:13" x14ac:dyDescent="0.3">
      <c r="I19763" s="82"/>
      <c r="M19763" s="85"/>
    </row>
    <row r="19764" spans="9:13" x14ac:dyDescent="0.3">
      <c r="I19764" s="82"/>
      <c r="M19764" s="85"/>
    </row>
    <row r="19765" spans="9:13" x14ac:dyDescent="0.3">
      <c r="I19765" s="82"/>
      <c r="M19765" s="85"/>
    </row>
    <row r="19766" spans="9:13" x14ac:dyDescent="0.3">
      <c r="I19766" s="82"/>
      <c r="M19766" s="85"/>
    </row>
    <row r="19767" spans="9:13" x14ac:dyDescent="0.3">
      <c r="I19767" s="82"/>
      <c r="M19767" s="85"/>
    </row>
    <row r="19768" spans="9:13" x14ac:dyDescent="0.3">
      <c r="I19768" s="82"/>
      <c r="M19768" s="85"/>
    </row>
    <row r="19769" spans="9:13" x14ac:dyDescent="0.3">
      <c r="I19769" s="82"/>
      <c r="M19769" s="85"/>
    </row>
    <row r="19770" spans="9:13" x14ac:dyDescent="0.3">
      <c r="I19770" s="82"/>
      <c r="M19770" s="85"/>
    </row>
    <row r="19771" spans="9:13" x14ac:dyDescent="0.3">
      <c r="I19771" s="82"/>
      <c r="M19771" s="85"/>
    </row>
    <row r="19772" spans="9:13" x14ac:dyDescent="0.3">
      <c r="I19772" s="82"/>
      <c r="M19772" s="85"/>
    </row>
    <row r="19773" spans="9:13" x14ac:dyDescent="0.3">
      <c r="I19773" s="82"/>
      <c r="M19773" s="85"/>
    </row>
    <row r="19774" spans="9:13" x14ac:dyDescent="0.3">
      <c r="I19774" s="82"/>
      <c r="M19774" s="85"/>
    </row>
    <row r="19775" spans="9:13" x14ac:dyDescent="0.3">
      <c r="I19775" s="82"/>
      <c r="M19775" s="85"/>
    </row>
    <row r="19776" spans="9:13" x14ac:dyDescent="0.3">
      <c r="I19776" s="82"/>
      <c r="M19776" s="85"/>
    </row>
    <row r="19777" spans="9:13" x14ac:dyDescent="0.3">
      <c r="I19777" s="82"/>
      <c r="M19777" s="85"/>
    </row>
    <row r="19778" spans="9:13" x14ac:dyDescent="0.3">
      <c r="I19778" s="82"/>
      <c r="M19778" s="85"/>
    </row>
    <row r="19779" spans="9:13" x14ac:dyDescent="0.3">
      <c r="I19779" s="82"/>
      <c r="M19779" s="85"/>
    </row>
    <row r="19780" spans="9:13" x14ac:dyDescent="0.3">
      <c r="I19780" s="82"/>
      <c r="M19780" s="85"/>
    </row>
    <row r="19781" spans="9:13" x14ac:dyDescent="0.3">
      <c r="I19781" s="82"/>
      <c r="M19781" s="85"/>
    </row>
    <row r="19782" spans="9:13" x14ac:dyDescent="0.3">
      <c r="I19782" s="82"/>
      <c r="M19782" s="85"/>
    </row>
    <row r="19783" spans="9:13" x14ac:dyDescent="0.3">
      <c r="I19783" s="82"/>
      <c r="M19783" s="85"/>
    </row>
    <row r="19784" spans="9:13" x14ac:dyDescent="0.3">
      <c r="I19784" s="82"/>
      <c r="M19784" s="85"/>
    </row>
    <row r="19785" spans="9:13" x14ac:dyDescent="0.3">
      <c r="I19785" s="82"/>
      <c r="M19785" s="85"/>
    </row>
    <row r="19786" spans="9:13" x14ac:dyDescent="0.3">
      <c r="I19786" s="82"/>
      <c r="M19786" s="85"/>
    </row>
    <row r="19787" spans="9:13" x14ac:dyDescent="0.3">
      <c r="I19787" s="82"/>
      <c r="M19787" s="85"/>
    </row>
    <row r="19788" spans="9:13" x14ac:dyDescent="0.3">
      <c r="I19788" s="82"/>
      <c r="M19788" s="85"/>
    </row>
    <row r="19789" spans="9:13" x14ac:dyDescent="0.3">
      <c r="I19789" s="82"/>
      <c r="M19789" s="85"/>
    </row>
    <row r="19790" spans="9:13" x14ac:dyDescent="0.3">
      <c r="I19790" s="82"/>
      <c r="M19790" s="85"/>
    </row>
    <row r="19791" spans="9:13" x14ac:dyDescent="0.3">
      <c r="I19791" s="82"/>
      <c r="M19791" s="85"/>
    </row>
    <row r="19792" spans="9:13" x14ac:dyDescent="0.3">
      <c r="I19792" s="82"/>
      <c r="M19792" s="85"/>
    </row>
    <row r="19793" spans="9:13" x14ac:dyDescent="0.3">
      <c r="I19793" s="82"/>
      <c r="M19793" s="85"/>
    </row>
    <row r="19794" spans="9:13" x14ac:dyDescent="0.3">
      <c r="I19794" s="82"/>
      <c r="M19794" s="85"/>
    </row>
    <row r="19795" spans="9:13" x14ac:dyDescent="0.3">
      <c r="I19795" s="82"/>
      <c r="M19795" s="85"/>
    </row>
    <row r="19796" spans="9:13" x14ac:dyDescent="0.3">
      <c r="I19796" s="82"/>
      <c r="M19796" s="85"/>
    </row>
    <row r="19797" spans="9:13" x14ac:dyDescent="0.3">
      <c r="I19797" s="82"/>
      <c r="M19797" s="85"/>
    </row>
    <row r="19798" spans="9:13" x14ac:dyDescent="0.3">
      <c r="I19798" s="82"/>
      <c r="M19798" s="85"/>
    </row>
    <row r="19799" spans="9:13" x14ac:dyDescent="0.3">
      <c r="I19799" s="82"/>
      <c r="M19799" s="85"/>
    </row>
    <row r="19800" spans="9:13" x14ac:dyDescent="0.3">
      <c r="I19800" s="82"/>
      <c r="M19800" s="85"/>
    </row>
    <row r="19801" spans="9:13" x14ac:dyDescent="0.3">
      <c r="I19801" s="82"/>
      <c r="M19801" s="85"/>
    </row>
    <row r="19802" spans="9:13" x14ac:dyDescent="0.3">
      <c r="I19802" s="82"/>
      <c r="M19802" s="85"/>
    </row>
    <row r="19803" spans="9:13" x14ac:dyDescent="0.3">
      <c r="I19803" s="82"/>
      <c r="M19803" s="85"/>
    </row>
    <row r="19804" spans="9:13" x14ac:dyDescent="0.3">
      <c r="I19804" s="82"/>
      <c r="M19804" s="85"/>
    </row>
    <row r="19805" spans="9:13" x14ac:dyDescent="0.3">
      <c r="I19805" s="82"/>
      <c r="M19805" s="85"/>
    </row>
    <row r="19806" spans="9:13" x14ac:dyDescent="0.3">
      <c r="I19806" s="82"/>
      <c r="M19806" s="85"/>
    </row>
    <row r="19807" spans="9:13" x14ac:dyDescent="0.3">
      <c r="I19807" s="82"/>
      <c r="M19807" s="85"/>
    </row>
    <row r="19808" spans="9:13" x14ac:dyDescent="0.3">
      <c r="I19808" s="82"/>
      <c r="M19808" s="85"/>
    </row>
    <row r="19809" spans="9:13" x14ac:dyDescent="0.3">
      <c r="I19809" s="82"/>
      <c r="M19809" s="85"/>
    </row>
    <row r="19810" spans="9:13" x14ac:dyDescent="0.3">
      <c r="I19810" s="82"/>
      <c r="M19810" s="85"/>
    </row>
    <row r="19811" spans="9:13" x14ac:dyDescent="0.3">
      <c r="I19811" s="82"/>
      <c r="M19811" s="85"/>
    </row>
    <row r="19812" spans="9:13" x14ac:dyDescent="0.3">
      <c r="I19812" s="82"/>
      <c r="M19812" s="85"/>
    </row>
    <row r="19813" spans="9:13" x14ac:dyDescent="0.3">
      <c r="I19813" s="82"/>
      <c r="M19813" s="85"/>
    </row>
    <row r="19814" spans="9:13" x14ac:dyDescent="0.3">
      <c r="I19814" s="82"/>
      <c r="M19814" s="85"/>
    </row>
    <row r="19815" spans="9:13" x14ac:dyDescent="0.3">
      <c r="I19815" s="82"/>
      <c r="M19815" s="85"/>
    </row>
    <row r="19816" spans="9:13" x14ac:dyDescent="0.3">
      <c r="I19816" s="82"/>
      <c r="M19816" s="85"/>
    </row>
    <row r="19817" spans="9:13" x14ac:dyDescent="0.3">
      <c r="I19817" s="82"/>
      <c r="M19817" s="85"/>
    </row>
    <row r="19818" spans="9:13" x14ac:dyDescent="0.3">
      <c r="I19818" s="82"/>
      <c r="M19818" s="85"/>
    </row>
    <row r="19819" spans="9:13" x14ac:dyDescent="0.3">
      <c r="I19819" s="82"/>
      <c r="M19819" s="85"/>
    </row>
    <row r="19820" spans="9:13" x14ac:dyDescent="0.3">
      <c r="I19820" s="82"/>
      <c r="M19820" s="85"/>
    </row>
    <row r="19821" spans="9:13" x14ac:dyDescent="0.3">
      <c r="I19821" s="82"/>
      <c r="M19821" s="85"/>
    </row>
    <row r="19822" spans="9:13" x14ac:dyDescent="0.3">
      <c r="I19822" s="82"/>
      <c r="M19822" s="85"/>
    </row>
    <row r="19823" spans="9:13" x14ac:dyDescent="0.3">
      <c r="I19823" s="82"/>
      <c r="M19823" s="85"/>
    </row>
    <row r="19824" spans="9:13" x14ac:dyDescent="0.3">
      <c r="I19824" s="82"/>
      <c r="M19824" s="85"/>
    </row>
    <row r="19825" spans="9:13" x14ac:dyDescent="0.3">
      <c r="I19825" s="82"/>
      <c r="M19825" s="85"/>
    </row>
    <row r="19826" spans="9:13" x14ac:dyDescent="0.3">
      <c r="I19826" s="82"/>
      <c r="M19826" s="85"/>
    </row>
    <row r="19827" spans="9:13" x14ac:dyDescent="0.3">
      <c r="I19827" s="82"/>
      <c r="M19827" s="85"/>
    </row>
    <row r="19828" spans="9:13" x14ac:dyDescent="0.3">
      <c r="I19828" s="82"/>
      <c r="M19828" s="85"/>
    </row>
    <row r="19829" spans="9:13" x14ac:dyDescent="0.3">
      <c r="I19829" s="82"/>
      <c r="M19829" s="85"/>
    </row>
    <row r="19830" spans="9:13" x14ac:dyDescent="0.3">
      <c r="I19830" s="82"/>
      <c r="M19830" s="85"/>
    </row>
    <row r="19831" spans="9:13" x14ac:dyDescent="0.3">
      <c r="I19831" s="82"/>
      <c r="M19831" s="85"/>
    </row>
    <row r="19832" spans="9:13" x14ac:dyDescent="0.3">
      <c r="I19832" s="82"/>
      <c r="M19832" s="85"/>
    </row>
    <row r="19833" spans="9:13" x14ac:dyDescent="0.3">
      <c r="I19833" s="82"/>
      <c r="M19833" s="85"/>
    </row>
    <row r="19834" spans="9:13" x14ac:dyDescent="0.3">
      <c r="I19834" s="82"/>
      <c r="M19834" s="85"/>
    </row>
    <row r="19835" spans="9:13" x14ac:dyDescent="0.3">
      <c r="I19835" s="82"/>
      <c r="M19835" s="85"/>
    </row>
    <row r="19836" spans="9:13" x14ac:dyDescent="0.3">
      <c r="I19836" s="82"/>
      <c r="M19836" s="85"/>
    </row>
    <row r="19837" spans="9:13" x14ac:dyDescent="0.3">
      <c r="I19837" s="82"/>
      <c r="M19837" s="85"/>
    </row>
    <row r="19838" spans="9:13" x14ac:dyDescent="0.3">
      <c r="I19838" s="82"/>
      <c r="M19838" s="85"/>
    </row>
    <row r="19839" spans="9:13" x14ac:dyDescent="0.3">
      <c r="I19839" s="82"/>
      <c r="M19839" s="85"/>
    </row>
    <row r="19840" spans="9:13" x14ac:dyDescent="0.3">
      <c r="I19840" s="82"/>
      <c r="M19840" s="85"/>
    </row>
    <row r="19841" spans="9:13" x14ac:dyDescent="0.3">
      <c r="I19841" s="82"/>
      <c r="M19841" s="85"/>
    </row>
    <row r="19842" spans="9:13" x14ac:dyDescent="0.3">
      <c r="I19842" s="82"/>
      <c r="M19842" s="85"/>
    </row>
    <row r="19843" spans="9:13" x14ac:dyDescent="0.3">
      <c r="I19843" s="82"/>
      <c r="M19843" s="85"/>
    </row>
    <row r="19844" spans="9:13" x14ac:dyDescent="0.3">
      <c r="I19844" s="82"/>
      <c r="M19844" s="85"/>
    </row>
    <row r="19845" spans="9:13" x14ac:dyDescent="0.3">
      <c r="I19845" s="82"/>
      <c r="M19845" s="85"/>
    </row>
    <row r="19846" spans="9:13" x14ac:dyDescent="0.3">
      <c r="I19846" s="82"/>
      <c r="M19846" s="85"/>
    </row>
    <row r="19847" spans="9:13" x14ac:dyDescent="0.3">
      <c r="I19847" s="82"/>
      <c r="M19847" s="85"/>
    </row>
    <row r="19848" spans="9:13" x14ac:dyDescent="0.3">
      <c r="I19848" s="82"/>
      <c r="M19848" s="85"/>
    </row>
    <row r="19849" spans="9:13" x14ac:dyDescent="0.3">
      <c r="I19849" s="82"/>
      <c r="M19849" s="85"/>
    </row>
    <row r="19850" spans="9:13" x14ac:dyDescent="0.3">
      <c r="I19850" s="82"/>
      <c r="M19850" s="85"/>
    </row>
    <row r="19851" spans="9:13" x14ac:dyDescent="0.3">
      <c r="I19851" s="82"/>
      <c r="M19851" s="85"/>
    </row>
    <row r="19852" spans="9:13" x14ac:dyDescent="0.3">
      <c r="I19852" s="82"/>
      <c r="M19852" s="85"/>
    </row>
    <row r="19853" spans="9:13" x14ac:dyDescent="0.3">
      <c r="I19853" s="82"/>
      <c r="M19853" s="85"/>
    </row>
    <row r="19854" spans="9:13" x14ac:dyDescent="0.3">
      <c r="I19854" s="82"/>
      <c r="M19854" s="85"/>
    </row>
    <row r="19855" spans="9:13" x14ac:dyDescent="0.3">
      <c r="I19855" s="82"/>
      <c r="M19855" s="85"/>
    </row>
    <row r="19856" spans="9:13" x14ac:dyDescent="0.3">
      <c r="I19856" s="82"/>
      <c r="M19856" s="85"/>
    </row>
    <row r="19857" spans="9:13" x14ac:dyDescent="0.3">
      <c r="I19857" s="82"/>
      <c r="M19857" s="85"/>
    </row>
    <row r="19858" spans="9:13" x14ac:dyDescent="0.3">
      <c r="I19858" s="82"/>
      <c r="M19858" s="85"/>
    </row>
    <row r="19859" spans="9:13" x14ac:dyDescent="0.3">
      <c r="I19859" s="82"/>
      <c r="M19859" s="85"/>
    </row>
    <row r="19860" spans="9:13" x14ac:dyDescent="0.3">
      <c r="I19860" s="82"/>
      <c r="M19860" s="85"/>
    </row>
    <row r="19861" spans="9:13" x14ac:dyDescent="0.3">
      <c r="I19861" s="82"/>
      <c r="M19861" s="85"/>
    </row>
    <row r="19862" spans="9:13" x14ac:dyDescent="0.3">
      <c r="I19862" s="82"/>
      <c r="M19862" s="85"/>
    </row>
    <row r="19863" spans="9:13" x14ac:dyDescent="0.3">
      <c r="I19863" s="82"/>
      <c r="M19863" s="85"/>
    </row>
    <row r="19864" spans="9:13" x14ac:dyDescent="0.3">
      <c r="I19864" s="82"/>
      <c r="M19864" s="85"/>
    </row>
    <row r="19865" spans="9:13" x14ac:dyDescent="0.3">
      <c r="I19865" s="82"/>
      <c r="M19865" s="85"/>
    </row>
    <row r="19866" spans="9:13" x14ac:dyDescent="0.3">
      <c r="I19866" s="82"/>
      <c r="M19866" s="85"/>
    </row>
    <row r="19867" spans="9:13" x14ac:dyDescent="0.3">
      <c r="I19867" s="82"/>
      <c r="M19867" s="85"/>
    </row>
    <row r="19868" spans="9:13" x14ac:dyDescent="0.3">
      <c r="I19868" s="82"/>
      <c r="M19868" s="85"/>
    </row>
    <row r="19869" spans="9:13" x14ac:dyDescent="0.3">
      <c r="I19869" s="82"/>
      <c r="M19869" s="85"/>
    </row>
    <row r="19870" spans="9:13" x14ac:dyDescent="0.3">
      <c r="I19870" s="82"/>
      <c r="M19870" s="85"/>
    </row>
    <row r="19871" spans="9:13" x14ac:dyDescent="0.3">
      <c r="I19871" s="82"/>
      <c r="M19871" s="85"/>
    </row>
    <row r="19872" spans="9:13" x14ac:dyDescent="0.3">
      <c r="I19872" s="82"/>
      <c r="M19872" s="85"/>
    </row>
    <row r="19873" spans="9:13" x14ac:dyDescent="0.3">
      <c r="I19873" s="82"/>
      <c r="M19873" s="85"/>
    </row>
    <row r="19874" spans="9:13" x14ac:dyDescent="0.3">
      <c r="I19874" s="82"/>
      <c r="M19874" s="85"/>
    </row>
    <row r="19875" spans="9:13" x14ac:dyDescent="0.3">
      <c r="I19875" s="82"/>
      <c r="M19875" s="85"/>
    </row>
    <row r="19876" spans="9:13" x14ac:dyDescent="0.3">
      <c r="I19876" s="82"/>
      <c r="M19876" s="85"/>
    </row>
    <row r="19877" spans="9:13" x14ac:dyDescent="0.3">
      <c r="I19877" s="82"/>
      <c r="M19877" s="85"/>
    </row>
    <row r="19878" spans="9:13" x14ac:dyDescent="0.3">
      <c r="I19878" s="82"/>
      <c r="M19878" s="85"/>
    </row>
    <row r="19879" spans="9:13" x14ac:dyDescent="0.3">
      <c r="I19879" s="82"/>
      <c r="M19879" s="85"/>
    </row>
    <row r="19880" spans="9:13" x14ac:dyDescent="0.3">
      <c r="I19880" s="82"/>
      <c r="M19880" s="85"/>
    </row>
    <row r="19881" spans="9:13" x14ac:dyDescent="0.3">
      <c r="I19881" s="82"/>
      <c r="M19881" s="85"/>
    </row>
    <row r="19882" spans="9:13" x14ac:dyDescent="0.3">
      <c r="I19882" s="82"/>
      <c r="M19882" s="85"/>
    </row>
    <row r="19883" spans="9:13" x14ac:dyDescent="0.3">
      <c r="I19883" s="82"/>
      <c r="M19883" s="85"/>
    </row>
    <row r="19884" spans="9:13" x14ac:dyDescent="0.3">
      <c r="I19884" s="82"/>
      <c r="M19884" s="85"/>
    </row>
    <row r="19885" spans="9:13" x14ac:dyDescent="0.3">
      <c r="I19885" s="82"/>
      <c r="M19885" s="85"/>
    </row>
    <row r="19886" spans="9:13" x14ac:dyDescent="0.3">
      <c r="I19886" s="82"/>
      <c r="M19886" s="85"/>
    </row>
    <row r="19887" spans="9:13" x14ac:dyDescent="0.3">
      <c r="I19887" s="82"/>
      <c r="M19887" s="85"/>
    </row>
    <row r="19888" spans="9:13" x14ac:dyDescent="0.3">
      <c r="I19888" s="82"/>
      <c r="M19888" s="85"/>
    </row>
    <row r="19889" spans="9:13" x14ac:dyDescent="0.3">
      <c r="I19889" s="82"/>
      <c r="M19889" s="85"/>
    </row>
    <row r="19890" spans="9:13" x14ac:dyDescent="0.3">
      <c r="I19890" s="82"/>
      <c r="M19890" s="85"/>
    </row>
    <row r="19891" spans="9:13" x14ac:dyDescent="0.3">
      <c r="I19891" s="82"/>
      <c r="M19891" s="85"/>
    </row>
    <row r="19892" spans="9:13" x14ac:dyDescent="0.3">
      <c r="I19892" s="82"/>
      <c r="M19892" s="85"/>
    </row>
    <row r="19893" spans="9:13" x14ac:dyDescent="0.3">
      <c r="I19893" s="82"/>
      <c r="M19893" s="85"/>
    </row>
    <row r="19894" spans="9:13" x14ac:dyDescent="0.3">
      <c r="I19894" s="82"/>
      <c r="M19894" s="85"/>
    </row>
    <row r="19895" spans="9:13" x14ac:dyDescent="0.3">
      <c r="I19895" s="82"/>
      <c r="M19895" s="85"/>
    </row>
    <row r="19896" spans="9:13" x14ac:dyDescent="0.3">
      <c r="I19896" s="82"/>
      <c r="M19896" s="85"/>
    </row>
    <row r="19897" spans="9:13" x14ac:dyDescent="0.3">
      <c r="I19897" s="82"/>
      <c r="M19897" s="85"/>
    </row>
    <row r="19898" spans="9:13" x14ac:dyDescent="0.3">
      <c r="I19898" s="82"/>
      <c r="M19898" s="85"/>
    </row>
    <row r="19899" spans="9:13" x14ac:dyDescent="0.3">
      <c r="I19899" s="82"/>
      <c r="M19899" s="85"/>
    </row>
    <row r="19900" spans="9:13" x14ac:dyDescent="0.3">
      <c r="I19900" s="82"/>
      <c r="M19900" s="85"/>
    </row>
    <row r="19901" spans="9:13" x14ac:dyDescent="0.3">
      <c r="I19901" s="82"/>
      <c r="M19901" s="85"/>
    </row>
    <row r="19902" spans="9:13" x14ac:dyDescent="0.3">
      <c r="I19902" s="82"/>
      <c r="M19902" s="85"/>
    </row>
    <row r="19903" spans="9:13" x14ac:dyDescent="0.3">
      <c r="I19903" s="82"/>
      <c r="M19903" s="85"/>
    </row>
    <row r="19904" spans="9:13" x14ac:dyDescent="0.3">
      <c r="I19904" s="82"/>
      <c r="M19904" s="85"/>
    </row>
    <row r="19905" spans="9:13" x14ac:dyDescent="0.3">
      <c r="I19905" s="82"/>
      <c r="M19905" s="85"/>
    </row>
    <row r="19906" spans="9:13" x14ac:dyDescent="0.3">
      <c r="I19906" s="82"/>
      <c r="M19906" s="85"/>
    </row>
    <row r="19907" spans="9:13" x14ac:dyDescent="0.3">
      <c r="I19907" s="82"/>
      <c r="M19907" s="85"/>
    </row>
    <row r="19908" spans="9:13" x14ac:dyDescent="0.3">
      <c r="I19908" s="82"/>
      <c r="M19908" s="85"/>
    </row>
    <row r="19909" spans="9:13" x14ac:dyDescent="0.3">
      <c r="I19909" s="82"/>
      <c r="M19909" s="85"/>
    </row>
    <row r="19910" spans="9:13" x14ac:dyDescent="0.3">
      <c r="I19910" s="82"/>
      <c r="M19910" s="85"/>
    </row>
    <row r="19911" spans="9:13" x14ac:dyDescent="0.3">
      <c r="I19911" s="82"/>
      <c r="M19911" s="85"/>
    </row>
    <row r="19912" spans="9:13" x14ac:dyDescent="0.3">
      <c r="I19912" s="82"/>
      <c r="M19912" s="85"/>
    </row>
    <row r="19913" spans="9:13" x14ac:dyDescent="0.3">
      <c r="I19913" s="82"/>
      <c r="M19913" s="85"/>
    </row>
    <row r="19914" spans="9:13" x14ac:dyDescent="0.3">
      <c r="I19914" s="82"/>
      <c r="M19914" s="85"/>
    </row>
    <row r="19915" spans="9:13" x14ac:dyDescent="0.3">
      <c r="I19915" s="82"/>
      <c r="M19915" s="85"/>
    </row>
    <row r="19916" spans="9:13" x14ac:dyDescent="0.3">
      <c r="I19916" s="82"/>
      <c r="M19916" s="85"/>
    </row>
    <row r="19917" spans="9:13" x14ac:dyDescent="0.3">
      <c r="I19917" s="82"/>
      <c r="M19917" s="85"/>
    </row>
    <row r="19918" spans="9:13" x14ac:dyDescent="0.3">
      <c r="I19918" s="82"/>
      <c r="M19918" s="85"/>
    </row>
    <row r="19919" spans="9:13" x14ac:dyDescent="0.3">
      <c r="I19919" s="82"/>
      <c r="M19919" s="85"/>
    </row>
    <row r="19920" spans="9:13" x14ac:dyDescent="0.3">
      <c r="I19920" s="82"/>
      <c r="M19920" s="85"/>
    </row>
    <row r="19921" spans="9:13" x14ac:dyDescent="0.3">
      <c r="I19921" s="82"/>
      <c r="M19921" s="85"/>
    </row>
    <row r="19922" spans="9:13" x14ac:dyDescent="0.3">
      <c r="I19922" s="82"/>
      <c r="M19922" s="85"/>
    </row>
    <row r="19923" spans="9:13" x14ac:dyDescent="0.3">
      <c r="I19923" s="82"/>
      <c r="M19923" s="85"/>
    </row>
    <row r="19924" spans="9:13" x14ac:dyDescent="0.3">
      <c r="I19924" s="82"/>
      <c r="M19924" s="85"/>
    </row>
    <row r="19925" spans="9:13" x14ac:dyDescent="0.3">
      <c r="I19925" s="82"/>
      <c r="M19925" s="85"/>
    </row>
    <row r="19926" spans="9:13" x14ac:dyDescent="0.3">
      <c r="I19926" s="82"/>
      <c r="M19926" s="85"/>
    </row>
    <row r="19927" spans="9:13" x14ac:dyDescent="0.3">
      <c r="I19927" s="82"/>
      <c r="M19927" s="85"/>
    </row>
    <row r="19928" spans="9:13" x14ac:dyDescent="0.3">
      <c r="I19928" s="82"/>
      <c r="M19928" s="85"/>
    </row>
    <row r="19929" spans="9:13" x14ac:dyDescent="0.3">
      <c r="I19929" s="82"/>
      <c r="M19929" s="85"/>
    </row>
    <row r="19930" spans="9:13" x14ac:dyDescent="0.3">
      <c r="I19930" s="82"/>
      <c r="M19930" s="85"/>
    </row>
    <row r="19931" spans="9:13" x14ac:dyDescent="0.3">
      <c r="I19931" s="82"/>
      <c r="M19931" s="85"/>
    </row>
    <row r="19932" spans="9:13" x14ac:dyDescent="0.3">
      <c r="I19932" s="82"/>
      <c r="M19932" s="85"/>
    </row>
    <row r="19933" spans="9:13" x14ac:dyDescent="0.3">
      <c r="I19933" s="82"/>
      <c r="M19933" s="85"/>
    </row>
    <row r="19934" spans="9:13" x14ac:dyDescent="0.3">
      <c r="I19934" s="82"/>
      <c r="M19934" s="85"/>
    </row>
    <row r="19935" spans="9:13" x14ac:dyDescent="0.3">
      <c r="I19935" s="82"/>
      <c r="M19935" s="85"/>
    </row>
    <row r="19936" spans="9:13" x14ac:dyDescent="0.3">
      <c r="I19936" s="82"/>
      <c r="M19936" s="85"/>
    </row>
    <row r="19937" spans="9:13" x14ac:dyDescent="0.3">
      <c r="I19937" s="82"/>
      <c r="M19937" s="85"/>
    </row>
    <row r="19938" spans="9:13" x14ac:dyDescent="0.3">
      <c r="I19938" s="82"/>
      <c r="M19938" s="85"/>
    </row>
    <row r="19939" spans="9:13" x14ac:dyDescent="0.3">
      <c r="I19939" s="82"/>
      <c r="M19939" s="85"/>
    </row>
    <row r="19940" spans="9:13" x14ac:dyDescent="0.3">
      <c r="I19940" s="82"/>
      <c r="M19940" s="85"/>
    </row>
    <row r="19941" spans="9:13" x14ac:dyDescent="0.3">
      <c r="I19941" s="82"/>
      <c r="M19941" s="85"/>
    </row>
    <row r="19942" spans="9:13" x14ac:dyDescent="0.3">
      <c r="I19942" s="82"/>
      <c r="M19942" s="85"/>
    </row>
    <row r="19943" spans="9:13" x14ac:dyDescent="0.3">
      <c r="I19943" s="82"/>
      <c r="M19943" s="85"/>
    </row>
    <row r="19944" spans="9:13" x14ac:dyDescent="0.3">
      <c r="I19944" s="82"/>
      <c r="M19944" s="85"/>
    </row>
    <row r="19945" spans="9:13" x14ac:dyDescent="0.3">
      <c r="I19945" s="82"/>
      <c r="M19945" s="85"/>
    </row>
    <row r="19946" spans="9:13" x14ac:dyDescent="0.3">
      <c r="I19946" s="82"/>
      <c r="M19946" s="85"/>
    </row>
    <row r="19947" spans="9:13" x14ac:dyDescent="0.3">
      <c r="I19947" s="82"/>
      <c r="M19947" s="85"/>
    </row>
    <row r="19948" spans="9:13" x14ac:dyDescent="0.3">
      <c r="I19948" s="82"/>
      <c r="M19948" s="85"/>
    </row>
    <row r="19949" spans="9:13" x14ac:dyDescent="0.3">
      <c r="I19949" s="82"/>
      <c r="M19949" s="85"/>
    </row>
    <row r="19950" spans="9:13" x14ac:dyDescent="0.3">
      <c r="I19950" s="82"/>
      <c r="M19950" s="85"/>
    </row>
    <row r="19951" spans="9:13" x14ac:dyDescent="0.3">
      <c r="I19951" s="82"/>
      <c r="M19951" s="85"/>
    </row>
    <row r="19952" spans="9:13" x14ac:dyDescent="0.3">
      <c r="I19952" s="82"/>
      <c r="M19952" s="85"/>
    </row>
    <row r="19953" spans="9:13" x14ac:dyDescent="0.3">
      <c r="I19953" s="82"/>
      <c r="M19953" s="85"/>
    </row>
    <row r="19954" spans="9:13" x14ac:dyDescent="0.3">
      <c r="I19954" s="82"/>
      <c r="M19954" s="85"/>
    </row>
    <row r="19955" spans="9:13" x14ac:dyDescent="0.3">
      <c r="I19955" s="82"/>
      <c r="M19955" s="85"/>
    </row>
    <row r="19956" spans="9:13" x14ac:dyDescent="0.3">
      <c r="I19956" s="82"/>
      <c r="M19956" s="85"/>
    </row>
    <row r="19957" spans="9:13" x14ac:dyDescent="0.3">
      <c r="I19957" s="82"/>
      <c r="M19957" s="85"/>
    </row>
    <row r="19958" spans="9:13" x14ac:dyDescent="0.3">
      <c r="I19958" s="82"/>
      <c r="M19958" s="85"/>
    </row>
    <row r="19959" spans="9:13" x14ac:dyDescent="0.3">
      <c r="I19959" s="82"/>
      <c r="M19959" s="85"/>
    </row>
    <row r="19960" spans="9:13" x14ac:dyDescent="0.3">
      <c r="I19960" s="82"/>
      <c r="M19960" s="85"/>
    </row>
    <row r="19961" spans="9:13" x14ac:dyDescent="0.3">
      <c r="I19961" s="82"/>
      <c r="M19961" s="85"/>
    </row>
    <row r="19962" spans="9:13" x14ac:dyDescent="0.3">
      <c r="I19962" s="82"/>
      <c r="M19962" s="85"/>
    </row>
    <row r="19963" spans="9:13" x14ac:dyDescent="0.3">
      <c r="I19963" s="82"/>
      <c r="M19963" s="85"/>
    </row>
    <row r="19964" spans="9:13" x14ac:dyDescent="0.3">
      <c r="I19964" s="82"/>
      <c r="M19964" s="85"/>
    </row>
    <row r="19965" spans="9:13" x14ac:dyDescent="0.3">
      <c r="I19965" s="82"/>
      <c r="M19965" s="85"/>
    </row>
    <row r="19966" spans="9:13" x14ac:dyDescent="0.3">
      <c r="I19966" s="82"/>
      <c r="M19966" s="85"/>
    </row>
    <row r="19967" spans="9:13" x14ac:dyDescent="0.3">
      <c r="I19967" s="82"/>
      <c r="M19967" s="85"/>
    </row>
    <row r="19968" spans="9:13" x14ac:dyDescent="0.3">
      <c r="I19968" s="82"/>
      <c r="M19968" s="85"/>
    </row>
    <row r="19969" spans="9:13" x14ac:dyDescent="0.3">
      <c r="I19969" s="82"/>
      <c r="M19969" s="85"/>
    </row>
    <row r="19970" spans="9:13" x14ac:dyDescent="0.3">
      <c r="I19970" s="82"/>
      <c r="M19970" s="85"/>
    </row>
    <row r="19971" spans="9:13" x14ac:dyDescent="0.3">
      <c r="I19971" s="82"/>
      <c r="M19971" s="85"/>
    </row>
    <row r="19972" spans="9:13" x14ac:dyDescent="0.3">
      <c r="I19972" s="82"/>
      <c r="M19972" s="85"/>
    </row>
    <row r="19973" spans="9:13" x14ac:dyDescent="0.3">
      <c r="I19973" s="82"/>
      <c r="M19973" s="85"/>
    </row>
    <row r="19974" spans="9:13" x14ac:dyDescent="0.3">
      <c r="I19974" s="82"/>
      <c r="M19974" s="85"/>
    </row>
    <row r="19975" spans="9:13" x14ac:dyDescent="0.3">
      <c r="I19975" s="82"/>
      <c r="M19975" s="85"/>
    </row>
    <row r="19976" spans="9:13" x14ac:dyDescent="0.3">
      <c r="I19976" s="82"/>
      <c r="M19976" s="85"/>
    </row>
    <row r="19977" spans="9:13" x14ac:dyDescent="0.3">
      <c r="I19977" s="82"/>
      <c r="M19977" s="85"/>
    </row>
    <row r="19978" spans="9:13" x14ac:dyDescent="0.3">
      <c r="I19978" s="82"/>
      <c r="M19978" s="85"/>
    </row>
    <row r="19979" spans="9:13" x14ac:dyDescent="0.3">
      <c r="I19979" s="82"/>
      <c r="M19979" s="85"/>
    </row>
    <row r="19980" spans="9:13" x14ac:dyDescent="0.3">
      <c r="I19980" s="82"/>
      <c r="M19980" s="85"/>
    </row>
    <row r="19981" spans="9:13" x14ac:dyDescent="0.3">
      <c r="I19981" s="82"/>
      <c r="M19981" s="85"/>
    </row>
    <row r="19982" spans="9:13" x14ac:dyDescent="0.3">
      <c r="I19982" s="82"/>
      <c r="M19982" s="85"/>
    </row>
    <row r="19983" spans="9:13" x14ac:dyDescent="0.3">
      <c r="I19983" s="82"/>
      <c r="M19983" s="85"/>
    </row>
    <row r="19984" spans="9:13" x14ac:dyDescent="0.3">
      <c r="I19984" s="82"/>
      <c r="M19984" s="85"/>
    </row>
    <row r="19985" spans="9:13" x14ac:dyDescent="0.3">
      <c r="I19985" s="82"/>
      <c r="M19985" s="85"/>
    </row>
    <row r="19986" spans="9:13" x14ac:dyDescent="0.3">
      <c r="I19986" s="82"/>
      <c r="M19986" s="85"/>
    </row>
    <row r="19987" spans="9:13" x14ac:dyDescent="0.3">
      <c r="I19987" s="82"/>
      <c r="M19987" s="85"/>
    </row>
    <row r="19988" spans="9:13" x14ac:dyDescent="0.3">
      <c r="I19988" s="82"/>
      <c r="M19988" s="85"/>
    </row>
    <row r="19989" spans="9:13" x14ac:dyDescent="0.3">
      <c r="I19989" s="82"/>
      <c r="M19989" s="85"/>
    </row>
    <row r="19990" spans="9:13" x14ac:dyDescent="0.3">
      <c r="I19990" s="82"/>
      <c r="M19990" s="85"/>
    </row>
    <row r="19991" spans="9:13" x14ac:dyDescent="0.3">
      <c r="I19991" s="82"/>
      <c r="M19991" s="85"/>
    </row>
    <row r="19992" spans="9:13" x14ac:dyDescent="0.3">
      <c r="I19992" s="82"/>
      <c r="M19992" s="85"/>
    </row>
    <row r="19993" spans="9:13" x14ac:dyDescent="0.3">
      <c r="I19993" s="82"/>
      <c r="M19993" s="85"/>
    </row>
    <row r="19994" spans="9:13" x14ac:dyDescent="0.3">
      <c r="I19994" s="82"/>
      <c r="M19994" s="85"/>
    </row>
    <row r="19995" spans="9:13" x14ac:dyDescent="0.3">
      <c r="I19995" s="82"/>
      <c r="M19995" s="85"/>
    </row>
    <row r="19996" spans="9:13" x14ac:dyDescent="0.3">
      <c r="I19996" s="82"/>
      <c r="M19996" s="85"/>
    </row>
    <row r="19997" spans="9:13" x14ac:dyDescent="0.3">
      <c r="I19997" s="82"/>
      <c r="M19997" s="85"/>
    </row>
    <row r="19998" spans="9:13" x14ac:dyDescent="0.3">
      <c r="I19998" s="82"/>
      <c r="M19998" s="85"/>
    </row>
    <row r="19999" spans="9:13" x14ac:dyDescent="0.3">
      <c r="I19999" s="82"/>
      <c r="M19999" s="85"/>
    </row>
    <row r="20000" spans="9:13" x14ac:dyDescent="0.3">
      <c r="I20000" s="82"/>
      <c r="M20000" s="85"/>
    </row>
    <row r="20001" spans="9:13" x14ac:dyDescent="0.3">
      <c r="I20001" s="82"/>
      <c r="M20001" s="85"/>
    </row>
    <row r="20002" spans="9:13" x14ac:dyDescent="0.3">
      <c r="I20002" s="82"/>
      <c r="M20002" s="85"/>
    </row>
    <row r="20003" spans="9:13" x14ac:dyDescent="0.3">
      <c r="I20003" s="82"/>
      <c r="M20003" s="85"/>
    </row>
    <row r="20004" spans="9:13" x14ac:dyDescent="0.3">
      <c r="I20004" s="82"/>
      <c r="M20004" s="85"/>
    </row>
    <row r="20005" spans="9:13" x14ac:dyDescent="0.3">
      <c r="I20005" s="82"/>
      <c r="M20005" s="85"/>
    </row>
    <row r="20006" spans="9:13" x14ac:dyDescent="0.3">
      <c r="I20006" s="82"/>
      <c r="M20006" s="85"/>
    </row>
    <row r="20007" spans="9:13" x14ac:dyDescent="0.3">
      <c r="I20007" s="82"/>
      <c r="M20007" s="85"/>
    </row>
    <row r="20008" spans="9:13" x14ac:dyDescent="0.3">
      <c r="I20008" s="82"/>
      <c r="M20008" s="85"/>
    </row>
    <row r="20009" spans="9:13" x14ac:dyDescent="0.3">
      <c r="I20009" s="82"/>
      <c r="M20009" s="85"/>
    </row>
    <row r="20010" spans="9:13" x14ac:dyDescent="0.3">
      <c r="I20010" s="82"/>
      <c r="M20010" s="85"/>
    </row>
    <row r="20011" spans="9:13" x14ac:dyDescent="0.3">
      <c r="I20011" s="82"/>
      <c r="M20011" s="85"/>
    </row>
    <row r="20012" spans="9:13" x14ac:dyDescent="0.3">
      <c r="I20012" s="82"/>
      <c r="M20012" s="85"/>
    </row>
    <row r="20013" spans="9:13" x14ac:dyDescent="0.3">
      <c r="I20013" s="82"/>
      <c r="M20013" s="85"/>
    </row>
    <row r="20014" spans="9:13" x14ac:dyDescent="0.3">
      <c r="I20014" s="82"/>
      <c r="M20014" s="85"/>
    </row>
    <row r="20015" spans="9:13" x14ac:dyDescent="0.3">
      <c r="I20015" s="82"/>
      <c r="M20015" s="85"/>
    </row>
    <row r="20016" spans="9:13" x14ac:dyDescent="0.3">
      <c r="I20016" s="82"/>
      <c r="M20016" s="85"/>
    </row>
    <row r="20017" spans="9:13" x14ac:dyDescent="0.3">
      <c r="I20017" s="82"/>
      <c r="M20017" s="85"/>
    </row>
    <row r="20018" spans="9:13" x14ac:dyDescent="0.3">
      <c r="I20018" s="82"/>
      <c r="M20018" s="85"/>
    </row>
    <row r="20019" spans="9:13" x14ac:dyDescent="0.3">
      <c r="I20019" s="82"/>
      <c r="M20019" s="85"/>
    </row>
    <row r="20020" spans="9:13" x14ac:dyDescent="0.3">
      <c r="I20020" s="82"/>
      <c r="M20020" s="85"/>
    </row>
    <row r="20021" spans="9:13" x14ac:dyDescent="0.3">
      <c r="I20021" s="82"/>
      <c r="M20021" s="85"/>
    </row>
    <row r="20022" spans="9:13" x14ac:dyDescent="0.3">
      <c r="I20022" s="82"/>
      <c r="M20022" s="85"/>
    </row>
    <row r="20023" spans="9:13" x14ac:dyDescent="0.3">
      <c r="I20023" s="82"/>
      <c r="M20023" s="85"/>
    </row>
    <row r="20024" spans="9:13" x14ac:dyDescent="0.3">
      <c r="I20024" s="82"/>
      <c r="M20024" s="85"/>
    </row>
    <row r="20025" spans="9:13" x14ac:dyDescent="0.3">
      <c r="I20025" s="82"/>
      <c r="M20025" s="85"/>
    </row>
    <row r="20026" spans="9:13" x14ac:dyDescent="0.3">
      <c r="I20026" s="82"/>
      <c r="M20026" s="85"/>
    </row>
    <row r="20027" spans="9:13" x14ac:dyDescent="0.3">
      <c r="I20027" s="82"/>
      <c r="M20027" s="85"/>
    </row>
    <row r="20028" spans="9:13" x14ac:dyDescent="0.3">
      <c r="I20028" s="82"/>
      <c r="M20028" s="85"/>
    </row>
    <row r="20029" spans="9:13" x14ac:dyDescent="0.3">
      <c r="I20029" s="82"/>
      <c r="M20029" s="85"/>
    </row>
    <row r="20030" spans="9:13" x14ac:dyDescent="0.3">
      <c r="I20030" s="82"/>
      <c r="M20030" s="85"/>
    </row>
    <row r="20031" spans="9:13" x14ac:dyDescent="0.3">
      <c r="I20031" s="82"/>
      <c r="M20031" s="85"/>
    </row>
    <row r="20032" spans="9:13" x14ac:dyDescent="0.3">
      <c r="I20032" s="82"/>
      <c r="M20032" s="85"/>
    </row>
    <row r="20033" spans="9:13" x14ac:dyDescent="0.3">
      <c r="I20033" s="82"/>
      <c r="M20033" s="85"/>
    </row>
    <row r="20034" spans="9:13" x14ac:dyDescent="0.3">
      <c r="I20034" s="82"/>
      <c r="M20034" s="85"/>
    </row>
    <row r="20035" spans="9:13" x14ac:dyDescent="0.3">
      <c r="I20035" s="82"/>
      <c r="M20035" s="85"/>
    </row>
    <row r="20036" spans="9:13" x14ac:dyDescent="0.3">
      <c r="I20036" s="82"/>
      <c r="M20036" s="85"/>
    </row>
    <row r="20037" spans="9:13" x14ac:dyDescent="0.3">
      <c r="I20037" s="82"/>
      <c r="M20037" s="85"/>
    </row>
    <row r="20038" spans="9:13" x14ac:dyDescent="0.3">
      <c r="I20038" s="82"/>
      <c r="M20038" s="85"/>
    </row>
    <row r="20039" spans="9:13" x14ac:dyDescent="0.3">
      <c r="I20039" s="82"/>
      <c r="M20039" s="85"/>
    </row>
    <row r="20040" spans="9:13" x14ac:dyDescent="0.3">
      <c r="I20040" s="82"/>
      <c r="M20040" s="85"/>
    </row>
    <row r="20041" spans="9:13" x14ac:dyDescent="0.3">
      <c r="I20041" s="82"/>
      <c r="M20041" s="85"/>
    </row>
    <row r="20042" spans="9:13" x14ac:dyDescent="0.3">
      <c r="I20042" s="82"/>
      <c r="M20042" s="85"/>
    </row>
    <row r="20043" spans="9:13" x14ac:dyDescent="0.3">
      <c r="I20043" s="82"/>
      <c r="M20043" s="85"/>
    </row>
    <row r="20044" spans="9:13" x14ac:dyDescent="0.3">
      <c r="I20044" s="82"/>
      <c r="M20044" s="85"/>
    </row>
    <row r="20045" spans="9:13" x14ac:dyDescent="0.3">
      <c r="I20045" s="82"/>
      <c r="M20045" s="85"/>
    </row>
    <row r="20046" spans="9:13" x14ac:dyDescent="0.3">
      <c r="I20046" s="82"/>
      <c r="M20046" s="85"/>
    </row>
    <row r="20047" spans="9:13" x14ac:dyDescent="0.3">
      <c r="I20047" s="82"/>
      <c r="M20047" s="85"/>
    </row>
    <row r="20048" spans="9:13" x14ac:dyDescent="0.3">
      <c r="I20048" s="82"/>
      <c r="M20048" s="85"/>
    </row>
    <row r="20049" spans="9:13" x14ac:dyDescent="0.3">
      <c r="I20049" s="82"/>
      <c r="M20049" s="85"/>
    </row>
    <row r="20050" spans="9:13" x14ac:dyDescent="0.3">
      <c r="I20050" s="82"/>
      <c r="M20050" s="85"/>
    </row>
    <row r="20051" spans="9:13" x14ac:dyDescent="0.3">
      <c r="I20051" s="82"/>
      <c r="M20051" s="85"/>
    </row>
    <row r="20052" spans="9:13" x14ac:dyDescent="0.3">
      <c r="I20052" s="82"/>
      <c r="M20052" s="85"/>
    </row>
    <row r="20053" spans="9:13" x14ac:dyDescent="0.3">
      <c r="I20053" s="82"/>
      <c r="M20053" s="85"/>
    </row>
    <row r="20054" spans="9:13" x14ac:dyDescent="0.3">
      <c r="I20054" s="82"/>
      <c r="M20054" s="85"/>
    </row>
    <row r="20055" spans="9:13" x14ac:dyDescent="0.3">
      <c r="I20055" s="82"/>
      <c r="M20055" s="85"/>
    </row>
    <row r="20056" spans="9:13" x14ac:dyDescent="0.3">
      <c r="I20056" s="82"/>
      <c r="M20056" s="85"/>
    </row>
    <row r="20057" spans="9:13" x14ac:dyDescent="0.3">
      <c r="I20057" s="82"/>
      <c r="M20057" s="85"/>
    </row>
    <row r="20058" spans="9:13" x14ac:dyDescent="0.3">
      <c r="I20058" s="82"/>
      <c r="M20058" s="85"/>
    </row>
    <row r="20059" spans="9:13" x14ac:dyDescent="0.3">
      <c r="I20059" s="82"/>
      <c r="M20059" s="85"/>
    </row>
    <row r="20060" spans="9:13" x14ac:dyDescent="0.3">
      <c r="I20060" s="82"/>
      <c r="M20060" s="85"/>
    </row>
    <row r="20061" spans="9:13" x14ac:dyDescent="0.3">
      <c r="I20061" s="82"/>
      <c r="M20061" s="85"/>
    </row>
    <row r="20062" spans="9:13" x14ac:dyDescent="0.3">
      <c r="I20062" s="82"/>
      <c r="M20062" s="85"/>
    </row>
    <row r="20063" spans="9:13" x14ac:dyDescent="0.3">
      <c r="I20063" s="82"/>
      <c r="M20063" s="85"/>
    </row>
    <row r="20064" spans="9:13" x14ac:dyDescent="0.3">
      <c r="I20064" s="82"/>
      <c r="M20064" s="85"/>
    </row>
    <row r="20065" spans="9:13" x14ac:dyDescent="0.3">
      <c r="I20065" s="82"/>
      <c r="M20065" s="85"/>
    </row>
    <row r="20066" spans="9:13" x14ac:dyDescent="0.3">
      <c r="I20066" s="82"/>
      <c r="M20066" s="85"/>
    </row>
    <row r="20067" spans="9:13" x14ac:dyDescent="0.3">
      <c r="I20067" s="82"/>
      <c r="M20067" s="85"/>
    </row>
    <row r="20068" spans="9:13" x14ac:dyDescent="0.3">
      <c r="I20068" s="82"/>
      <c r="M20068" s="85"/>
    </row>
    <row r="20069" spans="9:13" x14ac:dyDescent="0.3">
      <c r="I20069" s="82"/>
      <c r="M20069" s="85"/>
    </row>
    <row r="20070" spans="9:13" x14ac:dyDescent="0.3">
      <c r="I20070" s="82"/>
      <c r="M20070" s="85"/>
    </row>
    <row r="20071" spans="9:13" x14ac:dyDescent="0.3">
      <c r="I20071" s="82"/>
      <c r="M20071" s="85"/>
    </row>
    <row r="20072" spans="9:13" x14ac:dyDescent="0.3">
      <c r="I20072" s="82"/>
      <c r="M20072" s="85"/>
    </row>
    <row r="20073" spans="9:13" x14ac:dyDescent="0.3">
      <c r="I20073" s="82"/>
      <c r="M20073" s="85"/>
    </row>
    <row r="20074" spans="9:13" x14ac:dyDescent="0.3">
      <c r="I20074" s="82"/>
      <c r="M20074" s="85"/>
    </row>
    <row r="20075" spans="9:13" x14ac:dyDescent="0.3">
      <c r="I20075" s="82"/>
      <c r="M20075" s="85"/>
    </row>
    <row r="20076" spans="9:13" x14ac:dyDescent="0.3">
      <c r="I20076" s="82"/>
      <c r="M20076" s="85"/>
    </row>
    <row r="20077" spans="9:13" x14ac:dyDescent="0.3">
      <c r="I20077" s="82"/>
      <c r="M20077" s="85"/>
    </row>
    <row r="20078" spans="9:13" x14ac:dyDescent="0.3">
      <c r="I20078" s="82"/>
      <c r="M20078" s="85"/>
    </row>
    <row r="20079" spans="9:13" x14ac:dyDescent="0.3">
      <c r="I20079" s="82"/>
      <c r="M20079" s="85"/>
    </row>
    <row r="20080" spans="9:13" x14ac:dyDescent="0.3">
      <c r="I20080" s="82"/>
      <c r="M20080" s="85"/>
    </row>
    <row r="20081" spans="9:13" x14ac:dyDescent="0.3">
      <c r="I20081" s="82"/>
      <c r="M20081" s="85"/>
    </row>
    <row r="20082" spans="9:13" x14ac:dyDescent="0.3">
      <c r="I20082" s="82"/>
      <c r="M20082" s="85"/>
    </row>
    <row r="20083" spans="9:13" x14ac:dyDescent="0.3">
      <c r="I20083" s="82"/>
      <c r="M20083" s="85"/>
    </row>
    <row r="20084" spans="9:13" x14ac:dyDescent="0.3">
      <c r="I20084" s="82"/>
      <c r="M20084" s="85"/>
    </row>
    <row r="20085" spans="9:13" x14ac:dyDescent="0.3">
      <c r="I20085" s="82"/>
      <c r="M20085" s="85"/>
    </row>
    <row r="20086" spans="9:13" x14ac:dyDescent="0.3">
      <c r="I20086" s="82"/>
      <c r="M20086" s="85"/>
    </row>
    <row r="20087" spans="9:13" x14ac:dyDescent="0.3">
      <c r="I20087" s="82"/>
      <c r="M20087" s="85"/>
    </row>
    <row r="20088" spans="9:13" x14ac:dyDescent="0.3">
      <c r="I20088" s="82"/>
      <c r="M20088" s="85"/>
    </row>
    <row r="20089" spans="9:13" x14ac:dyDescent="0.3">
      <c r="I20089" s="82"/>
      <c r="M20089" s="85"/>
    </row>
    <row r="20090" spans="9:13" x14ac:dyDescent="0.3">
      <c r="I20090" s="82"/>
      <c r="M20090" s="85"/>
    </row>
    <row r="20091" spans="9:13" x14ac:dyDescent="0.3">
      <c r="I20091" s="82"/>
      <c r="M20091" s="85"/>
    </row>
    <row r="20092" spans="9:13" x14ac:dyDescent="0.3">
      <c r="I20092" s="82"/>
      <c r="M20092" s="85"/>
    </row>
    <row r="20093" spans="9:13" x14ac:dyDescent="0.3">
      <c r="I20093" s="82"/>
      <c r="M20093" s="85"/>
    </row>
    <row r="20094" spans="9:13" x14ac:dyDescent="0.3">
      <c r="I20094" s="82"/>
      <c r="M20094" s="85"/>
    </row>
    <row r="20095" spans="9:13" x14ac:dyDescent="0.3">
      <c r="I20095" s="82"/>
      <c r="M20095" s="85"/>
    </row>
    <row r="20096" spans="9:13" x14ac:dyDescent="0.3">
      <c r="I20096" s="82"/>
      <c r="M20096" s="85"/>
    </row>
    <row r="20097" spans="9:13" x14ac:dyDescent="0.3">
      <c r="I20097" s="82"/>
      <c r="M20097" s="85"/>
    </row>
    <row r="20098" spans="9:13" x14ac:dyDescent="0.3">
      <c r="I20098" s="82"/>
      <c r="M20098" s="85"/>
    </row>
    <row r="20099" spans="9:13" x14ac:dyDescent="0.3">
      <c r="I20099" s="82"/>
      <c r="M20099" s="85"/>
    </row>
    <row r="20100" spans="9:13" x14ac:dyDescent="0.3">
      <c r="I20100" s="82"/>
      <c r="M20100" s="85"/>
    </row>
    <row r="20101" spans="9:13" x14ac:dyDescent="0.3">
      <c r="I20101" s="82"/>
      <c r="M20101" s="85"/>
    </row>
    <row r="20102" spans="9:13" x14ac:dyDescent="0.3">
      <c r="I20102" s="82"/>
      <c r="M20102" s="85"/>
    </row>
    <row r="20103" spans="9:13" x14ac:dyDescent="0.3">
      <c r="I20103" s="82"/>
      <c r="M20103" s="85"/>
    </row>
    <row r="20104" spans="9:13" x14ac:dyDescent="0.3">
      <c r="I20104" s="82"/>
      <c r="M20104" s="85"/>
    </row>
    <row r="20105" spans="9:13" x14ac:dyDescent="0.3">
      <c r="I20105" s="82"/>
      <c r="M20105" s="85"/>
    </row>
    <row r="20106" spans="9:13" x14ac:dyDescent="0.3">
      <c r="I20106" s="82"/>
      <c r="M20106" s="85"/>
    </row>
    <row r="20107" spans="9:13" x14ac:dyDescent="0.3">
      <c r="I20107" s="82"/>
      <c r="M20107" s="85"/>
    </row>
    <row r="20108" spans="9:13" x14ac:dyDescent="0.3">
      <c r="I20108" s="82"/>
      <c r="M20108" s="85"/>
    </row>
    <row r="20109" spans="9:13" x14ac:dyDescent="0.3">
      <c r="I20109" s="82"/>
      <c r="M20109" s="85"/>
    </row>
    <row r="20110" spans="9:13" x14ac:dyDescent="0.3">
      <c r="I20110" s="82"/>
      <c r="M20110" s="85"/>
    </row>
    <row r="20111" spans="9:13" x14ac:dyDescent="0.3">
      <c r="I20111" s="82"/>
      <c r="M20111" s="85"/>
    </row>
    <row r="20112" spans="9:13" x14ac:dyDescent="0.3">
      <c r="I20112" s="82"/>
      <c r="M20112" s="85"/>
    </row>
    <row r="20113" spans="9:13" x14ac:dyDescent="0.3">
      <c r="I20113" s="82"/>
      <c r="M20113" s="85"/>
    </row>
    <row r="20114" spans="9:13" x14ac:dyDescent="0.3">
      <c r="I20114" s="82"/>
      <c r="M20114" s="85"/>
    </row>
    <row r="20115" spans="9:13" x14ac:dyDescent="0.3">
      <c r="I20115" s="82"/>
      <c r="M20115" s="85"/>
    </row>
    <row r="20116" spans="9:13" x14ac:dyDescent="0.3">
      <c r="I20116" s="82"/>
      <c r="M20116" s="85"/>
    </row>
    <row r="20117" spans="9:13" x14ac:dyDescent="0.3">
      <c r="I20117" s="82"/>
      <c r="M20117" s="85"/>
    </row>
    <row r="20118" spans="9:13" x14ac:dyDescent="0.3">
      <c r="I20118" s="82"/>
      <c r="M20118" s="85"/>
    </row>
    <row r="20119" spans="9:13" x14ac:dyDescent="0.3">
      <c r="I20119" s="82"/>
      <c r="M20119" s="85"/>
    </row>
    <row r="20120" spans="9:13" x14ac:dyDescent="0.3">
      <c r="I20120" s="82"/>
      <c r="M20120" s="85"/>
    </row>
    <row r="20121" spans="9:13" x14ac:dyDescent="0.3">
      <c r="I20121" s="82"/>
      <c r="M20121" s="85"/>
    </row>
    <row r="20122" spans="9:13" x14ac:dyDescent="0.3">
      <c r="I20122" s="82"/>
      <c r="M20122" s="85"/>
    </row>
    <row r="20123" spans="9:13" x14ac:dyDescent="0.3">
      <c r="I20123" s="82"/>
      <c r="M20123" s="85"/>
    </row>
    <row r="20124" spans="9:13" x14ac:dyDescent="0.3">
      <c r="I20124" s="82"/>
      <c r="M20124" s="85"/>
    </row>
    <row r="20125" spans="9:13" x14ac:dyDescent="0.3">
      <c r="I20125" s="82"/>
      <c r="M20125" s="85"/>
    </row>
    <row r="20126" spans="9:13" x14ac:dyDescent="0.3">
      <c r="I20126" s="82"/>
      <c r="M20126" s="85"/>
    </row>
    <row r="20127" spans="9:13" x14ac:dyDescent="0.3">
      <c r="I20127" s="82"/>
      <c r="M20127" s="85"/>
    </row>
    <row r="20128" spans="9:13" x14ac:dyDescent="0.3">
      <c r="I20128" s="82"/>
      <c r="M20128" s="85"/>
    </row>
    <row r="20129" spans="9:13" x14ac:dyDescent="0.3">
      <c r="I20129" s="82"/>
      <c r="M20129" s="85"/>
    </row>
    <row r="20130" spans="9:13" x14ac:dyDescent="0.3">
      <c r="I20130" s="82"/>
      <c r="M20130" s="85"/>
    </row>
    <row r="20131" spans="9:13" x14ac:dyDescent="0.3">
      <c r="I20131" s="82"/>
      <c r="M20131" s="85"/>
    </row>
    <row r="20132" spans="9:13" x14ac:dyDescent="0.3">
      <c r="I20132" s="82"/>
      <c r="M20132" s="85"/>
    </row>
    <row r="20133" spans="9:13" x14ac:dyDescent="0.3">
      <c r="I20133" s="82"/>
      <c r="M20133" s="85"/>
    </row>
    <row r="20134" spans="9:13" x14ac:dyDescent="0.3">
      <c r="I20134" s="82"/>
      <c r="M20134" s="85"/>
    </row>
    <row r="20135" spans="9:13" x14ac:dyDescent="0.3">
      <c r="I20135" s="82"/>
      <c r="M20135" s="85"/>
    </row>
    <row r="20136" spans="9:13" x14ac:dyDescent="0.3">
      <c r="I20136" s="82"/>
      <c r="M20136" s="85"/>
    </row>
    <row r="20137" spans="9:13" x14ac:dyDescent="0.3">
      <c r="I20137" s="82"/>
      <c r="M20137" s="85"/>
    </row>
    <row r="20138" spans="9:13" x14ac:dyDescent="0.3">
      <c r="I20138" s="82"/>
      <c r="M20138" s="85"/>
    </row>
    <row r="20139" spans="9:13" x14ac:dyDescent="0.3">
      <c r="I20139" s="82"/>
      <c r="M20139" s="85"/>
    </row>
    <row r="20140" spans="9:13" x14ac:dyDescent="0.3">
      <c r="I20140" s="82"/>
      <c r="M20140" s="85"/>
    </row>
    <row r="20141" spans="9:13" x14ac:dyDescent="0.3">
      <c r="I20141" s="82"/>
      <c r="M20141" s="85"/>
    </row>
    <row r="20142" spans="9:13" x14ac:dyDescent="0.3">
      <c r="I20142" s="82"/>
      <c r="M20142" s="85"/>
    </row>
    <row r="20143" spans="9:13" x14ac:dyDescent="0.3">
      <c r="I20143" s="82"/>
      <c r="M20143" s="85"/>
    </row>
    <row r="20144" spans="9:13" x14ac:dyDescent="0.3">
      <c r="I20144" s="82"/>
      <c r="M20144" s="85"/>
    </row>
    <row r="20145" spans="9:13" x14ac:dyDescent="0.3">
      <c r="I20145" s="82"/>
      <c r="M20145" s="85"/>
    </row>
    <row r="20146" spans="9:13" x14ac:dyDescent="0.3">
      <c r="I20146" s="82"/>
      <c r="M20146" s="85"/>
    </row>
    <row r="20147" spans="9:13" x14ac:dyDescent="0.3">
      <c r="I20147" s="82"/>
      <c r="M20147" s="85"/>
    </row>
    <row r="20148" spans="9:13" x14ac:dyDescent="0.3">
      <c r="I20148" s="82"/>
      <c r="M20148" s="85"/>
    </row>
    <row r="20149" spans="9:13" x14ac:dyDescent="0.3">
      <c r="I20149" s="82"/>
      <c r="M20149" s="85"/>
    </row>
    <row r="20150" spans="9:13" x14ac:dyDescent="0.3">
      <c r="I20150" s="82"/>
      <c r="M20150" s="85"/>
    </row>
    <row r="20151" spans="9:13" x14ac:dyDescent="0.3">
      <c r="I20151" s="82"/>
      <c r="M20151" s="85"/>
    </row>
    <row r="20152" spans="9:13" x14ac:dyDescent="0.3">
      <c r="I20152" s="82"/>
      <c r="M20152" s="85"/>
    </row>
    <row r="20153" spans="9:13" x14ac:dyDescent="0.3">
      <c r="I20153" s="82"/>
      <c r="M20153" s="85"/>
    </row>
    <row r="20154" spans="9:13" x14ac:dyDescent="0.3">
      <c r="I20154" s="82"/>
      <c r="M20154" s="85"/>
    </row>
    <row r="20155" spans="9:13" x14ac:dyDescent="0.3">
      <c r="I20155" s="82"/>
      <c r="M20155" s="85"/>
    </row>
    <row r="20156" spans="9:13" x14ac:dyDescent="0.3">
      <c r="I20156" s="82"/>
      <c r="M20156" s="85"/>
    </row>
    <row r="20157" spans="9:13" x14ac:dyDescent="0.3">
      <c r="I20157" s="82"/>
      <c r="M20157" s="85"/>
    </row>
    <row r="20158" spans="9:13" x14ac:dyDescent="0.3">
      <c r="I20158" s="82"/>
      <c r="M20158" s="85"/>
    </row>
    <row r="20159" spans="9:13" x14ac:dyDescent="0.3">
      <c r="I20159" s="82"/>
      <c r="M20159" s="85"/>
    </row>
    <row r="20160" spans="9:13" x14ac:dyDescent="0.3">
      <c r="I20160" s="82"/>
      <c r="M20160" s="85"/>
    </row>
    <row r="20161" spans="9:13" x14ac:dyDescent="0.3">
      <c r="I20161" s="82"/>
      <c r="M20161" s="85"/>
    </row>
    <row r="20162" spans="9:13" x14ac:dyDescent="0.3">
      <c r="I20162" s="82"/>
      <c r="M20162" s="85"/>
    </row>
    <row r="20163" spans="9:13" x14ac:dyDescent="0.3">
      <c r="I20163" s="82"/>
      <c r="M20163" s="85"/>
    </row>
    <row r="20164" spans="9:13" x14ac:dyDescent="0.3">
      <c r="I20164" s="82"/>
      <c r="M20164" s="85"/>
    </row>
    <row r="20165" spans="9:13" x14ac:dyDescent="0.3">
      <c r="I20165" s="82"/>
      <c r="M20165" s="85"/>
    </row>
    <row r="20166" spans="9:13" x14ac:dyDescent="0.3">
      <c r="I20166" s="82"/>
      <c r="M20166" s="85"/>
    </row>
    <row r="20167" spans="9:13" x14ac:dyDescent="0.3">
      <c r="I20167" s="82"/>
      <c r="M20167" s="85"/>
    </row>
    <row r="20168" spans="9:13" x14ac:dyDescent="0.3">
      <c r="I20168" s="82"/>
      <c r="M20168" s="85"/>
    </row>
    <row r="20169" spans="9:13" x14ac:dyDescent="0.3">
      <c r="I20169" s="82"/>
      <c r="M20169" s="85"/>
    </row>
    <row r="20170" spans="9:13" x14ac:dyDescent="0.3">
      <c r="I20170" s="82"/>
      <c r="M20170" s="85"/>
    </row>
    <row r="20171" spans="9:13" x14ac:dyDescent="0.3">
      <c r="I20171" s="82"/>
      <c r="M20171" s="85"/>
    </row>
    <row r="20172" spans="9:13" x14ac:dyDescent="0.3">
      <c r="I20172" s="82"/>
      <c r="M20172" s="85"/>
    </row>
    <row r="20173" spans="9:13" x14ac:dyDescent="0.3">
      <c r="I20173" s="82"/>
      <c r="M20173" s="85"/>
    </row>
    <row r="20174" spans="9:13" x14ac:dyDescent="0.3">
      <c r="I20174" s="82"/>
      <c r="M20174" s="85"/>
    </row>
    <row r="20175" spans="9:13" x14ac:dyDescent="0.3">
      <c r="I20175" s="82"/>
      <c r="M20175" s="85"/>
    </row>
    <row r="20176" spans="9:13" x14ac:dyDescent="0.3">
      <c r="I20176" s="82"/>
      <c r="M20176" s="85"/>
    </row>
    <row r="20177" spans="9:13" x14ac:dyDescent="0.3">
      <c r="I20177" s="82"/>
      <c r="M20177" s="85"/>
    </row>
    <row r="20178" spans="9:13" x14ac:dyDescent="0.3">
      <c r="I20178" s="82"/>
      <c r="M20178" s="85"/>
    </row>
    <row r="20179" spans="9:13" x14ac:dyDescent="0.3">
      <c r="I20179" s="82"/>
      <c r="M20179" s="85"/>
    </row>
    <row r="20180" spans="9:13" x14ac:dyDescent="0.3">
      <c r="I20180" s="82"/>
      <c r="M20180" s="85"/>
    </row>
    <row r="20181" spans="9:13" x14ac:dyDescent="0.3">
      <c r="I20181" s="82"/>
      <c r="M20181" s="85"/>
    </row>
    <row r="20182" spans="9:13" x14ac:dyDescent="0.3">
      <c r="I20182" s="82"/>
      <c r="M20182" s="85"/>
    </row>
    <row r="20183" spans="9:13" x14ac:dyDescent="0.3">
      <c r="I20183" s="82"/>
      <c r="M20183" s="85"/>
    </row>
    <row r="20184" spans="9:13" x14ac:dyDescent="0.3">
      <c r="I20184" s="82"/>
      <c r="M20184" s="85"/>
    </row>
    <row r="20185" spans="9:13" x14ac:dyDescent="0.3">
      <c r="I20185" s="82"/>
      <c r="M20185" s="85"/>
    </row>
    <row r="20186" spans="9:13" x14ac:dyDescent="0.3">
      <c r="I20186" s="82"/>
      <c r="M20186" s="85"/>
    </row>
    <row r="20187" spans="9:13" x14ac:dyDescent="0.3">
      <c r="I20187" s="82"/>
      <c r="M20187" s="85"/>
    </row>
    <row r="20188" spans="9:13" x14ac:dyDescent="0.3">
      <c r="I20188" s="82"/>
      <c r="M20188" s="85"/>
    </row>
    <row r="20189" spans="9:13" x14ac:dyDescent="0.3">
      <c r="I20189" s="82"/>
      <c r="M20189" s="85"/>
    </row>
    <row r="20190" spans="9:13" x14ac:dyDescent="0.3">
      <c r="I20190" s="82"/>
      <c r="M20190" s="85"/>
    </row>
    <row r="20191" spans="9:13" x14ac:dyDescent="0.3">
      <c r="I20191" s="82"/>
      <c r="M20191" s="85"/>
    </row>
    <row r="20192" spans="9:13" x14ac:dyDescent="0.3">
      <c r="I20192" s="82"/>
      <c r="M20192" s="85"/>
    </row>
    <row r="20193" spans="9:13" x14ac:dyDescent="0.3">
      <c r="I20193" s="82"/>
      <c r="M20193" s="85"/>
    </row>
    <row r="20194" spans="9:13" x14ac:dyDescent="0.3">
      <c r="I20194" s="82"/>
      <c r="M20194" s="85"/>
    </row>
    <row r="20195" spans="9:13" x14ac:dyDescent="0.3">
      <c r="I20195" s="82"/>
      <c r="M20195" s="85"/>
    </row>
    <row r="20196" spans="9:13" x14ac:dyDescent="0.3">
      <c r="I20196" s="82"/>
      <c r="M20196" s="85"/>
    </row>
    <row r="20197" spans="9:13" x14ac:dyDescent="0.3">
      <c r="I20197" s="82"/>
      <c r="M20197" s="85"/>
    </row>
    <row r="20198" spans="9:13" x14ac:dyDescent="0.3">
      <c r="I20198" s="82"/>
      <c r="M20198" s="85"/>
    </row>
    <row r="20199" spans="9:13" x14ac:dyDescent="0.3">
      <c r="I20199" s="82"/>
      <c r="M20199" s="85"/>
    </row>
    <row r="20200" spans="9:13" x14ac:dyDescent="0.3">
      <c r="I20200" s="82"/>
      <c r="M20200" s="85"/>
    </row>
    <row r="20201" spans="9:13" x14ac:dyDescent="0.3">
      <c r="I20201" s="82"/>
      <c r="M20201" s="85"/>
    </row>
    <row r="20202" spans="9:13" x14ac:dyDescent="0.3">
      <c r="I20202" s="82"/>
      <c r="M20202" s="85"/>
    </row>
    <row r="20203" spans="9:13" x14ac:dyDescent="0.3">
      <c r="I20203" s="82"/>
      <c r="M20203" s="85"/>
    </row>
    <row r="20204" spans="9:13" x14ac:dyDescent="0.3">
      <c r="I20204" s="82"/>
      <c r="M20204" s="85"/>
    </row>
    <row r="20205" spans="9:13" x14ac:dyDescent="0.3">
      <c r="I20205" s="82"/>
      <c r="M20205" s="85"/>
    </row>
    <row r="20206" spans="9:13" x14ac:dyDescent="0.3">
      <c r="I20206" s="82"/>
      <c r="M20206" s="85"/>
    </row>
    <row r="20207" spans="9:13" x14ac:dyDescent="0.3">
      <c r="I20207" s="82"/>
      <c r="M20207" s="85"/>
    </row>
    <row r="20208" spans="9:13" x14ac:dyDescent="0.3">
      <c r="I20208" s="82"/>
      <c r="M20208" s="85"/>
    </row>
    <row r="20209" spans="9:13" x14ac:dyDescent="0.3">
      <c r="I20209" s="82"/>
      <c r="M20209" s="85"/>
    </row>
    <row r="20210" spans="9:13" x14ac:dyDescent="0.3">
      <c r="I20210" s="82"/>
      <c r="M20210" s="85"/>
    </row>
    <row r="20211" spans="9:13" x14ac:dyDescent="0.3">
      <c r="I20211" s="82"/>
      <c r="M20211" s="85"/>
    </row>
    <row r="20212" spans="9:13" x14ac:dyDescent="0.3">
      <c r="I20212" s="82"/>
      <c r="M20212" s="85"/>
    </row>
    <row r="20213" spans="9:13" x14ac:dyDescent="0.3">
      <c r="I20213" s="82"/>
      <c r="M20213" s="85"/>
    </row>
    <row r="20214" spans="9:13" x14ac:dyDescent="0.3">
      <c r="I20214" s="82"/>
      <c r="M20214" s="85"/>
    </row>
    <row r="20215" spans="9:13" x14ac:dyDescent="0.3">
      <c r="I20215" s="82"/>
      <c r="M20215" s="85"/>
    </row>
    <row r="20216" spans="9:13" x14ac:dyDescent="0.3">
      <c r="I20216" s="82"/>
      <c r="M20216" s="85"/>
    </row>
    <row r="20217" spans="9:13" x14ac:dyDescent="0.3">
      <c r="I20217" s="82"/>
      <c r="M20217" s="85"/>
    </row>
    <row r="20218" spans="9:13" x14ac:dyDescent="0.3">
      <c r="I20218" s="82"/>
      <c r="M20218" s="85"/>
    </row>
    <row r="20219" spans="9:13" x14ac:dyDescent="0.3">
      <c r="I20219" s="82"/>
      <c r="M20219" s="85"/>
    </row>
    <row r="20220" spans="9:13" x14ac:dyDescent="0.3">
      <c r="I20220" s="82"/>
      <c r="M20220" s="85"/>
    </row>
    <row r="20221" spans="9:13" x14ac:dyDescent="0.3">
      <c r="I20221" s="82"/>
      <c r="M20221" s="85"/>
    </row>
    <row r="20222" spans="9:13" x14ac:dyDescent="0.3">
      <c r="I20222" s="82"/>
      <c r="M20222" s="85"/>
    </row>
    <row r="20223" spans="9:13" x14ac:dyDescent="0.3">
      <c r="I20223" s="82"/>
      <c r="M20223" s="85"/>
    </row>
    <row r="20224" spans="9:13" x14ac:dyDescent="0.3">
      <c r="I20224" s="82"/>
      <c r="M20224" s="85"/>
    </row>
    <row r="20225" spans="9:13" x14ac:dyDescent="0.3">
      <c r="I20225" s="82"/>
      <c r="M20225" s="85"/>
    </row>
    <row r="20226" spans="9:13" x14ac:dyDescent="0.3">
      <c r="I20226" s="82"/>
      <c r="M20226" s="85"/>
    </row>
    <row r="20227" spans="9:13" x14ac:dyDescent="0.3">
      <c r="I20227" s="82"/>
      <c r="M20227" s="85"/>
    </row>
    <row r="20228" spans="9:13" x14ac:dyDescent="0.3">
      <c r="I20228" s="82"/>
      <c r="M20228" s="85"/>
    </row>
    <row r="20229" spans="9:13" x14ac:dyDescent="0.3">
      <c r="I20229" s="82"/>
      <c r="M20229" s="85"/>
    </row>
    <row r="20230" spans="9:13" x14ac:dyDescent="0.3">
      <c r="I20230" s="82"/>
      <c r="M20230" s="85"/>
    </row>
    <row r="20231" spans="9:13" x14ac:dyDescent="0.3">
      <c r="I20231" s="82"/>
      <c r="M20231" s="85"/>
    </row>
    <row r="20232" spans="9:13" x14ac:dyDescent="0.3">
      <c r="I20232" s="82"/>
      <c r="M20232" s="85"/>
    </row>
    <row r="20233" spans="9:13" x14ac:dyDescent="0.3">
      <c r="I20233" s="82"/>
      <c r="M20233" s="85"/>
    </row>
    <row r="20234" spans="9:13" x14ac:dyDescent="0.3">
      <c r="I20234" s="82"/>
      <c r="M20234" s="85"/>
    </row>
    <row r="20235" spans="9:13" x14ac:dyDescent="0.3">
      <c r="I20235" s="82"/>
      <c r="M20235" s="85"/>
    </row>
    <row r="20236" spans="9:13" x14ac:dyDescent="0.3">
      <c r="I20236" s="82"/>
      <c r="M20236" s="85"/>
    </row>
    <row r="20237" spans="9:13" x14ac:dyDescent="0.3">
      <c r="I20237" s="82"/>
      <c r="M20237" s="85"/>
    </row>
    <row r="20238" spans="9:13" x14ac:dyDescent="0.3">
      <c r="I20238" s="82"/>
      <c r="M20238" s="85"/>
    </row>
    <row r="20239" spans="9:13" x14ac:dyDescent="0.3">
      <c r="I20239" s="82"/>
      <c r="M20239" s="85"/>
    </row>
    <row r="20240" spans="9:13" x14ac:dyDescent="0.3">
      <c r="I20240" s="82"/>
      <c r="M20240" s="85"/>
    </row>
    <row r="20241" spans="9:13" x14ac:dyDescent="0.3">
      <c r="I20241" s="82"/>
      <c r="M20241" s="85"/>
    </row>
    <row r="20242" spans="9:13" x14ac:dyDescent="0.3">
      <c r="I20242" s="82"/>
      <c r="M20242" s="85"/>
    </row>
    <row r="20243" spans="9:13" x14ac:dyDescent="0.3">
      <c r="I20243" s="82"/>
      <c r="M20243" s="85"/>
    </row>
    <row r="20244" spans="9:13" x14ac:dyDescent="0.3">
      <c r="I20244" s="82"/>
      <c r="M20244" s="85"/>
    </row>
    <row r="20245" spans="9:13" x14ac:dyDescent="0.3">
      <c r="I20245" s="82"/>
      <c r="M20245" s="85"/>
    </row>
    <row r="20246" spans="9:13" x14ac:dyDescent="0.3">
      <c r="I20246" s="82"/>
      <c r="M20246" s="85"/>
    </row>
    <row r="20247" spans="9:13" x14ac:dyDescent="0.3">
      <c r="I20247" s="82"/>
      <c r="M20247" s="85"/>
    </row>
    <row r="20248" spans="9:13" x14ac:dyDescent="0.3">
      <c r="I20248" s="82"/>
      <c r="M20248" s="85"/>
    </row>
    <row r="20249" spans="9:13" x14ac:dyDescent="0.3">
      <c r="I20249" s="82"/>
      <c r="M20249" s="85"/>
    </row>
    <row r="20250" spans="9:13" x14ac:dyDescent="0.3">
      <c r="I20250" s="82"/>
      <c r="M20250" s="85"/>
    </row>
    <row r="20251" spans="9:13" x14ac:dyDescent="0.3">
      <c r="I20251" s="82"/>
      <c r="M20251" s="85"/>
    </row>
    <row r="20252" spans="9:13" x14ac:dyDescent="0.3">
      <c r="I20252" s="82"/>
      <c r="M20252" s="85"/>
    </row>
    <row r="20253" spans="9:13" x14ac:dyDescent="0.3">
      <c r="I20253" s="82"/>
      <c r="M20253" s="85"/>
    </row>
    <row r="20254" spans="9:13" x14ac:dyDescent="0.3">
      <c r="I20254" s="82"/>
      <c r="M20254" s="85"/>
    </row>
    <row r="20255" spans="9:13" x14ac:dyDescent="0.3">
      <c r="I20255" s="82"/>
      <c r="M20255" s="85"/>
    </row>
    <row r="20256" spans="9:13" x14ac:dyDescent="0.3">
      <c r="I20256" s="82"/>
      <c r="M20256" s="85"/>
    </row>
    <row r="20257" spans="9:13" x14ac:dyDescent="0.3">
      <c r="I20257" s="82"/>
      <c r="M20257" s="85"/>
    </row>
    <row r="20258" spans="9:13" x14ac:dyDescent="0.3">
      <c r="I20258" s="82"/>
      <c r="M20258" s="85"/>
    </row>
    <row r="20259" spans="9:13" x14ac:dyDescent="0.3">
      <c r="I20259" s="82"/>
      <c r="M20259" s="85"/>
    </row>
    <row r="20260" spans="9:13" x14ac:dyDescent="0.3">
      <c r="I20260" s="82"/>
      <c r="M20260" s="85"/>
    </row>
    <row r="20261" spans="9:13" x14ac:dyDescent="0.3">
      <c r="I20261" s="82"/>
      <c r="M20261" s="85"/>
    </row>
    <row r="20262" spans="9:13" x14ac:dyDescent="0.3">
      <c r="I20262" s="82"/>
      <c r="M20262" s="85"/>
    </row>
    <row r="20263" spans="9:13" x14ac:dyDescent="0.3">
      <c r="I20263" s="82"/>
      <c r="M20263" s="85"/>
    </row>
    <row r="20264" spans="9:13" x14ac:dyDescent="0.3">
      <c r="I20264" s="82"/>
      <c r="M20264" s="85"/>
    </row>
    <row r="20265" spans="9:13" x14ac:dyDescent="0.3">
      <c r="I20265" s="82"/>
      <c r="M20265" s="85"/>
    </row>
    <row r="20266" spans="9:13" x14ac:dyDescent="0.3">
      <c r="I20266" s="82"/>
      <c r="M20266" s="85"/>
    </row>
    <row r="20267" spans="9:13" x14ac:dyDescent="0.3">
      <c r="I20267" s="82"/>
      <c r="M20267" s="85"/>
    </row>
    <row r="20268" spans="9:13" x14ac:dyDescent="0.3">
      <c r="I20268" s="82"/>
      <c r="M20268" s="85"/>
    </row>
    <row r="20269" spans="9:13" x14ac:dyDescent="0.3">
      <c r="I20269" s="82"/>
      <c r="M20269" s="85"/>
    </row>
    <row r="20270" spans="9:13" x14ac:dyDescent="0.3">
      <c r="I20270" s="82"/>
      <c r="M20270" s="85"/>
    </row>
    <row r="20271" spans="9:13" x14ac:dyDescent="0.3">
      <c r="I20271" s="82"/>
      <c r="M20271" s="85"/>
    </row>
    <row r="20272" spans="9:13" x14ac:dyDescent="0.3">
      <c r="I20272" s="82"/>
      <c r="M20272" s="85"/>
    </row>
    <row r="20273" spans="9:13" x14ac:dyDescent="0.3">
      <c r="I20273" s="82"/>
      <c r="M20273" s="85"/>
    </row>
    <row r="20274" spans="9:13" x14ac:dyDescent="0.3">
      <c r="I20274" s="82"/>
      <c r="M20274" s="85"/>
    </row>
    <row r="20275" spans="9:13" x14ac:dyDescent="0.3">
      <c r="I20275" s="82"/>
      <c r="M20275" s="85"/>
    </row>
    <row r="20276" spans="9:13" x14ac:dyDescent="0.3">
      <c r="I20276" s="82"/>
      <c r="M20276" s="85"/>
    </row>
    <row r="20277" spans="9:13" x14ac:dyDescent="0.3">
      <c r="I20277" s="82"/>
      <c r="M20277" s="85"/>
    </row>
    <row r="20278" spans="9:13" x14ac:dyDescent="0.3">
      <c r="I20278" s="82"/>
      <c r="M20278" s="85"/>
    </row>
    <row r="20279" spans="9:13" x14ac:dyDescent="0.3">
      <c r="I20279" s="82"/>
      <c r="M20279" s="85"/>
    </row>
    <row r="20280" spans="9:13" x14ac:dyDescent="0.3">
      <c r="I20280" s="82"/>
      <c r="M20280" s="85"/>
    </row>
    <row r="20281" spans="9:13" x14ac:dyDescent="0.3">
      <c r="I20281" s="82"/>
      <c r="M20281" s="85"/>
    </row>
    <row r="20282" spans="9:13" x14ac:dyDescent="0.3">
      <c r="I20282" s="82"/>
      <c r="M20282" s="85"/>
    </row>
    <row r="20283" spans="9:13" x14ac:dyDescent="0.3">
      <c r="I20283" s="82"/>
      <c r="M20283" s="85"/>
    </row>
    <row r="20284" spans="9:13" x14ac:dyDescent="0.3">
      <c r="I20284" s="82"/>
      <c r="M20284" s="85"/>
    </row>
    <row r="20285" spans="9:13" x14ac:dyDescent="0.3">
      <c r="I20285" s="82"/>
      <c r="M20285" s="85"/>
    </row>
    <row r="20286" spans="9:13" x14ac:dyDescent="0.3">
      <c r="I20286" s="82"/>
      <c r="M20286" s="85"/>
    </row>
    <row r="20287" spans="9:13" x14ac:dyDescent="0.3">
      <c r="I20287" s="82"/>
      <c r="M20287" s="85"/>
    </row>
    <row r="20288" spans="9:13" x14ac:dyDescent="0.3">
      <c r="I20288" s="82"/>
      <c r="M20288" s="85"/>
    </row>
    <row r="20289" spans="9:13" x14ac:dyDescent="0.3">
      <c r="I20289" s="82"/>
      <c r="M20289" s="85"/>
    </row>
    <row r="20290" spans="9:13" x14ac:dyDescent="0.3">
      <c r="I20290" s="82"/>
      <c r="M20290" s="85"/>
    </row>
    <row r="20291" spans="9:13" x14ac:dyDescent="0.3">
      <c r="I20291" s="82"/>
      <c r="M20291" s="85"/>
    </row>
    <row r="20292" spans="9:13" x14ac:dyDescent="0.3">
      <c r="I20292" s="82"/>
      <c r="M20292" s="85"/>
    </row>
    <row r="20293" spans="9:13" x14ac:dyDescent="0.3">
      <c r="I20293" s="82"/>
      <c r="M20293" s="85"/>
    </row>
    <row r="20294" spans="9:13" x14ac:dyDescent="0.3">
      <c r="I20294" s="82"/>
      <c r="M20294" s="85"/>
    </row>
    <row r="20295" spans="9:13" x14ac:dyDescent="0.3">
      <c r="I20295" s="82"/>
      <c r="M20295" s="85"/>
    </row>
    <row r="20296" spans="9:13" x14ac:dyDescent="0.3">
      <c r="I20296" s="82"/>
      <c r="M20296" s="85"/>
    </row>
    <row r="20297" spans="9:13" x14ac:dyDescent="0.3">
      <c r="I20297" s="82"/>
      <c r="M20297" s="85"/>
    </row>
    <row r="20298" spans="9:13" x14ac:dyDescent="0.3">
      <c r="I20298" s="82"/>
      <c r="M20298" s="85"/>
    </row>
    <row r="20299" spans="9:13" x14ac:dyDescent="0.3">
      <c r="I20299" s="82"/>
      <c r="M20299" s="85"/>
    </row>
    <row r="20300" spans="9:13" x14ac:dyDescent="0.3">
      <c r="I20300" s="82"/>
      <c r="M20300" s="85"/>
    </row>
    <row r="20301" spans="9:13" x14ac:dyDescent="0.3">
      <c r="I20301" s="82"/>
      <c r="M20301" s="85"/>
    </row>
    <row r="20302" spans="9:13" x14ac:dyDescent="0.3">
      <c r="I20302" s="82"/>
      <c r="M20302" s="85"/>
    </row>
    <row r="20303" spans="9:13" x14ac:dyDescent="0.3">
      <c r="I20303" s="82"/>
      <c r="M20303" s="85"/>
    </row>
    <row r="20304" spans="9:13" x14ac:dyDescent="0.3">
      <c r="I20304" s="82"/>
      <c r="M20304" s="85"/>
    </row>
    <row r="20305" spans="9:13" x14ac:dyDescent="0.3">
      <c r="I20305" s="82"/>
      <c r="M20305" s="85"/>
    </row>
    <row r="20306" spans="9:13" x14ac:dyDescent="0.3">
      <c r="I20306" s="82"/>
      <c r="M20306" s="85"/>
    </row>
    <row r="20307" spans="9:13" x14ac:dyDescent="0.3">
      <c r="I20307" s="82"/>
      <c r="M20307" s="85"/>
    </row>
    <row r="20308" spans="9:13" x14ac:dyDescent="0.3">
      <c r="I20308" s="82"/>
      <c r="M20308" s="85"/>
    </row>
    <row r="20309" spans="9:13" x14ac:dyDescent="0.3">
      <c r="I20309" s="82"/>
      <c r="M20309" s="85"/>
    </row>
    <row r="20310" spans="9:13" x14ac:dyDescent="0.3">
      <c r="I20310" s="82"/>
      <c r="M20310" s="85"/>
    </row>
    <row r="20311" spans="9:13" x14ac:dyDescent="0.3">
      <c r="I20311" s="82"/>
      <c r="M20311" s="85"/>
    </row>
    <row r="20312" spans="9:13" x14ac:dyDescent="0.3">
      <c r="I20312" s="82"/>
      <c r="M20312" s="85"/>
    </row>
    <row r="20313" spans="9:13" x14ac:dyDescent="0.3">
      <c r="I20313" s="82"/>
      <c r="M20313" s="85"/>
    </row>
    <row r="20314" spans="9:13" x14ac:dyDescent="0.3">
      <c r="I20314" s="82"/>
      <c r="M20314" s="85"/>
    </row>
    <row r="20315" spans="9:13" x14ac:dyDescent="0.3">
      <c r="I20315" s="82"/>
      <c r="M20315" s="85"/>
    </row>
    <row r="20316" spans="9:13" x14ac:dyDescent="0.3">
      <c r="I20316" s="82"/>
      <c r="M20316" s="85"/>
    </row>
    <row r="20317" spans="9:13" x14ac:dyDescent="0.3">
      <c r="I20317" s="82"/>
      <c r="M20317" s="85"/>
    </row>
    <row r="20318" spans="9:13" x14ac:dyDescent="0.3">
      <c r="I20318" s="82"/>
      <c r="M20318" s="85"/>
    </row>
    <row r="20319" spans="9:13" x14ac:dyDescent="0.3">
      <c r="I20319" s="82"/>
      <c r="M20319" s="85"/>
    </row>
    <row r="20320" spans="9:13" x14ac:dyDescent="0.3">
      <c r="I20320" s="82"/>
      <c r="M20320" s="85"/>
    </row>
    <row r="20321" spans="9:13" x14ac:dyDescent="0.3">
      <c r="I20321" s="82"/>
      <c r="M20321" s="85"/>
    </row>
    <row r="20322" spans="9:13" x14ac:dyDescent="0.3">
      <c r="I20322" s="82"/>
      <c r="M20322" s="85"/>
    </row>
    <row r="20323" spans="9:13" x14ac:dyDescent="0.3">
      <c r="I20323" s="82"/>
      <c r="M20323" s="85"/>
    </row>
    <row r="20324" spans="9:13" x14ac:dyDescent="0.3">
      <c r="I20324" s="82"/>
      <c r="M20324" s="85"/>
    </row>
    <row r="20325" spans="9:13" x14ac:dyDescent="0.3">
      <c r="I20325" s="82"/>
      <c r="M20325" s="85"/>
    </row>
    <row r="20326" spans="9:13" x14ac:dyDescent="0.3">
      <c r="I20326" s="82"/>
      <c r="M20326" s="85"/>
    </row>
    <row r="20327" spans="9:13" x14ac:dyDescent="0.3">
      <c r="I20327" s="82"/>
      <c r="M20327" s="85"/>
    </row>
    <row r="20328" spans="9:13" x14ac:dyDescent="0.3">
      <c r="I20328" s="82"/>
      <c r="M20328" s="85"/>
    </row>
    <row r="20329" spans="9:13" x14ac:dyDescent="0.3">
      <c r="I20329" s="82"/>
      <c r="M20329" s="85"/>
    </row>
    <row r="20330" spans="9:13" x14ac:dyDescent="0.3">
      <c r="I20330" s="82"/>
      <c r="M20330" s="85"/>
    </row>
    <row r="20331" spans="9:13" x14ac:dyDescent="0.3">
      <c r="I20331" s="82"/>
      <c r="M20331" s="85"/>
    </row>
    <row r="20332" spans="9:13" x14ac:dyDescent="0.3">
      <c r="I20332" s="82"/>
      <c r="M20332" s="85"/>
    </row>
    <row r="20333" spans="9:13" x14ac:dyDescent="0.3">
      <c r="I20333" s="82"/>
      <c r="M20333" s="85"/>
    </row>
    <row r="20334" spans="9:13" x14ac:dyDescent="0.3">
      <c r="I20334" s="82"/>
      <c r="M20334" s="85"/>
    </row>
    <row r="20335" spans="9:13" x14ac:dyDescent="0.3">
      <c r="I20335" s="82"/>
      <c r="M20335" s="85"/>
    </row>
    <row r="20336" spans="9:13" x14ac:dyDescent="0.3">
      <c r="I20336" s="82"/>
      <c r="M20336" s="85"/>
    </row>
    <row r="20337" spans="9:13" x14ac:dyDescent="0.3">
      <c r="I20337" s="82"/>
      <c r="M20337" s="85"/>
    </row>
    <row r="20338" spans="9:13" x14ac:dyDescent="0.3">
      <c r="I20338" s="82"/>
      <c r="M20338" s="85"/>
    </row>
    <row r="20339" spans="9:13" x14ac:dyDescent="0.3">
      <c r="I20339" s="82"/>
      <c r="M20339" s="85"/>
    </row>
    <row r="20340" spans="9:13" x14ac:dyDescent="0.3">
      <c r="I20340" s="82"/>
      <c r="M20340" s="85"/>
    </row>
    <row r="20341" spans="9:13" x14ac:dyDescent="0.3">
      <c r="I20341" s="82"/>
      <c r="M20341" s="85"/>
    </row>
    <row r="20342" spans="9:13" x14ac:dyDescent="0.3">
      <c r="I20342" s="82"/>
      <c r="M20342" s="85"/>
    </row>
    <row r="20343" spans="9:13" x14ac:dyDescent="0.3">
      <c r="I20343" s="82"/>
      <c r="M20343" s="85"/>
    </row>
    <row r="20344" spans="9:13" x14ac:dyDescent="0.3">
      <c r="I20344" s="82"/>
      <c r="M20344" s="85"/>
    </row>
    <row r="20345" spans="9:13" x14ac:dyDescent="0.3">
      <c r="I20345" s="82"/>
      <c r="M20345" s="85"/>
    </row>
    <row r="20346" spans="9:13" x14ac:dyDescent="0.3">
      <c r="I20346" s="82"/>
      <c r="M20346" s="85"/>
    </row>
    <row r="20347" spans="9:13" x14ac:dyDescent="0.3">
      <c r="I20347" s="82"/>
      <c r="M20347" s="85"/>
    </row>
    <row r="20348" spans="9:13" x14ac:dyDescent="0.3">
      <c r="I20348" s="82"/>
      <c r="M20348" s="85"/>
    </row>
    <row r="20349" spans="9:13" x14ac:dyDescent="0.3">
      <c r="I20349" s="82"/>
      <c r="M20349" s="85"/>
    </row>
    <row r="20350" spans="9:13" x14ac:dyDescent="0.3">
      <c r="I20350" s="82"/>
      <c r="M20350" s="85"/>
    </row>
    <row r="20351" spans="9:13" x14ac:dyDescent="0.3">
      <c r="I20351" s="82"/>
      <c r="M20351" s="85"/>
    </row>
    <row r="20352" spans="9:13" x14ac:dyDescent="0.3">
      <c r="I20352" s="82"/>
      <c r="M20352" s="85"/>
    </row>
    <row r="20353" spans="9:13" x14ac:dyDescent="0.3">
      <c r="I20353" s="82"/>
      <c r="M20353" s="85"/>
    </row>
    <row r="20354" spans="9:13" x14ac:dyDescent="0.3">
      <c r="I20354" s="82"/>
      <c r="M20354" s="85"/>
    </row>
    <row r="20355" spans="9:13" x14ac:dyDescent="0.3">
      <c r="I20355" s="82"/>
      <c r="M20355" s="85"/>
    </row>
    <row r="20356" spans="9:13" x14ac:dyDescent="0.3">
      <c r="I20356" s="82"/>
      <c r="M20356" s="85"/>
    </row>
    <row r="20357" spans="9:13" x14ac:dyDescent="0.3">
      <c r="I20357" s="82"/>
      <c r="M20357" s="85"/>
    </row>
    <row r="20358" spans="9:13" x14ac:dyDescent="0.3">
      <c r="I20358" s="82"/>
      <c r="M20358" s="85"/>
    </row>
    <row r="20359" spans="9:13" x14ac:dyDescent="0.3">
      <c r="I20359" s="82"/>
      <c r="M20359" s="85"/>
    </row>
    <row r="20360" spans="9:13" x14ac:dyDescent="0.3">
      <c r="I20360" s="82"/>
      <c r="M20360" s="85"/>
    </row>
    <row r="20361" spans="9:13" x14ac:dyDescent="0.3">
      <c r="I20361" s="82"/>
      <c r="M20361" s="85"/>
    </row>
    <row r="20362" spans="9:13" x14ac:dyDescent="0.3">
      <c r="I20362" s="82"/>
      <c r="M20362" s="85"/>
    </row>
    <row r="20363" spans="9:13" x14ac:dyDescent="0.3">
      <c r="I20363" s="82"/>
      <c r="M20363" s="85"/>
    </row>
    <row r="20364" spans="9:13" x14ac:dyDescent="0.3">
      <c r="I20364" s="82"/>
      <c r="M20364" s="85"/>
    </row>
    <row r="20365" spans="9:13" x14ac:dyDescent="0.3">
      <c r="I20365" s="82"/>
      <c r="M20365" s="85"/>
    </row>
    <row r="20366" spans="9:13" x14ac:dyDescent="0.3">
      <c r="I20366" s="82"/>
      <c r="M20366" s="85"/>
    </row>
    <row r="20367" spans="9:13" x14ac:dyDescent="0.3">
      <c r="I20367" s="82"/>
      <c r="M20367" s="85"/>
    </row>
    <row r="20368" spans="9:13" x14ac:dyDescent="0.3">
      <c r="I20368" s="82"/>
      <c r="M20368" s="85"/>
    </row>
    <row r="20369" spans="9:13" x14ac:dyDescent="0.3">
      <c r="I20369" s="82"/>
      <c r="M20369" s="85"/>
    </row>
    <row r="20370" spans="9:13" x14ac:dyDescent="0.3">
      <c r="I20370" s="82"/>
      <c r="M20370" s="85"/>
    </row>
    <row r="20371" spans="9:13" x14ac:dyDescent="0.3">
      <c r="I20371" s="82"/>
      <c r="M20371" s="85"/>
    </row>
    <row r="20372" spans="9:13" x14ac:dyDescent="0.3">
      <c r="I20372" s="82"/>
      <c r="M20372" s="85"/>
    </row>
    <row r="20373" spans="9:13" x14ac:dyDescent="0.3">
      <c r="I20373" s="82"/>
      <c r="M20373" s="85"/>
    </row>
    <row r="20374" spans="9:13" x14ac:dyDescent="0.3">
      <c r="I20374" s="82"/>
      <c r="M20374" s="85"/>
    </row>
    <row r="20375" spans="9:13" x14ac:dyDescent="0.3">
      <c r="I20375" s="82"/>
      <c r="M20375" s="85"/>
    </row>
    <row r="20376" spans="9:13" x14ac:dyDescent="0.3">
      <c r="I20376" s="82"/>
      <c r="M20376" s="85"/>
    </row>
    <row r="20377" spans="9:13" x14ac:dyDescent="0.3">
      <c r="I20377" s="82"/>
      <c r="M20377" s="85"/>
    </row>
    <row r="20378" spans="9:13" x14ac:dyDescent="0.3">
      <c r="I20378" s="82"/>
      <c r="M20378" s="85"/>
    </row>
    <row r="20379" spans="9:13" x14ac:dyDescent="0.3">
      <c r="I20379" s="82"/>
      <c r="M20379" s="85"/>
    </row>
    <row r="20380" spans="9:13" x14ac:dyDescent="0.3">
      <c r="I20380" s="82"/>
      <c r="M20380" s="85"/>
    </row>
    <row r="20381" spans="9:13" x14ac:dyDescent="0.3">
      <c r="I20381" s="82"/>
      <c r="M20381" s="85"/>
    </row>
    <row r="20382" spans="9:13" x14ac:dyDescent="0.3">
      <c r="I20382" s="82"/>
      <c r="M20382" s="85"/>
    </row>
    <row r="20383" spans="9:13" x14ac:dyDescent="0.3">
      <c r="I20383" s="82"/>
      <c r="M20383" s="85"/>
    </row>
    <row r="20384" spans="9:13" x14ac:dyDescent="0.3">
      <c r="I20384" s="82"/>
      <c r="M20384" s="85"/>
    </row>
    <row r="20385" spans="9:13" x14ac:dyDescent="0.3">
      <c r="I20385" s="82"/>
      <c r="M20385" s="85"/>
    </row>
    <row r="20386" spans="9:13" x14ac:dyDescent="0.3">
      <c r="I20386" s="82"/>
      <c r="M20386" s="85"/>
    </row>
    <row r="20387" spans="9:13" x14ac:dyDescent="0.3">
      <c r="I20387" s="82"/>
      <c r="M20387" s="85"/>
    </row>
    <row r="20388" spans="9:13" x14ac:dyDescent="0.3">
      <c r="I20388" s="82"/>
      <c r="M20388" s="85"/>
    </row>
    <row r="20389" spans="9:13" x14ac:dyDescent="0.3">
      <c r="I20389" s="82"/>
      <c r="M20389" s="85"/>
    </row>
    <row r="20390" spans="9:13" x14ac:dyDescent="0.3">
      <c r="I20390" s="82"/>
      <c r="M20390" s="85"/>
    </row>
    <row r="20391" spans="9:13" x14ac:dyDescent="0.3">
      <c r="I20391" s="82"/>
      <c r="M20391" s="85"/>
    </row>
    <row r="20392" spans="9:13" x14ac:dyDescent="0.3">
      <c r="I20392" s="82"/>
      <c r="M20392" s="85"/>
    </row>
    <row r="20393" spans="9:13" x14ac:dyDescent="0.3">
      <c r="I20393" s="82"/>
      <c r="M20393" s="85"/>
    </row>
    <row r="20394" spans="9:13" x14ac:dyDescent="0.3">
      <c r="I20394" s="82"/>
      <c r="M20394" s="85"/>
    </row>
    <row r="20395" spans="9:13" x14ac:dyDescent="0.3">
      <c r="I20395" s="82"/>
      <c r="M20395" s="85"/>
    </row>
    <row r="20396" spans="9:13" x14ac:dyDescent="0.3">
      <c r="I20396" s="82"/>
      <c r="M20396" s="85"/>
    </row>
    <row r="20397" spans="9:13" x14ac:dyDescent="0.3">
      <c r="I20397" s="82"/>
      <c r="M20397" s="85"/>
    </row>
    <row r="20398" spans="9:13" x14ac:dyDescent="0.3">
      <c r="I20398" s="82"/>
      <c r="M20398" s="85"/>
    </row>
    <row r="20399" spans="9:13" x14ac:dyDescent="0.3">
      <c r="I20399" s="82"/>
      <c r="M20399" s="85"/>
    </row>
    <row r="20400" spans="9:13" x14ac:dyDescent="0.3">
      <c r="I20400" s="82"/>
      <c r="M20400" s="85"/>
    </row>
    <row r="20401" spans="9:13" x14ac:dyDescent="0.3">
      <c r="I20401" s="82"/>
      <c r="M20401" s="85"/>
    </row>
    <row r="20402" spans="9:13" x14ac:dyDescent="0.3">
      <c r="I20402" s="82"/>
      <c r="M20402" s="85"/>
    </row>
    <row r="20403" spans="9:13" x14ac:dyDescent="0.3">
      <c r="I20403" s="82"/>
      <c r="M20403" s="85"/>
    </row>
    <row r="20404" spans="9:13" x14ac:dyDescent="0.3">
      <c r="I20404" s="82"/>
      <c r="M20404" s="85"/>
    </row>
    <row r="20405" spans="9:13" x14ac:dyDescent="0.3">
      <c r="I20405" s="82"/>
      <c r="M20405" s="85"/>
    </row>
    <row r="20406" spans="9:13" x14ac:dyDescent="0.3">
      <c r="I20406" s="82"/>
      <c r="M20406" s="85"/>
    </row>
    <row r="20407" spans="9:13" x14ac:dyDescent="0.3">
      <c r="I20407" s="82"/>
      <c r="M20407" s="85"/>
    </row>
    <row r="20408" spans="9:13" x14ac:dyDescent="0.3">
      <c r="I20408" s="82"/>
      <c r="M20408" s="85"/>
    </row>
    <row r="20409" spans="9:13" x14ac:dyDescent="0.3">
      <c r="I20409" s="82"/>
      <c r="M20409" s="85"/>
    </row>
    <row r="20410" spans="9:13" x14ac:dyDescent="0.3">
      <c r="I20410" s="82"/>
      <c r="M20410" s="85"/>
    </row>
    <row r="20411" spans="9:13" x14ac:dyDescent="0.3">
      <c r="I20411" s="82"/>
      <c r="M20411" s="85"/>
    </row>
    <row r="20412" spans="9:13" x14ac:dyDescent="0.3">
      <c r="I20412" s="82"/>
      <c r="M20412" s="85"/>
    </row>
    <row r="20413" spans="9:13" x14ac:dyDescent="0.3">
      <c r="I20413" s="82"/>
      <c r="M20413" s="85"/>
    </row>
    <row r="20414" spans="9:13" x14ac:dyDescent="0.3">
      <c r="I20414" s="82"/>
      <c r="M20414" s="85"/>
    </row>
    <row r="20415" spans="9:13" x14ac:dyDescent="0.3">
      <c r="I20415" s="82"/>
      <c r="M20415" s="85"/>
    </row>
    <row r="20416" spans="9:13" x14ac:dyDescent="0.3">
      <c r="I20416" s="82"/>
      <c r="M20416" s="85"/>
    </row>
    <row r="20417" spans="9:13" x14ac:dyDescent="0.3">
      <c r="I20417" s="82"/>
      <c r="M20417" s="85"/>
    </row>
    <row r="20418" spans="9:13" x14ac:dyDescent="0.3">
      <c r="I20418" s="82"/>
      <c r="M20418" s="85"/>
    </row>
    <row r="20419" spans="9:13" x14ac:dyDescent="0.3">
      <c r="I20419" s="82"/>
      <c r="M20419" s="85"/>
    </row>
    <row r="20420" spans="9:13" x14ac:dyDescent="0.3">
      <c r="I20420" s="82"/>
      <c r="M20420" s="85"/>
    </row>
    <row r="20421" spans="9:13" x14ac:dyDescent="0.3">
      <c r="I20421" s="82"/>
      <c r="M20421" s="85"/>
    </row>
    <row r="20422" spans="9:13" x14ac:dyDescent="0.3">
      <c r="I20422" s="82"/>
      <c r="M20422" s="85"/>
    </row>
    <row r="20423" spans="9:13" x14ac:dyDescent="0.3">
      <c r="I20423" s="82"/>
      <c r="M20423" s="85"/>
    </row>
    <row r="20424" spans="9:13" x14ac:dyDescent="0.3">
      <c r="I20424" s="82"/>
      <c r="M20424" s="85"/>
    </row>
    <row r="20425" spans="9:13" x14ac:dyDescent="0.3">
      <c r="I20425" s="82"/>
      <c r="M20425" s="85"/>
    </row>
    <row r="20426" spans="9:13" x14ac:dyDescent="0.3">
      <c r="I20426" s="82"/>
      <c r="M20426" s="85"/>
    </row>
    <row r="20427" spans="9:13" x14ac:dyDescent="0.3">
      <c r="I20427" s="82"/>
      <c r="M20427" s="85"/>
    </row>
    <row r="20428" spans="9:13" x14ac:dyDescent="0.3">
      <c r="I20428" s="82"/>
      <c r="M20428" s="85"/>
    </row>
    <row r="20429" spans="9:13" x14ac:dyDescent="0.3">
      <c r="I20429" s="82"/>
      <c r="M20429" s="85"/>
    </row>
    <row r="20430" spans="9:13" x14ac:dyDescent="0.3">
      <c r="I20430" s="82"/>
      <c r="M20430" s="85"/>
    </row>
    <row r="20431" spans="9:13" x14ac:dyDescent="0.3">
      <c r="I20431" s="82"/>
      <c r="M20431" s="85"/>
    </row>
    <row r="20432" spans="9:13" x14ac:dyDescent="0.3">
      <c r="I20432" s="82"/>
      <c r="M20432" s="85"/>
    </row>
    <row r="20433" spans="9:13" x14ac:dyDescent="0.3">
      <c r="I20433" s="82"/>
      <c r="M20433" s="85"/>
    </row>
    <row r="20434" spans="9:13" x14ac:dyDescent="0.3">
      <c r="I20434" s="82"/>
      <c r="M20434" s="85"/>
    </row>
    <row r="20435" spans="9:13" x14ac:dyDescent="0.3">
      <c r="I20435" s="82"/>
      <c r="M20435" s="85"/>
    </row>
    <row r="20436" spans="9:13" x14ac:dyDescent="0.3">
      <c r="I20436" s="82"/>
      <c r="M20436" s="85"/>
    </row>
    <row r="20437" spans="9:13" x14ac:dyDescent="0.3">
      <c r="I20437" s="82"/>
      <c r="M20437" s="85"/>
    </row>
    <row r="20438" spans="9:13" x14ac:dyDescent="0.3">
      <c r="I20438" s="82"/>
      <c r="M20438" s="85"/>
    </row>
    <row r="20439" spans="9:13" x14ac:dyDescent="0.3">
      <c r="I20439" s="82"/>
      <c r="M20439" s="85"/>
    </row>
    <row r="20440" spans="9:13" x14ac:dyDescent="0.3">
      <c r="I20440" s="82"/>
      <c r="M20440" s="85"/>
    </row>
    <row r="20441" spans="9:13" x14ac:dyDescent="0.3">
      <c r="I20441" s="82"/>
      <c r="M20441" s="85"/>
    </row>
    <row r="20442" spans="9:13" x14ac:dyDescent="0.3">
      <c r="I20442" s="82"/>
      <c r="M20442" s="85"/>
    </row>
    <row r="20443" spans="9:13" x14ac:dyDescent="0.3">
      <c r="I20443" s="82"/>
      <c r="M20443" s="85"/>
    </row>
    <row r="20444" spans="9:13" x14ac:dyDescent="0.3">
      <c r="I20444" s="82"/>
      <c r="M20444" s="85"/>
    </row>
    <row r="20445" spans="9:13" x14ac:dyDescent="0.3">
      <c r="I20445" s="82"/>
      <c r="M20445" s="85"/>
    </row>
    <row r="20446" spans="9:13" x14ac:dyDescent="0.3">
      <c r="I20446" s="82"/>
      <c r="M20446" s="85"/>
    </row>
    <row r="20447" spans="9:13" x14ac:dyDescent="0.3">
      <c r="I20447" s="82"/>
      <c r="M20447" s="85"/>
    </row>
    <row r="20448" spans="9:13" x14ac:dyDescent="0.3">
      <c r="I20448" s="82"/>
      <c r="M20448" s="85"/>
    </row>
    <row r="20449" spans="9:13" x14ac:dyDescent="0.3">
      <c r="I20449" s="82"/>
      <c r="M20449" s="85"/>
    </row>
    <row r="20450" spans="9:13" x14ac:dyDescent="0.3">
      <c r="I20450" s="82"/>
      <c r="M20450" s="85"/>
    </row>
    <row r="20451" spans="9:13" x14ac:dyDescent="0.3">
      <c r="I20451" s="82"/>
      <c r="M20451" s="85"/>
    </row>
    <row r="20452" spans="9:13" x14ac:dyDescent="0.3">
      <c r="I20452" s="82"/>
      <c r="M20452" s="85"/>
    </row>
    <row r="20453" spans="9:13" x14ac:dyDescent="0.3">
      <c r="I20453" s="82"/>
      <c r="M20453" s="85"/>
    </row>
    <row r="20454" spans="9:13" x14ac:dyDescent="0.3">
      <c r="I20454" s="82"/>
      <c r="M20454" s="85"/>
    </row>
    <row r="20455" spans="9:13" x14ac:dyDescent="0.3">
      <c r="I20455" s="82"/>
      <c r="M20455" s="85"/>
    </row>
    <row r="20456" spans="9:13" x14ac:dyDescent="0.3">
      <c r="I20456" s="82"/>
      <c r="M20456" s="85"/>
    </row>
    <row r="20457" spans="9:13" x14ac:dyDescent="0.3">
      <c r="I20457" s="82"/>
      <c r="M20457" s="85"/>
    </row>
    <row r="20458" spans="9:13" x14ac:dyDescent="0.3">
      <c r="I20458" s="82"/>
      <c r="M20458" s="85"/>
    </row>
    <row r="20459" spans="9:13" x14ac:dyDescent="0.3">
      <c r="I20459" s="82"/>
      <c r="M20459" s="85"/>
    </row>
    <row r="20460" spans="9:13" x14ac:dyDescent="0.3">
      <c r="I20460" s="82"/>
      <c r="M20460" s="85"/>
    </row>
    <row r="20461" spans="9:13" x14ac:dyDescent="0.3">
      <c r="I20461" s="82"/>
      <c r="M20461" s="85"/>
    </row>
    <row r="20462" spans="9:13" x14ac:dyDescent="0.3">
      <c r="I20462" s="82"/>
      <c r="M20462" s="85"/>
    </row>
    <row r="20463" spans="9:13" x14ac:dyDescent="0.3">
      <c r="I20463" s="82"/>
      <c r="M20463" s="85"/>
    </row>
    <row r="20464" spans="9:13" x14ac:dyDescent="0.3">
      <c r="I20464" s="82"/>
      <c r="M20464" s="85"/>
    </row>
    <row r="20465" spans="9:13" x14ac:dyDescent="0.3">
      <c r="I20465" s="82"/>
      <c r="M20465" s="85"/>
    </row>
    <row r="20466" spans="9:13" x14ac:dyDescent="0.3">
      <c r="I20466" s="82"/>
      <c r="M20466" s="85"/>
    </row>
    <row r="20467" spans="9:13" x14ac:dyDescent="0.3">
      <c r="I20467" s="82"/>
      <c r="M20467" s="85"/>
    </row>
    <row r="20468" spans="9:13" x14ac:dyDescent="0.3">
      <c r="I20468" s="82"/>
      <c r="M20468" s="85"/>
    </row>
    <row r="20469" spans="9:13" x14ac:dyDescent="0.3">
      <c r="I20469" s="82"/>
      <c r="M20469" s="85"/>
    </row>
    <row r="20470" spans="9:13" x14ac:dyDescent="0.3">
      <c r="I20470" s="82"/>
      <c r="M20470" s="85"/>
    </row>
    <row r="20471" spans="9:13" x14ac:dyDescent="0.3">
      <c r="I20471" s="82"/>
      <c r="M20471" s="85"/>
    </row>
    <row r="20472" spans="9:13" x14ac:dyDescent="0.3">
      <c r="I20472" s="82"/>
      <c r="M20472" s="85"/>
    </row>
    <row r="20473" spans="9:13" x14ac:dyDescent="0.3">
      <c r="I20473" s="82"/>
      <c r="M20473" s="85"/>
    </row>
    <row r="20474" spans="9:13" x14ac:dyDescent="0.3">
      <c r="I20474" s="82"/>
      <c r="M20474" s="85"/>
    </row>
    <row r="20475" spans="9:13" x14ac:dyDescent="0.3">
      <c r="I20475" s="82"/>
      <c r="M20475" s="85"/>
    </row>
    <row r="20476" spans="9:13" x14ac:dyDescent="0.3">
      <c r="I20476" s="82"/>
      <c r="M20476" s="85"/>
    </row>
    <row r="20477" spans="9:13" x14ac:dyDescent="0.3">
      <c r="I20477" s="82"/>
      <c r="M20477" s="85"/>
    </row>
    <row r="20478" spans="9:13" x14ac:dyDescent="0.3">
      <c r="I20478" s="82"/>
      <c r="M20478" s="85"/>
    </row>
    <row r="20479" spans="9:13" x14ac:dyDescent="0.3">
      <c r="I20479" s="82"/>
      <c r="M20479" s="85"/>
    </row>
    <row r="20480" spans="9:13" x14ac:dyDescent="0.3">
      <c r="I20480" s="82"/>
      <c r="M20480" s="85"/>
    </row>
    <row r="20481" spans="9:13" x14ac:dyDescent="0.3">
      <c r="I20481" s="82"/>
      <c r="M20481" s="85"/>
    </row>
    <row r="20482" spans="9:13" x14ac:dyDescent="0.3">
      <c r="I20482" s="82"/>
      <c r="M20482" s="85"/>
    </row>
    <row r="20483" spans="9:13" x14ac:dyDescent="0.3">
      <c r="I20483" s="82"/>
      <c r="M20483" s="85"/>
    </row>
    <row r="20484" spans="9:13" x14ac:dyDescent="0.3">
      <c r="I20484" s="82"/>
      <c r="M20484" s="85"/>
    </row>
    <row r="20485" spans="9:13" x14ac:dyDescent="0.3">
      <c r="I20485" s="82"/>
      <c r="M20485" s="85"/>
    </row>
    <row r="20486" spans="9:13" x14ac:dyDescent="0.3">
      <c r="I20486" s="82"/>
      <c r="M20486" s="85"/>
    </row>
    <row r="20487" spans="9:13" x14ac:dyDescent="0.3">
      <c r="I20487" s="82"/>
      <c r="M20487" s="85"/>
    </row>
    <row r="20488" spans="9:13" x14ac:dyDescent="0.3">
      <c r="I20488" s="82"/>
      <c r="M20488" s="85"/>
    </row>
    <row r="20489" spans="9:13" x14ac:dyDescent="0.3">
      <c r="I20489" s="82"/>
      <c r="M20489" s="85"/>
    </row>
    <row r="20490" spans="9:13" x14ac:dyDescent="0.3">
      <c r="I20490" s="82"/>
      <c r="M20490" s="85"/>
    </row>
    <row r="20491" spans="9:13" x14ac:dyDescent="0.3">
      <c r="I20491" s="82"/>
      <c r="M20491" s="85"/>
    </row>
    <row r="20492" spans="9:13" x14ac:dyDescent="0.3">
      <c r="I20492" s="82"/>
      <c r="M20492" s="85"/>
    </row>
    <row r="20493" spans="9:13" x14ac:dyDescent="0.3">
      <c r="I20493" s="82"/>
      <c r="M20493" s="85"/>
    </row>
    <row r="20494" spans="9:13" x14ac:dyDescent="0.3">
      <c r="I20494" s="82"/>
      <c r="M20494" s="85"/>
    </row>
    <row r="20495" spans="9:13" x14ac:dyDescent="0.3">
      <c r="I20495" s="82"/>
      <c r="M20495" s="85"/>
    </row>
    <row r="20496" spans="9:13" x14ac:dyDescent="0.3">
      <c r="I20496" s="82"/>
      <c r="M20496" s="85"/>
    </row>
    <row r="20497" spans="9:13" x14ac:dyDescent="0.3">
      <c r="I20497" s="82"/>
      <c r="M20497" s="85"/>
    </row>
    <row r="20498" spans="9:13" x14ac:dyDescent="0.3">
      <c r="I20498" s="82"/>
      <c r="M20498" s="85"/>
    </row>
    <row r="20499" spans="9:13" x14ac:dyDescent="0.3">
      <c r="I20499" s="82"/>
      <c r="M20499" s="85"/>
    </row>
    <row r="20500" spans="9:13" x14ac:dyDescent="0.3">
      <c r="I20500" s="82"/>
      <c r="M20500" s="85"/>
    </row>
    <row r="20501" spans="9:13" x14ac:dyDescent="0.3">
      <c r="I20501" s="82"/>
      <c r="M20501" s="85"/>
    </row>
    <row r="20502" spans="9:13" x14ac:dyDescent="0.3">
      <c r="I20502" s="82"/>
      <c r="M20502" s="85"/>
    </row>
    <row r="20503" spans="9:13" x14ac:dyDescent="0.3">
      <c r="I20503" s="82"/>
      <c r="M20503" s="85"/>
    </row>
    <row r="20504" spans="9:13" x14ac:dyDescent="0.3">
      <c r="I20504" s="82"/>
      <c r="M20504" s="85"/>
    </row>
    <row r="20505" spans="9:13" x14ac:dyDescent="0.3">
      <c r="I20505" s="82"/>
      <c r="M20505" s="85"/>
    </row>
    <row r="20506" spans="9:13" x14ac:dyDescent="0.3">
      <c r="I20506" s="82"/>
      <c r="M20506" s="85"/>
    </row>
    <row r="20507" spans="9:13" x14ac:dyDescent="0.3">
      <c r="I20507" s="82"/>
      <c r="M20507" s="85"/>
    </row>
    <row r="20508" spans="9:13" x14ac:dyDescent="0.3">
      <c r="I20508" s="82"/>
      <c r="M20508" s="85"/>
    </row>
    <row r="20509" spans="9:13" x14ac:dyDescent="0.3">
      <c r="I20509" s="82"/>
      <c r="M20509" s="85"/>
    </row>
    <row r="20510" spans="9:13" x14ac:dyDescent="0.3">
      <c r="I20510" s="82"/>
      <c r="M20510" s="85"/>
    </row>
    <row r="20511" spans="9:13" x14ac:dyDescent="0.3">
      <c r="I20511" s="82"/>
      <c r="M20511" s="85"/>
    </row>
    <row r="20512" spans="9:13" x14ac:dyDescent="0.3">
      <c r="I20512" s="82"/>
      <c r="M20512" s="85"/>
    </row>
    <row r="20513" spans="9:13" x14ac:dyDescent="0.3">
      <c r="I20513" s="82"/>
      <c r="M20513" s="85"/>
    </row>
    <row r="20514" spans="9:13" x14ac:dyDescent="0.3">
      <c r="I20514" s="82"/>
      <c r="M20514" s="85"/>
    </row>
    <row r="20515" spans="9:13" x14ac:dyDescent="0.3">
      <c r="I20515" s="82"/>
      <c r="M20515" s="85"/>
    </row>
    <row r="20516" spans="9:13" x14ac:dyDescent="0.3">
      <c r="I20516" s="82"/>
      <c r="M20516" s="85"/>
    </row>
    <row r="20517" spans="9:13" x14ac:dyDescent="0.3">
      <c r="I20517" s="82"/>
      <c r="M20517" s="85"/>
    </row>
    <row r="20518" spans="9:13" x14ac:dyDescent="0.3">
      <c r="I20518" s="82"/>
      <c r="M20518" s="85"/>
    </row>
    <row r="20519" spans="9:13" x14ac:dyDescent="0.3">
      <c r="I20519" s="82"/>
      <c r="M20519" s="85"/>
    </row>
    <row r="20520" spans="9:13" x14ac:dyDescent="0.3">
      <c r="I20520" s="82"/>
      <c r="M20520" s="85"/>
    </row>
    <row r="20521" spans="9:13" x14ac:dyDescent="0.3">
      <c r="I20521" s="82"/>
      <c r="M20521" s="85"/>
    </row>
    <row r="20522" spans="9:13" x14ac:dyDescent="0.3">
      <c r="I20522" s="82"/>
      <c r="M20522" s="85"/>
    </row>
    <row r="20523" spans="9:13" x14ac:dyDescent="0.3">
      <c r="I20523" s="82"/>
      <c r="M20523" s="85"/>
    </row>
    <row r="20524" spans="9:13" x14ac:dyDescent="0.3">
      <c r="I20524" s="82"/>
      <c r="M20524" s="85"/>
    </row>
    <row r="20525" spans="9:13" x14ac:dyDescent="0.3">
      <c r="I20525" s="82"/>
      <c r="M20525" s="85"/>
    </row>
    <row r="20526" spans="9:13" x14ac:dyDescent="0.3">
      <c r="I20526" s="82"/>
      <c r="M20526" s="85"/>
    </row>
    <row r="20527" spans="9:13" x14ac:dyDescent="0.3">
      <c r="I20527" s="82"/>
      <c r="M20527" s="85"/>
    </row>
    <row r="20528" spans="9:13" x14ac:dyDescent="0.3">
      <c r="I20528" s="82"/>
      <c r="M20528" s="85"/>
    </row>
    <row r="20529" spans="9:13" x14ac:dyDescent="0.3">
      <c r="I20529" s="82"/>
      <c r="M20529" s="85"/>
    </row>
    <row r="20530" spans="9:13" x14ac:dyDescent="0.3">
      <c r="I20530" s="82"/>
      <c r="M20530" s="85"/>
    </row>
    <row r="20531" spans="9:13" x14ac:dyDescent="0.3">
      <c r="I20531" s="82"/>
      <c r="M20531" s="85"/>
    </row>
    <row r="20532" spans="9:13" x14ac:dyDescent="0.3">
      <c r="I20532" s="82"/>
      <c r="M20532" s="85"/>
    </row>
    <row r="20533" spans="9:13" x14ac:dyDescent="0.3">
      <c r="I20533" s="82"/>
      <c r="M20533" s="85"/>
    </row>
    <row r="20534" spans="9:13" x14ac:dyDescent="0.3">
      <c r="I20534" s="82"/>
      <c r="M20534" s="85"/>
    </row>
    <row r="20535" spans="9:13" x14ac:dyDescent="0.3">
      <c r="I20535" s="82"/>
      <c r="M20535" s="85"/>
    </row>
    <row r="20536" spans="9:13" x14ac:dyDescent="0.3">
      <c r="I20536" s="82"/>
      <c r="M20536" s="85"/>
    </row>
    <row r="20537" spans="9:13" x14ac:dyDescent="0.3">
      <c r="I20537" s="82"/>
      <c r="M20537" s="85"/>
    </row>
    <row r="20538" spans="9:13" x14ac:dyDescent="0.3">
      <c r="I20538" s="82"/>
      <c r="M20538" s="85"/>
    </row>
    <row r="20539" spans="9:13" x14ac:dyDescent="0.3">
      <c r="I20539" s="82"/>
      <c r="M20539" s="85"/>
    </row>
    <row r="20540" spans="9:13" x14ac:dyDescent="0.3">
      <c r="I20540" s="82"/>
      <c r="M20540" s="85"/>
    </row>
    <row r="20541" spans="9:13" x14ac:dyDescent="0.3">
      <c r="I20541" s="82"/>
      <c r="M20541" s="85"/>
    </row>
    <row r="20542" spans="9:13" x14ac:dyDescent="0.3">
      <c r="I20542" s="82"/>
      <c r="M20542" s="85"/>
    </row>
    <row r="20543" spans="9:13" x14ac:dyDescent="0.3">
      <c r="I20543" s="82"/>
      <c r="M20543" s="85"/>
    </row>
    <row r="20544" spans="9:13" x14ac:dyDescent="0.3">
      <c r="I20544" s="82"/>
      <c r="M20544" s="85"/>
    </row>
    <row r="20545" spans="9:13" x14ac:dyDescent="0.3">
      <c r="I20545" s="82"/>
      <c r="M20545" s="85"/>
    </row>
    <row r="20546" spans="9:13" x14ac:dyDescent="0.3">
      <c r="I20546" s="82"/>
      <c r="M20546" s="85"/>
    </row>
    <row r="20547" spans="9:13" x14ac:dyDescent="0.3">
      <c r="I20547" s="82"/>
      <c r="M20547" s="85"/>
    </row>
    <row r="20548" spans="9:13" x14ac:dyDescent="0.3">
      <c r="I20548" s="82"/>
      <c r="M20548" s="85"/>
    </row>
    <row r="20549" spans="9:13" x14ac:dyDescent="0.3">
      <c r="I20549" s="82"/>
      <c r="M20549" s="85"/>
    </row>
    <row r="20550" spans="9:13" x14ac:dyDescent="0.3">
      <c r="I20550" s="82"/>
      <c r="M20550" s="85"/>
    </row>
    <row r="20551" spans="9:13" x14ac:dyDescent="0.3">
      <c r="I20551" s="82"/>
      <c r="M20551" s="85"/>
    </row>
    <row r="20552" spans="9:13" x14ac:dyDescent="0.3">
      <c r="I20552" s="82"/>
      <c r="M20552" s="85"/>
    </row>
    <row r="20553" spans="9:13" x14ac:dyDescent="0.3">
      <c r="I20553" s="82"/>
      <c r="M20553" s="85"/>
    </row>
    <row r="20554" spans="9:13" x14ac:dyDescent="0.3">
      <c r="I20554" s="82"/>
      <c r="M20554" s="85"/>
    </row>
    <row r="20555" spans="9:13" x14ac:dyDescent="0.3">
      <c r="I20555" s="82"/>
      <c r="M20555" s="85"/>
    </row>
    <row r="20556" spans="9:13" x14ac:dyDescent="0.3">
      <c r="I20556" s="82"/>
      <c r="M20556" s="85"/>
    </row>
    <row r="20557" spans="9:13" x14ac:dyDescent="0.3">
      <c r="I20557" s="82"/>
      <c r="M20557" s="85"/>
    </row>
    <row r="20558" spans="9:13" x14ac:dyDescent="0.3">
      <c r="I20558" s="82"/>
      <c r="M20558" s="85"/>
    </row>
    <row r="20559" spans="9:13" x14ac:dyDescent="0.3">
      <c r="I20559" s="82"/>
      <c r="M20559" s="85"/>
    </row>
    <row r="20560" spans="9:13" x14ac:dyDescent="0.3">
      <c r="I20560" s="82"/>
      <c r="M20560" s="85"/>
    </row>
    <row r="20561" spans="9:13" x14ac:dyDescent="0.3">
      <c r="I20561" s="82"/>
      <c r="M20561" s="85"/>
    </row>
    <row r="20562" spans="9:13" x14ac:dyDescent="0.3">
      <c r="I20562" s="82"/>
      <c r="M20562" s="85"/>
    </row>
    <row r="20563" spans="9:13" x14ac:dyDescent="0.3">
      <c r="I20563" s="82"/>
      <c r="M20563" s="85"/>
    </row>
    <row r="20564" spans="9:13" x14ac:dyDescent="0.3">
      <c r="I20564" s="82"/>
      <c r="M20564" s="85"/>
    </row>
    <row r="20565" spans="9:13" x14ac:dyDescent="0.3">
      <c r="I20565" s="82"/>
      <c r="M20565" s="85"/>
    </row>
    <row r="20566" spans="9:13" x14ac:dyDescent="0.3">
      <c r="I20566" s="82"/>
      <c r="M20566" s="85"/>
    </row>
    <row r="20567" spans="9:13" x14ac:dyDescent="0.3">
      <c r="I20567" s="82"/>
      <c r="M20567" s="85"/>
    </row>
    <row r="20568" spans="9:13" x14ac:dyDescent="0.3">
      <c r="I20568" s="82"/>
      <c r="M20568" s="85"/>
    </row>
    <row r="20569" spans="9:13" x14ac:dyDescent="0.3">
      <c r="I20569" s="82"/>
      <c r="M20569" s="85"/>
    </row>
    <row r="20570" spans="9:13" x14ac:dyDescent="0.3">
      <c r="I20570" s="82"/>
      <c r="M20570" s="85"/>
    </row>
    <row r="20571" spans="9:13" x14ac:dyDescent="0.3">
      <c r="I20571" s="82"/>
      <c r="M20571" s="85"/>
    </row>
    <row r="20572" spans="9:13" x14ac:dyDescent="0.3">
      <c r="I20572" s="82"/>
      <c r="M20572" s="85"/>
    </row>
    <row r="20573" spans="9:13" x14ac:dyDescent="0.3">
      <c r="I20573" s="82"/>
      <c r="M20573" s="85"/>
    </row>
    <row r="20574" spans="9:13" x14ac:dyDescent="0.3">
      <c r="I20574" s="82"/>
      <c r="M20574" s="85"/>
    </row>
    <row r="20575" spans="9:13" x14ac:dyDescent="0.3">
      <c r="I20575" s="82"/>
      <c r="M20575" s="85"/>
    </row>
    <row r="20576" spans="9:13" x14ac:dyDescent="0.3">
      <c r="I20576" s="82"/>
      <c r="M20576" s="85"/>
    </row>
    <row r="20577" spans="9:13" x14ac:dyDescent="0.3">
      <c r="I20577" s="82"/>
      <c r="M20577" s="85"/>
    </row>
    <row r="20578" spans="9:13" x14ac:dyDescent="0.3">
      <c r="I20578" s="82"/>
      <c r="M20578" s="85"/>
    </row>
    <row r="20579" spans="9:13" x14ac:dyDescent="0.3">
      <c r="I20579" s="82"/>
      <c r="M20579" s="85"/>
    </row>
    <row r="20580" spans="9:13" x14ac:dyDescent="0.3">
      <c r="I20580" s="82"/>
      <c r="M20580" s="85"/>
    </row>
    <row r="20581" spans="9:13" x14ac:dyDescent="0.3">
      <c r="I20581" s="82"/>
      <c r="M20581" s="85"/>
    </row>
    <row r="20582" spans="9:13" x14ac:dyDescent="0.3">
      <c r="I20582" s="82"/>
      <c r="M20582" s="85"/>
    </row>
    <row r="20583" spans="9:13" x14ac:dyDescent="0.3">
      <c r="I20583" s="82"/>
      <c r="M20583" s="85"/>
    </row>
    <row r="20584" spans="9:13" x14ac:dyDescent="0.3">
      <c r="I20584" s="82"/>
      <c r="M20584" s="85"/>
    </row>
    <row r="20585" spans="9:13" x14ac:dyDescent="0.3">
      <c r="I20585" s="82"/>
      <c r="M20585" s="85"/>
    </row>
    <row r="20586" spans="9:13" x14ac:dyDescent="0.3">
      <c r="I20586" s="82"/>
      <c r="M20586" s="85"/>
    </row>
    <row r="20587" spans="9:13" x14ac:dyDescent="0.3">
      <c r="I20587" s="82"/>
      <c r="M20587" s="85"/>
    </row>
    <row r="20588" spans="9:13" x14ac:dyDescent="0.3">
      <c r="I20588" s="82"/>
      <c r="M20588" s="85"/>
    </row>
    <row r="20589" spans="9:13" x14ac:dyDescent="0.3">
      <c r="I20589" s="82"/>
      <c r="M20589" s="85"/>
    </row>
    <row r="20590" spans="9:13" x14ac:dyDescent="0.3">
      <c r="I20590" s="82"/>
      <c r="M20590" s="85"/>
    </row>
    <row r="20591" spans="9:13" x14ac:dyDescent="0.3">
      <c r="I20591" s="82"/>
      <c r="M20591" s="85"/>
    </row>
    <row r="20592" spans="9:13" x14ac:dyDescent="0.3">
      <c r="I20592" s="82"/>
      <c r="M20592" s="85"/>
    </row>
    <row r="20593" spans="9:13" x14ac:dyDescent="0.3">
      <c r="I20593" s="82"/>
      <c r="M20593" s="85"/>
    </row>
    <row r="20594" spans="9:13" x14ac:dyDescent="0.3">
      <c r="I20594" s="82"/>
      <c r="M20594" s="85"/>
    </row>
    <row r="20595" spans="9:13" x14ac:dyDescent="0.3">
      <c r="I20595" s="82"/>
      <c r="M20595" s="85"/>
    </row>
    <row r="20596" spans="9:13" x14ac:dyDescent="0.3">
      <c r="I20596" s="82"/>
      <c r="M20596" s="85"/>
    </row>
    <row r="20597" spans="9:13" x14ac:dyDescent="0.3">
      <c r="I20597" s="82"/>
      <c r="M20597" s="85"/>
    </row>
    <row r="20598" spans="9:13" x14ac:dyDescent="0.3">
      <c r="I20598" s="82"/>
      <c r="M20598" s="85"/>
    </row>
    <row r="20599" spans="9:13" x14ac:dyDescent="0.3">
      <c r="I20599" s="82"/>
      <c r="M20599" s="85"/>
    </row>
    <row r="20600" spans="9:13" x14ac:dyDescent="0.3">
      <c r="I20600" s="82"/>
      <c r="M20600" s="85"/>
    </row>
    <row r="20601" spans="9:13" x14ac:dyDescent="0.3">
      <c r="I20601" s="82"/>
      <c r="M20601" s="85"/>
    </row>
    <row r="20602" spans="9:13" x14ac:dyDescent="0.3">
      <c r="I20602" s="82"/>
      <c r="M20602" s="85"/>
    </row>
    <row r="20603" spans="9:13" x14ac:dyDescent="0.3">
      <c r="I20603" s="82"/>
      <c r="M20603" s="85"/>
    </row>
    <row r="20604" spans="9:13" x14ac:dyDescent="0.3">
      <c r="I20604" s="82"/>
      <c r="M20604" s="85"/>
    </row>
    <row r="20605" spans="9:13" x14ac:dyDescent="0.3">
      <c r="I20605" s="82"/>
      <c r="M20605" s="85"/>
    </row>
    <row r="20606" spans="9:13" x14ac:dyDescent="0.3">
      <c r="I20606" s="82"/>
      <c r="M20606" s="85"/>
    </row>
    <row r="20607" spans="9:13" x14ac:dyDescent="0.3">
      <c r="I20607" s="82"/>
      <c r="M20607" s="85"/>
    </row>
    <row r="20608" spans="9:13" x14ac:dyDescent="0.3">
      <c r="I20608" s="82"/>
      <c r="M20608" s="85"/>
    </row>
    <row r="20609" spans="9:13" x14ac:dyDescent="0.3">
      <c r="I20609" s="82"/>
      <c r="M20609" s="85"/>
    </row>
    <row r="20610" spans="9:13" x14ac:dyDescent="0.3">
      <c r="I20610" s="82"/>
      <c r="M20610" s="85"/>
    </row>
    <row r="20611" spans="9:13" x14ac:dyDescent="0.3">
      <c r="I20611" s="82"/>
      <c r="M20611" s="85"/>
    </row>
    <row r="20612" spans="9:13" x14ac:dyDescent="0.3">
      <c r="I20612" s="82"/>
      <c r="M20612" s="85"/>
    </row>
    <row r="20613" spans="9:13" x14ac:dyDescent="0.3">
      <c r="I20613" s="82"/>
      <c r="M20613" s="85"/>
    </row>
    <row r="20614" spans="9:13" x14ac:dyDescent="0.3">
      <c r="I20614" s="82"/>
      <c r="M20614" s="85"/>
    </row>
    <row r="20615" spans="9:13" x14ac:dyDescent="0.3">
      <c r="I20615" s="82"/>
      <c r="M20615" s="85"/>
    </row>
    <row r="20616" spans="9:13" x14ac:dyDescent="0.3">
      <c r="I20616" s="82"/>
      <c r="M20616" s="85"/>
    </row>
    <row r="20617" spans="9:13" x14ac:dyDescent="0.3">
      <c r="I20617" s="82"/>
      <c r="M20617" s="85"/>
    </row>
    <row r="20618" spans="9:13" x14ac:dyDescent="0.3">
      <c r="I20618" s="82"/>
      <c r="M20618" s="85"/>
    </row>
    <row r="20619" spans="9:13" x14ac:dyDescent="0.3">
      <c r="I20619" s="82"/>
      <c r="M20619" s="85"/>
    </row>
    <row r="20620" spans="9:13" x14ac:dyDescent="0.3">
      <c r="I20620" s="82"/>
      <c r="M20620" s="85"/>
    </row>
    <row r="20621" spans="9:13" x14ac:dyDescent="0.3">
      <c r="I20621" s="82"/>
      <c r="M20621" s="85"/>
    </row>
    <row r="20622" spans="9:13" x14ac:dyDescent="0.3">
      <c r="I20622" s="82"/>
      <c r="M20622" s="85"/>
    </row>
    <row r="20623" spans="9:13" x14ac:dyDescent="0.3">
      <c r="I20623" s="82"/>
      <c r="M20623" s="85"/>
    </row>
    <row r="20624" spans="9:13" x14ac:dyDescent="0.3">
      <c r="I20624" s="82"/>
      <c r="M20624" s="85"/>
    </row>
    <row r="20625" spans="9:13" x14ac:dyDescent="0.3">
      <c r="I20625" s="82"/>
      <c r="M20625" s="85"/>
    </row>
    <row r="20626" spans="9:13" x14ac:dyDescent="0.3">
      <c r="I20626" s="82"/>
      <c r="M20626" s="85"/>
    </row>
    <row r="20627" spans="9:13" x14ac:dyDescent="0.3">
      <c r="I20627" s="82"/>
      <c r="M20627" s="85"/>
    </row>
    <row r="20628" spans="9:13" x14ac:dyDescent="0.3">
      <c r="I20628" s="82"/>
      <c r="M20628" s="85"/>
    </row>
    <row r="20629" spans="9:13" x14ac:dyDescent="0.3">
      <c r="I20629" s="82"/>
      <c r="M20629" s="85"/>
    </row>
    <row r="20630" spans="9:13" x14ac:dyDescent="0.3">
      <c r="I20630" s="82"/>
      <c r="M20630" s="85"/>
    </row>
    <row r="20631" spans="9:13" x14ac:dyDescent="0.3">
      <c r="I20631" s="82"/>
      <c r="M20631" s="85"/>
    </row>
    <row r="20632" spans="9:13" x14ac:dyDescent="0.3">
      <c r="I20632" s="82"/>
      <c r="M20632" s="85"/>
    </row>
    <row r="20633" spans="9:13" x14ac:dyDescent="0.3">
      <c r="I20633" s="82"/>
      <c r="M20633" s="85"/>
    </row>
    <row r="20634" spans="9:13" x14ac:dyDescent="0.3">
      <c r="I20634" s="82"/>
      <c r="M20634" s="85"/>
    </row>
    <row r="20635" spans="9:13" x14ac:dyDescent="0.3">
      <c r="I20635" s="82"/>
      <c r="M20635" s="85"/>
    </row>
    <row r="20636" spans="9:13" x14ac:dyDescent="0.3">
      <c r="I20636" s="82"/>
      <c r="M20636" s="85"/>
    </row>
    <row r="20637" spans="9:13" x14ac:dyDescent="0.3">
      <c r="I20637" s="82"/>
      <c r="M20637" s="85"/>
    </row>
    <row r="20638" spans="9:13" x14ac:dyDescent="0.3">
      <c r="I20638" s="82"/>
      <c r="M20638" s="85"/>
    </row>
    <row r="20639" spans="9:13" x14ac:dyDescent="0.3">
      <c r="I20639" s="82"/>
      <c r="M20639" s="85"/>
    </row>
    <row r="20640" spans="9:13" x14ac:dyDescent="0.3">
      <c r="I20640" s="82"/>
      <c r="M20640" s="85"/>
    </row>
    <row r="20641" spans="9:13" x14ac:dyDescent="0.3">
      <c r="I20641" s="82"/>
      <c r="M20641" s="85"/>
    </row>
    <row r="20642" spans="9:13" x14ac:dyDescent="0.3">
      <c r="I20642" s="82"/>
      <c r="M20642" s="85"/>
    </row>
    <row r="20643" spans="9:13" x14ac:dyDescent="0.3">
      <c r="I20643" s="82"/>
      <c r="M20643" s="85"/>
    </row>
    <row r="20644" spans="9:13" x14ac:dyDescent="0.3">
      <c r="I20644" s="82"/>
      <c r="M20644" s="85"/>
    </row>
    <row r="20645" spans="9:13" x14ac:dyDescent="0.3">
      <c r="I20645" s="82"/>
      <c r="M20645" s="85"/>
    </row>
    <row r="20646" spans="9:13" x14ac:dyDescent="0.3">
      <c r="I20646" s="82"/>
      <c r="M20646" s="85"/>
    </row>
    <row r="20647" spans="9:13" x14ac:dyDescent="0.3">
      <c r="I20647" s="82"/>
      <c r="M20647" s="85"/>
    </row>
    <row r="20648" spans="9:13" x14ac:dyDescent="0.3">
      <c r="I20648" s="82"/>
      <c r="M20648" s="85"/>
    </row>
    <row r="20649" spans="9:13" x14ac:dyDescent="0.3">
      <c r="I20649" s="82"/>
      <c r="M20649" s="85"/>
    </row>
    <row r="20650" spans="9:13" x14ac:dyDescent="0.3">
      <c r="I20650" s="82"/>
      <c r="M20650" s="85"/>
    </row>
    <row r="20651" spans="9:13" x14ac:dyDescent="0.3">
      <c r="I20651" s="82"/>
      <c r="M20651" s="85"/>
    </row>
    <row r="20652" spans="9:13" x14ac:dyDescent="0.3">
      <c r="I20652" s="82"/>
      <c r="M20652" s="85"/>
    </row>
    <row r="20653" spans="9:13" x14ac:dyDescent="0.3">
      <c r="I20653" s="82"/>
      <c r="M20653" s="85"/>
    </row>
    <row r="20654" spans="9:13" x14ac:dyDescent="0.3">
      <c r="I20654" s="82"/>
      <c r="M20654" s="85"/>
    </row>
    <row r="20655" spans="9:13" x14ac:dyDescent="0.3">
      <c r="I20655" s="82"/>
      <c r="M20655" s="85"/>
    </row>
    <row r="20656" spans="9:13" x14ac:dyDescent="0.3">
      <c r="I20656" s="82"/>
      <c r="M20656" s="85"/>
    </row>
    <row r="20657" spans="9:13" x14ac:dyDescent="0.3">
      <c r="I20657" s="82"/>
      <c r="M20657" s="85"/>
    </row>
    <row r="20658" spans="9:13" x14ac:dyDescent="0.3">
      <c r="I20658" s="82"/>
      <c r="M20658" s="85"/>
    </row>
    <row r="20659" spans="9:13" x14ac:dyDescent="0.3">
      <c r="I20659" s="82"/>
      <c r="M20659" s="85"/>
    </row>
    <row r="20660" spans="9:13" x14ac:dyDescent="0.3">
      <c r="I20660" s="82"/>
      <c r="M20660" s="85"/>
    </row>
    <row r="20661" spans="9:13" x14ac:dyDescent="0.3">
      <c r="I20661" s="82"/>
      <c r="M20661" s="85"/>
    </row>
    <row r="20662" spans="9:13" x14ac:dyDescent="0.3">
      <c r="I20662" s="82"/>
      <c r="M20662" s="85"/>
    </row>
    <row r="20663" spans="9:13" x14ac:dyDescent="0.3">
      <c r="I20663" s="82"/>
      <c r="M20663" s="85"/>
    </row>
    <row r="20664" spans="9:13" x14ac:dyDescent="0.3">
      <c r="I20664" s="82"/>
      <c r="M20664" s="85"/>
    </row>
    <row r="20665" spans="9:13" x14ac:dyDescent="0.3">
      <c r="I20665" s="82"/>
      <c r="M20665" s="85"/>
    </row>
    <row r="20666" spans="9:13" x14ac:dyDescent="0.3">
      <c r="I20666" s="82"/>
      <c r="M20666" s="85"/>
    </row>
    <row r="20667" spans="9:13" x14ac:dyDescent="0.3">
      <c r="I20667" s="82"/>
      <c r="M20667" s="85"/>
    </row>
    <row r="20668" spans="9:13" x14ac:dyDescent="0.3">
      <c r="I20668" s="82"/>
      <c r="M20668" s="85"/>
    </row>
    <row r="20669" spans="9:13" x14ac:dyDescent="0.3">
      <c r="I20669" s="82"/>
      <c r="M20669" s="85"/>
    </row>
    <row r="20670" spans="9:13" x14ac:dyDescent="0.3">
      <c r="I20670" s="82"/>
      <c r="M20670" s="85"/>
    </row>
    <row r="20671" spans="9:13" x14ac:dyDescent="0.3">
      <c r="I20671" s="82"/>
      <c r="M20671" s="85"/>
    </row>
    <row r="20672" spans="9:13" x14ac:dyDescent="0.3">
      <c r="I20672" s="82"/>
      <c r="M20672" s="85"/>
    </row>
    <row r="20673" spans="9:13" x14ac:dyDescent="0.3">
      <c r="I20673" s="82"/>
      <c r="M20673" s="85"/>
    </row>
    <row r="20674" spans="9:13" x14ac:dyDescent="0.3">
      <c r="I20674" s="82"/>
      <c r="M20674" s="85"/>
    </row>
    <row r="20675" spans="9:13" x14ac:dyDescent="0.3">
      <c r="I20675" s="82"/>
      <c r="M20675" s="85"/>
    </row>
    <row r="20676" spans="9:13" x14ac:dyDescent="0.3">
      <c r="I20676" s="82"/>
      <c r="M20676" s="85"/>
    </row>
    <row r="20677" spans="9:13" x14ac:dyDescent="0.3">
      <c r="I20677" s="82"/>
      <c r="M20677" s="85"/>
    </row>
    <row r="20678" spans="9:13" x14ac:dyDescent="0.3">
      <c r="I20678" s="82"/>
      <c r="M20678" s="85"/>
    </row>
    <row r="20679" spans="9:13" x14ac:dyDescent="0.3">
      <c r="I20679" s="82"/>
      <c r="M20679" s="85"/>
    </row>
    <row r="20680" spans="9:13" x14ac:dyDescent="0.3">
      <c r="I20680" s="82"/>
      <c r="M20680" s="85"/>
    </row>
    <row r="20681" spans="9:13" x14ac:dyDescent="0.3">
      <c r="I20681" s="82"/>
      <c r="M20681" s="85"/>
    </row>
    <row r="20682" spans="9:13" x14ac:dyDescent="0.3">
      <c r="I20682" s="82"/>
      <c r="M20682" s="85"/>
    </row>
    <row r="20683" spans="9:13" x14ac:dyDescent="0.3">
      <c r="I20683" s="82"/>
      <c r="M20683" s="85"/>
    </row>
    <row r="20684" spans="9:13" x14ac:dyDescent="0.3">
      <c r="I20684" s="82"/>
      <c r="M20684" s="85"/>
    </row>
    <row r="20685" spans="9:13" x14ac:dyDescent="0.3">
      <c r="I20685" s="82"/>
      <c r="M20685" s="85"/>
    </row>
    <row r="20686" spans="9:13" x14ac:dyDescent="0.3">
      <c r="I20686" s="82"/>
      <c r="M20686" s="85"/>
    </row>
    <row r="20687" spans="9:13" x14ac:dyDescent="0.3">
      <c r="I20687" s="82"/>
      <c r="M20687" s="85"/>
    </row>
    <row r="20688" spans="9:13" x14ac:dyDescent="0.3">
      <c r="I20688" s="82"/>
      <c r="M20688" s="85"/>
    </row>
    <row r="20689" spans="9:13" x14ac:dyDescent="0.3">
      <c r="I20689" s="82"/>
      <c r="M20689" s="85"/>
    </row>
    <row r="20690" spans="9:13" x14ac:dyDescent="0.3">
      <c r="I20690" s="82"/>
      <c r="M20690" s="85"/>
    </row>
    <row r="20691" spans="9:13" x14ac:dyDescent="0.3">
      <c r="I20691" s="82"/>
      <c r="M20691" s="85"/>
    </row>
    <row r="20692" spans="9:13" x14ac:dyDescent="0.3">
      <c r="I20692" s="82"/>
      <c r="M20692" s="85"/>
    </row>
    <row r="20693" spans="9:13" x14ac:dyDescent="0.3">
      <c r="I20693" s="82"/>
      <c r="M20693" s="85"/>
    </row>
    <row r="20694" spans="9:13" x14ac:dyDescent="0.3">
      <c r="I20694" s="82"/>
      <c r="M20694" s="85"/>
    </row>
    <row r="20695" spans="9:13" x14ac:dyDescent="0.3">
      <c r="I20695" s="82"/>
      <c r="M20695" s="85"/>
    </row>
    <row r="20696" spans="9:13" x14ac:dyDescent="0.3">
      <c r="I20696" s="82"/>
      <c r="M20696" s="85"/>
    </row>
    <row r="20697" spans="9:13" x14ac:dyDescent="0.3">
      <c r="I20697" s="82"/>
      <c r="M20697" s="85"/>
    </row>
    <row r="20698" spans="9:13" x14ac:dyDescent="0.3">
      <c r="I20698" s="82"/>
      <c r="M20698" s="85"/>
    </row>
    <row r="20699" spans="9:13" x14ac:dyDescent="0.3">
      <c r="I20699" s="82"/>
      <c r="M20699" s="85"/>
    </row>
    <row r="20700" spans="9:13" x14ac:dyDescent="0.3">
      <c r="I20700" s="82"/>
      <c r="M20700" s="85"/>
    </row>
    <row r="20701" spans="9:13" x14ac:dyDescent="0.3">
      <c r="I20701" s="82"/>
      <c r="M20701" s="85"/>
    </row>
    <row r="20702" spans="9:13" x14ac:dyDescent="0.3">
      <c r="I20702" s="82"/>
      <c r="M20702" s="85"/>
    </row>
    <row r="20703" spans="9:13" x14ac:dyDescent="0.3">
      <c r="I20703" s="82"/>
      <c r="M20703" s="85"/>
    </row>
    <row r="20704" spans="9:13" x14ac:dyDescent="0.3">
      <c r="I20704" s="82"/>
      <c r="M20704" s="85"/>
    </row>
    <row r="20705" spans="9:13" x14ac:dyDescent="0.3">
      <c r="I20705" s="82"/>
      <c r="M20705" s="85"/>
    </row>
    <row r="20706" spans="9:13" x14ac:dyDescent="0.3">
      <c r="I20706" s="82"/>
      <c r="M20706" s="85"/>
    </row>
    <row r="20707" spans="9:13" x14ac:dyDescent="0.3">
      <c r="I20707" s="82"/>
      <c r="M20707" s="85"/>
    </row>
    <row r="20708" spans="9:13" x14ac:dyDescent="0.3">
      <c r="I20708" s="82"/>
      <c r="M20708" s="85"/>
    </row>
    <row r="20709" spans="9:13" x14ac:dyDescent="0.3">
      <c r="I20709" s="82"/>
      <c r="M20709" s="85"/>
    </row>
    <row r="20710" spans="9:13" x14ac:dyDescent="0.3">
      <c r="I20710" s="82"/>
      <c r="M20710" s="85"/>
    </row>
    <row r="20711" spans="9:13" x14ac:dyDescent="0.3">
      <c r="I20711" s="82"/>
      <c r="M20711" s="85"/>
    </row>
    <row r="20712" spans="9:13" x14ac:dyDescent="0.3">
      <c r="I20712" s="82"/>
      <c r="M20712" s="85"/>
    </row>
    <row r="20713" spans="9:13" x14ac:dyDescent="0.3">
      <c r="I20713" s="82"/>
      <c r="M20713" s="85"/>
    </row>
    <row r="20714" spans="9:13" x14ac:dyDescent="0.3">
      <c r="I20714" s="82"/>
      <c r="M20714" s="85"/>
    </row>
    <row r="20715" spans="9:13" x14ac:dyDescent="0.3">
      <c r="I20715" s="82"/>
      <c r="M20715" s="85"/>
    </row>
    <row r="20716" spans="9:13" x14ac:dyDescent="0.3">
      <c r="I20716" s="82"/>
      <c r="M20716" s="85"/>
    </row>
    <row r="20717" spans="9:13" x14ac:dyDescent="0.3">
      <c r="I20717" s="82"/>
      <c r="M20717" s="85"/>
    </row>
    <row r="20718" spans="9:13" x14ac:dyDescent="0.3">
      <c r="I20718" s="82"/>
      <c r="M20718" s="85"/>
    </row>
    <row r="20719" spans="9:13" x14ac:dyDescent="0.3">
      <c r="I20719" s="82"/>
      <c r="M20719" s="85"/>
    </row>
    <row r="20720" spans="9:13" x14ac:dyDescent="0.3">
      <c r="I20720" s="82"/>
      <c r="M20720" s="85"/>
    </row>
    <row r="20721" spans="9:13" x14ac:dyDescent="0.3">
      <c r="I20721" s="82"/>
      <c r="M20721" s="85"/>
    </row>
    <row r="20722" spans="9:13" x14ac:dyDescent="0.3">
      <c r="I20722" s="82"/>
      <c r="M20722" s="85"/>
    </row>
    <row r="20723" spans="9:13" x14ac:dyDescent="0.3">
      <c r="I20723" s="82"/>
      <c r="M20723" s="85"/>
    </row>
    <row r="20724" spans="9:13" x14ac:dyDescent="0.3">
      <c r="I20724" s="82"/>
      <c r="M20724" s="85"/>
    </row>
    <row r="20725" spans="9:13" x14ac:dyDescent="0.3">
      <c r="I20725" s="82"/>
      <c r="M20725" s="85"/>
    </row>
    <row r="20726" spans="9:13" x14ac:dyDescent="0.3">
      <c r="I20726" s="82"/>
      <c r="M20726" s="85"/>
    </row>
    <row r="20727" spans="9:13" x14ac:dyDescent="0.3">
      <c r="I20727" s="82"/>
      <c r="M20727" s="85"/>
    </row>
    <row r="20728" spans="9:13" x14ac:dyDescent="0.3">
      <c r="I20728" s="82"/>
      <c r="M20728" s="85"/>
    </row>
    <row r="20729" spans="9:13" x14ac:dyDescent="0.3">
      <c r="I20729" s="82"/>
      <c r="M20729" s="85"/>
    </row>
    <row r="20730" spans="9:13" x14ac:dyDescent="0.3">
      <c r="I20730" s="82"/>
      <c r="M20730" s="85"/>
    </row>
    <row r="20731" spans="9:13" x14ac:dyDescent="0.3">
      <c r="I20731" s="82"/>
      <c r="M20731" s="85"/>
    </row>
    <row r="20732" spans="9:13" x14ac:dyDescent="0.3">
      <c r="I20732" s="82"/>
      <c r="M20732" s="85"/>
    </row>
    <row r="20733" spans="9:13" x14ac:dyDescent="0.3">
      <c r="I20733" s="82"/>
      <c r="M20733" s="85"/>
    </row>
    <row r="20734" spans="9:13" x14ac:dyDescent="0.3">
      <c r="I20734" s="82"/>
      <c r="M20734" s="85"/>
    </row>
    <row r="20735" spans="9:13" x14ac:dyDescent="0.3">
      <c r="I20735" s="82"/>
      <c r="M20735" s="85"/>
    </row>
    <row r="20736" spans="9:13" x14ac:dyDescent="0.3">
      <c r="I20736" s="82"/>
      <c r="M20736" s="85"/>
    </row>
    <row r="20737" spans="9:13" x14ac:dyDescent="0.3">
      <c r="I20737" s="82"/>
      <c r="M20737" s="85"/>
    </row>
    <row r="20738" spans="9:13" x14ac:dyDescent="0.3">
      <c r="I20738" s="82"/>
      <c r="M20738" s="85"/>
    </row>
    <row r="20739" spans="9:13" x14ac:dyDescent="0.3">
      <c r="I20739" s="82"/>
      <c r="M20739" s="85"/>
    </row>
    <row r="20740" spans="9:13" x14ac:dyDescent="0.3">
      <c r="I20740" s="82"/>
      <c r="M20740" s="85"/>
    </row>
    <row r="20741" spans="9:13" x14ac:dyDescent="0.3">
      <c r="I20741" s="82"/>
      <c r="M20741" s="85"/>
    </row>
    <row r="20742" spans="9:13" x14ac:dyDescent="0.3">
      <c r="I20742" s="82"/>
      <c r="M20742" s="85"/>
    </row>
    <row r="20743" spans="9:13" x14ac:dyDescent="0.3">
      <c r="I20743" s="82"/>
      <c r="M20743" s="85"/>
    </row>
    <row r="20744" spans="9:13" x14ac:dyDescent="0.3">
      <c r="I20744" s="82"/>
      <c r="M20744" s="85"/>
    </row>
    <row r="20745" spans="9:13" x14ac:dyDescent="0.3">
      <c r="I20745" s="82"/>
      <c r="M20745" s="85"/>
    </row>
    <row r="20746" spans="9:13" x14ac:dyDescent="0.3">
      <c r="I20746" s="82"/>
      <c r="M20746" s="85"/>
    </row>
    <row r="20747" spans="9:13" x14ac:dyDescent="0.3">
      <c r="I20747" s="82"/>
      <c r="M20747" s="85"/>
    </row>
    <row r="20748" spans="9:13" x14ac:dyDescent="0.3">
      <c r="I20748" s="82"/>
      <c r="M20748" s="85"/>
    </row>
    <row r="20749" spans="9:13" x14ac:dyDescent="0.3">
      <c r="I20749" s="82"/>
      <c r="M20749" s="85"/>
    </row>
    <row r="20750" spans="9:13" x14ac:dyDescent="0.3">
      <c r="I20750" s="82"/>
      <c r="M20750" s="85"/>
    </row>
    <row r="20751" spans="9:13" x14ac:dyDescent="0.3">
      <c r="I20751" s="82"/>
      <c r="M20751" s="85"/>
    </row>
    <row r="20752" spans="9:13" x14ac:dyDescent="0.3">
      <c r="I20752" s="82"/>
      <c r="M20752" s="85"/>
    </row>
    <row r="20753" spans="9:13" x14ac:dyDescent="0.3">
      <c r="I20753" s="82"/>
      <c r="M20753" s="85"/>
    </row>
    <row r="20754" spans="9:13" x14ac:dyDescent="0.3">
      <c r="I20754" s="82"/>
      <c r="M20754" s="85"/>
    </row>
    <row r="20755" spans="9:13" x14ac:dyDescent="0.3">
      <c r="I20755" s="82"/>
      <c r="M20755" s="85"/>
    </row>
    <row r="20756" spans="9:13" x14ac:dyDescent="0.3">
      <c r="I20756" s="82"/>
      <c r="M20756" s="85"/>
    </row>
    <row r="20757" spans="9:13" x14ac:dyDescent="0.3">
      <c r="I20757" s="82"/>
      <c r="M20757" s="85"/>
    </row>
    <row r="20758" spans="9:13" x14ac:dyDescent="0.3">
      <c r="I20758" s="82"/>
      <c r="M20758" s="85"/>
    </row>
    <row r="20759" spans="9:13" x14ac:dyDescent="0.3">
      <c r="I20759" s="82"/>
      <c r="M20759" s="85"/>
    </row>
    <row r="20760" spans="9:13" x14ac:dyDescent="0.3">
      <c r="I20760" s="82"/>
      <c r="M20760" s="85"/>
    </row>
    <row r="20761" spans="9:13" x14ac:dyDescent="0.3">
      <c r="I20761" s="82"/>
      <c r="M20761" s="85"/>
    </row>
    <row r="20762" spans="9:13" x14ac:dyDescent="0.3">
      <c r="I20762" s="82"/>
      <c r="M20762" s="85"/>
    </row>
    <row r="20763" spans="9:13" x14ac:dyDescent="0.3">
      <c r="I20763" s="82"/>
      <c r="M20763" s="85"/>
    </row>
    <row r="20764" spans="9:13" x14ac:dyDescent="0.3">
      <c r="I20764" s="82"/>
      <c r="M20764" s="85"/>
    </row>
    <row r="20765" spans="9:13" x14ac:dyDescent="0.3">
      <c r="I20765" s="82"/>
      <c r="M20765" s="85"/>
    </row>
    <row r="20766" spans="9:13" x14ac:dyDescent="0.3">
      <c r="I20766" s="82"/>
      <c r="M20766" s="85"/>
    </row>
    <row r="20767" spans="9:13" x14ac:dyDescent="0.3">
      <c r="I20767" s="82"/>
      <c r="M20767" s="85"/>
    </row>
    <row r="20768" spans="9:13" x14ac:dyDescent="0.3">
      <c r="I20768" s="82"/>
      <c r="M20768" s="85"/>
    </row>
    <row r="20769" spans="9:13" x14ac:dyDescent="0.3">
      <c r="I20769" s="82"/>
      <c r="M20769" s="85"/>
    </row>
    <row r="20770" spans="9:13" x14ac:dyDescent="0.3">
      <c r="I20770" s="82"/>
      <c r="M20770" s="85"/>
    </row>
    <row r="20771" spans="9:13" x14ac:dyDescent="0.3">
      <c r="I20771" s="82"/>
      <c r="M20771" s="85"/>
    </row>
    <row r="20772" spans="9:13" x14ac:dyDescent="0.3">
      <c r="I20772" s="82"/>
      <c r="M20772" s="85"/>
    </row>
    <row r="20773" spans="9:13" x14ac:dyDescent="0.3">
      <c r="I20773" s="82"/>
      <c r="M20773" s="85"/>
    </row>
    <row r="20774" spans="9:13" x14ac:dyDescent="0.3">
      <c r="I20774" s="82"/>
      <c r="M20774" s="85"/>
    </row>
    <row r="20775" spans="9:13" x14ac:dyDescent="0.3">
      <c r="I20775" s="82"/>
      <c r="M20775" s="85"/>
    </row>
    <row r="20776" spans="9:13" x14ac:dyDescent="0.3">
      <c r="I20776" s="82"/>
      <c r="M20776" s="85"/>
    </row>
    <row r="20777" spans="9:13" x14ac:dyDescent="0.3">
      <c r="I20777" s="82"/>
      <c r="M20777" s="85"/>
    </row>
    <row r="20778" spans="9:13" x14ac:dyDescent="0.3">
      <c r="I20778" s="82"/>
      <c r="M20778" s="85"/>
    </row>
    <row r="20779" spans="9:13" x14ac:dyDescent="0.3">
      <c r="I20779" s="82"/>
      <c r="M20779" s="85"/>
    </row>
    <row r="20780" spans="9:13" x14ac:dyDescent="0.3">
      <c r="I20780" s="82"/>
      <c r="M20780" s="85"/>
    </row>
    <row r="20781" spans="9:13" x14ac:dyDescent="0.3">
      <c r="I20781" s="82"/>
      <c r="M20781" s="85"/>
    </row>
    <row r="20782" spans="9:13" x14ac:dyDescent="0.3">
      <c r="I20782" s="82"/>
      <c r="M20782" s="85"/>
    </row>
    <row r="20783" spans="9:13" x14ac:dyDescent="0.3">
      <c r="I20783" s="82"/>
      <c r="M20783" s="85"/>
    </row>
    <row r="20784" spans="9:13" x14ac:dyDescent="0.3">
      <c r="I20784" s="82"/>
      <c r="M20784" s="85"/>
    </row>
    <row r="20785" spans="9:13" x14ac:dyDescent="0.3">
      <c r="I20785" s="82"/>
      <c r="M20785" s="85"/>
    </row>
    <row r="20786" spans="9:13" x14ac:dyDescent="0.3">
      <c r="I20786" s="82"/>
      <c r="M20786" s="85"/>
    </row>
    <row r="20787" spans="9:13" x14ac:dyDescent="0.3">
      <c r="I20787" s="82"/>
      <c r="M20787" s="85"/>
    </row>
    <row r="20788" spans="9:13" x14ac:dyDescent="0.3">
      <c r="I20788" s="82"/>
      <c r="M20788" s="85"/>
    </row>
    <row r="20789" spans="9:13" x14ac:dyDescent="0.3">
      <c r="I20789" s="82"/>
      <c r="M20789" s="85"/>
    </row>
    <row r="20790" spans="9:13" x14ac:dyDescent="0.3">
      <c r="I20790" s="82"/>
      <c r="M20790" s="85"/>
    </row>
    <row r="20791" spans="9:13" x14ac:dyDescent="0.3">
      <c r="I20791" s="82"/>
      <c r="M20791" s="85"/>
    </row>
    <row r="20792" spans="9:13" x14ac:dyDescent="0.3">
      <c r="I20792" s="82"/>
      <c r="M20792" s="85"/>
    </row>
    <row r="20793" spans="9:13" x14ac:dyDescent="0.3">
      <c r="I20793" s="82"/>
      <c r="M20793" s="85"/>
    </row>
    <row r="20794" spans="9:13" x14ac:dyDescent="0.3">
      <c r="I20794" s="82"/>
      <c r="M20794" s="85"/>
    </row>
    <row r="20795" spans="9:13" x14ac:dyDescent="0.3">
      <c r="I20795" s="82"/>
      <c r="M20795" s="85"/>
    </row>
    <row r="20796" spans="9:13" x14ac:dyDescent="0.3">
      <c r="I20796" s="82"/>
      <c r="M20796" s="85"/>
    </row>
    <row r="20797" spans="9:13" x14ac:dyDescent="0.3">
      <c r="I20797" s="82"/>
      <c r="M20797" s="85"/>
    </row>
    <row r="20798" spans="9:13" x14ac:dyDescent="0.3">
      <c r="I20798" s="82"/>
      <c r="M20798" s="85"/>
    </row>
    <row r="20799" spans="9:13" x14ac:dyDescent="0.3">
      <c r="I20799" s="82"/>
      <c r="M20799" s="85"/>
    </row>
    <row r="20800" spans="9:13" x14ac:dyDescent="0.3">
      <c r="I20800" s="82"/>
      <c r="M20800" s="85"/>
    </row>
    <row r="20801" spans="9:13" x14ac:dyDescent="0.3">
      <c r="I20801" s="82"/>
      <c r="M20801" s="85"/>
    </row>
    <row r="20802" spans="9:13" x14ac:dyDescent="0.3">
      <c r="I20802" s="82"/>
      <c r="M20802" s="85"/>
    </row>
    <row r="20803" spans="9:13" x14ac:dyDescent="0.3">
      <c r="I20803" s="82"/>
      <c r="M20803" s="85"/>
    </row>
    <row r="20804" spans="9:13" x14ac:dyDescent="0.3">
      <c r="I20804" s="82"/>
      <c r="M20804" s="85"/>
    </row>
    <row r="20805" spans="9:13" x14ac:dyDescent="0.3">
      <c r="I20805" s="82"/>
      <c r="M20805" s="85"/>
    </row>
    <row r="20806" spans="9:13" x14ac:dyDescent="0.3">
      <c r="I20806" s="82"/>
      <c r="M20806" s="85"/>
    </row>
    <row r="20807" spans="9:13" x14ac:dyDescent="0.3">
      <c r="I20807" s="82"/>
      <c r="M20807" s="85"/>
    </row>
    <row r="20808" spans="9:13" x14ac:dyDescent="0.3">
      <c r="I20808" s="82"/>
      <c r="M20808" s="85"/>
    </row>
    <row r="20809" spans="9:13" x14ac:dyDescent="0.3">
      <c r="I20809" s="82"/>
      <c r="M20809" s="85"/>
    </row>
    <row r="20810" spans="9:13" x14ac:dyDescent="0.3">
      <c r="I20810" s="82"/>
      <c r="M20810" s="85"/>
    </row>
    <row r="20811" spans="9:13" x14ac:dyDescent="0.3">
      <c r="I20811" s="82"/>
      <c r="M20811" s="85"/>
    </row>
    <row r="20812" spans="9:13" x14ac:dyDescent="0.3">
      <c r="I20812" s="82"/>
      <c r="M20812" s="85"/>
    </row>
    <row r="20813" spans="9:13" x14ac:dyDescent="0.3">
      <c r="I20813" s="82"/>
      <c r="M20813" s="85"/>
    </row>
    <row r="20814" spans="9:13" x14ac:dyDescent="0.3">
      <c r="I20814" s="82"/>
      <c r="M20814" s="85"/>
    </row>
    <row r="20815" spans="9:13" x14ac:dyDescent="0.3">
      <c r="I20815" s="82"/>
      <c r="M20815" s="85"/>
    </row>
    <row r="20816" spans="9:13" x14ac:dyDescent="0.3">
      <c r="I20816" s="82"/>
      <c r="M20816" s="85"/>
    </row>
    <row r="20817" spans="9:13" x14ac:dyDescent="0.3">
      <c r="I20817" s="82"/>
      <c r="M20817" s="85"/>
    </row>
    <row r="20818" spans="9:13" x14ac:dyDescent="0.3">
      <c r="I20818" s="82"/>
      <c r="M20818" s="85"/>
    </row>
    <row r="20819" spans="9:13" x14ac:dyDescent="0.3">
      <c r="I20819" s="82"/>
      <c r="M20819" s="85"/>
    </row>
    <row r="20820" spans="9:13" x14ac:dyDescent="0.3">
      <c r="I20820" s="82"/>
      <c r="M20820" s="85"/>
    </row>
    <row r="20821" spans="9:13" x14ac:dyDescent="0.3">
      <c r="I20821" s="82"/>
      <c r="M20821" s="85"/>
    </row>
    <row r="20822" spans="9:13" x14ac:dyDescent="0.3">
      <c r="I20822" s="82"/>
      <c r="M20822" s="85"/>
    </row>
    <row r="20823" spans="9:13" x14ac:dyDescent="0.3">
      <c r="I20823" s="82"/>
      <c r="M20823" s="85"/>
    </row>
    <row r="20824" spans="9:13" x14ac:dyDescent="0.3">
      <c r="I20824" s="82"/>
      <c r="M20824" s="85"/>
    </row>
    <row r="20825" spans="9:13" x14ac:dyDescent="0.3">
      <c r="I20825" s="82"/>
      <c r="M20825" s="85"/>
    </row>
    <row r="20826" spans="9:13" x14ac:dyDescent="0.3">
      <c r="I20826" s="82"/>
      <c r="M20826" s="85"/>
    </row>
    <row r="20827" spans="9:13" x14ac:dyDescent="0.3">
      <c r="I20827" s="82"/>
      <c r="M20827" s="85"/>
    </row>
    <row r="20828" spans="9:13" x14ac:dyDescent="0.3">
      <c r="I20828" s="82"/>
      <c r="M20828" s="85"/>
    </row>
    <row r="20829" spans="9:13" x14ac:dyDescent="0.3">
      <c r="I20829" s="82"/>
      <c r="M20829" s="85"/>
    </row>
    <row r="20830" spans="9:13" x14ac:dyDescent="0.3">
      <c r="I20830" s="82"/>
      <c r="M20830" s="85"/>
    </row>
    <row r="20831" spans="9:13" x14ac:dyDescent="0.3">
      <c r="I20831" s="82"/>
      <c r="M20831" s="85"/>
    </row>
    <row r="20832" spans="9:13" x14ac:dyDescent="0.3">
      <c r="I20832" s="82"/>
      <c r="M20832" s="85"/>
    </row>
    <row r="20833" spans="9:13" x14ac:dyDescent="0.3">
      <c r="I20833" s="82"/>
      <c r="M20833" s="85"/>
    </row>
    <row r="20834" spans="9:13" x14ac:dyDescent="0.3">
      <c r="I20834" s="82"/>
      <c r="M20834" s="85"/>
    </row>
    <row r="20835" spans="9:13" x14ac:dyDescent="0.3">
      <c r="I20835" s="82"/>
      <c r="M20835" s="85"/>
    </row>
    <row r="20836" spans="9:13" x14ac:dyDescent="0.3">
      <c r="I20836" s="82"/>
      <c r="M20836" s="85"/>
    </row>
    <row r="20837" spans="9:13" x14ac:dyDescent="0.3">
      <c r="I20837" s="82"/>
      <c r="M20837" s="85"/>
    </row>
    <row r="20838" spans="9:13" x14ac:dyDescent="0.3">
      <c r="I20838" s="82"/>
      <c r="M20838" s="85"/>
    </row>
    <row r="20839" spans="9:13" x14ac:dyDescent="0.3">
      <c r="I20839" s="82"/>
      <c r="M20839" s="85"/>
    </row>
    <row r="20840" spans="9:13" x14ac:dyDescent="0.3">
      <c r="I20840" s="82"/>
      <c r="M20840" s="85"/>
    </row>
    <row r="20841" spans="9:13" x14ac:dyDescent="0.3">
      <c r="I20841" s="82"/>
      <c r="M20841" s="85"/>
    </row>
    <row r="20842" spans="9:13" x14ac:dyDescent="0.3">
      <c r="I20842" s="82"/>
      <c r="M20842" s="85"/>
    </row>
    <row r="20843" spans="9:13" x14ac:dyDescent="0.3">
      <c r="I20843" s="82"/>
      <c r="M20843" s="85"/>
    </row>
    <row r="20844" spans="9:13" x14ac:dyDescent="0.3">
      <c r="I20844" s="82"/>
      <c r="M20844" s="85"/>
    </row>
    <row r="20845" spans="9:13" x14ac:dyDescent="0.3">
      <c r="I20845" s="82"/>
      <c r="M20845" s="85"/>
    </row>
    <row r="20846" spans="9:13" x14ac:dyDescent="0.3">
      <c r="I20846" s="82"/>
      <c r="M20846" s="85"/>
    </row>
    <row r="20847" spans="9:13" x14ac:dyDescent="0.3">
      <c r="I20847" s="82"/>
      <c r="M20847" s="85"/>
    </row>
    <row r="20848" spans="9:13" x14ac:dyDescent="0.3">
      <c r="I20848" s="82"/>
      <c r="M20848" s="85"/>
    </row>
    <row r="20849" spans="9:13" x14ac:dyDescent="0.3">
      <c r="I20849" s="82"/>
      <c r="M20849" s="85"/>
    </row>
    <row r="20850" spans="9:13" x14ac:dyDescent="0.3">
      <c r="I20850" s="82"/>
      <c r="M20850" s="85"/>
    </row>
    <row r="20851" spans="9:13" x14ac:dyDescent="0.3">
      <c r="I20851" s="82"/>
      <c r="M20851" s="85"/>
    </row>
    <row r="20852" spans="9:13" x14ac:dyDescent="0.3">
      <c r="I20852" s="82"/>
      <c r="M20852" s="85"/>
    </row>
    <row r="20853" spans="9:13" x14ac:dyDescent="0.3">
      <c r="I20853" s="82"/>
      <c r="M20853" s="85"/>
    </row>
    <row r="20854" spans="9:13" x14ac:dyDescent="0.3">
      <c r="I20854" s="82"/>
      <c r="M20854" s="85"/>
    </row>
    <row r="20855" spans="9:13" x14ac:dyDescent="0.3">
      <c r="I20855" s="82"/>
      <c r="M20855" s="85"/>
    </row>
    <row r="20856" spans="9:13" x14ac:dyDescent="0.3">
      <c r="I20856" s="82"/>
      <c r="M20856" s="85"/>
    </row>
    <row r="20857" spans="9:13" x14ac:dyDescent="0.3">
      <c r="I20857" s="82"/>
      <c r="M20857" s="85"/>
    </row>
    <row r="20858" spans="9:13" x14ac:dyDescent="0.3">
      <c r="I20858" s="82"/>
      <c r="M20858" s="85"/>
    </row>
    <row r="20859" spans="9:13" x14ac:dyDescent="0.3">
      <c r="I20859" s="82"/>
      <c r="M20859" s="85"/>
    </row>
    <row r="20860" spans="9:13" x14ac:dyDescent="0.3">
      <c r="I20860" s="82"/>
      <c r="M20860" s="85"/>
    </row>
    <row r="20861" spans="9:13" x14ac:dyDescent="0.3">
      <c r="I20861" s="82"/>
      <c r="M20861" s="85"/>
    </row>
    <row r="20862" spans="9:13" x14ac:dyDescent="0.3">
      <c r="I20862" s="82"/>
      <c r="M20862" s="85"/>
    </row>
    <row r="20863" spans="9:13" x14ac:dyDescent="0.3">
      <c r="I20863" s="82"/>
      <c r="M20863" s="85"/>
    </row>
    <row r="20864" spans="9:13" x14ac:dyDescent="0.3">
      <c r="I20864" s="82"/>
      <c r="M20864" s="85"/>
    </row>
    <row r="20865" spans="9:13" x14ac:dyDescent="0.3">
      <c r="I20865" s="82"/>
      <c r="M20865" s="85"/>
    </row>
    <row r="20866" spans="9:13" x14ac:dyDescent="0.3">
      <c r="I20866" s="82"/>
      <c r="M20866" s="85"/>
    </row>
    <row r="20867" spans="9:13" x14ac:dyDescent="0.3">
      <c r="I20867" s="82"/>
      <c r="M20867" s="85"/>
    </row>
    <row r="20868" spans="9:13" x14ac:dyDescent="0.3">
      <c r="I20868" s="82"/>
      <c r="M20868" s="85"/>
    </row>
    <row r="20869" spans="9:13" x14ac:dyDescent="0.3">
      <c r="I20869" s="82"/>
      <c r="M20869" s="85"/>
    </row>
    <row r="20870" spans="9:13" x14ac:dyDescent="0.3">
      <c r="I20870" s="82"/>
      <c r="M20870" s="85"/>
    </row>
    <row r="20871" spans="9:13" x14ac:dyDescent="0.3">
      <c r="I20871" s="82"/>
      <c r="M20871" s="85"/>
    </row>
    <row r="20872" spans="9:13" x14ac:dyDescent="0.3">
      <c r="I20872" s="82"/>
      <c r="M20872" s="85"/>
    </row>
    <row r="20873" spans="9:13" x14ac:dyDescent="0.3">
      <c r="I20873" s="82"/>
      <c r="M20873" s="85"/>
    </row>
    <row r="20874" spans="9:13" x14ac:dyDescent="0.3">
      <c r="I20874" s="82"/>
      <c r="M20874" s="85"/>
    </row>
    <row r="20875" spans="9:13" x14ac:dyDescent="0.3">
      <c r="I20875" s="82"/>
      <c r="M20875" s="85"/>
    </row>
    <row r="20876" spans="9:13" x14ac:dyDescent="0.3">
      <c r="I20876" s="82"/>
      <c r="M20876" s="85"/>
    </row>
    <row r="20877" spans="9:13" x14ac:dyDescent="0.3">
      <c r="I20877" s="82"/>
      <c r="M20877" s="85"/>
    </row>
    <row r="20878" spans="9:13" x14ac:dyDescent="0.3">
      <c r="I20878" s="82"/>
      <c r="M20878" s="85"/>
    </row>
    <row r="20879" spans="9:13" x14ac:dyDescent="0.3">
      <c r="I20879" s="82"/>
      <c r="M20879" s="85"/>
    </row>
    <row r="20880" spans="9:13" x14ac:dyDescent="0.3">
      <c r="I20880" s="82"/>
      <c r="M20880" s="85"/>
    </row>
    <row r="20881" spans="9:13" x14ac:dyDescent="0.3">
      <c r="I20881" s="82"/>
      <c r="M20881" s="85"/>
    </row>
    <row r="20882" spans="9:13" x14ac:dyDescent="0.3">
      <c r="I20882" s="82"/>
      <c r="M20882" s="85"/>
    </row>
    <row r="20883" spans="9:13" x14ac:dyDescent="0.3">
      <c r="I20883" s="82"/>
      <c r="M20883" s="85"/>
    </row>
    <row r="20884" spans="9:13" x14ac:dyDescent="0.3">
      <c r="I20884" s="82"/>
      <c r="M20884" s="85"/>
    </row>
    <row r="20885" spans="9:13" x14ac:dyDescent="0.3">
      <c r="I20885" s="82"/>
      <c r="M20885" s="85"/>
    </row>
    <row r="20886" spans="9:13" x14ac:dyDescent="0.3">
      <c r="I20886" s="82"/>
      <c r="M20886" s="85"/>
    </row>
    <row r="20887" spans="9:13" x14ac:dyDescent="0.3">
      <c r="I20887" s="82"/>
      <c r="M20887" s="85"/>
    </row>
    <row r="20888" spans="9:13" x14ac:dyDescent="0.3">
      <c r="I20888" s="82"/>
      <c r="M20888" s="85"/>
    </row>
    <row r="20889" spans="9:13" x14ac:dyDescent="0.3">
      <c r="I20889" s="82"/>
      <c r="M20889" s="85"/>
    </row>
    <row r="20890" spans="9:13" x14ac:dyDescent="0.3">
      <c r="I20890" s="82"/>
      <c r="M20890" s="85"/>
    </row>
    <row r="20891" spans="9:13" x14ac:dyDescent="0.3">
      <c r="I20891" s="82"/>
      <c r="M20891" s="85"/>
    </row>
    <row r="20892" spans="9:13" x14ac:dyDescent="0.3">
      <c r="I20892" s="82"/>
      <c r="M20892" s="85"/>
    </row>
    <row r="20893" spans="9:13" x14ac:dyDescent="0.3">
      <c r="I20893" s="82"/>
      <c r="M20893" s="85"/>
    </row>
    <row r="20894" spans="9:13" x14ac:dyDescent="0.3">
      <c r="I20894" s="82"/>
      <c r="M20894" s="85"/>
    </row>
    <row r="20895" spans="9:13" x14ac:dyDescent="0.3">
      <c r="I20895" s="82"/>
      <c r="M20895" s="85"/>
    </row>
    <row r="20896" spans="9:13" x14ac:dyDescent="0.3">
      <c r="I20896" s="82"/>
      <c r="M20896" s="85"/>
    </row>
    <row r="20897" spans="9:13" x14ac:dyDescent="0.3">
      <c r="I20897" s="82"/>
      <c r="M20897" s="85"/>
    </row>
    <row r="20898" spans="9:13" x14ac:dyDescent="0.3">
      <c r="I20898" s="82"/>
      <c r="M20898" s="85"/>
    </row>
    <row r="20899" spans="9:13" x14ac:dyDescent="0.3">
      <c r="I20899" s="82"/>
      <c r="M20899" s="85"/>
    </row>
    <row r="20900" spans="9:13" x14ac:dyDescent="0.3">
      <c r="I20900" s="82"/>
      <c r="M20900" s="85"/>
    </row>
    <row r="20901" spans="9:13" x14ac:dyDescent="0.3">
      <c r="I20901" s="82"/>
      <c r="M20901" s="85"/>
    </row>
    <row r="20902" spans="9:13" x14ac:dyDescent="0.3">
      <c r="I20902" s="82"/>
      <c r="M20902" s="85"/>
    </row>
    <row r="20903" spans="9:13" x14ac:dyDescent="0.3">
      <c r="I20903" s="82"/>
      <c r="M20903" s="85"/>
    </row>
    <row r="20904" spans="9:13" x14ac:dyDescent="0.3">
      <c r="I20904" s="82"/>
      <c r="M20904" s="85"/>
    </row>
    <row r="20905" spans="9:13" x14ac:dyDescent="0.3">
      <c r="I20905" s="82"/>
      <c r="M20905" s="85"/>
    </row>
    <row r="20906" spans="9:13" x14ac:dyDescent="0.3">
      <c r="I20906" s="82"/>
      <c r="M20906" s="85"/>
    </row>
    <row r="20907" spans="9:13" x14ac:dyDescent="0.3">
      <c r="I20907" s="82"/>
      <c r="M20907" s="85"/>
    </row>
    <row r="20908" spans="9:13" x14ac:dyDescent="0.3">
      <c r="I20908" s="82"/>
      <c r="M20908" s="85"/>
    </row>
    <row r="20909" spans="9:13" x14ac:dyDescent="0.3">
      <c r="I20909" s="82"/>
      <c r="M20909" s="85"/>
    </row>
    <row r="20910" spans="9:13" x14ac:dyDescent="0.3">
      <c r="I20910" s="82"/>
      <c r="M20910" s="85"/>
    </row>
    <row r="20911" spans="9:13" x14ac:dyDescent="0.3">
      <c r="I20911" s="82"/>
      <c r="M20911" s="85"/>
    </row>
    <row r="20912" spans="9:13" x14ac:dyDescent="0.3">
      <c r="I20912" s="82"/>
      <c r="M20912" s="85"/>
    </row>
    <row r="20913" spans="9:13" x14ac:dyDescent="0.3">
      <c r="I20913" s="82"/>
      <c r="M20913" s="85"/>
    </row>
    <row r="20914" spans="9:13" x14ac:dyDescent="0.3">
      <c r="I20914" s="82"/>
      <c r="M20914" s="85"/>
    </row>
    <row r="20915" spans="9:13" x14ac:dyDescent="0.3">
      <c r="I20915" s="82"/>
      <c r="M20915" s="85"/>
    </row>
    <row r="20916" spans="9:13" x14ac:dyDescent="0.3">
      <c r="I20916" s="82"/>
      <c r="M20916" s="85"/>
    </row>
    <row r="20917" spans="9:13" x14ac:dyDescent="0.3">
      <c r="I20917" s="82"/>
      <c r="M20917" s="85"/>
    </row>
    <row r="20918" spans="9:13" x14ac:dyDescent="0.3">
      <c r="I20918" s="82"/>
      <c r="M20918" s="85"/>
    </row>
    <row r="20919" spans="9:13" x14ac:dyDescent="0.3">
      <c r="I20919" s="82"/>
      <c r="M20919" s="85"/>
    </row>
    <row r="20920" spans="9:13" x14ac:dyDescent="0.3">
      <c r="I20920" s="82"/>
      <c r="M20920" s="85"/>
    </row>
    <row r="20921" spans="9:13" x14ac:dyDescent="0.3">
      <c r="I20921" s="82"/>
      <c r="M20921" s="85"/>
    </row>
    <row r="20922" spans="9:13" x14ac:dyDescent="0.3">
      <c r="I20922" s="82"/>
      <c r="M20922" s="85"/>
    </row>
    <row r="20923" spans="9:13" x14ac:dyDescent="0.3">
      <c r="I20923" s="82"/>
      <c r="M20923" s="85"/>
    </row>
    <row r="20924" spans="9:13" x14ac:dyDescent="0.3">
      <c r="I20924" s="82"/>
      <c r="M20924" s="85"/>
    </row>
    <row r="20925" spans="9:13" x14ac:dyDescent="0.3">
      <c r="I20925" s="82"/>
      <c r="M20925" s="85"/>
    </row>
    <row r="20926" spans="9:13" x14ac:dyDescent="0.3">
      <c r="I20926" s="82"/>
      <c r="M20926" s="85"/>
    </row>
    <row r="20927" spans="9:13" x14ac:dyDescent="0.3">
      <c r="I20927" s="82"/>
      <c r="M20927" s="85"/>
    </row>
    <row r="20928" spans="9:13" x14ac:dyDescent="0.3">
      <c r="I20928" s="82"/>
      <c r="M20928" s="85"/>
    </row>
    <row r="20929" spans="9:13" x14ac:dyDescent="0.3">
      <c r="I20929" s="82"/>
      <c r="M20929" s="85"/>
    </row>
    <row r="20930" spans="9:13" x14ac:dyDescent="0.3">
      <c r="I20930" s="82"/>
      <c r="M20930" s="85"/>
    </row>
    <row r="20931" spans="9:13" x14ac:dyDescent="0.3">
      <c r="I20931" s="82"/>
      <c r="M20931" s="85"/>
    </row>
    <row r="20932" spans="9:13" x14ac:dyDescent="0.3">
      <c r="I20932" s="82"/>
      <c r="M20932" s="85"/>
    </row>
    <row r="20933" spans="9:13" x14ac:dyDescent="0.3">
      <c r="I20933" s="82"/>
      <c r="M20933" s="85"/>
    </row>
    <row r="20934" spans="9:13" x14ac:dyDescent="0.3">
      <c r="I20934" s="82"/>
      <c r="M20934" s="85"/>
    </row>
    <row r="20935" spans="9:13" x14ac:dyDescent="0.3">
      <c r="I20935" s="82"/>
      <c r="M20935" s="85"/>
    </row>
    <row r="20936" spans="9:13" x14ac:dyDescent="0.3">
      <c r="I20936" s="82"/>
      <c r="M20936" s="85"/>
    </row>
    <row r="20937" spans="9:13" x14ac:dyDescent="0.3">
      <c r="I20937" s="82"/>
      <c r="M20937" s="85"/>
    </row>
    <row r="20938" spans="9:13" x14ac:dyDescent="0.3">
      <c r="I20938" s="82"/>
      <c r="M20938" s="85"/>
    </row>
    <row r="20939" spans="9:13" x14ac:dyDescent="0.3">
      <c r="I20939" s="82"/>
      <c r="M20939" s="85"/>
    </row>
    <row r="20940" spans="9:13" x14ac:dyDescent="0.3">
      <c r="I20940" s="82"/>
      <c r="M20940" s="85"/>
    </row>
    <row r="20941" spans="9:13" x14ac:dyDescent="0.3">
      <c r="I20941" s="82"/>
      <c r="M20941" s="85"/>
    </row>
    <row r="20942" spans="9:13" x14ac:dyDescent="0.3">
      <c r="I20942" s="82"/>
      <c r="M20942" s="85"/>
    </row>
    <row r="20943" spans="9:13" x14ac:dyDescent="0.3">
      <c r="I20943" s="82"/>
      <c r="M20943" s="85"/>
    </row>
    <row r="20944" spans="9:13" x14ac:dyDescent="0.3">
      <c r="I20944" s="82"/>
      <c r="M20944" s="85"/>
    </row>
    <row r="20945" spans="9:13" x14ac:dyDescent="0.3">
      <c r="I20945" s="82"/>
      <c r="M20945" s="85"/>
    </row>
    <row r="20946" spans="9:13" x14ac:dyDescent="0.3">
      <c r="I20946" s="82"/>
      <c r="M20946" s="85"/>
    </row>
    <row r="20947" spans="9:13" x14ac:dyDescent="0.3">
      <c r="I20947" s="82"/>
      <c r="M20947" s="85"/>
    </row>
    <row r="20948" spans="9:13" x14ac:dyDescent="0.3">
      <c r="I20948" s="82"/>
      <c r="M20948" s="85"/>
    </row>
    <row r="20949" spans="9:13" x14ac:dyDescent="0.3">
      <c r="I20949" s="82"/>
      <c r="M20949" s="85"/>
    </row>
    <row r="20950" spans="9:13" x14ac:dyDescent="0.3">
      <c r="I20950" s="82"/>
      <c r="M20950" s="85"/>
    </row>
    <row r="20951" spans="9:13" x14ac:dyDescent="0.3">
      <c r="I20951" s="82"/>
      <c r="M20951" s="85"/>
    </row>
    <row r="20952" spans="9:13" x14ac:dyDescent="0.3">
      <c r="I20952" s="82"/>
      <c r="M20952" s="85"/>
    </row>
    <row r="20953" spans="9:13" x14ac:dyDescent="0.3">
      <c r="I20953" s="82"/>
      <c r="M20953" s="85"/>
    </row>
    <row r="20954" spans="9:13" x14ac:dyDescent="0.3">
      <c r="I20954" s="82"/>
      <c r="M20954" s="85"/>
    </row>
    <row r="20955" spans="9:13" x14ac:dyDescent="0.3">
      <c r="I20955" s="82"/>
      <c r="M20955" s="85"/>
    </row>
    <row r="20956" spans="9:13" x14ac:dyDescent="0.3">
      <c r="I20956" s="82"/>
      <c r="M20956" s="85"/>
    </row>
    <row r="20957" spans="9:13" x14ac:dyDescent="0.3">
      <c r="I20957" s="82"/>
      <c r="M20957" s="85"/>
    </row>
    <row r="20958" spans="9:13" x14ac:dyDescent="0.3">
      <c r="I20958" s="82"/>
      <c r="M20958" s="85"/>
    </row>
    <row r="20959" spans="9:13" x14ac:dyDescent="0.3">
      <c r="I20959" s="82"/>
      <c r="M20959" s="85"/>
    </row>
    <row r="20960" spans="9:13" x14ac:dyDescent="0.3">
      <c r="I20960" s="82"/>
      <c r="M20960" s="85"/>
    </row>
    <row r="20961" spans="9:13" x14ac:dyDescent="0.3">
      <c r="I20961" s="82"/>
      <c r="M20961" s="85"/>
    </row>
    <row r="20962" spans="9:13" x14ac:dyDescent="0.3">
      <c r="I20962" s="82"/>
      <c r="M20962" s="85"/>
    </row>
    <row r="20963" spans="9:13" x14ac:dyDescent="0.3">
      <c r="I20963" s="82"/>
      <c r="M20963" s="85"/>
    </row>
    <row r="20964" spans="9:13" x14ac:dyDescent="0.3">
      <c r="I20964" s="82"/>
      <c r="M20964" s="85"/>
    </row>
    <row r="20965" spans="9:13" x14ac:dyDescent="0.3">
      <c r="I20965" s="82"/>
      <c r="M20965" s="85"/>
    </row>
    <row r="20966" spans="9:13" x14ac:dyDescent="0.3">
      <c r="I20966" s="82"/>
      <c r="M20966" s="85"/>
    </row>
    <row r="20967" spans="9:13" x14ac:dyDescent="0.3">
      <c r="I20967" s="82"/>
      <c r="M20967" s="85"/>
    </row>
    <row r="20968" spans="9:13" x14ac:dyDescent="0.3">
      <c r="I20968" s="82"/>
      <c r="M20968" s="85"/>
    </row>
    <row r="20969" spans="9:13" x14ac:dyDescent="0.3">
      <c r="I20969" s="82"/>
      <c r="M20969" s="85"/>
    </row>
    <row r="20970" spans="9:13" x14ac:dyDescent="0.3">
      <c r="I20970" s="82"/>
      <c r="M20970" s="85"/>
    </row>
    <row r="20971" spans="9:13" x14ac:dyDescent="0.3">
      <c r="I20971" s="82"/>
      <c r="M20971" s="85"/>
    </row>
    <row r="20972" spans="9:13" x14ac:dyDescent="0.3">
      <c r="I20972" s="82"/>
      <c r="M20972" s="85"/>
    </row>
    <row r="20973" spans="9:13" x14ac:dyDescent="0.3">
      <c r="I20973" s="82"/>
      <c r="M20973" s="85"/>
    </row>
    <row r="20974" spans="9:13" x14ac:dyDescent="0.3">
      <c r="I20974" s="82"/>
      <c r="M20974" s="85"/>
    </row>
    <row r="20975" spans="9:13" x14ac:dyDescent="0.3">
      <c r="I20975" s="82"/>
      <c r="M20975" s="85"/>
    </row>
    <row r="20976" spans="9:13" x14ac:dyDescent="0.3">
      <c r="I20976" s="82"/>
      <c r="M20976" s="85"/>
    </row>
    <row r="20977" spans="9:13" x14ac:dyDescent="0.3">
      <c r="I20977" s="82"/>
      <c r="M20977" s="85"/>
    </row>
    <row r="20978" spans="9:13" x14ac:dyDescent="0.3">
      <c r="I20978" s="82"/>
      <c r="M20978" s="85"/>
    </row>
    <row r="20979" spans="9:13" x14ac:dyDescent="0.3">
      <c r="I20979" s="82"/>
      <c r="M20979" s="85"/>
    </row>
    <row r="20980" spans="9:13" x14ac:dyDescent="0.3">
      <c r="I20980" s="82"/>
      <c r="M20980" s="85"/>
    </row>
    <row r="20981" spans="9:13" x14ac:dyDescent="0.3">
      <c r="I20981" s="82"/>
      <c r="M20981" s="85"/>
    </row>
    <row r="20982" spans="9:13" x14ac:dyDescent="0.3">
      <c r="I20982" s="82"/>
      <c r="M20982" s="85"/>
    </row>
    <row r="20983" spans="9:13" x14ac:dyDescent="0.3">
      <c r="I20983" s="82"/>
      <c r="M20983" s="85"/>
    </row>
    <row r="20984" spans="9:13" x14ac:dyDescent="0.3">
      <c r="I20984" s="82"/>
      <c r="M20984" s="85"/>
    </row>
    <row r="20985" spans="9:13" x14ac:dyDescent="0.3">
      <c r="I20985" s="82"/>
      <c r="M20985" s="85"/>
    </row>
    <row r="20986" spans="9:13" x14ac:dyDescent="0.3">
      <c r="I20986" s="82"/>
      <c r="M20986" s="85"/>
    </row>
    <row r="20987" spans="9:13" x14ac:dyDescent="0.3">
      <c r="I20987" s="82"/>
      <c r="M20987" s="85"/>
    </row>
    <row r="20988" spans="9:13" x14ac:dyDescent="0.3">
      <c r="I20988" s="82"/>
      <c r="M20988" s="85"/>
    </row>
    <row r="20989" spans="9:13" x14ac:dyDescent="0.3">
      <c r="I20989" s="82"/>
      <c r="M20989" s="85"/>
    </row>
    <row r="20990" spans="9:13" x14ac:dyDescent="0.3">
      <c r="I20990" s="82"/>
      <c r="M20990" s="85"/>
    </row>
    <row r="20991" spans="9:13" x14ac:dyDescent="0.3">
      <c r="I20991" s="82"/>
      <c r="M20991" s="85"/>
    </row>
    <row r="20992" spans="9:13" x14ac:dyDescent="0.3">
      <c r="I20992" s="82"/>
      <c r="M20992" s="85"/>
    </row>
    <row r="20993" spans="9:13" x14ac:dyDescent="0.3">
      <c r="I20993" s="82"/>
      <c r="M20993" s="85"/>
    </row>
    <row r="20994" spans="9:13" x14ac:dyDescent="0.3">
      <c r="I20994" s="82"/>
      <c r="M20994" s="85"/>
    </row>
    <row r="20995" spans="9:13" x14ac:dyDescent="0.3">
      <c r="I20995" s="82"/>
      <c r="M20995" s="85"/>
    </row>
    <row r="20996" spans="9:13" x14ac:dyDescent="0.3">
      <c r="I20996" s="82"/>
      <c r="M20996" s="85"/>
    </row>
    <row r="20997" spans="9:13" x14ac:dyDescent="0.3">
      <c r="I20997" s="82"/>
      <c r="M20997" s="85"/>
    </row>
    <row r="20998" spans="9:13" x14ac:dyDescent="0.3">
      <c r="I20998" s="82"/>
      <c r="M20998" s="85"/>
    </row>
    <row r="20999" spans="9:13" x14ac:dyDescent="0.3">
      <c r="I20999" s="82"/>
      <c r="M20999" s="85"/>
    </row>
    <row r="21000" spans="9:13" x14ac:dyDescent="0.3">
      <c r="I21000" s="82"/>
      <c r="M21000" s="85"/>
    </row>
    <row r="21001" spans="9:13" x14ac:dyDescent="0.3">
      <c r="I21001" s="82"/>
      <c r="M21001" s="85"/>
    </row>
    <row r="21002" spans="9:13" x14ac:dyDescent="0.3">
      <c r="I21002" s="82"/>
      <c r="M21002" s="85"/>
    </row>
    <row r="21003" spans="9:13" x14ac:dyDescent="0.3">
      <c r="I21003" s="82"/>
      <c r="M21003" s="85"/>
    </row>
    <row r="21004" spans="9:13" x14ac:dyDescent="0.3">
      <c r="I21004" s="82"/>
      <c r="M21004" s="85"/>
    </row>
    <row r="21005" spans="9:13" x14ac:dyDescent="0.3">
      <c r="I21005" s="82"/>
      <c r="M21005" s="85"/>
    </row>
    <row r="21006" spans="9:13" x14ac:dyDescent="0.3">
      <c r="I21006" s="82"/>
      <c r="M21006" s="85"/>
    </row>
    <row r="21007" spans="9:13" x14ac:dyDescent="0.3">
      <c r="I21007" s="82"/>
      <c r="M21007" s="85"/>
    </row>
    <row r="21008" spans="9:13" x14ac:dyDescent="0.3">
      <c r="I21008" s="82"/>
      <c r="M21008" s="85"/>
    </row>
    <row r="21009" spans="9:13" x14ac:dyDescent="0.3">
      <c r="I21009" s="82"/>
      <c r="M21009" s="85"/>
    </row>
    <row r="21010" spans="9:13" x14ac:dyDescent="0.3">
      <c r="I21010" s="82"/>
      <c r="M21010" s="85"/>
    </row>
    <row r="21011" spans="9:13" x14ac:dyDescent="0.3">
      <c r="I21011" s="82"/>
      <c r="M21011" s="85"/>
    </row>
    <row r="21012" spans="9:13" x14ac:dyDescent="0.3">
      <c r="I21012" s="82"/>
      <c r="M21012" s="85"/>
    </row>
    <row r="21013" spans="9:13" x14ac:dyDescent="0.3">
      <c r="I21013" s="82"/>
      <c r="M21013" s="85"/>
    </row>
    <row r="21014" spans="9:13" x14ac:dyDescent="0.3">
      <c r="I21014" s="82"/>
      <c r="M21014" s="85"/>
    </row>
    <row r="21015" spans="9:13" x14ac:dyDescent="0.3">
      <c r="I21015" s="82"/>
      <c r="M21015" s="85"/>
    </row>
    <row r="21016" spans="9:13" x14ac:dyDescent="0.3">
      <c r="I21016" s="82"/>
      <c r="M21016" s="85"/>
    </row>
    <row r="21017" spans="9:13" x14ac:dyDescent="0.3">
      <c r="I21017" s="82"/>
      <c r="M21017" s="85"/>
    </row>
    <row r="21018" spans="9:13" x14ac:dyDescent="0.3">
      <c r="I21018" s="82"/>
      <c r="M21018" s="85"/>
    </row>
    <row r="21019" spans="9:13" x14ac:dyDescent="0.3">
      <c r="I21019" s="82"/>
      <c r="M21019" s="85"/>
    </row>
    <row r="21020" spans="9:13" x14ac:dyDescent="0.3">
      <c r="I21020" s="82"/>
      <c r="M21020" s="85"/>
    </row>
    <row r="21021" spans="9:13" x14ac:dyDescent="0.3">
      <c r="I21021" s="82"/>
      <c r="M21021" s="85"/>
    </row>
    <row r="21022" spans="9:13" x14ac:dyDescent="0.3">
      <c r="I21022" s="82"/>
      <c r="M21022" s="85"/>
    </row>
    <row r="21023" spans="9:13" x14ac:dyDescent="0.3">
      <c r="I21023" s="82"/>
      <c r="M21023" s="85"/>
    </row>
    <row r="21024" spans="9:13" x14ac:dyDescent="0.3">
      <c r="I21024" s="82"/>
      <c r="M21024" s="85"/>
    </row>
    <row r="21025" spans="9:13" x14ac:dyDescent="0.3">
      <c r="I21025" s="82"/>
      <c r="M21025" s="85"/>
    </row>
    <row r="21026" spans="9:13" x14ac:dyDescent="0.3">
      <c r="I21026" s="82"/>
      <c r="M21026" s="85"/>
    </row>
    <row r="21027" spans="9:13" x14ac:dyDescent="0.3">
      <c r="I21027" s="82"/>
      <c r="M21027" s="85"/>
    </row>
    <row r="21028" spans="9:13" x14ac:dyDescent="0.3">
      <c r="I21028" s="82"/>
      <c r="M21028" s="85"/>
    </row>
    <row r="21029" spans="9:13" x14ac:dyDescent="0.3">
      <c r="I21029" s="82"/>
      <c r="M21029" s="85"/>
    </row>
    <row r="21030" spans="9:13" x14ac:dyDescent="0.3">
      <c r="I21030" s="82"/>
      <c r="M21030" s="85"/>
    </row>
    <row r="21031" spans="9:13" x14ac:dyDescent="0.3">
      <c r="I21031" s="82"/>
      <c r="M21031" s="85"/>
    </row>
    <row r="21032" spans="9:13" x14ac:dyDescent="0.3">
      <c r="I21032" s="82"/>
      <c r="M21032" s="85"/>
    </row>
    <row r="21033" spans="9:13" x14ac:dyDescent="0.3">
      <c r="I21033" s="82"/>
      <c r="M21033" s="85"/>
    </row>
    <row r="21034" spans="9:13" x14ac:dyDescent="0.3">
      <c r="I21034" s="82"/>
      <c r="M21034" s="85"/>
    </row>
    <row r="21035" spans="9:13" x14ac:dyDescent="0.3">
      <c r="I21035" s="82"/>
      <c r="M21035" s="85"/>
    </row>
    <row r="21036" spans="9:13" x14ac:dyDescent="0.3">
      <c r="I21036" s="82"/>
      <c r="M21036" s="85"/>
    </row>
    <row r="21037" spans="9:13" x14ac:dyDescent="0.3">
      <c r="I21037" s="82"/>
      <c r="M21037" s="85"/>
    </row>
    <row r="21038" spans="9:13" x14ac:dyDescent="0.3">
      <c r="I21038" s="82"/>
      <c r="M21038" s="85"/>
    </row>
    <row r="21039" spans="9:13" x14ac:dyDescent="0.3">
      <c r="I21039" s="82"/>
      <c r="M21039" s="85"/>
    </row>
    <row r="21040" spans="9:13" x14ac:dyDescent="0.3">
      <c r="I21040" s="82"/>
      <c r="M21040" s="85"/>
    </row>
    <row r="21041" spans="9:13" x14ac:dyDescent="0.3">
      <c r="I21041" s="82"/>
      <c r="M21041" s="85"/>
    </row>
    <row r="21042" spans="9:13" x14ac:dyDescent="0.3">
      <c r="I21042" s="82"/>
      <c r="M21042" s="85"/>
    </row>
    <row r="21043" spans="9:13" x14ac:dyDescent="0.3">
      <c r="I21043" s="82"/>
      <c r="M21043" s="85"/>
    </row>
    <row r="21044" spans="9:13" x14ac:dyDescent="0.3">
      <c r="I21044" s="82"/>
      <c r="M21044" s="85"/>
    </row>
    <row r="21045" spans="9:13" x14ac:dyDescent="0.3">
      <c r="I21045" s="82"/>
      <c r="M21045" s="85"/>
    </row>
    <row r="21046" spans="9:13" x14ac:dyDescent="0.3">
      <c r="I21046" s="82"/>
      <c r="M21046" s="85"/>
    </row>
    <row r="21047" spans="9:13" x14ac:dyDescent="0.3">
      <c r="I21047" s="82"/>
      <c r="M21047" s="85"/>
    </row>
    <row r="21048" spans="9:13" x14ac:dyDescent="0.3">
      <c r="I21048" s="82"/>
      <c r="M21048" s="85"/>
    </row>
    <row r="21049" spans="9:13" x14ac:dyDescent="0.3">
      <c r="I21049" s="82"/>
      <c r="M21049" s="85"/>
    </row>
    <row r="21050" spans="9:13" x14ac:dyDescent="0.3">
      <c r="I21050" s="82"/>
      <c r="M21050" s="85"/>
    </row>
    <row r="21051" spans="9:13" x14ac:dyDescent="0.3">
      <c r="I21051" s="82"/>
      <c r="M21051" s="85"/>
    </row>
    <row r="21052" spans="9:13" x14ac:dyDescent="0.3">
      <c r="I21052" s="82"/>
      <c r="M21052" s="85"/>
    </row>
    <row r="21053" spans="9:13" x14ac:dyDescent="0.3">
      <c r="I21053" s="82"/>
      <c r="M21053" s="85"/>
    </row>
    <row r="21054" spans="9:13" x14ac:dyDescent="0.3">
      <c r="I21054" s="82"/>
      <c r="M21054" s="85"/>
    </row>
    <row r="21055" spans="9:13" x14ac:dyDescent="0.3">
      <c r="I21055" s="82"/>
      <c r="M21055" s="85"/>
    </row>
    <row r="21056" spans="9:13" x14ac:dyDescent="0.3">
      <c r="I21056" s="82"/>
      <c r="M21056" s="85"/>
    </row>
    <row r="21057" spans="9:13" x14ac:dyDescent="0.3">
      <c r="I21057" s="82"/>
      <c r="M21057" s="85"/>
    </row>
    <row r="21058" spans="9:13" x14ac:dyDescent="0.3">
      <c r="I21058" s="82"/>
      <c r="M21058" s="85"/>
    </row>
    <row r="21059" spans="9:13" x14ac:dyDescent="0.3">
      <c r="I21059" s="82"/>
      <c r="M21059" s="85"/>
    </row>
    <row r="21060" spans="9:13" x14ac:dyDescent="0.3">
      <c r="I21060" s="82"/>
      <c r="M21060" s="85"/>
    </row>
    <row r="21061" spans="9:13" x14ac:dyDescent="0.3">
      <c r="I21061" s="82"/>
      <c r="M21061" s="85"/>
    </row>
    <row r="21062" spans="9:13" x14ac:dyDescent="0.3">
      <c r="I21062" s="82"/>
      <c r="M21062" s="85"/>
    </row>
    <row r="21063" spans="9:13" x14ac:dyDescent="0.3">
      <c r="I21063" s="82"/>
      <c r="M21063" s="85"/>
    </row>
    <row r="21064" spans="9:13" x14ac:dyDescent="0.3">
      <c r="I21064" s="82"/>
      <c r="M21064" s="85"/>
    </row>
    <row r="21065" spans="9:13" x14ac:dyDescent="0.3">
      <c r="I21065" s="82"/>
      <c r="M21065" s="85"/>
    </row>
    <row r="21066" spans="9:13" x14ac:dyDescent="0.3">
      <c r="I21066" s="82"/>
      <c r="M21066" s="85"/>
    </row>
    <row r="21067" spans="9:13" x14ac:dyDescent="0.3">
      <c r="I21067" s="82"/>
      <c r="M21067" s="85"/>
    </row>
    <row r="21068" spans="9:13" x14ac:dyDescent="0.3">
      <c r="I21068" s="82"/>
      <c r="M21068" s="85"/>
    </row>
    <row r="21069" spans="9:13" x14ac:dyDescent="0.3">
      <c r="I21069" s="82"/>
      <c r="M21069" s="85"/>
    </row>
    <row r="21070" spans="9:13" x14ac:dyDescent="0.3">
      <c r="I21070" s="82"/>
      <c r="M21070" s="85"/>
    </row>
    <row r="21071" spans="9:13" x14ac:dyDescent="0.3">
      <c r="I21071" s="82"/>
      <c r="M21071" s="85"/>
    </row>
    <row r="21072" spans="9:13" x14ac:dyDescent="0.3">
      <c r="I21072" s="82"/>
      <c r="M21072" s="85"/>
    </row>
    <row r="21073" spans="9:13" x14ac:dyDescent="0.3">
      <c r="I21073" s="82"/>
      <c r="M21073" s="85"/>
    </row>
    <row r="21074" spans="9:13" x14ac:dyDescent="0.3">
      <c r="I21074" s="82"/>
      <c r="M21074" s="85"/>
    </row>
    <row r="21075" spans="9:13" x14ac:dyDescent="0.3">
      <c r="I21075" s="82"/>
      <c r="M21075" s="85"/>
    </row>
    <row r="21076" spans="9:13" x14ac:dyDescent="0.3">
      <c r="I21076" s="82"/>
      <c r="M21076" s="85"/>
    </row>
    <row r="21077" spans="9:13" x14ac:dyDescent="0.3">
      <c r="I21077" s="82"/>
      <c r="M21077" s="85"/>
    </row>
    <row r="21078" spans="9:13" x14ac:dyDescent="0.3">
      <c r="I21078" s="82"/>
      <c r="M21078" s="85"/>
    </row>
    <row r="21079" spans="9:13" x14ac:dyDescent="0.3">
      <c r="I21079" s="82"/>
      <c r="M21079" s="85"/>
    </row>
    <row r="21080" spans="9:13" x14ac:dyDescent="0.3">
      <c r="I21080" s="82"/>
      <c r="M21080" s="85"/>
    </row>
    <row r="21081" spans="9:13" x14ac:dyDescent="0.3">
      <c r="I21081" s="82"/>
      <c r="M21081" s="85"/>
    </row>
    <row r="21082" spans="9:13" x14ac:dyDescent="0.3">
      <c r="I21082" s="82"/>
      <c r="M21082" s="85"/>
    </row>
    <row r="21083" spans="9:13" x14ac:dyDescent="0.3">
      <c r="I21083" s="82"/>
      <c r="M21083" s="85"/>
    </row>
    <row r="21084" spans="9:13" x14ac:dyDescent="0.3">
      <c r="I21084" s="82"/>
      <c r="M21084" s="85"/>
    </row>
    <row r="21085" spans="9:13" x14ac:dyDescent="0.3">
      <c r="I21085" s="82"/>
      <c r="M21085" s="85"/>
    </row>
    <row r="21086" spans="9:13" x14ac:dyDescent="0.3">
      <c r="I21086" s="82"/>
      <c r="M21086" s="85"/>
    </row>
    <row r="21087" spans="9:13" x14ac:dyDescent="0.3">
      <c r="I21087" s="82"/>
      <c r="M21087" s="85"/>
    </row>
    <row r="21088" spans="9:13" x14ac:dyDescent="0.3">
      <c r="I21088" s="82"/>
      <c r="M21088" s="85"/>
    </row>
    <row r="21089" spans="9:13" x14ac:dyDescent="0.3">
      <c r="I21089" s="82"/>
      <c r="M21089" s="85"/>
    </row>
    <row r="21090" spans="9:13" x14ac:dyDescent="0.3">
      <c r="I21090" s="82"/>
      <c r="M21090" s="85"/>
    </row>
    <row r="21091" spans="9:13" x14ac:dyDescent="0.3">
      <c r="I21091" s="82"/>
      <c r="M21091" s="85"/>
    </row>
    <row r="21092" spans="9:13" x14ac:dyDescent="0.3">
      <c r="I21092" s="82"/>
      <c r="M21092" s="85"/>
    </row>
    <row r="21093" spans="9:13" x14ac:dyDescent="0.3">
      <c r="I21093" s="82"/>
      <c r="M21093" s="85"/>
    </row>
    <row r="21094" spans="9:13" x14ac:dyDescent="0.3">
      <c r="I21094" s="82"/>
      <c r="M21094" s="85"/>
    </row>
    <row r="21095" spans="9:13" x14ac:dyDescent="0.3">
      <c r="I21095" s="82"/>
      <c r="M21095" s="85"/>
    </row>
    <row r="21096" spans="9:13" x14ac:dyDescent="0.3">
      <c r="I21096" s="82"/>
      <c r="M21096" s="85"/>
    </row>
    <row r="21097" spans="9:13" x14ac:dyDescent="0.3">
      <c r="I21097" s="82"/>
      <c r="M21097" s="85"/>
    </row>
    <row r="21098" spans="9:13" x14ac:dyDescent="0.3">
      <c r="I21098" s="82"/>
      <c r="M21098" s="85"/>
    </row>
    <row r="21099" spans="9:13" x14ac:dyDescent="0.3">
      <c r="I21099" s="82"/>
      <c r="M21099" s="85"/>
    </row>
    <row r="21100" spans="9:13" x14ac:dyDescent="0.3">
      <c r="I21100" s="82"/>
      <c r="M21100" s="85"/>
    </row>
    <row r="21101" spans="9:13" x14ac:dyDescent="0.3">
      <c r="I21101" s="82"/>
      <c r="M21101" s="85"/>
    </row>
    <row r="21102" spans="9:13" x14ac:dyDescent="0.3">
      <c r="I21102" s="82"/>
      <c r="M21102" s="85"/>
    </row>
    <row r="21103" spans="9:13" x14ac:dyDescent="0.3">
      <c r="I21103" s="82"/>
      <c r="M21103" s="85"/>
    </row>
    <row r="21104" spans="9:13" x14ac:dyDescent="0.3">
      <c r="I21104" s="82"/>
      <c r="M21104" s="85"/>
    </row>
    <row r="21105" spans="9:13" x14ac:dyDescent="0.3">
      <c r="I21105" s="82"/>
      <c r="M21105" s="85"/>
    </row>
    <row r="21106" spans="9:13" x14ac:dyDescent="0.3">
      <c r="I21106" s="82"/>
      <c r="M21106" s="85"/>
    </row>
    <row r="21107" spans="9:13" x14ac:dyDescent="0.3">
      <c r="I21107" s="82"/>
      <c r="M21107" s="85"/>
    </row>
    <row r="21108" spans="9:13" x14ac:dyDescent="0.3">
      <c r="I21108" s="82"/>
      <c r="M21108" s="85"/>
    </row>
    <row r="21109" spans="9:13" x14ac:dyDescent="0.3">
      <c r="I21109" s="82"/>
      <c r="M21109" s="85"/>
    </row>
    <row r="21110" spans="9:13" x14ac:dyDescent="0.3">
      <c r="I21110" s="82"/>
      <c r="M21110" s="85"/>
    </row>
    <row r="21111" spans="9:13" x14ac:dyDescent="0.3">
      <c r="I21111" s="82"/>
      <c r="M21111" s="85"/>
    </row>
    <row r="21112" spans="9:13" x14ac:dyDescent="0.3">
      <c r="I21112" s="82"/>
      <c r="M21112" s="85"/>
    </row>
    <row r="21113" spans="9:13" x14ac:dyDescent="0.3">
      <c r="I21113" s="82"/>
      <c r="M21113" s="85"/>
    </row>
    <row r="21114" spans="9:13" x14ac:dyDescent="0.3">
      <c r="I21114" s="82"/>
      <c r="M21114" s="85"/>
    </row>
    <row r="21115" spans="9:13" x14ac:dyDescent="0.3">
      <c r="I21115" s="82"/>
      <c r="M21115" s="85"/>
    </row>
    <row r="21116" spans="9:13" x14ac:dyDescent="0.3">
      <c r="I21116" s="82"/>
      <c r="M21116" s="85"/>
    </row>
    <row r="21117" spans="9:13" x14ac:dyDescent="0.3">
      <c r="I21117" s="82"/>
      <c r="M21117" s="85"/>
    </row>
    <row r="21118" spans="9:13" x14ac:dyDescent="0.3">
      <c r="I21118" s="82"/>
      <c r="M21118" s="85"/>
    </row>
    <row r="21119" spans="9:13" x14ac:dyDescent="0.3">
      <c r="I21119" s="82"/>
      <c r="M21119" s="85"/>
    </row>
    <row r="21120" spans="9:13" x14ac:dyDescent="0.3">
      <c r="I21120" s="82"/>
      <c r="M21120" s="85"/>
    </row>
    <row r="21121" spans="9:13" x14ac:dyDescent="0.3">
      <c r="I21121" s="82"/>
      <c r="M21121" s="85"/>
    </row>
    <row r="21122" spans="9:13" x14ac:dyDescent="0.3">
      <c r="I21122" s="82"/>
      <c r="M21122" s="85"/>
    </row>
    <row r="21123" spans="9:13" x14ac:dyDescent="0.3">
      <c r="I21123" s="82"/>
      <c r="M21123" s="85"/>
    </row>
    <row r="21124" spans="9:13" x14ac:dyDescent="0.3">
      <c r="I21124" s="82"/>
      <c r="M21124" s="85"/>
    </row>
    <row r="21125" spans="9:13" x14ac:dyDescent="0.3">
      <c r="I21125" s="82"/>
      <c r="M21125" s="85"/>
    </row>
    <row r="21126" spans="9:13" x14ac:dyDescent="0.3">
      <c r="I21126" s="82"/>
      <c r="M21126" s="85"/>
    </row>
    <row r="21127" spans="9:13" x14ac:dyDescent="0.3">
      <c r="I21127" s="82"/>
      <c r="M21127" s="85"/>
    </row>
    <row r="21128" spans="9:13" x14ac:dyDescent="0.3">
      <c r="I21128" s="82"/>
      <c r="M21128" s="85"/>
    </row>
    <row r="21129" spans="9:13" x14ac:dyDescent="0.3">
      <c r="I21129" s="82"/>
      <c r="M21129" s="85"/>
    </row>
    <row r="21130" spans="9:13" x14ac:dyDescent="0.3">
      <c r="I21130" s="82"/>
      <c r="M21130" s="85"/>
    </row>
    <row r="21131" spans="9:13" x14ac:dyDescent="0.3">
      <c r="I21131" s="82"/>
      <c r="M21131" s="85"/>
    </row>
    <row r="21132" spans="9:13" x14ac:dyDescent="0.3">
      <c r="I21132" s="82"/>
      <c r="M21132" s="85"/>
    </row>
    <row r="21133" spans="9:13" x14ac:dyDescent="0.3">
      <c r="I21133" s="82"/>
      <c r="M21133" s="85"/>
    </row>
    <row r="21134" spans="9:13" x14ac:dyDescent="0.3">
      <c r="I21134" s="82"/>
      <c r="M21134" s="85"/>
    </row>
    <row r="21135" spans="9:13" x14ac:dyDescent="0.3">
      <c r="I21135" s="82"/>
      <c r="M21135" s="85"/>
    </row>
    <row r="21136" spans="9:13" x14ac:dyDescent="0.3">
      <c r="I21136" s="82"/>
      <c r="M21136" s="85"/>
    </row>
    <row r="21137" spans="9:13" x14ac:dyDescent="0.3">
      <c r="I21137" s="82"/>
      <c r="M21137" s="85"/>
    </row>
    <row r="21138" spans="9:13" x14ac:dyDescent="0.3">
      <c r="I21138" s="82"/>
      <c r="M21138" s="85"/>
    </row>
    <row r="21139" spans="9:13" x14ac:dyDescent="0.3">
      <c r="I21139" s="82"/>
      <c r="M21139" s="85"/>
    </row>
    <row r="21140" spans="9:13" x14ac:dyDescent="0.3">
      <c r="I21140" s="82"/>
      <c r="M21140" s="85"/>
    </row>
    <row r="21141" spans="9:13" x14ac:dyDescent="0.3">
      <c r="I21141" s="82"/>
      <c r="M21141" s="85"/>
    </row>
    <row r="21142" spans="9:13" x14ac:dyDescent="0.3">
      <c r="I21142" s="82"/>
      <c r="M21142" s="85"/>
    </row>
    <row r="21143" spans="9:13" x14ac:dyDescent="0.3">
      <c r="I21143" s="82"/>
      <c r="M21143" s="85"/>
    </row>
    <row r="21144" spans="9:13" x14ac:dyDescent="0.3">
      <c r="I21144" s="82"/>
      <c r="M21144" s="85"/>
    </row>
    <row r="21145" spans="9:13" x14ac:dyDescent="0.3">
      <c r="I21145" s="82"/>
      <c r="M21145" s="85"/>
    </row>
    <row r="21146" spans="9:13" x14ac:dyDescent="0.3">
      <c r="I21146" s="82"/>
      <c r="M21146" s="85"/>
    </row>
    <row r="21147" spans="9:13" x14ac:dyDescent="0.3">
      <c r="I21147" s="82"/>
      <c r="M21147" s="85"/>
    </row>
    <row r="21148" spans="9:13" x14ac:dyDescent="0.3">
      <c r="I21148" s="82"/>
      <c r="M21148" s="85"/>
    </row>
    <row r="21149" spans="9:13" x14ac:dyDescent="0.3">
      <c r="I21149" s="82"/>
      <c r="M21149" s="85"/>
    </row>
    <row r="21150" spans="9:13" x14ac:dyDescent="0.3">
      <c r="I21150" s="82"/>
      <c r="M21150" s="85"/>
    </row>
    <row r="21151" spans="9:13" x14ac:dyDescent="0.3">
      <c r="I21151" s="82"/>
      <c r="M21151" s="85"/>
    </row>
    <row r="21152" spans="9:13" x14ac:dyDescent="0.3">
      <c r="I21152" s="82"/>
      <c r="M21152" s="85"/>
    </row>
    <row r="21153" spans="9:13" x14ac:dyDescent="0.3">
      <c r="I21153" s="82"/>
      <c r="M21153" s="85"/>
    </row>
    <row r="21154" spans="9:13" x14ac:dyDescent="0.3">
      <c r="I21154" s="82"/>
      <c r="M21154" s="85"/>
    </row>
    <row r="21155" spans="9:13" x14ac:dyDescent="0.3">
      <c r="I21155" s="82"/>
      <c r="M21155" s="85"/>
    </row>
    <row r="21156" spans="9:13" x14ac:dyDescent="0.3">
      <c r="I21156" s="82"/>
      <c r="M21156" s="85"/>
    </row>
    <row r="21157" spans="9:13" x14ac:dyDescent="0.3">
      <c r="I21157" s="82"/>
      <c r="M21157" s="85"/>
    </row>
    <row r="21158" spans="9:13" x14ac:dyDescent="0.3">
      <c r="I21158" s="82"/>
      <c r="M21158" s="85"/>
    </row>
    <row r="21159" spans="9:13" x14ac:dyDescent="0.3">
      <c r="I21159" s="82"/>
      <c r="M21159" s="85"/>
    </row>
    <row r="21160" spans="9:13" x14ac:dyDescent="0.3">
      <c r="I21160" s="82"/>
      <c r="M21160" s="85"/>
    </row>
    <row r="21161" spans="9:13" x14ac:dyDescent="0.3">
      <c r="I21161" s="82"/>
      <c r="M21161" s="85"/>
    </row>
    <row r="21162" spans="9:13" x14ac:dyDescent="0.3">
      <c r="I21162" s="82"/>
      <c r="M21162" s="85"/>
    </row>
    <row r="21163" spans="9:13" x14ac:dyDescent="0.3">
      <c r="I21163" s="82"/>
      <c r="M21163" s="85"/>
    </row>
    <row r="21164" spans="9:13" x14ac:dyDescent="0.3">
      <c r="I21164" s="82"/>
      <c r="M21164" s="85"/>
    </row>
    <row r="21165" spans="9:13" x14ac:dyDescent="0.3">
      <c r="I21165" s="82"/>
      <c r="M21165" s="85"/>
    </row>
    <row r="21166" spans="9:13" x14ac:dyDescent="0.3">
      <c r="I21166" s="82"/>
      <c r="M21166" s="85"/>
    </row>
    <row r="21167" spans="9:13" x14ac:dyDescent="0.3">
      <c r="I21167" s="82"/>
      <c r="M21167" s="85"/>
    </row>
    <row r="21168" spans="9:13" x14ac:dyDescent="0.3">
      <c r="I21168" s="82"/>
      <c r="M21168" s="85"/>
    </row>
    <row r="21169" spans="9:13" x14ac:dyDescent="0.3">
      <c r="I21169" s="82"/>
      <c r="M21169" s="85"/>
    </row>
    <row r="21170" spans="9:13" x14ac:dyDescent="0.3">
      <c r="I21170" s="82"/>
      <c r="M21170" s="85"/>
    </row>
    <row r="21171" spans="9:13" x14ac:dyDescent="0.3">
      <c r="I21171" s="82"/>
      <c r="M21171" s="85"/>
    </row>
    <row r="21172" spans="9:13" x14ac:dyDescent="0.3">
      <c r="I21172" s="82"/>
      <c r="M21172" s="85"/>
    </row>
    <row r="21173" spans="9:13" x14ac:dyDescent="0.3">
      <c r="I21173" s="82"/>
      <c r="M21173" s="85"/>
    </row>
    <row r="21174" spans="9:13" x14ac:dyDescent="0.3">
      <c r="I21174" s="82"/>
      <c r="M21174" s="85"/>
    </row>
    <row r="21175" spans="9:13" x14ac:dyDescent="0.3">
      <c r="I21175" s="82"/>
      <c r="M21175" s="85"/>
    </row>
    <row r="21176" spans="9:13" x14ac:dyDescent="0.3">
      <c r="I21176" s="82"/>
      <c r="M21176" s="85"/>
    </row>
    <row r="21177" spans="9:13" x14ac:dyDescent="0.3">
      <c r="I21177" s="82"/>
      <c r="M21177" s="85"/>
    </row>
    <row r="21178" spans="9:13" x14ac:dyDescent="0.3">
      <c r="I21178" s="82"/>
      <c r="M21178" s="85"/>
    </row>
    <row r="21179" spans="9:13" x14ac:dyDescent="0.3">
      <c r="I21179" s="82"/>
      <c r="M21179" s="85"/>
    </row>
    <row r="21180" spans="9:13" x14ac:dyDescent="0.3">
      <c r="I21180" s="82"/>
      <c r="M21180" s="85"/>
    </row>
    <row r="21181" spans="9:13" x14ac:dyDescent="0.3">
      <c r="I21181" s="82"/>
      <c r="M21181" s="85"/>
    </row>
    <row r="21182" spans="9:13" x14ac:dyDescent="0.3">
      <c r="I21182" s="82"/>
      <c r="M21182" s="85"/>
    </row>
    <row r="21183" spans="9:13" x14ac:dyDescent="0.3">
      <c r="I21183" s="82"/>
      <c r="M21183" s="85"/>
    </row>
    <row r="21184" spans="9:13" x14ac:dyDescent="0.3">
      <c r="I21184" s="82"/>
      <c r="M21184" s="85"/>
    </row>
    <row r="21185" spans="9:13" x14ac:dyDescent="0.3">
      <c r="I21185" s="82"/>
      <c r="M21185" s="85"/>
    </row>
    <row r="21186" spans="9:13" x14ac:dyDescent="0.3">
      <c r="I21186" s="82"/>
      <c r="M21186" s="85"/>
    </row>
    <row r="21187" spans="9:13" x14ac:dyDescent="0.3">
      <c r="I21187" s="82"/>
      <c r="M21187" s="85"/>
    </row>
    <row r="21188" spans="9:13" x14ac:dyDescent="0.3">
      <c r="I21188" s="82"/>
      <c r="M21188" s="85"/>
    </row>
    <row r="21189" spans="9:13" x14ac:dyDescent="0.3">
      <c r="I21189" s="82"/>
      <c r="M21189" s="85"/>
    </row>
    <row r="21190" spans="9:13" x14ac:dyDescent="0.3">
      <c r="I21190" s="82"/>
      <c r="M21190" s="85"/>
    </row>
    <row r="21191" spans="9:13" x14ac:dyDescent="0.3">
      <c r="I21191" s="82"/>
      <c r="M21191" s="85"/>
    </row>
    <row r="21192" spans="9:13" x14ac:dyDescent="0.3">
      <c r="I21192" s="82"/>
      <c r="M21192" s="85"/>
    </row>
    <row r="21193" spans="9:13" x14ac:dyDescent="0.3">
      <c r="I21193" s="82"/>
      <c r="M21193" s="85"/>
    </row>
    <row r="21194" spans="9:13" x14ac:dyDescent="0.3">
      <c r="I21194" s="82"/>
      <c r="M21194" s="85"/>
    </row>
    <row r="21195" spans="9:13" x14ac:dyDescent="0.3">
      <c r="I21195" s="82"/>
      <c r="M21195" s="85"/>
    </row>
    <row r="21196" spans="9:13" x14ac:dyDescent="0.3">
      <c r="I21196" s="82"/>
      <c r="M21196" s="85"/>
    </row>
    <row r="21197" spans="9:13" x14ac:dyDescent="0.3">
      <c r="I21197" s="82"/>
      <c r="M21197" s="85"/>
    </row>
    <row r="21198" spans="9:13" x14ac:dyDescent="0.3">
      <c r="I21198" s="82"/>
      <c r="M21198" s="85"/>
    </row>
    <row r="21199" spans="9:13" x14ac:dyDescent="0.3">
      <c r="I21199" s="82"/>
      <c r="M21199" s="85"/>
    </row>
    <row r="21200" spans="9:13" x14ac:dyDescent="0.3">
      <c r="I21200" s="82"/>
      <c r="M21200" s="85"/>
    </row>
    <row r="21201" spans="9:13" x14ac:dyDescent="0.3">
      <c r="I21201" s="82"/>
      <c r="M21201" s="85"/>
    </row>
    <row r="21202" spans="9:13" x14ac:dyDescent="0.3">
      <c r="I21202" s="82"/>
      <c r="M21202" s="85"/>
    </row>
    <row r="21203" spans="9:13" x14ac:dyDescent="0.3">
      <c r="I21203" s="82"/>
      <c r="M21203" s="85"/>
    </row>
    <row r="21204" spans="9:13" x14ac:dyDescent="0.3">
      <c r="I21204" s="82"/>
      <c r="M21204" s="85"/>
    </row>
    <row r="21205" spans="9:13" x14ac:dyDescent="0.3">
      <c r="I21205" s="82"/>
      <c r="M21205" s="85"/>
    </row>
    <row r="21206" spans="9:13" x14ac:dyDescent="0.3">
      <c r="I21206" s="82"/>
      <c r="M21206" s="85"/>
    </row>
    <row r="21207" spans="9:13" x14ac:dyDescent="0.3">
      <c r="I21207" s="82"/>
      <c r="M21207" s="85"/>
    </row>
    <row r="21208" spans="9:13" x14ac:dyDescent="0.3">
      <c r="I21208" s="82"/>
      <c r="M21208" s="85"/>
    </row>
    <row r="21209" spans="9:13" x14ac:dyDescent="0.3">
      <c r="I21209" s="82"/>
      <c r="M21209" s="85"/>
    </row>
    <row r="21210" spans="9:13" x14ac:dyDescent="0.3">
      <c r="I21210" s="82"/>
      <c r="M21210" s="85"/>
    </row>
    <row r="21211" spans="9:13" x14ac:dyDescent="0.3">
      <c r="I21211" s="82"/>
      <c r="M21211" s="85"/>
    </row>
    <row r="21212" spans="9:13" x14ac:dyDescent="0.3">
      <c r="I21212" s="82"/>
      <c r="M21212" s="85"/>
    </row>
    <row r="21213" spans="9:13" x14ac:dyDescent="0.3">
      <c r="I21213" s="82"/>
      <c r="M21213" s="85"/>
    </row>
    <row r="21214" spans="9:13" x14ac:dyDescent="0.3">
      <c r="I21214" s="82"/>
      <c r="M21214" s="85"/>
    </row>
    <row r="21215" spans="9:13" x14ac:dyDescent="0.3">
      <c r="I21215" s="82"/>
      <c r="M21215" s="85"/>
    </row>
    <row r="21216" spans="9:13" x14ac:dyDescent="0.3">
      <c r="I21216" s="82"/>
      <c r="M21216" s="85"/>
    </row>
    <row r="21217" spans="9:13" x14ac:dyDescent="0.3">
      <c r="I21217" s="82"/>
      <c r="M21217" s="85"/>
    </row>
    <row r="21218" spans="9:13" x14ac:dyDescent="0.3">
      <c r="I21218" s="82"/>
      <c r="M21218" s="85"/>
    </row>
    <row r="21219" spans="9:13" x14ac:dyDescent="0.3">
      <c r="I21219" s="82"/>
      <c r="M21219" s="85"/>
    </row>
    <row r="21220" spans="9:13" x14ac:dyDescent="0.3">
      <c r="I21220" s="82"/>
      <c r="M21220" s="85"/>
    </row>
    <row r="21221" spans="9:13" x14ac:dyDescent="0.3">
      <c r="I21221" s="82"/>
      <c r="M21221" s="85"/>
    </row>
    <row r="21222" spans="9:13" x14ac:dyDescent="0.3">
      <c r="I21222" s="82"/>
      <c r="M21222" s="85"/>
    </row>
    <row r="21223" spans="9:13" x14ac:dyDescent="0.3">
      <c r="I21223" s="82"/>
      <c r="M21223" s="85"/>
    </row>
    <row r="21224" spans="9:13" x14ac:dyDescent="0.3">
      <c r="I21224" s="82"/>
      <c r="M21224" s="85"/>
    </row>
    <row r="21225" spans="9:13" x14ac:dyDescent="0.3">
      <c r="I21225" s="82"/>
      <c r="M21225" s="85"/>
    </row>
    <row r="21226" spans="9:13" x14ac:dyDescent="0.3">
      <c r="I21226" s="82"/>
      <c r="M21226" s="85"/>
    </row>
    <row r="21227" spans="9:13" x14ac:dyDescent="0.3">
      <c r="I21227" s="82"/>
      <c r="M21227" s="85"/>
    </row>
    <row r="21228" spans="9:13" x14ac:dyDescent="0.3">
      <c r="I21228" s="82"/>
      <c r="M21228" s="85"/>
    </row>
    <row r="21229" spans="9:13" x14ac:dyDescent="0.3">
      <c r="I21229" s="82"/>
      <c r="M21229" s="85"/>
    </row>
    <row r="21230" spans="9:13" x14ac:dyDescent="0.3">
      <c r="I21230" s="82"/>
      <c r="M21230" s="85"/>
    </row>
    <row r="21231" spans="9:13" x14ac:dyDescent="0.3">
      <c r="I21231" s="82"/>
      <c r="M21231" s="85"/>
    </row>
    <row r="21232" spans="9:13" x14ac:dyDescent="0.3">
      <c r="I21232" s="82"/>
      <c r="M21232" s="85"/>
    </row>
    <row r="21233" spans="9:13" x14ac:dyDescent="0.3">
      <c r="I21233" s="82"/>
      <c r="M21233" s="85"/>
    </row>
    <row r="21234" spans="9:13" x14ac:dyDescent="0.3">
      <c r="I21234" s="82"/>
      <c r="M21234" s="85"/>
    </row>
    <row r="21235" spans="9:13" x14ac:dyDescent="0.3">
      <c r="I21235" s="82"/>
      <c r="M21235" s="85"/>
    </row>
    <row r="21236" spans="9:13" x14ac:dyDescent="0.3">
      <c r="I21236" s="82"/>
      <c r="M21236" s="85"/>
    </row>
    <row r="21237" spans="9:13" x14ac:dyDescent="0.3">
      <c r="I21237" s="82"/>
      <c r="M21237" s="85"/>
    </row>
    <row r="21238" spans="9:13" x14ac:dyDescent="0.3">
      <c r="I21238" s="82"/>
      <c r="M21238" s="85"/>
    </row>
    <row r="21239" spans="9:13" x14ac:dyDescent="0.3">
      <c r="I21239" s="82"/>
      <c r="M21239" s="85"/>
    </row>
    <row r="21240" spans="9:13" x14ac:dyDescent="0.3">
      <c r="I21240" s="82"/>
      <c r="M21240" s="85"/>
    </row>
    <row r="21241" spans="9:13" x14ac:dyDescent="0.3">
      <c r="I21241" s="82"/>
      <c r="M21241" s="85"/>
    </row>
    <row r="21242" spans="9:13" x14ac:dyDescent="0.3">
      <c r="I21242" s="82"/>
      <c r="M21242" s="85"/>
    </row>
    <row r="21243" spans="9:13" x14ac:dyDescent="0.3">
      <c r="I21243" s="82"/>
      <c r="M21243" s="85"/>
    </row>
    <row r="21244" spans="9:13" x14ac:dyDescent="0.3">
      <c r="I21244" s="82"/>
      <c r="M21244" s="85"/>
    </row>
    <row r="21245" spans="9:13" x14ac:dyDescent="0.3">
      <c r="I21245" s="82"/>
      <c r="M21245" s="85"/>
    </row>
    <row r="21246" spans="9:13" x14ac:dyDescent="0.3">
      <c r="I21246" s="82"/>
      <c r="M21246" s="85"/>
    </row>
    <row r="21247" spans="9:13" x14ac:dyDescent="0.3">
      <c r="I21247" s="82"/>
      <c r="M21247" s="85"/>
    </row>
    <row r="21248" spans="9:13" x14ac:dyDescent="0.3">
      <c r="I21248" s="82"/>
      <c r="M21248" s="85"/>
    </row>
    <row r="21249" spans="9:13" x14ac:dyDescent="0.3">
      <c r="I21249" s="82"/>
      <c r="M21249" s="85"/>
    </row>
    <row r="21250" spans="9:13" x14ac:dyDescent="0.3">
      <c r="I21250" s="82"/>
      <c r="M21250" s="85"/>
    </row>
    <row r="21251" spans="9:13" x14ac:dyDescent="0.3">
      <c r="I21251" s="82"/>
      <c r="M21251" s="85"/>
    </row>
    <row r="21252" spans="9:13" x14ac:dyDescent="0.3">
      <c r="I21252" s="82"/>
      <c r="M21252" s="85"/>
    </row>
    <row r="21253" spans="9:13" x14ac:dyDescent="0.3">
      <c r="I21253" s="82"/>
      <c r="M21253" s="85"/>
    </row>
    <row r="21254" spans="9:13" x14ac:dyDescent="0.3">
      <c r="I21254" s="82"/>
      <c r="M21254" s="85"/>
    </row>
    <row r="21255" spans="9:13" x14ac:dyDescent="0.3">
      <c r="I21255" s="82"/>
      <c r="M21255" s="85"/>
    </row>
    <row r="21256" spans="9:13" x14ac:dyDescent="0.3">
      <c r="I21256" s="82"/>
      <c r="M21256" s="85"/>
    </row>
    <row r="21257" spans="9:13" x14ac:dyDescent="0.3">
      <c r="I21257" s="82"/>
      <c r="M21257" s="85"/>
    </row>
    <row r="21258" spans="9:13" x14ac:dyDescent="0.3">
      <c r="I21258" s="82"/>
      <c r="M21258" s="85"/>
    </row>
    <row r="21259" spans="9:13" x14ac:dyDescent="0.3">
      <c r="I21259" s="82"/>
      <c r="M21259" s="85"/>
    </row>
    <row r="21260" spans="9:13" x14ac:dyDescent="0.3">
      <c r="I21260" s="82"/>
      <c r="M21260" s="85"/>
    </row>
    <row r="21261" spans="9:13" x14ac:dyDescent="0.3">
      <c r="I21261" s="82"/>
      <c r="M21261" s="85"/>
    </row>
    <row r="21262" spans="9:13" x14ac:dyDescent="0.3">
      <c r="I21262" s="82"/>
      <c r="M21262" s="85"/>
    </row>
    <row r="21263" spans="9:13" x14ac:dyDescent="0.3">
      <c r="I21263" s="82"/>
      <c r="M21263" s="85"/>
    </row>
    <row r="21264" spans="9:13" x14ac:dyDescent="0.3">
      <c r="I21264" s="82"/>
      <c r="M21264" s="85"/>
    </row>
    <row r="21265" spans="9:13" x14ac:dyDescent="0.3">
      <c r="I21265" s="82"/>
      <c r="M21265" s="85"/>
    </row>
    <row r="21266" spans="9:13" x14ac:dyDescent="0.3">
      <c r="I21266" s="82"/>
      <c r="M21266" s="85"/>
    </row>
    <row r="21267" spans="9:13" x14ac:dyDescent="0.3">
      <c r="I21267" s="82"/>
      <c r="M21267" s="85"/>
    </row>
    <row r="21268" spans="9:13" x14ac:dyDescent="0.3">
      <c r="I21268" s="82"/>
      <c r="M21268" s="85"/>
    </row>
    <row r="21269" spans="9:13" x14ac:dyDescent="0.3">
      <c r="I21269" s="82"/>
      <c r="M21269" s="85"/>
    </row>
    <row r="21270" spans="9:13" x14ac:dyDescent="0.3">
      <c r="I21270" s="82"/>
      <c r="M21270" s="85"/>
    </row>
    <row r="21271" spans="9:13" x14ac:dyDescent="0.3">
      <c r="I21271" s="82"/>
      <c r="M21271" s="85"/>
    </row>
    <row r="21272" spans="9:13" x14ac:dyDescent="0.3">
      <c r="I21272" s="82"/>
      <c r="M21272" s="85"/>
    </row>
    <row r="21273" spans="9:13" x14ac:dyDescent="0.3">
      <c r="I21273" s="82"/>
      <c r="M21273" s="85"/>
    </row>
    <row r="21274" spans="9:13" x14ac:dyDescent="0.3">
      <c r="I21274" s="82"/>
      <c r="M21274" s="85"/>
    </row>
    <row r="21275" spans="9:13" x14ac:dyDescent="0.3">
      <c r="I21275" s="82"/>
      <c r="M21275" s="85"/>
    </row>
    <row r="21276" spans="9:13" x14ac:dyDescent="0.3">
      <c r="I21276" s="82"/>
      <c r="M21276" s="85"/>
    </row>
    <row r="21277" spans="9:13" x14ac:dyDescent="0.3">
      <c r="I21277" s="82"/>
      <c r="M21277" s="85"/>
    </row>
    <row r="21278" spans="9:13" x14ac:dyDescent="0.3">
      <c r="I21278" s="82"/>
      <c r="M21278" s="85"/>
    </row>
    <row r="21279" spans="9:13" x14ac:dyDescent="0.3">
      <c r="I21279" s="82"/>
      <c r="M21279" s="85"/>
    </row>
    <row r="21280" spans="9:13" x14ac:dyDescent="0.3">
      <c r="I21280" s="82"/>
      <c r="M21280" s="85"/>
    </row>
    <row r="21281" spans="9:13" x14ac:dyDescent="0.3">
      <c r="I21281" s="82"/>
      <c r="M21281" s="85"/>
    </row>
    <row r="21282" spans="9:13" x14ac:dyDescent="0.3">
      <c r="I21282" s="82"/>
      <c r="M21282" s="85"/>
    </row>
    <row r="21283" spans="9:13" x14ac:dyDescent="0.3">
      <c r="I21283" s="82"/>
      <c r="M21283" s="85"/>
    </row>
    <row r="21284" spans="9:13" x14ac:dyDescent="0.3">
      <c r="I21284" s="82"/>
      <c r="M21284" s="85"/>
    </row>
    <row r="21285" spans="9:13" x14ac:dyDescent="0.3">
      <c r="I21285" s="82"/>
      <c r="M21285" s="85"/>
    </row>
    <row r="21286" spans="9:13" x14ac:dyDescent="0.3">
      <c r="I21286" s="82"/>
      <c r="M21286" s="85"/>
    </row>
    <row r="21287" spans="9:13" x14ac:dyDescent="0.3">
      <c r="I21287" s="82"/>
      <c r="M21287" s="85"/>
    </row>
    <row r="21288" spans="9:13" x14ac:dyDescent="0.3">
      <c r="I21288" s="82"/>
      <c r="M21288" s="85"/>
    </row>
    <row r="21289" spans="9:13" x14ac:dyDescent="0.3">
      <c r="I21289" s="82"/>
      <c r="M21289" s="85"/>
    </row>
    <row r="21290" spans="9:13" x14ac:dyDescent="0.3">
      <c r="I21290" s="82"/>
      <c r="M21290" s="85"/>
    </row>
    <row r="21291" spans="9:13" x14ac:dyDescent="0.3">
      <c r="I21291" s="82"/>
      <c r="M21291" s="85"/>
    </row>
    <row r="21292" spans="9:13" x14ac:dyDescent="0.3">
      <c r="I21292" s="82"/>
      <c r="M21292" s="85"/>
    </row>
    <row r="21293" spans="9:13" x14ac:dyDescent="0.3">
      <c r="I21293" s="82"/>
      <c r="M21293" s="85"/>
    </row>
    <row r="21294" spans="9:13" x14ac:dyDescent="0.3">
      <c r="I21294" s="82"/>
      <c r="M21294" s="85"/>
    </row>
    <row r="21295" spans="9:13" x14ac:dyDescent="0.3">
      <c r="I21295" s="82"/>
      <c r="M21295" s="85"/>
    </row>
    <row r="21296" spans="9:13" x14ac:dyDescent="0.3">
      <c r="I21296" s="82"/>
      <c r="M21296" s="85"/>
    </row>
    <row r="21297" spans="9:13" x14ac:dyDescent="0.3">
      <c r="I21297" s="82"/>
      <c r="M21297" s="85"/>
    </row>
    <row r="21298" spans="9:13" x14ac:dyDescent="0.3">
      <c r="I21298" s="82"/>
      <c r="M21298" s="85"/>
    </row>
    <row r="21299" spans="9:13" x14ac:dyDescent="0.3">
      <c r="I21299" s="82"/>
      <c r="M21299" s="85"/>
    </row>
    <row r="21300" spans="9:13" x14ac:dyDescent="0.3">
      <c r="I21300" s="82"/>
      <c r="M21300" s="85"/>
    </row>
    <row r="21301" spans="9:13" x14ac:dyDescent="0.3">
      <c r="I21301" s="82"/>
      <c r="M21301" s="85"/>
    </row>
    <row r="21302" spans="9:13" x14ac:dyDescent="0.3">
      <c r="I21302" s="82"/>
      <c r="M21302" s="85"/>
    </row>
    <row r="21303" spans="9:13" x14ac:dyDescent="0.3">
      <c r="I21303" s="82"/>
      <c r="M21303" s="85"/>
    </row>
    <row r="21304" spans="9:13" x14ac:dyDescent="0.3">
      <c r="I21304" s="82"/>
      <c r="M21304" s="85"/>
    </row>
    <row r="21305" spans="9:13" x14ac:dyDescent="0.3">
      <c r="I21305" s="82"/>
      <c r="M21305" s="85"/>
    </row>
    <row r="21306" spans="9:13" x14ac:dyDescent="0.3">
      <c r="I21306" s="82"/>
      <c r="M21306" s="85"/>
    </row>
    <row r="21307" spans="9:13" x14ac:dyDescent="0.3">
      <c r="I21307" s="82"/>
      <c r="M21307" s="85"/>
    </row>
    <row r="21308" spans="9:13" x14ac:dyDescent="0.3">
      <c r="I21308" s="82"/>
      <c r="M21308" s="85"/>
    </row>
    <row r="21309" spans="9:13" x14ac:dyDescent="0.3">
      <c r="I21309" s="82"/>
      <c r="M21309" s="85"/>
    </row>
    <row r="21310" spans="9:13" x14ac:dyDescent="0.3">
      <c r="I21310" s="82"/>
      <c r="M21310" s="85"/>
    </row>
    <row r="21311" spans="9:13" x14ac:dyDescent="0.3">
      <c r="I21311" s="82"/>
      <c r="M21311" s="85"/>
    </row>
    <row r="21312" spans="9:13" x14ac:dyDescent="0.3">
      <c r="I21312" s="82"/>
      <c r="M21312" s="85"/>
    </row>
    <row r="21313" spans="9:13" x14ac:dyDescent="0.3">
      <c r="I21313" s="82"/>
      <c r="M21313" s="85"/>
    </row>
    <row r="21314" spans="9:13" x14ac:dyDescent="0.3">
      <c r="I21314" s="82"/>
      <c r="M21314" s="85"/>
    </row>
    <row r="21315" spans="9:13" x14ac:dyDescent="0.3">
      <c r="I21315" s="82"/>
      <c r="M21315" s="85"/>
    </row>
    <row r="21316" spans="9:13" x14ac:dyDescent="0.3">
      <c r="I21316" s="82"/>
      <c r="M21316" s="85"/>
    </row>
    <row r="21317" spans="9:13" x14ac:dyDescent="0.3">
      <c r="I21317" s="82"/>
      <c r="M21317" s="85"/>
    </row>
    <row r="21318" spans="9:13" x14ac:dyDescent="0.3">
      <c r="I21318" s="82"/>
      <c r="M21318" s="85"/>
    </row>
    <row r="21319" spans="9:13" x14ac:dyDescent="0.3">
      <c r="I21319" s="82"/>
      <c r="M21319" s="85"/>
    </row>
    <row r="21320" spans="9:13" x14ac:dyDescent="0.3">
      <c r="I21320" s="82"/>
      <c r="M21320" s="85"/>
    </row>
    <row r="21321" spans="9:13" x14ac:dyDescent="0.3">
      <c r="I21321" s="82"/>
      <c r="M21321" s="85"/>
    </row>
    <row r="21322" spans="9:13" x14ac:dyDescent="0.3">
      <c r="I21322" s="82"/>
      <c r="M21322" s="85"/>
    </row>
    <row r="21323" spans="9:13" x14ac:dyDescent="0.3">
      <c r="I21323" s="82"/>
      <c r="M21323" s="85"/>
    </row>
    <row r="21324" spans="9:13" x14ac:dyDescent="0.3">
      <c r="I21324" s="82"/>
      <c r="M21324" s="85"/>
    </row>
    <row r="21325" spans="9:13" x14ac:dyDescent="0.3">
      <c r="I21325" s="82"/>
      <c r="M21325" s="85"/>
    </row>
    <row r="21326" spans="9:13" x14ac:dyDescent="0.3">
      <c r="I21326" s="82"/>
      <c r="M21326" s="85"/>
    </row>
    <row r="21327" spans="9:13" x14ac:dyDescent="0.3">
      <c r="I21327" s="82"/>
      <c r="M21327" s="85"/>
    </row>
    <row r="21328" spans="9:13" x14ac:dyDescent="0.3">
      <c r="I21328" s="82"/>
      <c r="M21328" s="85"/>
    </row>
    <row r="21329" spans="9:13" x14ac:dyDescent="0.3">
      <c r="I21329" s="82"/>
      <c r="M21329" s="85"/>
    </row>
    <row r="21330" spans="9:13" x14ac:dyDescent="0.3">
      <c r="I21330" s="82"/>
      <c r="M21330" s="85"/>
    </row>
    <row r="21331" spans="9:13" x14ac:dyDescent="0.3">
      <c r="I21331" s="82"/>
      <c r="M21331" s="85"/>
    </row>
    <row r="21332" spans="9:13" x14ac:dyDescent="0.3">
      <c r="I21332" s="82"/>
      <c r="M21332" s="85"/>
    </row>
    <row r="21333" spans="9:13" x14ac:dyDescent="0.3">
      <c r="I21333" s="82"/>
      <c r="M21333" s="85"/>
    </row>
    <row r="21334" spans="9:13" x14ac:dyDescent="0.3">
      <c r="I21334" s="82"/>
      <c r="M21334" s="85"/>
    </row>
    <row r="21335" spans="9:13" x14ac:dyDescent="0.3">
      <c r="I21335" s="82"/>
      <c r="M21335" s="85"/>
    </row>
    <row r="21336" spans="9:13" x14ac:dyDescent="0.3">
      <c r="I21336" s="82"/>
      <c r="M21336" s="85"/>
    </row>
    <row r="21337" spans="9:13" x14ac:dyDescent="0.3">
      <c r="I21337" s="82"/>
      <c r="M21337" s="85"/>
    </row>
    <row r="21338" spans="9:13" x14ac:dyDescent="0.3">
      <c r="I21338" s="82"/>
      <c r="M21338" s="85"/>
    </row>
    <row r="21339" spans="9:13" x14ac:dyDescent="0.3">
      <c r="I21339" s="82"/>
      <c r="M21339" s="85"/>
    </row>
    <row r="21340" spans="9:13" x14ac:dyDescent="0.3">
      <c r="I21340" s="82"/>
      <c r="M21340" s="85"/>
    </row>
    <row r="21341" spans="9:13" x14ac:dyDescent="0.3">
      <c r="I21341" s="82"/>
      <c r="M21341" s="85"/>
    </row>
    <row r="21342" spans="9:13" x14ac:dyDescent="0.3">
      <c r="I21342" s="82"/>
      <c r="M21342" s="85"/>
    </row>
    <row r="21343" spans="9:13" x14ac:dyDescent="0.3">
      <c r="I21343" s="82"/>
      <c r="M21343" s="85"/>
    </row>
    <row r="21344" spans="9:13" x14ac:dyDescent="0.3">
      <c r="I21344" s="82"/>
      <c r="M21344" s="85"/>
    </row>
    <row r="21345" spans="9:13" x14ac:dyDescent="0.3">
      <c r="I21345" s="82"/>
      <c r="M21345" s="85"/>
    </row>
    <row r="21346" spans="9:13" x14ac:dyDescent="0.3">
      <c r="I21346" s="82"/>
      <c r="M21346" s="85"/>
    </row>
    <row r="21347" spans="9:13" x14ac:dyDescent="0.3">
      <c r="I21347" s="82"/>
      <c r="M21347" s="85"/>
    </row>
    <row r="21348" spans="9:13" x14ac:dyDescent="0.3">
      <c r="I21348" s="82"/>
      <c r="M21348" s="85"/>
    </row>
    <row r="21349" spans="9:13" x14ac:dyDescent="0.3">
      <c r="I21349" s="82"/>
      <c r="M21349" s="85"/>
    </row>
    <row r="21350" spans="9:13" x14ac:dyDescent="0.3">
      <c r="I21350" s="82"/>
      <c r="M21350" s="85"/>
    </row>
    <row r="21351" spans="9:13" x14ac:dyDescent="0.3">
      <c r="I21351" s="82"/>
      <c r="M21351" s="85"/>
    </row>
    <row r="21352" spans="9:13" x14ac:dyDescent="0.3">
      <c r="I21352" s="82"/>
      <c r="M21352" s="85"/>
    </row>
    <row r="21353" spans="9:13" x14ac:dyDescent="0.3">
      <c r="I21353" s="82"/>
      <c r="M21353" s="85"/>
    </row>
    <row r="21354" spans="9:13" x14ac:dyDescent="0.3">
      <c r="I21354" s="82"/>
      <c r="M21354" s="85"/>
    </row>
    <row r="21355" spans="9:13" x14ac:dyDescent="0.3">
      <c r="I21355" s="82"/>
      <c r="M21355" s="85"/>
    </row>
    <row r="21356" spans="9:13" x14ac:dyDescent="0.3">
      <c r="I21356" s="82"/>
      <c r="M21356" s="85"/>
    </row>
    <row r="21357" spans="9:13" x14ac:dyDescent="0.3">
      <c r="I21357" s="82"/>
      <c r="M21357" s="85"/>
    </row>
    <row r="21358" spans="9:13" x14ac:dyDescent="0.3">
      <c r="I21358" s="82"/>
      <c r="M21358" s="85"/>
    </row>
    <row r="21359" spans="9:13" x14ac:dyDescent="0.3">
      <c r="I21359" s="82"/>
      <c r="M21359" s="85"/>
    </row>
    <row r="21360" spans="9:13" x14ac:dyDescent="0.3">
      <c r="I21360" s="82"/>
      <c r="M21360" s="85"/>
    </row>
    <row r="21361" spans="9:13" x14ac:dyDescent="0.3">
      <c r="I21361" s="82"/>
      <c r="M21361" s="85"/>
    </row>
    <row r="21362" spans="9:13" x14ac:dyDescent="0.3">
      <c r="I21362" s="82"/>
      <c r="M21362" s="85"/>
    </row>
    <row r="21363" spans="9:13" x14ac:dyDescent="0.3">
      <c r="I21363" s="82"/>
      <c r="M21363" s="85"/>
    </row>
    <row r="21364" spans="9:13" x14ac:dyDescent="0.3">
      <c r="I21364" s="82"/>
      <c r="M21364" s="85"/>
    </row>
    <row r="21365" spans="9:13" x14ac:dyDescent="0.3">
      <c r="I21365" s="82"/>
      <c r="M21365" s="85"/>
    </row>
    <row r="21366" spans="9:13" x14ac:dyDescent="0.3">
      <c r="I21366" s="82"/>
      <c r="M21366" s="85"/>
    </row>
    <row r="21367" spans="9:13" x14ac:dyDescent="0.3">
      <c r="I21367" s="82"/>
      <c r="M21367" s="85"/>
    </row>
    <row r="21368" spans="9:13" x14ac:dyDescent="0.3">
      <c r="I21368" s="82"/>
      <c r="M21368" s="85"/>
    </row>
    <row r="21369" spans="9:13" x14ac:dyDescent="0.3">
      <c r="I21369" s="82"/>
      <c r="M21369" s="85"/>
    </row>
    <row r="21370" spans="9:13" x14ac:dyDescent="0.3">
      <c r="I21370" s="82"/>
      <c r="M21370" s="85"/>
    </row>
    <row r="21371" spans="9:13" x14ac:dyDescent="0.3">
      <c r="I21371" s="82"/>
      <c r="M21371" s="85"/>
    </row>
    <row r="21372" spans="9:13" x14ac:dyDescent="0.3">
      <c r="I21372" s="82"/>
      <c r="M21372" s="85"/>
    </row>
    <row r="21373" spans="9:13" x14ac:dyDescent="0.3">
      <c r="I21373" s="82"/>
      <c r="M21373" s="85"/>
    </row>
    <row r="21374" spans="9:13" x14ac:dyDescent="0.3">
      <c r="I21374" s="82"/>
      <c r="M21374" s="85"/>
    </row>
    <row r="21375" spans="9:13" x14ac:dyDescent="0.3">
      <c r="I21375" s="82"/>
      <c r="M21375" s="85"/>
    </row>
    <row r="21376" spans="9:13" x14ac:dyDescent="0.3">
      <c r="I21376" s="82"/>
      <c r="M21376" s="85"/>
    </row>
    <row r="21377" spans="9:13" x14ac:dyDescent="0.3">
      <c r="I21377" s="82"/>
      <c r="M21377" s="85"/>
    </row>
    <row r="21378" spans="9:13" x14ac:dyDescent="0.3">
      <c r="I21378" s="82"/>
      <c r="M21378" s="85"/>
    </row>
    <row r="21379" spans="9:13" x14ac:dyDescent="0.3">
      <c r="I21379" s="82"/>
      <c r="M21379" s="85"/>
    </row>
    <row r="21380" spans="9:13" x14ac:dyDescent="0.3">
      <c r="I21380" s="82"/>
      <c r="M21380" s="85"/>
    </row>
    <row r="21381" spans="9:13" x14ac:dyDescent="0.3">
      <c r="I21381" s="82"/>
      <c r="M21381" s="85"/>
    </row>
    <row r="21382" spans="9:13" x14ac:dyDescent="0.3">
      <c r="I21382" s="82"/>
      <c r="M21382" s="85"/>
    </row>
    <row r="21383" spans="9:13" x14ac:dyDescent="0.3">
      <c r="I21383" s="82"/>
      <c r="M21383" s="85"/>
    </row>
    <row r="21384" spans="9:13" x14ac:dyDescent="0.3">
      <c r="I21384" s="82"/>
      <c r="M21384" s="85"/>
    </row>
    <row r="21385" spans="9:13" x14ac:dyDescent="0.3">
      <c r="I21385" s="82"/>
      <c r="M21385" s="85"/>
    </row>
    <row r="21386" spans="9:13" x14ac:dyDescent="0.3">
      <c r="I21386" s="82"/>
      <c r="M21386" s="85"/>
    </row>
    <row r="21387" spans="9:13" x14ac:dyDescent="0.3">
      <c r="I21387" s="82"/>
      <c r="M21387" s="85"/>
    </row>
    <row r="21388" spans="9:13" x14ac:dyDescent="0.3">
      <c r="I21388" s="82"/>
      <c r="M21388" s="85"/>
    </row>
    <row r="21389" spans="9:13" x14ac:dyDescent="0.3">
      <c r="I21389" s="82"/>
      <c r="M21389" s="85"/>
    </row>
    <row r="21390" spans="9:13" x14ac:dyDescent="0.3">
      <c r="I21390" s="82"/>
      <c r="M21390" s="85"/>
    </row>
    <row r="21391" spans="9:13" x14ac:dyDescent="0.3">
      <c r="I21391" s="82"/>
      <c r="M21391" s="85"/>
    </row>
    <row r="21392" spans="9:13" x14ac:dyDescent="0.3">
      <c r="I21392" s="82"/>
      <c r="M21392" s="85"/>
    </row>
    <row r="21393" spans="9:13" x14ac:dyDescent="0.3">
      <c r="I21393" s="82"/>
      <c r="M21393" s="85"/>
    </row>
    <row r="21394" spans="9:13" x14ac:dyDescent="0.3">
      <c r="I21394" s="82"/>
      <c r="M21394" s="85"/>
    </row>
    <row r="21395" spans="9:13" x14ac:dyDescent="0.3">
      <c r="I21395" s="82"/>
      <c r="M21395" s="85"/>
    </row>
    <row r="21396" spans="9:13" x14ac:dyDescent="0.3">
      <c r="I21396" s="82"/>
      <c r="M21396" s="85"/>
    </row>
    <row r="21397" spans="9:13" x14ac:dyDescent="0.3">
      <c r="I21397" s="82"/>
      <c r="M21397" s="85"/>
    </row>
    <row r="21398" spans="9:13" x14ac:dyDescent="0.3">
      <c r="I21398" s="82"/>
      <c r="M21398" s="85"/>
    </row>
    <row r="21399" spans="9:13" x14ac:dyDescent="0.3">
      <c r="I21399" s="82"/>
      <c r="M21399" s="85"/>
    </row>
    <row r="21400" spans="9:13" x14ac:dyDescent="0.3">
      <c r="I21400" s="82"/>
      <c r="M21400" s="85"/>
    </row>
    <row r="21401" spans="9:13" x14ac:dyDescent="0.3">
      <c r="I21401" s="82"/>
      <c r="M21401" s="85"/>
    </row>
    <row r="21402" spans="9:13" x14ac:dyDescent="0.3">
      <c r="I21402" s="82"/>
      <c r="M21402" s="85"/>
    </row>
    <row r="21403" spans="9:13" x14ac:dyDescent="0.3">
      <c r="I21403" s="82"/>
      <c r="M21403" s="85"/>
    </row>
    <row r="21404" spans="9:13" x14ac:dyDescent="0.3">
      <c r="I21404" s="82"/>
      <c r="M21404" s="85"/>
    </row>
    <row r="21405" spans="9:13" x14ac:dyDescent="0.3">
      <c r="I21405" s="82"/>
      <c r="M21405" s="85"/>
    </row>
    <row r="21406" spans="9:13" x14ac:dyDescent="0.3">
      <c r="I21406" s="82"/>
      <c r="M21406" s="85"/>
    </row>
    <row r="21407" spans="9:13" x14ac:dyDescent="0.3">
      <c r="I21407" s="82"/>
      <c r="M21407" s="85"/>
    </row>
    <row r="21408" spans="9:13" x14ac:dyDescent="0.3">
      <c r="I21408" s="82"/>
      <c r="M21408" s="85"/>
    </row>
    <row r="21409" spans="9:13" x14ac:dyDescent="0.3">
      <c r="I21409" s="82"/>
      <c r="M21409" s="85"/>
    </row>
    <row r="21410" spans="9:13" x14ac:dyDescent="0.3">
      <c r="I21410" s="82"/>
      <c r="M21410" s="85"/>
    </row>
    <row r="21411" spans="9:13" x14ac:dyDescent="0.3">
      <c r="I21411" s="82"/>
      <c r="M21411" s="85"/>
    </row>
    <row r="21412" spans="9:13" x14ac:dyDescent="0.3">
      <c r="I21412" s="82"/>
      <c r="M21412" s="85"/>
    </row>
    <row r="21413" spans="9:13" x14ac:dyDescent="0.3">
      <c r="I21413" s="82"/>
      <c r="M21413" s="85"/>
    </row>
    <row r="21414" spans="9:13" x14ac:dyDescent="0.3">
      <c r="I21414" s="82"/>
      <c r="M21414" s="85"/>
    </row>
    <row r="21415" spans="9:13" x14ac:dyDescent="0.3">
      <c r="I21415" s="82"/>
      <c r="M21415" s="85"/>
    </row>
    <row r="21416" spans="9:13" x14ac:dyDescent="0.3">
      <c r="I21416" s="82"/>
      <c r="M21416" s="85"/>
    </row>
    <row r="21417" spans="9:13" x14ac:dyDescent="0.3">
      <c r="I21417" s="82"/>
      <c r="M21417" s="85"/>
    </row>
    <row r="21418" spans="9:13" x14ac:dyDescent="0.3">
      <c r="I21418" s="82"/>
      <c r="M21418" s="85"/>
    </row>
    <row r="21419" spans="9:13" x14ac:dyDescent="0.3">
      <c r="I21419" s="82"/>
      <c r="M21419" s="85"/>
    </row>
    <row r="21420" spans="9:13" x14ac:dyDescent="0.3">
      <c r="I21420" s="82"/>
      <c r="M21420" s="85"/>
    </row>
    <row r="21421" spans="9:13" x14ac:dyDescent="0.3">
      <c r="I21421" s="82"/>
      <c r="M21421" s="85"/>
    </row>
    <row r="21422" spans="9:13" x14ac:dyDescent="0.3">
      <c r="I21422" s="82"/>
      <c r="M21422" s="85"/>
    </row>
    <row r="21423" spans="9:13" x14ac:dyDescent="0.3">
      <c r="I21423" s="82"/>
      <c r="M21423" s="85"/>
    </row>
    <row r="21424" spans="9:13" x14ac:dyDescent="0.3">
      <c r="I21424" s="82"/>
      <c r="M21424" s="85"/>
    </row>
    <row r="21425" spans="9:13" x14ac:dyDescent="0.3">
      <c r="I21425" s="82"/>
      <c r="M21425" s="85"/>
    </row>
    <row r="21426" spans="9:13" x14ac:dyDescent="0.3">
      <c r="I21426" s="82"/>
      <c r="M21426" s="85"/>
    </row>
    <row r="21427" spans="9:13" x14ac:dyDescent="0.3">
      <c r="I21427" s="82"/>
      <c r="M21427" s="85"/>
    </row>
    <row r="21428" spans="9:13" x14ac:dyDescent="0.3">
      <c r="I21428" s="82"/>
      <c r="M21428" s="85"/>
    </row>
    <row r="21429" spans="9:13" x14ac:dyDescent="0.3">
      <c r="I21429" s="82"/>
      <c r="M21429" s="85"/>
    </row>
    <row r="21430" spans="9:13" x14ac:dyDescent="0.3">
      <c r="I21430" s="82"/>
      <c r="M21430" s="85"/>
    </row>
    <row r="21431" spans="9:13" x14ac:dyDescent="0.3">
      <c r="I21431" s="82"/>
      <c r="M21431" s="85"/>
    </row>
    <row r="21432" spans="9:13" x14ac:dyDescent="0.3">
      <c r="I21432" s="82"/>
      <c r="M21432" s="85"/>
    </row>
    <row r="21433" spans="9:13" x14ac:dyDescent="0.3">
      <c r="I21433" s="82"/>
      <c r="M21433" s="85"/>
    </row>
    <row r="21434" spans="9:13" x14ac:dyDescent="0.3">
      <c r="I21434" s="82"/>
      <c r="M21434" s="85"/>
    </row>
    <row r="21435" spans="9:13" x14ac:dyDescent="0.3">
      <c r="I21435" s="82"/>
      <c r="M21435" s="85"/>
    </row>
    <row r="21436" spans="9:13" x14ac:dyDescent="0.3">
      <c r="I21436" s="82"/>
      <c r="M21436" s="85"/>
    </row>
    <row r="21437" spans="9:13" x14ac:dyDescent="0.3">
      <c r="I21437" s="82"/>
      <c r="M21437" s="85"/>
    </row>
    <row r="21438" spans="9:13" x14ac:dyDescent="0.3">
      <c r="I21438" s="82"/>
      <c r="M21438" s="85"/>
    </row>
    <row r="21439" spans="9:13" x14ac:dyDescent="0.3">
      <c r="I21439" s="82"/>
      <c r="M21439" s="85"/>
    </row>
    <row r="21440" spans="9:13" x14ac:dyDescent="0.3">
      <c r="I21440" s="82"/>
      <c r="M21440" s="85"/>
    </row>
    <row r="21441" spans="9:13" x14ac:dyDescent="0.3">
      <c r="I21441" s="82"/>
      <c r="M21441" s="85"/>
    </row>
    <row r="21442" spans="9:13" x14ac:dyDescent="0.3">
      <c r="I21442" s="82"/>
      <c r="M21442" s="85"/>
    </row>
    <row r="21443" spans="9:13" x14ac:dyDescent="0.3">
      <c r="I21443" s="82"/>
      <c r="M21443" s="85"/>
    </row>
    <row r="21444" spans="9:13" x14ac:dyDescent="0.3">
      <c r="I21444" s="82"/>
      <c r="M21444" s="85"/>
    </row>
    <row r="21445" spans="9:13" x14ac:dyDescent="0.3">
      <c r="I21445" s="82"/>
      <c r="M21445" s="85"/>
    </row>
    <row r="21446" spans="9:13" x14ac:dyDescent="0.3">
      <c r="I21446" s="82"/>
      <c r="M21446" s="85"/>
    </row>
    <row r="21447" spans="9:13" x14ac:dyDescent="0.3">
      <c r="I21447" s="82"/>
      <c r="M21447" s="85"/>
    </row>
    <row r="21448" spans="9:13" x14ac:dyDescent="0.3">
      <c r="I21448" s="82"/>
      <c r="M21448" s="85"/>
    </row>
    <row r="21449" spans="9:13" x14ac:dyDescent="0.3">
      <c r="I21449" s="82"/>
      <c r="M21449" s="85"/>
    </row>
    <row r="21450" spans="9:13" x14ac:dyDescent="0.3">
      <c r="I21450" s="82"/>
      <c r="M21450" s="85"/>
    </row>
    <row r="21451" spans="9:13" x14ac:dyDescent="0.3">
      <c r="I21451" s="82"/>
      <c r="M21451" s="85"/>
    </row>
    <row r="21452" spans="9:13" x14ac:dyDescent="0.3">
      <c r="I21452" s="82"/>
      <c r="M21452" s="85"/>
    </row>
    <row r="21453" spans="9:13" x14ac:dyDescent="0.3">
      <c r="I21453" s="82"/>
      <c r="M21453" s="85"/>
    </row>
    <row r="21454" spans="9:13" x14ac:dyDescent="0.3">
      <c r="I21454" s="82"/>
      <c r="M21454" s="85"/>
    </row>
    <row r="21455" spans="9:13" x14ac:dyDescent="0.3">
      <c r="I21455" s="82"/>
      <c r="M21455" s="85"/>
    </row>
    <row r="21456" spans="9:13" x14ac:dyDescent="0.3">
      <c r="I21456" s="82"/>
      <c r="M21456" s="85"/>
    </row>
    <row r="21457" spans="9:13" x14ac:dyDescent="0.3">
      <c r="I21457" s="82"/>
      <c r="M21457" s="85"/>
    </row>
    <row r="21458" spans="9:13" x14ac:dyDescent="0.3">
      <c r="I21458" s="82"/>
      <c r="M21458" s="85"/>
    </row>
    <row r="21459" spans="9:13" x14ac:dyDescent="0.3">
      <c r="I21459" s="82"/>
      <c r="M21459" s="85"/>
    </row>
    <row r="21460" spans="9:13" x14ac:dyDescent="0.3">
      <c r="I21460" s="82"/>
      <c r="M21460" s="85"/>
    </row>
    <row r="21461" spans="9:13" x14ac:dyDescent="0.3">
      <c r="I21461" s="82"/>
      <c r="M21461" s="85"/>
    </row>
    <row r="21462" spans="9:13" x14ac:dyDescent="0.3">
      <c r="I21462" s="82"/>
      <c r="M21462" s="85"/>
    </row>
    <row r="21463" spans="9:13" x14ac:dyDescent="0.3">
      <c r="I21463" s="82"/>
      <c r="M21463" s="85"/>
    </row>
    <row r="21464" spans="9:13" x14ac:dyDescent="0.3">
      <c r="I21464" s="82"/>
      <c r="M21464" s="85"/>
    </row>
    <row r="21465" spans="9:13" x14ac:dyDescent="0.3">
      <c r="I21465" s="82"/>
      <c r="M21465" s="85"/>
    </row>
    <row r="21466" spans="9:13" x14ac:dyDescent="0.3">
      <c r="I21466" s="82"/>
      <c r="M21466" s="85"/>
    </row>
    <row r="21467" spans="9:13" x14ac:dyDescent="0.3">
      <c r="I21467" s="82"/>
      <c r="M21467" s="85"/>
    </row>
    <row r="21468" spans="9:13" x14ac:dyDescent="0.3">
      <c r="I21468" s="82"/>
      <c r="M21468" s="85"/>
    </row>
    <row r="21469" spans="9:13" x14ac:dyDescent="0.3">
      <c r="I21469" s="82"/>
      <c r="M21469" s="85"/>
    </row>
    <row r="21470" spans="9:13" x14ac:dyDescent="0.3">
      <c r="I21470" s="82"/>
      <c r="M21470" s="85"/>
    </row>
    <row r="21471" spans="9:13" x14ac:dyDescent="0.3">
      <c r="I21471" s="82"/>
      <c r="M21471" s="85"/>
    </row>
    <row r="21472" spans="9:13" x14ac:dyDescent="0.3">
      <c r="I21472" s="82"/>
      <c r="M21472" s="85"/>
    </row>
    <row r="21473" spans="9:13" x14ac:dyDescent="0.3">
      <c r="I21473" s="82"/>
      <c r="M21473" s="85"/>
    </row>
    <row r="21474" spans="9:13" x14ac:dyDescent="0.3">
      <c r="I21474" s="82"/>
      <c r="M21474" s="85"/>
    </row>
    <row r="21475" spans="9:13" x14ac:dyDescent="0.3">
      <c r="I21475" s="82"/>
      <c r="M21475" s="85"/>
    </row>
    <row r="21476" spans="9:13" x14ac:dyDescent="0.3">
      <c r="I21476" s="82"/>
      <c r="M21476" s="85"/>
    </row>
    <row r="21477" spans="9:13" x14ac:dyDescent="0.3">
      <c r="I21477" s="82"/>
      <c r="M21477" s="85"/>
    </row>
    <row r="21478" spans="9:13" x14ac:dyDescent="0.3">
      <c r="I21478" s="82"/>
      <c r="M21478" s="85"/>
    </row>
    <row r="21479" spans="9:13" x14ac:dyDescent="0.3">
      <c r="I21479" s="82"/>
      <c r="M21479" s="85"/>
    </row>
    <row r="21480" spans="9:13" x14ac:dyDescent="0.3">
      <c r="I21480" s="82"/>
      <c r="M21480" s="85"/>
    </row>
    <row r="21481" spans="9:13" x14ac:dyDescent="0.3">
      <c r="I21481" s="82"/>
      <c r="M21481" s="85"/>
    </row>
    <row r="21482" spans="9:13" x14ac:dyDescent="0.3">
      <c r="I21482" s="82"/>
      <c r="M21482" s="85"/>
    </row>
    <row r="21483" spans="9:13" x14ac:dyDescent="0.3">
      <c r="I21483" s="82"/>
      <c r="M21483" s="85"/>
    </row>
    <row r="21484" spans="9:13" x14ac:dyDescent="0.3">
      <c r="I21484" s="82"/>
      <c r="M21484" s="85"/>
    </row>
    <row r="21485" spans="9:13" x14ac:dyDescent="0.3">
      <c r="I21485" s="82"/>
      <c r="M21485" s="85"/>
    </row>
    <row r="21486" spans="9:13" x14ac:dyDescent="0.3">
      <c r="I21486" s="82"/>
      <c r="M21486" s="85"/>
    </row>
    <row r="21487" spans="9:13" x14ac:dyDescent="0.3">
      <c r="I21487" s="82"/>
      <c r="M21487" s="85"/>
    </row>
    <row r="21488" spans="9:13" x14ac:dyDescent="0.3">
      <c r="I21488" s="82"/>
      <c r="M21488" s="85"/>
    </row>
    <row r="21489" spans="9:13" x14ac:dyDescent="0.3">
      <c r="I21489" s="82"/>
      <c r="M21489" s="85"/>
    </row>
    <row r="21490" spans="9:13" x14ac:dyDescent="0.3">
      <c r="I21490" s="82"/>
      <c r="M21490" s="85"/>
    </row>
    <row r="21491" spans="9:13" x14ac:dyDescent="0.3">
      <c r="I21491" s="82"/>
      <c r="M21491" s="85"/>
    </row>
    <row r="21492" spans="9:13" x14ac:dyDescent="0.3">
      <c r="I21492" s="82"/>
      <c r="M21492" s="85"/>
    </row>
    <row r="21493" spans="9:13" x14ac:dyDescent="0.3">
      <c r="I21493" s="82"/>
      <c r="M21493" s="85"/>
    </row>
    <row r="21494" spans="9:13" x14ac:dyDescent="0.3">
      <c r="I21494" s="82"/>
      <c r="M21494" s="85"/>
    </row>
    <row r="21495" spans="9:13" x14ac:dyDescent="0.3">
      <c r="I21495" s="82"/>
      <c r="M21495" s="85"/>
    </row>
    <row r="21496" spans="9:13" x14ac:dyDescent="0.3">
      <c r="I21496" s="82"/>
      <c r="M21496" s="85"/>
    </row>
    <row r="21497" spans="9:13" x14ac:dyDescent="0.3">
      <c r="I21497" s="82"/>
      <c r="M21497" s="85"/>
    </row>
    <row r="21498" spans="9:13" x14ac:dyDescent="0.3">
      <c r="I21498" s="82"/>
      <c r="M21498" s="85"/>
    </row>
    <row r="21499" spans="9:13" x14ac:dyDescent="0.3">
      <c r="I21499" s="82"/>
      <c r="M21499" s="85"/>
    </row>
    <row r="21500" spans="9:13" x14ac:dyDescent="0.3">
      <c r="I21500" s="82"/>
      <c r="M21500" s="85"/>
    </row>
    <row r="21501" spans="9:13" x14ac:dyDescent="0.3">
      <c r="I21501" s="82"/>
      <c r="M21501" s="85"/>
    </row>
    <row r="21502" spans="9:13" x14ac:dyDescent="0.3">
      <c r="I21502" s="82"/>
      <c r="M21502" s="85"/>
    </row>
    <row r="21503" spans="9:13" x14ac:dyDescent="0.3">
      <c r="I21503" s="82"/>
      <c r="M21503" s="85"/>
    </row>
    <row r="21504" spans="9:13" x14ac:dyDescent="0.3">
      <c r="I21504" s="82"/>
      <c r="M21504" s="85"/>
    </row>
    <row r="21505" spans="9:13" x14ac:dyDescent="0.3">
      <c r="I21505" s="82"/>
      <c r="M21505" s="85"/>
    </row>
    <row r="21506" spans="9:13" x14ac:dyDescent="0.3">
      <c r="I21506" s="82"/>
      <c r="M21506" s="85"/>
    </row>
    <row r="21507" spans="9:13" x14ac:dyDescent="0.3">
      <c r="I21507" s="82"/>
      <c r="M21507" s="85"/>
    </row>
    <row r="21508" spans="9:13" x14ac:dyDescent="0.3">
      <c r="I21508" s="82"/>
      <c r="M21508" s="85"/>
    </row>
    <row r="21509" spans="9:13" x14ac:dyDescent="0.3">
      <c r="I21509" s="82"/>
      <c r="M21509" s="85"/>
    </row>
    <row r="21510" spans="9:13" x14ac:dyDescent="0.3">
      <c r="I21510" s="82"/>
      <c r="M21510" s="85"/>
    </row>
    <row r="21511" spans="9:13" x14ac:dyDescent="0.3">
      <c r="I21511" s="82"/>
      <c r="M21511" s="85"/>
    </row>
    <row r="21512" spans="9:13" x14ac:dyDescent="0.3">
      <c r="I21512" s="82"/>
      <c r="M21512" s="85"/>
    </row>
    <row r="21513" spans="9:13" x14ac:dyDescent="0.3">
      <c r="I21513" s="82"/>
      <c r="M21513" s="85"/>
    </row>
    <row r="21514" spans="9:13" x14ac:dyDescent="0.3">
      <c r="I21514" s="82"/>
      <c r="M21514" s="85"/>
    </row>
    <row r="21515" spans="9:13" x14ac:dyDescent="0.3">
      <c r="I21515" s="82"/>
      <c r="M21515" s="85"/>
    </row>
    <row r="21516" spans="9:13" x14ac:dyDescent="0.3">
      <c r="I21516" s="82"/>
      <c r="M21516" s="85"/>
    </row>
    <row r="21517" spans="9:13" x14ac:dyDescent="0.3">
      <c r="I21517" s="82"/>
      <c r="M21517" s="85"/>
    </row>
    <row r="21518" spans="9:13" x14ac:dyDescent="0.3">
      <c r="I21518" s="82"/>
      <c r="M21518" s="85"/>
    </row>
    <row r="21519" spans="9:13" x14ac:dyDescent="0.3">
      <c r="I21519" s="82"/>
      <c r="M21519" s="85"/>
    </row>
    <row r="21520" spans="9:13" x14ac:dyDescent="0.3">
      <c r="I21520" s="82"/>
      <c r="M21520" s="85"/>
    </row>
    <row r="21521" spans="9:13" x14ac:dyDescent="0.3">
      <c r="I21521" s="82"/>
      <c r="M21521" s="85"/>
    </row>
    <row r="21522" spans="9:13" x14ac:dyDescent="0.3">
      <c r="I21522" s="82"/>
      <c r="M21522" s="85"/>
    </row>
    <row r="21523" spans="9:13" x14ac:dyDescent="0.3">
      <c r="I21523" s="82"/>
      <c r="M21523" s="85"/>
    </row>
    <row r="21524" spans="9:13" x14ac:dyDescent="0.3">
      <c r="I21524" s="82"/>
      <c r="M21524" s="85"/>
    </row>
    <row r="21525" spans="9:13" x14ac:dyDescent="0.3">
      <c r="I21525" s="82"/>
      <c r="M21525" s="85"/>
    </row>
    <row r="21526" spans="9:13" x14ac:dyDescent="0.3">
      <c r="I21526" s="82"/>
      <c r="M21526" s="85"/>
    </row>
    <row r="21527" spans="9:13" x14ac:dyDescent="0.3">
      <c r="I21527" s="82"/>
      <c r="M21527" s="85"/>
    </row>
    <row r="21528" spans="9:13" x14ac:dyDescent="0.3">
      <c r="I21528" s="82"/>
      <c r="M21528" s="85"/>
    </row>
    <row r="21529" spans="9:13" x14ac:dyDescent="0.3">
      <c r="I21529" s="82"/>
      <c r="M21529" s="85"/>
    </row>
    <row r="21530" spans="9:13" x14ac:dyDescent="0.3">
      <c r="I21530" s="82"/>
      <c r="M21530" s="85"/>
    </row>
    <row r="21531" spans="9:13" x14ac:dyDescent="0.3">
      <c r="I21531" s="82"/>
      <c r="M21531" s="85"/>
    </row>
    <row r="21532" spans="9:13" x14ac:dyDescent="0.3">
      <c r="I21532" s="82"/>
      <c r="M21532" s="85"/>
    </row>
    <row r="21533" spans="9:13" x14ac:dyDescent="0.3">
      <c r="I21533" s="82"/>
      <c r="M21533" s="85"/>
    </row>
    <row r="21534" spans="9:13" x14ac:dyDescent="0.3">
      <c r="I21534" s="82"/>
      <c r="M21534" s="85"/>
    </row>
    <row r="21535" spans="9:13" x14ac:dyDescent="0.3">
      <c r="I21535" s="82"/>
      <c r="M21535" s="85"/>
    </row>
    <row r="21536" spans="9:13" x14ac:dyDescent="0.3">
      <c r="I21536" s="82"/>
      <c r="M21536" s="85"/>
    </row>
    <row r="21537" spans="9:13" x14ac:dyDescent="0.3">
      <c r="I21537" s="82"/>
      <c r="M21537" s="85"/>
    </row>
    <row r="21538" spans="9:13" x14ac:dyDescent="0.3">
      <c r="I21538" s="82"/>
      <c r="M21538" s="85"/>
    </row>
    <row r="21539" spans="9:13" x14ac:dyDescent="0.3">
      <c r="I21539" s="82"/>
      <c r="M21539" s="85"/>
    </row>
    <row r="21540" spans="9:13" x14ac:dyDescent="0.3">
      <c r="I21540" s="82"/>
      <c r="M21540" s="85"/>
    </row>
    <row r="21541" spans="9:13" x14ac:dyDescent="0.3">
      <c r="I21541" s="82"/>
      <c r="M21541" s="85"/>
    </row>
    <row r="21542" spans="9:13" x14ac:dyDescent="0.3">
      <c r="I21542" s="82"/>
      <c r="M21542" s="85"/>
    </row>
    <row r="21543" spans="9:13" x14ac:dyDescent="0.3">
      <c r="I21543" s="82"/>
      <c r="M21543" s="85"/>
    </row>
    <row r="21544" spans="9:13" x14ac:dyDescent="0.3">
      <c r="I21544" s="82"/>
      <c r="M21544" s="85"/>
    </row>
    <row r="21545" spans="9:13" x14ac:dyDescent="0.3">
      <c r="I21545" s="82"/>
      <c r="M21545" s="85"/>
    </row>
    <row r="21546" spans="9:13" x14ac:dyDescent="0.3">
      <c r="I21546" s="82"/>
      <c r="M21546" s="85"/>
    </row>
    <row r="21547" spans="9:13" x14ac:dyDescent="0.3">
      <c r="I21547" s="82"/>
      <c r="M21547" s="85"/>
    </row>
    <row r="21548" spans="9:13" x14ac:dyDescent="0.3">
      <c r="I21548" s="82"/>
      <c r="M21548" s="85"/>
    </row>
    <row r="21549" spans="9:13" x14ac:dyDescent="0.3">
      <c r="I21549" s="82"/>
      <c r="M21549" s="85"/>
    </row>
    <row r="21550" spans="9:13" x14ac:dyDescent="0.3">
      <c r="I21550" s="82"/>
      <c r="M21550" s="85"/>
    </row>
    <row r="21551" spans="9:13" x14ac:dyDescent="0.3">
      <c r="I21551" s="82"/>
      <c r="M21551" s="85"/>
    </row>
    <row r="21552" spans="9:13" x14ac:dyDescent="0.3">
      <c r="I21552" s="82"/>
      <c r="M21552" s="85"/>
    </row>
    <row r="21553" spans="9:13" x14ac:dyDescent="0.3">
      <c r="I21553" s="82"/>
      <c r="M21553" s="85"/>
    </row>
    <row r="21554" spans="9:13" x14ac:dyDescent="0.3">
      <c r="I21554" s="82"/>
      <c r="M21554" s="85"/>
    </row>
    <row r="21555" spans="9:13" x14ac:dyDescent="0.3">
      <c r="I21555" s="82"/>
      <c r="M21555" s="85"/>
    </row>
    <row r="21556" spans="9:13" x14ac:dyDescent="0.3">
      <c r="I21556" s="82"/>
      <c r="M21556" s="85"/>
    </row>
    <row r="21557" spans="9:13" x14ac:dyDescent="0.3">
      <c r="I21557" s="82"/>
      <c r="M21557" s="85"/>
    </row>
    <row r="21558" spans="9:13" x14ac:dyDescent="0.3">
      <c r="I21558" s="82"/>
      <c r="M21558" s="85"/>
    </row>
    <row r="21559" spans="9:13" x14ac:dyDescent="0.3">
      <c r="I21559" s="82"/>
      <c r="M21559" s="85"/>
    </row>
    <row r="21560" spans="9:13" x14ac:dyDescent="0.3">
      <c r="I21560" s="82"/>
      <c r="M21560" s="85"/>
    </row>
    <row r="21561" spans="9:13" x14ac:dyDescent="0.3">
      <c r="I21561" s="82"/>
      <c r="M21561" s="85"/>
    </row>
    <row r="21562" spans="9:13" x14ac:dyDescent="0.3">
      <c r="I21562" s="82"/>
      <c r="M21562" s="85"/>
    </row>
    <row r="21563" spans="9:13" x14ac:dyDescent="0.3">
      <c r="I21563" s="82"/>
      <c r="M21563" s="85"/>
    </row>
    <row r="21564" spans="9:13" x14ac:dyDescent="0.3">
      <c r="I21564" s="82"/>
      <c r="M21564" s="85"/>
    </row>
    <row r="21565" spans="9:13" x14ac:dyDescent="0.3">
      <c r="I21565" s="82"/>
      <c r="M21565" s="85"/>
    </row>
    <row r="21566" spans="9:13" x14ac:dyDescent="0.3">
      <c r="I21566" s="82"/>
      <c r="M21566" s="85"/>
    </row>
    <row r="21567" spans="9:13" x14ac:dyDescent="0.3">
      <c r="I21567" s="82"/>
      <c r="M21567" s="85"/>
    </row>
    <row r="21568" spans="9:13" x14ac:dyDescent="0.3">
      <c r="I21568" s="82"/>
      <c r="M21568" s="85"/>
    </row>
    <row r="21569" spans="9:13" x14ac:dyDescent="0.3">
      <c r="I21569" s="82"/>
      <c r="M21569" s="85"/>
    </row>
    <row r="21570" spans="9:13" x14ac:dyDescent="0.3">
      <c r="I21570" s="82"/>
      <c r="M21570" s="85"/>
    </row>
    <row r="21571" spans="9:13" x14ac:dyDescent="0.3">
      <c r="I21571" s="82"/>
      <c r="M21571" s="85"/>
    </row>
    <row r="21572" spans="9:13" x14ac:dyDescent="0.3">
      <c r="I21572" s="82"/>
      <c r="M21572" s="85"/>
    </row>
    <row r="21573" spans="9:13" x14ac:dyDescent="0.3">
      <c r="I21573" s="82"/>
      <c r="M21573" s="85"/>
    </row>
    <row r="21574" spans="9:13" x14ac:dyDescent="0.3">
      <c r="I21574" s="82"/>
      <c r="M21574" s="85"/>
    </row>
    <row r="21575" spans="9:13" x14ac:dyDescent="0.3">
      <c r="I21575" s="82"/>
      <c r="M21575" s="85"/>
    </row>
    <row r="21576" spans="9:13" x14ac:dyDescent="0.3">
      <c r="I21576" s="82"/>
      <c r="M21576" s="85"/>
    </row>
    <row r="21577" spans="9:13" x14ac:dyDescent="0.3">
      <c r="I21577" s="82"/>
      <c r="M21577" s="85"/>
    </row>
    <row r="21578" spans="9:13" x14ac:dyDescent="0.3">
      <c r="I21578" s="82"/>
      <c r="M21578" s="85"/>
    </row>
    <row r="21579" spans="9:13" x14ac:dyDescent="0.3">
      <c r="I21579" s="82"/>
      <c r="M21579" s="85"/>
    </row>
    <row r="21580" spans="9:13" x14ac:dyDescent="0.3">
      <c r="I21580" s="82"/>
      <c r="M21580" s="85"/>
    </row>
    <row r="21581" spans="9:13" x14ac:dyDescent="0.3">
      <c r="I21581" s="82"/>
      <c r="M21581" s="85"/>
    </row>
    <row r="21582" spans="9:13" x14ac:dyDescent="0.3">
      <c r="I21582" s="82"/>
      <c r="M21582" s="85"/>
    </row>
    <row r="21583" spans="9:13" x14ac:dyDescent="0.3">
      <c r="I21583" s="82"/>
      <c r="M21583" s="85"/>
    </row>
    <row r="21584" spans="9:13" x14ac:dyDescent="0.3">
      <c r="I21584" s="82"/>
      <c r="M21584" s="85"/>
    </row>
    <row r="21585" spans="9:13" x14ac:dyDescent="0.3">
      <c r="I21585" s="82"/>
      <c r="M21585" s="85"/>
    </row>
    <row r="21586" spans="9:13" x14ac:dyDescent="0.3">
      <c r="I21586" s="82"/>
      <c r="M21586" s="85"/>
    </row>
    <row r="21587" spans="9:13" x14ac:dyDescent="0.3">
      <c r="I21587" s="82"/>
      <c r="M21587" s="85"/>
    </row>
    <row r="21588" spans="9:13" x14ac:dyDescent="0.3">
      <c r="I21588" s="82"/>
      <c r="M21588" s="85"/>
    </row>
    <row r="21589" spans="9:13" x14ac:dyDescent="0.3">
      <c r="I21589" s="82"/>
      <c r="M21589" s="85"/>
    </row>
    <row r="21590" spans="9:13" x14ac:dyDescent="0.3">
      <c r="I21590" s="82"/>
      <c r="M21590" s="85"/>
    </row>
    <row r="21591" spans="9:13" x14ac:dyDescent="0.3">
      <c r="I21591" s="82"/>
      <c r="M21591" s="85"/>
    </row>
    <row r="21592" spans="9:13" x14ac:dyDescent="0.3">
      <c r="I21592" s="82"/>
      <c r="M21592" s="85"/>
    </row>
    <row r="21593" spans="9:13" x14ac:dyDescent="0.3">
      <c r="I21593" s="82"/>
      <c r="M21593" s="85"/>
    </row>
    <row r="21594" spans="9:13" x14ac:dyDescent="0.3">
      <c r="I21594" s="82"/>
      <c r="M21594" s="85"/>
    </row>
    <row r="21595" spans="9:13" x14ac:dyDescent="0.3">
      <c r="I21595" s="82"/>
      <c r="M21595" s="85"/>
    </row>
    <row r="21596" spans="9:13" x14ac:dyDescent="0.3">
      <c r="I21596" s="82"/>
      <c r="M21596" s="85"/>
    </row>
    <row r="21597" spans="9:13" x14ac:dyDescent="0.3">
      <c r="I21597" s="82"/>
      <c r="M21597" s="85"/>
    </row>
    <row r="21598" spans="9:13" x14ac:dyDescent="0.3">
      <c r="I21598" s="82"/>
      <c r="M21598" s="85"/>
    </row>
    <row r="21599" spans="9:13" x14ac:dyDescent="0.3">
      <c r="I21599" s="82"/>
      <c r="M21599" s="85"/>
    </row>
    <row r="21600" spans="9:13" x14ac:dyDescent="0.3">
      <c r="I21600" s="82"/>
      <c r="M21600" s="85"/>
    </row>
    <row r="21601" spans="9:13" x14ac:dyDescent="0.3">
      <c r="I21601" s="82"/>
      <c r="M21601" s="85"/>
    </row>
    <row r="21602" spans="9:13" x14ac:dyDescent="0.3">
      <c r="I21602" s="82"/>
      <c r="M21602" s="85"/>
    </row>
    <row r="21603" spans="9:13" x14ac:dyDescent="0.3">
      <c r="I21603" s="82"/>
      <c r="M21603" s="85"/>
    </row>
    <row r="21604" spans="9:13" x14ac:dyDescent="0.3">
      <c r="I21604" s="82"/>
      <c r="M21604" s="85"/>
    </row>
    <row r="21605" spans="9:13" x14ac:dyDescent="0.3">
      <c r="I21605" s="82"/>
      <c r="M21605" s="85"/>
    </row>
    <row r="21606" spans="9:13" x14ac:dyDescent="0.3">
      <c r="I21606" s="82"/>
      <c r="M21606" s="85"/>
    </row>
    <row r="21607" spans="9:13" x14ac:dyDescent="0.3">
      <c r="I21607" s="82"/>
      <c r="M21607" s="85"/>
    </row>
    <row r="21608" spans="9:13" x14ac:dyDescent="0.3">
      <c r="I21608" s="82"/>
      <c r="M21608" s="85"/>
    </row>
    <row r="21609" spans="9:13" x14ac:dyDescent="0.3">
      <c r="I21609" s="82"/>
      <c r="M21609" s="85"/>
    </row>
    <row r="21610" spans="9:13" x14ac:dyDescent="0.3">
      <c r="I21610" s="82"/>
      <c r="M21610" s="85"/>
    </row>
    <row r="21611" spans="9:13" x14ac:dyDescent="0.3">
      <c r="I21611" s="82"/>
      <c r="M21611" s="85"/>
    </row>
    <row r="21612" spans="9:13" x14ac:dyDescent="0.3">
      <c r="I21612" s="82"/>
      <c r="M21612" s="85"/>
    </row>
    <row r="21613" spans="9:13" x14ac:dyDescent="0.3">
      <c r="I21613" s="82"/>
      <c r="M21613" s="85"/>
    </row>
    <row r="21614" spans="9:13" x14ac:dyDescent="0.3">
      <c r="I21614" s="82"/>
      <c r="M21614" s="85"/>
    </row>
    <row r="21615" spans="9:13" x14ac:dyDescent="0.3">
      <c r="I21615" s="82"/>
      <c r="M21615" s="85"/>
    </row>
    <row r="21616" spans="9:13" x14ac:dyDescent="0.3">
      <c r="I21616" s="82"/>
      <c r="M21616" s="85"/>
    </row>
    <row r="21617" spans="9:13" x14ac:dyDescent="0.3">
      <c r="I21617" s="82"/>
      <c r="M21617" s="85"/>
    </row>
    <row r="21618" spans="9:13" x14ac:dyDescent="0.3">
      <c r="I21618" s="82"/>
      <c r="M21618" s="85"/>
    </row>
    <row r="21619" spans="9:13" x14ac:dyDescent="0.3">
      <c r="I21619" s="82"/>
      <c r="M21619" s="85"/>
    </row>
    <row r="21620" spans="9:13" x14ac:dyDescent="0.3">
      <c r="I21620" s="82"/>
      <c r="M21620" s="85"/>
    </row>
    <row r="21621" spans="9:13" x14ac:dyDescent="0.3">
      <c r="I21621" s="82"/>
      <c r="M21621" s="85"/>
    </row>
    <row r="21622" spans="9:13" x14ac:dyDescent="0.3">
      <c r="I21622" s="82"/>
      <c r="M21622" s="85"/>
    </row>
    <row r="21623" spans="9:13" x14ac:dyDescent="0.3">
      <c r="I21623" s="82"/>
      <c r="M21623" s="85"/>
    </row>
    <row r="21624" spans="9:13" x14ac:dyDescent="0.3">
      <c r="I21624" s="82"/>
      <c r="M21624" s="85"/>
    </row>
    <row r="21625" spans="9:13" x14ac:dyDescent="0.3">
      <c r="I21625" s="82"/>
      <c r="M21625" s="85"/>
    </row>
    <row r="21626" spans="9:13" x14ac:dyDescent="0.3">
      <c r="I21626" s="82"/>
      <c r="M21626" s="85"/>
    </row>
    <row r="21627" spans="9:13" x14ac:dyDescent="0.3">
      <c r="I21627" s="82"/>
      <c r="M21627" s="85"/>
    </row>
    <row r="21628" spans="9:13" x14ac:dyDescent="0.3">
      <c r="I21628" s="82"/>
      <c r="M21628" s="85"/>
    </row>
    <row r="21629" spans="9:13" x14ac:dyDescent="0.3">
      <c r="I21629" s="82"/>
      <c r="M21629" s="85"/>
    </row>
    <row r="21630" spans="9:13" x14ac:dyDescent="0.3">
      <c r="I21630" s="82"/>
      <c r="M21630" s="85"/>
    </row>
    <row r="21631" spans="9:13" x14ac:dyDescent="0.3">
      <c r="I21631" s="82"/>
      <c r="M21631" s="85"/>
    </row>
    <row r="21632" spans="9:13" x14ac:dyDescent="0.3">
      <c r="I21632" s="82"/>
      <c r="M21632" s="85"/>
    </row>
    <row r="21633" spans="9:13" x14ac:dyDescent="0.3">
      <c r="I21633" s="82"/>
      <c r="M21633" s="85"/>
    </row>
    <row r="21634" spans="9:13" x14ac:dyDescent="0.3">
      <c r="I21634" s="82"/>
      <c r="M21634" s="85"/>
    </row>
    <row r="21635" spans="9:13" x14ac:dyDescent="0.3">
      <c r="I21635" s="82"/>
      <c r="M21635" s="85"/>
    </row>
    <row r="21636" spans="9:13" x14ac:dyDescent="0.3">
      <c r="I21636" s="82"/>
      <c r="M21636" s="85"/>
    </row>
    <row r="21637" spans="9:13" x14ac:dyDescent="0.3">
      <c r="I21637" s="82"/>
      <c r="M21637" s="85"/>
    </row>
    <row r="21638" spans="9:13" x14ac:dyDescent="0.3">
      <c r="I21638" s="82"/>
      <c r="M21638" s="85"/>
    </row>
    <row r="21639" spans="9:13" x14ac:dyDescent="0.3">
      <c r="I21639" s="82"/>
      <c r="M21639" s="85"/>
    </row>
    <row r="21640" spans="9:13" x14ac:dyDescent="0.3">
      <c r="I21640" s="82"/>
      <c r="M21640" s="85"/>
    </row>
    <row r="21641" spans="9:13" x14ac:dyDescent="0.3">
      <c r="I21641" s="82"/>
      <c r="M21641" s="85"/>
    </row>
    <row r="21642" spans="9:13" x14ac:dyDescent="0.3">
      <c r="I21642" s="82"/>
      <c r="M21642" s="85"/>
    </row>
    <row r="21643" spans="9:13" x14ac:dyDescent="0.3">
      <c r="I21643" s="82"/>
      <c r="M21643" s="85"/>
    </row>
    <row r="21644" spans="9:13" x14ac:dyDescent="0.3">
      <c r="I21644" s="82"/>
      <c r="M21644" s="85"/>
    </row>
    <row r="21645" spans="9:13" x14ac:dyDescent="0.3">
      <c r="I21645" s="82"/>
      <c r="M21645" s="85"/>
    </row>
    <row r="21646" spans="9:13" x14ac:dyDescent="0.3">
      <c r="I21646" s="82"/>
      <c r="M21646" s="85"/>
    </row>
    <row r="21647" spans="9:13" x14ac:dyDescent="0.3">
      <c r="I21647" s="82"/>
      <c r="M21647" s="85"/>
    </row>
    <row r="21648" spans="9:13" x14ac:dyDescent="0.3">
      <c r="I21648" s="82"/>
      <c r="M21648" s="85"/>
    </row>
    <row r="21649" spans="9:13" x14ac:dyDescent="0.3">
      <c r="I21649" s="82"/>
      <c r="M21649" s="85"/>
    </row>
    <row r="21650" spans="9:13" x14ac:dyDescent="0.3">
      <c r="I21650" s="82"/>
      <c r="M21650" s="85"/>
    </row>
    <row r="21651" spans="9:13" x14ac:dyDescent="0.3">
      <c r="I21651" s="82"/>
      <c r="M21651" s="85"/>
    </row>
    <row r="21652" spans="9:13" x14ac:dyDescent="0.3">
      <c r="I21652" s="82"/>
      <c r="M21652" s="85"/>
    </row>
    <row r="21653" spans="9:13" x14ac:dyDescent="0.3">
      <c r="I21653" s="82"/>
      <c r="M21653" s="85"/>
    </row>
    <row r="21654" spans="9:13" x14ac:dyDescent="0.3">
      <c r="I21654" s="82"/>
      <c r="M21654" s="85"/>
    </row>
    <row r="21655" spans="9:13" x14ac:dyDescent="0.3">
      <c r="I21655" s="82"/>
      <c r="M21655" s="85"/>
    </row>
    <row r="21656" spans="9:13" x14ac:dyDescent="0.3">
      <c r="I21656" s="82"/>
      <c r="M21656" s="85"/>
    </row>
    <row r="21657" spans="9:13" x14ac:dyDescent="0.3">
      <c r="I21657" s="82"/>
      <c r="M21657" s="85"/>
    </row>
    <row r="21658" spans="9:13" x14ac:dyDescent="0.3">
      <c r="I21658" s="82"/>
      <c r="M21658" s="85"/>
    </row>
    <row r="21659" spans="9:13" x14ac:dyDescent="0.3">
      <c r="I21659" s="82"/>
      <c r="M21659" s="85"/>
    </row>
    <row r="21660" spans="9:13" x14ac:dyDescent="0.3">
      <c r="I21660" s="82"/>
      <c r="M21660" s="85"/>
    </row>
    <row r="21661" spans="9:13" x14ac:dyDescent="0.3">
      <c r="I21661" s="82"/>
      <c r="M21661" s="85"/>
    </row>
    <row r="21662" spans="9:13" x14ac:dyDescent="0.3">
      <c r="I21662" s="82"/>
      <c r="M21662" s="85"/>
    </row>
    <row r="21663" spans="9:13" x14ac:dyDescent="0.3">
      <c r="I21663" s="82"/>
      <c r="M21663" s="85"/>
    </row>
    <row r="21664" spans="9:13" x14ac:dyDescent="0.3">
      <c r="I21664" s="82"/>
      <c r="M21664" s="85"/>
    </row>
    <row r="21665" spans="9:13" x14ac:dyDescent="0.3">
      <c r="I21665" s="82"/>
      <c r="M21665" s="85"/>
    </row>
    <row r="21666" spans="9:13" x14ac:dyDescent="0.3">
      <c r="I21666" s="82"/>
      <c r="M21666" s="85"/>
    </row>
    <row r="21667" spans="9:13" x14ac:dyDescent="0.3">
      <c r="I21667" s="82"/>
      <c r="M21667" s="85"/>
    </row>
    <row r="21668" spans="9:13" x14ac:dyDescent="0.3">
      <c r="I21668" s="82"/>
      <c r="M21668" s="85"/>
    </row>
    <row r="21669" spans="9:13" x14ac:dyDescent="0.3">
      <c r="I21669" s="82"/>
      <c r="M21669" s="85"/>
    </row>
    <row r="21670" spans="9:13" x14ac:dyDescent="0.3">
      <c r="I21670" s="82"/>
      <c r="M21670" s="85"/>
    </row>
    <row r="21671" spans="9:13" x14ac:dyDescent="0.3">
      <c r="I21671" s="82"/>
      <c r="M21671" s="85"/>
    </row>
    <row r="21672" spans="9:13" x14ac:dyDescent="0.3">
      <c r="I21672" s="82"/>
      <c r="M21672" s="85"/>
    </row>
    <row r="21673" spans="9:13" x14ac:dyDescent="0.3">
      <c r="I21673" s="82"/>
      <c r="M21673" s="85"/>
    </row>
    <row r="21674" spans="9:13" x14ac:dyDescent="0.3">
      <c r="I21674" s="82"/>
      <c r="M21674" s="85"/>
    </row>
    <row r="21675" spans="9:13" x14ac:dyDescent="0.3">
      <c r="I21675" s="82"/>
      <c r="M21675" s="85"/>
    </row>
    <row r="21676" spans="9:13" x14ac:dyDescent="0.3">
      <c r="I21676" s="82"/>
      <c r="M21676" s="85"/>
    </row>
    <row r="21677" spans="9:13" x14ac:dyDescent="0.3">
      <c r="I21677" s="82"/>
      <c r="M21677" s="85"/>
    </row>
    <row r="21678" spans="9:13" x14ac:dyDescent="0.3">
      <c r="I21678" s="82"/>
      <c r="M21678" s="85"/>
    </row>
    <row r="21679" spans="9:13" x14ac:dyDescent="0.3">
      <c r="I21679" s="82"/>
      <c r="M21679" s="85"/>
    </row>
    <row r="21680" spans="9:13" x14ac:dyDescent="0.3">
      <c r="I21680" s="82"/>
      <c r="M21680" s="85"/>
    </row>
    <row r="21681" spans="9:13" x14ac:dyDescent="0.3">
      <c r="I21681" s="82"/>
      <c r="M21681" s="85"/>
    </row>
    <row r="21682" spans="9:13" x14ac:dyDescent="0.3">
      <c r="I21682" s="82"/>
      <c r="M21682" s="85"/>
    </row>
    <row r="21683" spans="9:13" x14ac:dyDescent="0.3">
      <c r="I21683" s="82"/>
      <c r="M21683" s="85"/>
    </row>
    <row r="21684" spans="9:13" x14ac:dyDescent="0.3">
      <c r="I21684" s="82"/>
      <c r="M21684" s="85"/>
    </row>
    <row r="21685" spans="9:13" x14ac:dyDescent="0.3">
      <c r="I21685" s="82"/>
      <c r="M21685" s="85"/>
    </row>
    <row r="21686" spans="9:13" x14ac:dyDescent="0.3">
      <c r="I21686" s="82"/>
      <c r="M21686" s="85"/>
    </row>
    <row r="21687" spans="9:13" x14ac:dyDescent="0.3">
      <c r="I21687" s="82"/>
      <c r="M21687" s="85"/>
    </row>
    <row r="21688" spans="9:13" x14ac:dyDescent="0.3">
      <c r="I21688" s="82"/>
      <c r="M21688" s="85"/>
    </row>
    <row r="21689" spans="9:13" x14ac:dyDescent="0.3">
      <c r="I21689" s="82"/>
      <c r="M21689" s="85"/>
    </row>
    <row r="21690" spans="9:13" x14ac:dyDescent="0.3">
      <c r="I21690" s="82"/>
      <c r="M21690" s="85"/>
    </row>
    <row r="21691" spans="9:13" x14ac:dyDescent="0.3">
      <c r="I21691" s="82"/>
      <c r="M21691" s="85"/>
    </row>
    <row r="21692" spans="9:13" x14ac:dyDescent="0.3">
      <c r="I21692" s="82"/>
      <c r="M21692" s="85"/>
    </row>
    <row r="21693" spans="9:13" x14ac:dyDescent="0.3">
      <c r="I21693" s="82"/>
      <c r="M21693" s="85"/>
    </row>
    <row r="21694" spans="9:13" x14ac:dyDescent="0.3">
      <c r="I21694" s="82"/>
      <c r="M21694" s="85"/>
    </row>
    <row r="21695" spans="9:13" x14ac:dyDescent="0.3">
      <c r="I21695" s="82"/>
      <c r="M21695" s="85"/>
    </row>
    <row r="21696" spans="9:13" x14ac:dyDescent="0.3">
      <c r="I21696" s="82"/>
      <c r="M21696" s="85"/>
    </row>
    <row r="21697" spans="9:13" x14ac:dyDescent="0.3">
      <c r="I21697" s="82"/>
      <c r="M21697" s="85"/>
    </row>
    <row r="21698" spans="9:13" x14ac:dyDescent="0.3">
      <c r="I21698" s="82"/>
      <c r="M21698" s="85"/>
    </row>
    <row r="21699" spans="9:13" x14ac:dyDescent="0.3">
      <c r="I21699" s="82"/>
      <c r="M21699" s="85"/>
    </row>
    <row r="21700" spans="9:13" x14ac:dyDescent="0.3">
      <c r="I21700" s="82"/>
      <c r="M21700" s="85"/>
    </row>
    <row r="21701" spans="9:13" x14ac:dyDescent="0.3">
      <c r="I21701" s="82"/>
      <c r="M21701" s="85"/>
    </row>
    <row r="21702" spans="9:13" x14ac:dyDescent="0.3">
      <c r="I21702" s="82"/>
      <c r="M21702" s="85"/>
    </row>
    <row r="21703" spans="9:13" x14ac:dyDescent="0.3">
      <c r="I21703" s="82"/>
      <c r="M21703" s="85"/>
    </row>
    <row r="21704" spans="9:13" x14ac:dyDescent="0.3">
      <c r="I21704" s="82"/>
      <c r="M21704" s="85"/>
    </row>
    <row r="21705" spans="9:13" x14ac:dyDescent="0.3">
      <c r="I21705" s="82"/>
      <c r="M21705" s="85"/>
    </row>
    <row r="21706" spans="9:13" x14ac:dyDescent="0.3">
      <c r="I21706" s="82"/>
      <c r="M21706" s="85"/>
    </row>
    <row r="21707" spans="9:13" x14ac:dyDescent="0.3">
      <c r="I21707" s="82"/>
      <c r="M21707" s="85"/>
    </row>
    <row r="21708" spans="9:13" x14ac:dyDescent="0.3">
      <c r="I21708" s="82"/>
      <c r="M21708" s="85"/>
    </row>
    <row r="21709" spans="9:13" x14ac:dyDescent="0.3">
      <c r="I21709" s="82"/>
      <c r="M21709" s="85"/>
    </row>
    <row r="21710" spans="9:13" x14ac:dyDescent="0.3">
      <c r="I21710" s="82"/>
      <c r="M21710" s="85"/>
    </row>
    <row r="21711" spans="9:13" x14ac:dyDescent="0.3">
      <c r="I21711" s="82"/>
      <c r="M21711" s="85"/>
    </row>
    <row r="21712" spans="9:13" x14ac:dyDescent="0.3">
      <c r="I21712" s="82"/>
      <c r="M21712" s="85"/>
    </row>
    <row r="21713" spans="9:13" x14ac:dyDescent="0.3">
      <c r="I21713" s="82"/>
      <c r="M21713" s="85"/>
    </row>
    <row r="21714" spans="9:13" x14ac:dyDescent="0.3">
      <c r="I21714" s="82"/>
      <c r="M21714" s="85"/>
    </row>
    <row r="21715" spans="9:13" x14ac:dyDescent="0.3">
      <c r="I21715" s="82"/>
      <c r="M21715" s="85"/>
    </row>
    <row r="21716" spans="9:13" x14ac:dyDescent="0.3">
      <c r="I21716" s="82"/>
      <c r="M21716" s="85"/>
    </row>
    <row r="21717" spans="9:13" x14ac:dyDescent="0.3">
      <c r="I21717" s="82"/>
      <c r="M21717" s="85"/>
    </row>
    <row r="21718" spans="9:13" x14ac:dyDescent="0.3">
      <c r="I21718" s="82"/>
      <c r="M21718" s="85"/>
    </row>
    <row r="21719" spans="9:13" x14ac:dyDescent="0.3">
      <c r="I21719" s="82"/>
      <c r="M21719" s="85"/>
    </row>
    <row r="21720" spans="9:13" x14ac:dyDescent="0.3">
      <c r="I21720" s="82"/>
      <c r="M21720" s="85"/>
    </row>
    <row r="21721" spans="9:13" x14ac:dyDescent="0.3">
      <c r="I21721" s="82"/>
      <c r="M21721" s="85"/>
    </row>
    <row r="21722" spans="9:13" x14ac:dyDescent="0.3">
      <c r="I21722" s="82"/>
      <c r="M21722" s="85"/>
    </row>
    <row r="21723" spans="9:13" x14ac:dyDescent="0.3">
      <c r="I21723" s="82"/>
      <c r="M21723" s="85"/>
    </row>
    <row r="21724" spans="9:13" x14ac:dyDescent="0.3">
      <c r="I21724" s="82"/>
      <c r="M21724" s="85"/>
    </row>
    <row r="21725" spans="9:13" x14ac:dyDescent="0.3">
      <c r="I21725" s="82"/>
      <c r="M21725" s="85"/>
    </row>
    <row r="21726" spans="9:13" x14ac:dyDescent="0.3">
      <c r="I21726" s="82"/>
      <c r="M21726" s="85"/>
    </row>
    <row r="21727" spans="9:13" x14ac:dyDescent="0.3">
      <c r="I21727" s="82"/>
      <c r="M21727" s="85"/>
    </row>
    <row r="21728" spans="9:13" x14ac:dyDescent="0.3">
      <c r="I21728" s="82"/>
      <c r="M21728" s="85"/>
    </row>
    <row r="21729" spans="9:13" x14ac:dyDescent="0.3">
      <c r="I21729" s="82"/>
      <c r="M21729" s="85"/>
    </row>
    <row r="21730" spans="9:13" x14ac:dyDescent="0.3">
      <c r="I21730" s="82"/>
      <c r="M21730" s="85"/>
    </row>
    <row r="21731" spans="9:13" x14ac:dyDescent="0.3">
      <c r="I21731" s="82"/>
      <c r="M21731" s="85"/>
    </row>
    <row r="21732" spans="9:13" x14ac:dyDescent="0.3">
      <c r="I21732" s="82"/>
      <c r="M21732" s="85"/>
    </row>
    <row r="21733" spans="9:13" x14ac:dyDescent="0.3">
      <c r="I21733" s="82"/>
      <c r="M21733" s="85"/>
    </row>
    <row r="21734" spans="9:13" x14ac:dyDescent="0.3">
      <c r="I21734" s="82"/>
      <c r="M21734" s="85"/>
    </row>
    <row r="21735" spans="9:13" x14ac:dyDescent="0.3">
      <c r="I21735" s="82"/>
      <c r="M21735" s="85"/>
    </row>
    <row r="21736" spans="9:13" x14ac:dyDescent="0.3">
      <c r="I21736" s="82"/>
      <c r="M21736" s="85"/>
    </row>
    <row r="21737" spans="9:13" x14ac:dyDescent="0.3">
      <c r="I21737" s="82"/>
      <c r="M21737" s="85"/>
    </row>
    <row r="21738" spans="9:13" x14ac:dyDescent="0.3">
      <c r="I21738" s="82"/>
      <c r="M21738" s="85"/>
    </row>
    <row r="21739" spans="9:13" x14ac:dyDescent="0.3">
      <c r="I21739" s="82"/>
      <c r="M21739" s="85"/>
    </row>
    <row r="21740" spans="9:13" x14ac:dyDescent="0.3">
      <c r="I21740" s="82"/>
      <c r="M21740" s="85"/>
    </row>
    <row r="21741" spans="9:13" x14ac:dyDescent="0.3">
      <c r="I21741" s="82"/>
      <c r="M21741" s="85"/>
    </row>
    <row r="21742" spans="9:13" x14ac:dyDescent="0.3">
      <c r="I21742" s="82"/>
      <c r="M21742" s="85"/>
    </row>
    <row r="21743" spans="9:13" x14ac:dyDescent="0.3">
      <c r="I21743" s="82"/>
      <c r="M21743" s="85"/>
    </row>
    <row r="21744" spans="9:13" x14ac:dyDescent="0.3">
      <c r="I21744" s="82"/>
      <c r="M21744" s="85"/>
    </row>
    <row r="21745" spans="9:13" x14ac:dyDescent="0.3">
      <c r="I21745" s="82"/>
      <c r="M21745" s="85"/>
    </row>
    <row r="21746" spans="9:13" x14ac:dyDescent="0.3">
      <c r="I21746" s="82"/>
      <c r="M21746" s="85"/>
    </row>
    <row r="21747" spans="9:13" x14ac:dyDescent="0.3">
      <c r="I21747" s="82"/>
      <c r="M21747" s="85"/>
    </row>
    <row r="21748" spans="9:13" x14ac:dyDescent="0.3">
      <c r="I21748" s="82"/>
      <c r="M21748" s="85"/>
    </row>
    <row r="21749" spans="9:13" x14ac:dyDescent="0.3">
      <c r="I21749" s="82"/>
      <c r="M21749" s="85"/>
    </row>
    <row r="21750" spans="9:13" x14ac:dyDescent="0.3">
      <c r="I21750" s="82"/>
      <c r="M21750" s="85"/>
    </row>
    <row r="21751" spans="9:13" x14ac:dyDescent="0.3">
      <c r="I21751" s="82"/>
      <c r="M21751" s="85"/>
    </row>
    <row r="21752" spans="9:13" x14ac:dyDescent="0.3">
      <c r="I21752" s="82"/>
      <c r="M21752" s="85"/>
    </row>
    <row r="21753" spans="9:13" x14ac:dyDescent="0.3">
      <c r="I21753" s="82"/>
      <c r="M21753" s="85"/>
    </row>
    <row r="21754" spans="9:13" x14ac:dyDescent="0.3">
      <c r="I21754" s="82"/>
      <c r="M21754" s="85"/>
    </row>
    <row r="21755" spans="9:13" x14ac:dyDescent="0.3">
      <c r="I21755" s="82"/>
      <c r="M21755" s="85"/>
    </row>
    <row r="21756" spans="9:13" x14ac:dyDescent="0.3">
      <c r="I21756" s="82"/>
      <c r="M21756" s="85"/>
    </row>
    <row r="21757" spans="9:13" x14ac:dyDescent="0.3">
      <c r="I21757" s="82"/>
      <c r="M21757" s="85"/>
    </row>
    <row r="21758" spans="9:13" x14ac:dyDescent="0.3">
      <c r="I21758" s="82"/>
      <c r="M21758" s="85"/>
    </row>
    <row r="21759" spans="9:13" x14ac:dyDescent="0.3">
      <c r="I21759" s="82"/>
      <c r="M21759" s="85"/>
    </row>
    <row r="21760" spans="9:13" x14ac:dyDescent="0.3">
      <c r="I21760" s="82"/>
      <c r="M21760" s="85"/>
    </row>
    <row r="21761" spans="9:13" x14ac:dyDescent="0.3">
      <c r="I21761" s="82"/>
      <c r="M21761" s="85"/>
    </row>
    <row r="21762" spans="9:13" x14ac:dyDescent="0.3">
      <c r="I21762" s="82"/>
      <c r="M21762" s="85"/>
    </row>
    <row r="21763" spans="9:13" x14ac:dyDescent="0.3">
      <c r="I21763" s="82"/>
      <c r="M21763" s="85"/>
    </row>
    <row r="21764" spans="9:13" x14ac:dyDescent="0.3">
      <c r="I21764" s="82"/>
      <c r="M21764" s="85"/>
    </row>
    <row r="21765" spans="9:13" x14ac:dyDescent="0.3">
      <c r="I21765" s="82"/>
      <c r="M21765" s="85"/>
    </row>
    <row r="21766" spans="9:13" x14ac:dyDescent="0.3">
      <c r="I21766" s="82"/>
      <c r="M21766" s="85"/>
    </row>
    <row r="21767" spans="9:13" x14ac:dyDescent="0.3">
      <c r="I21767" s="82"/>
      <c r="M21767" s="85"/>
    </row>
    <row r="21768" spans="9:13" x14ac:dyDescent="0.3">
      <c r="I21768" s="82"/>
      <c r="M21768" s="85"/>
    </row>
    <row r="21769" spans="9:13" x14ac:dyDescent="0.3">
      <c r="I21769" s="82"/>
      <c r="M21769" s="85"/>
    </row>
    <row r="21770" spans="9:13" x14ac:dyDescent="0.3">
      <c r="I21770" s="82"/>
      <c r="M21770" s="85"/>
    </row>
    <row r="21771" spans="9:13" x14ac:dyDescent="0.3">
      <c r="I21771" s="82"/>
      <c r="M21771" s="85"/>
    </row>
    <row r="21772" spans="9:13" x14ac:dyDescent="0.3">
      <c r="I21772" s="82"/>
      <c r="M21772" s="85"/>
    </row>
    <row r="21773" spans="9:13" x14ac:dyDescent="0.3">
      <c r="I21773" s="82"/>
      <c r="M21773" s="85"/>
    </row>
    <row r="21774" spans="9:13" x14ac:dyDescent="0.3">
      <c r="I21774" s="82"/>
      <c r="M21774" s="85"/>
    </row>
    <row r="21775" spans="9:13" x14ac:dyDescent="0.3">
      <c r="I21775" s="82"/>
      <c r="M21775" s="85"/>
    </row>
    <row r="21776" spans="9:13" x14ac:dyDescent="0.3">
      <c r="I21776" s="82"/>
      <c r="M21776" s="85"/>
    </row>
    <row r="21777" spans="9:13" x14ac:dyDescent="0.3">
      <c r="I21777" s="82"/>
      <c r="M21777" s="85"/>
    </row>
    <row r="21778" spans="9:13" x14ac:dyDescent="0.3">
      <c r="I21778" s="82"/>
      <c r="M21778" s="85"/>
    </row>
    <row r="21779" spans="9:13" x14ac:dyDescent="0.3">
      <c r="I21779" s="82"/>
      <c r="M21779" s="85"/>
    </row>
    <row r="21780" spans="9:13" x14ac:dyDescent="0.3">
      <c r="I21780" s="82"/>
      <c r="M21780" s="85"/>
    </row>
    <row r="21781" spans="9:13" x14ac:dyDescent="0.3">
      <c r="I21781" s="82"/>
      <c r="M21781" s="85"/>
    </row>
    <row r="21782" spans="9:13" x14ac:dyDescent="0.3">
      <c r="I21782" s="82"/>
      <c r="M21782" s="85"/>
    </row>
    <row r="21783" spans="9:13" x14ac:dyDescent="0.3">
      <c r="I21783" s="82"/>
      <c r="M21783" s="85"/>
    </row>
    <row r="21784" spans="9:13" x14ac:dyDescent="0.3">
      <c r="I21784" s="82"/>
      <c r="M21784" s="85"/>
    </row>
    <row r="21785" spans="9:13" x14ac:dyDescent="0.3">
      <c r="I21785" s="82"/>
      <c r="M21785" s="85"/>
    </row>
    <row r="21786" spans="9:13" x14ac:dyDescent="0.3">
      <c r="I21786" s="82"/>
      <c r="M21786" s="85"/>
    </row>
    <row r="21787" spans="9:13" x14ac:dyDescent="0.3">
      <c r="I21787" s="82"/>
      <c r="M21787" s="85"/>
    </row>
    <row r="21788" spans="9:13" x14ac:dyDescent="0.3">
      <c r="I21788" s="82"/>
      <c r="M21788" s="85"/>
    </row>
    <row r="21789" spans="9:13" x14ac:dyDescent="0.3">
      <c r="I21789" s="82"/>
      <c r="M21789" s="85"/>
    </row>
    <row r="21790" spans="9:13" x14ac:dyDescent="0.3">
      <c r="I21790" s="82"/>
      <c r="M21790" s="85"/>
    </row>
    <row r="21791" spans="9:13" x14ac:dyDescent="0.3">
      <c r="I21791" s="82"/>
      <c r="M21791" s="85"/>
    </row>
    <row r="21792" spans="9:13" x14ac:dyDescent="0.3">
      <c r="I21792" s="82"/>
      <c r="M21792" s="85"/>
    </row>
    <row r="21793" spans="9:13" x14ac:dyDescent="0.3">
      <c r="I21793" s="82"/>
      <c r="M21793" s="85"/>
    </row>
    <row r="21794" spans="9:13" x14ac:dyDescent="0.3">
      <c r="I21794" s="82"/>
      <c r="M21794" s="85"/>
    </row>
    <row r="21795" spans="9:13" x14ac:dyDescent="0.3">
      <c r="I21795" s="82"/>
      <c r="M21795" s="85"/>
    </row>
    <row r="21796" spans="9:13" x14ac:dyDescent="0.3">
      <c r="I21796" s="82"/>
      <c r="M21796" s="85"/>
    </row>
    <row r="21797" spans="9:13" x14ac:dyDescent="0.3">
      <c r="I21797" s="82"/>
      <c r="M21797" s="85"/>
    </row>
    <row r="21798" spans="9:13" x14ac:dyDescent="0.3">
      <c r="I21798" s="82"/>
      <c r="M21798" s="85"/>
    </row>
    <row r="21799" spans="9:13" x14ac:dyDescent="0.3">
      <c r="I21799" s="82"/>
      <c r="M21799" s="85"/>
    </row>
    <row r="21800" spans="9:13" x14ac:dyDescent="0.3">
      <c r="I21800" s="82"/>
      <c r="M21800" s="85"/>
    </row>
    <row r="21801" spans="9:13" x14ac:dyDescent="0.3">
      <c r="I21801" s="82"/>
      <c r="M21801" s="85"/>
    </row>
    <row r="21802" spans="9:13" x14ac:dyDescent="0.3">
      <c r="I21802" s="82"/>
      <c r="M21802" s="85"/>
    </row>
    <row r="21803" spans="9:13" x14ac:dyDescent="0.3">
      <c r="I21803" s="82"/>
      <c r="M21803" s="85"/>
    </row>
    <row r="21804" spans="9:13" x14ac:dyDescent="0.3">
      <c r="I21804" s="82"/>
      <c r="M21804" s="85"/>
    </row>
    <row r="21805" spans="9:13" x14ac:dyDescent="0.3">
      <c r="I21805" s="82"/>
      <c r="M21805" s="85"/>
    </row>
    <row r="21806" spans="9:13" x14ac:dyDescent="0.3">
      <c r="I21806" s="82"/>
      <c r="M21806" s="85"/>
    </row>
    <row r="21807" spans="9:13" x14ac:dyDescent="0.3">
      <c r="I21807" s="82"/>
      <c r="M21807" s="85"/>
    </row>
    <row r="21808" spans="9:13" x14ac:dyDescent="0.3">
      <c r="I21808" s="82"/>
      <c r="M21808" s="85"/>
    </row>
    <row r="21809" spans="9:13" x14ac:dyDescent="0.3">
      <c r="I21809" s="82"/>
      <c r="M21809" s="85"/>
    </row>
    <row r="21810" spans="9:13" x14ac:dyDescent="0.3">
      <c r="I21810" s="82"/>
      <c r="M21810" s="85"/>
    </row>
    <row r="21811" spans="9:13" x14ac:dyDescent="0.3">
      <c r="I21811" s="82"/>
      <c r="M21811" s="85"/>
    </row>
    <row r="21812" spans="9:13" x14ac:dyDescent="0.3">
      <c r="I21812" s="82"/>
      <c r="M21812" s="85"/>
    </row>
    <row r="21813" spans="9:13" x14ac:dyDescent="0.3">
      <c r="I21813" s="82"/>
      <c r="M21813" s="85"/>
    </row>
    <row r="21814" spans="9:13" x14ac:dyDescent="0.3">
      <c r="I21814" s="82"/>
      <c r="M21814" s="85"/>
    </row>
    <row r="21815" spans="9:13" x14ac:dyDescent="0.3">
      <c r="I21815" s="82"/>
      <c r="M21815" s="85"/>
    </row>
    <row r="21816" spans="9:13" x14ac:dyDescent="0.3">
      <c r="I21816" s="82"/>
      <c r="M21816" s="85"/>
    </row>
    <row r="21817" spans="9:13" x14ac:dyDescent="0.3">
      <c r="I21817" s="82"/>
      <c r="M21817" s="85"/>
    </row>
    <row r="21818" spans="9:13" x14ac:dyDescent="0.3">
      <c r="I21818" s="82"/>
      <c r="M21818" s="85"/>
    </row>
    <row r="21819" spans="9:13" x14ac:dyDescent="0.3">
      <c r="I21819" s="82"/>
      <c r="M21819" s="85"/>
    </row>
    <row r="21820" spans="9:13" x14ac:dyDescent="0.3">
      <c r="I21820" s="82"/>
      <c r="M21820" s="85"/>
    </row>
    <row r="21821" spans="9:13" x14ac:dyDescent="0.3">
      <c r="I21821" s="82"/>
      <c r="M21821" s="85"/>
    </row>
    <row r="21822" spans="9:13" x14ac:dyDescent="0.3">
      <c r="I21822" s="82"/>
      <c r="M21822" s="85"/>
    </row>
    <row r="21823" spans="9:13" x14ac:dyDescent="0.3">
      <c r="I21823" s="82"/>
      <c r="M21823" s="85"/>
    </row>
    <row r="21824" spans="9:13" x14ac:dyDescent="0.3">
      <c r="I21824" s="82"/>
      <c r="M21824" s="85"/>
    </row>
    <row r="21825" spans="9:13" x14ac:dyDescent="0.3">
      <c r="I21825" s="82"/>
      <c r="M21825" s="85"/>
    </row>
    <row r="21826" spans="9:13" x14ac:dyDescent="0.3">
      <c r="I21826" s="82"/>
      <c r="M21826" s="85"/>
    </row>
    <row r="21827" spans="9:13" x14ac:dyDescent="0.3">
      <c r="I21827" s="82"/>
      <c r="M21827" s="85"/>
    </row>
    <row r="21828" spans="9:13" x14ac:dyDescent="0.3">
      <c r="I21828" s="82"/>
      <c r="M21828" s="85"/>
    </row>
    <row r="21829" spans="9:13" x14ac:dyDescent="0.3">
      <c r="I21829" s="82"/>
      <c r="M21829" s="85"/>
    </row>
    <row r="21830" spans="9:13" x14ac:dyDescent="0.3">
      <c r="I21830" s="82"/>
      <c r="M21830" s="85"/>
    </row>
    <row r="21831" spans="9:13" x14ac:dyDescent="0.3">
      <c r="I21831" s="82"/>
      <c r="M21831" s="85"/>
    </row>
    <row r="21832" spans="9:13" x14ac:dyDescent="0.3">
      <c r="I21832" s="82"/>
      <c r="M21832" s="85"/>
    </row>
    <row r="21833" spans="9:13" x14ac:dyDescent="0.3">
      <c r="I21833" s="82"/>
      <c r="M21833" s="85"/>
    </row>
    <row r="21834" spans="9:13" x14ac:dyDescent="0.3">
      <c r="I21834" s="82"/>
      <c r="M21834" s="85"/>
    </row>
    <row r="21835" spans="9:13" x14ac:dyDescent="0.3">
      <c r="I21835" s="82"/>
      <c r="M21835" s="85"/>
    </row>
    <row r="21836" spans="9:13" x14ac:dyDescent="0.3">
      <c r="I21836" s="82"/>
      <c r="M21836" s="85"/>
    </row>
    <row r="21837" spans="9:13" x14ac:dyDescent="0.3">
      <c r="I21837" s="82"/>
      <c r="M21837" s="85"/>
    </row>
    <row r="21838" spans="9:13" x14ac:dyDescent="0.3">
      <c r="I21838" s="82"/>
      <c r="M21838" s="85"/>
    </row>
    <row r="21839" spans="9:13" x14ac:dyDescent="0.3">
      <c r="I21839" s="82"/>
      <c r="M21839" s="85"/>
    </row>
    <row r="21840" spans="9:13" x14ac:dyDescent="0.3">
      <c r="I21840" s="82"/>
      <c r="M21840" s="85"/>
    </row>
    <row r="21841" spans="9:13" x14ac:dyDescent="0.3">
      <c r="I21841" s="82"/>
      <c r="M21841" s="85"/>
    </row>
    <row r="21842" spans="9:13" x14ac:dyDescent="0.3">
      <c r="I21842" s="82"/>
      <c r="M21842" s="85"/>
    </row>
    <row r="21843" spans="9:13" x14ac:dyDescent="0.3">
      <c r="I21843" s="82"/>
      <c r="M21843" s="85"/>
    </row>
    <row r="21844" spans="9:13" x14ac:dyDescent="0.3">
      <c r="I21844" s="82"/>
      <c r="M21844" s="85"/>
    </row>
    <row r="21845" spans="9:13" x14ac:dyDescent="0.3">
      <c r="I21845" s="82"/>
      <c r="M21845" s="85"/>
    </row>
    <row r="21846" spans="9:13" x14ac:dyDescent="0.3">
      <c r="I21846" s="82"/>
      <c r="M21846" s="85"/>
    </row>
    <row r="21847" spans="9:13" x14ac:dyDescent="0.3">
      <c r="I21847" s="82"/>
      <c r="M21847" s="85"/>
    </row>
    <row r="21848" spans="9:13" x14ac:dyDescent="0.3">
      <c r="I21848" s="82"/>
      <c r="M21848" s="85"/>
    </row>
    <row r="21849" spans="9:13" x14ac:dyDescent="0.3">
      <c r="I21849" s="82"/>
      <c r="M21849" s="85"/>
    </row>
    <row r="21850" spans="9:13" x14ac:dyDescent="0.3">
      <c r="I21850" s="82"/>
      <c r="M21850" s="85"/>
    </row>
    <row r="21851" spans="9:13" x14ac:dyDescent="0.3">
      <c r="I21851" s="82"/>
      <c r="M21851" s="85"/>
    </row>
    <row r="21852" spans="9:13" x14ac:dyDescent="0.3">
      <c r="I21852" s="82"/>
      <c r="M21852" s="85"/>
    </row>
    <row r="21853" spans="9:13" x14ac:dyDescent="0.3">
      <c r="I21853" s="82"/>
      <c r="M21853" s="85"/>
    </row>
    <row r="21854" spans="9:13" x14ac:dyDescent="0.3">
      <c r="I21854" s="82"/>
      <c r="M21854" s="85"/>
    </row>
    <row r="21855" spans="9:13" x14ac:dyDescent="0.3">
      <c r="I21855" s="82"/>
      <c r="M21855" s="85"/>
    </row>
    <row r="21856" spans="9:13" x14ac:dyDescent="0.3">
      <c r="I21856" s="82"/>
      <c r="M21856" s="85"/>
    </row>
    <row r="21857" spans="9:13" x14ac:dyDescent="0.3">
      <c r="I21857" s="82"/>
      <c r="M21857" s="85"/>
    </row>
    <row r="21858" spans="9:13" x14ac:dyDescent="0.3">
      <c r="I21858" s="82"/>
      <c r="M21858" s="85"/>
    </row>
    <row r="21859" spans="9:13" x14ac:dyDescent="0.3">
      <c r="I21859" s="82"/>
      <c r="M21859" s="85"/>
    </row>
    <row r="21860" spans="9:13" x14ac:dyDescent="0.3">
      <c r="I21860" s="82"/>
      <c r="M21860" s="85"/>
    </row>
    <row r="21861" spans="9:13" x14ac:dyDescent="0.3">
      <c r="I21861" s="82"/>
      <c r="M21861" s="85"/>
    </row>
    <row r="21862" spans="9:13" x14ac:dyDescent="0.3">
      <c r="I21862" s="82"/>
      <c r="M21862" s="85"/>
    </row>
    <row r="21863" spans="9:13" x14ac:dyDescent="0.3">
      <c r="I21863" s="82"/>
      <c r="M21863" s="85"/>
    </row>
    <row r="21864" spans="9:13" x14ac:dyDescent="0.3">
      <c r="I21864" s="82"/>
      <c r="M21864" s="85"/>
    </row>
    <row r="21865" spans="9:13" x14ac:dyDescent="0.3">
      <c r="I21865" s="82"/>
      <c r="M21865" s="85"/>
    </row>
    <row r="21866" spans="9:13" x14ac:dyDescent="0.3">
      <c r="I21866" s="82"/>
      <c r="M21866" s="85"/>
    </row>
    <row r="21867" spans="9:13" x14ac:dyDescent="0.3">
      <c r="I21867" s="82"/>
      <c r="M21867" s="85"/>
    </row>
    <row r="21868" spans="9:13" x14ac:dyDescent="0.3">
      <c r="I21868" s="82"/>
      <c r="M21868" s="85"/>
    </row>
    <row r="21869" spans="9:13" x14ac:dyDescent="0.3">
      <c r="I21869" s="82"/>
      <c r="M21869" s="85"/>
    </row>
    <row r="21870" spans="9:13" x14ac:dyDescent="0.3">
      <c r="I21870" s="82"/>
      <c r="M21870" s="85"/>
    </row>
    <row r="21871" spans="9:13" x14ac:dyDescent="0.3">
      <c r="I21871" s="82"/>
      <c r="M21871" s="85"/>
    </row>
    <row r="21872" spans="9:13" x14ac:dyDescent="0.3">
      <c r="I21872" s="82"/>
      <c r="M21872" s="85"/>
    </row>
    <row r="21873" spans="9:13" x14ac:dyDescent="0.3">
      <c r="I21873" s="82"/>
      <c r="M21873" s="85"/>
    </row>
    <row r="21874" spans="9:13" x14ac:dyDescent="0.3">
      <c r="I21874" s="82"/>
      <c r="M21874" s="85"/>
    </row>
    <row r="21875" spans="9:13" x14ac:dyDescent="0.3">
      <c r="I21875" s="82"/>
      <c r="M21875" s="85"/>
    </row>
    <row r="21876" spans="9:13" x14ac:dyDescent="0.3">
      <c r="I21876" s="82"/>
      <c r="M21876" s="85"/>
    </row>
    <row r="21877" spans="9:13" x14ac:dyDescent="0.3">
      <c r="I21877" s="82"/>
      <c r="M21877" s="85"/>
    </row>
    <row r="21878" spans="9:13" x14ac:dyDescent="0.3">
      <c r="I21878" s="82"/>
      <c r="M21878" s="85"/>
    </row>
    <row r="21879" spans="9:13" x14ac:dyDescent="0.3">
      <c r="I21879" s="82"/>
      <c r="M21879" s="85"/>
    </row>
    <row r="21880" spans="9:13" x14ac:dyDescent="0.3">
      <c r="I21880" s="82"/>
      <c r="M21880" s="85"/>
    </row>
    <row r="21881" spans="9:13" x14ac:dyDescent="0.3">
      <c r="I21881" s="82"/>
      <c r="M21881" s="85"/>
    </row>
    <row r="21882" spans="9:13" x14ac:dyDescent="0.3">
      <c r="I21882" s="82"/>
      <c r="M21882" s="85"/>
    </row>
    <row r="21883" spans="9:13" x14ac:dyDescent="0.3">
      <c r="I21883" s="82"/>
      <c r="M21883" s="85"/>
    </row>
    <row r="21884" spans="9:13" x14ac:dyDescent="0.3">
      <c r="I21884" s="82"/>
      <c r="M21884" s="85"/>
    </row>
    <row r="21885" spans="9:13" x14ac:dyDescent="0.3">
      <c r="I21885" s="82"/>
      <c r="M21885" s="85"/>
    </row>
    <row r="21886" spans="9:13" x14ac:dyDescent="0.3">
      <c r="I21886" s="82"/>
      <c r="M21886" s="85"/>
    </row>
    <row r="21887" spans="9:13" x14ac:dyDescent="0.3">
      <c r="I21887" s="82"/>
      <c r="M21887" s="85"/>
    </row>
    <row r="21888" spans="9:13" x14ac:dyDescent="0.3">
      <c r="I21888" s="82"/>
      <c r="M21888" s="85"/>
    </row>
    <row r="21889" spans="9:13" x14ac:dyDescent="0.3">
      <c r="I21889" s="82"/>
      <c r="M21889" s="85"/>
    </row>
    <row r="21890" spans="9:13" x14ac:dyDescent="0.3">
      <c r="I21890" s="82"/>
      <c r="M21890" s="85"/>
    </row>
    <row r="21891" spans="9:13" x14ac:dyDescent="0.3">
      <c r="I21891" s="82"/>
      <c r="M21891" s="85"/>
    </row>
    <row r="21892" spans="9:13" x14ac:dyDescent="0.3">
      <c r="I21892" s="82"/>
      <c r="M21892" s="85"/>
    </row>
    <row r="21893" spans="9:13" x14ac:dyDescent="0.3">
      <c r="I21893" s="82"/>
      <c r="M21893" s="85"/>
    </row>
    <row r="21894" spans="9:13" x14ac:dyDescent="0.3">
      <c r="I21894" s="82"/>
      <c r="M21894" s="85"/>
    </row>
    <row r="21895" spans="9:13" x14ac:dyDescent="0.3">
      <c r="I21895" s="82"/>
      <c r="M21895" s="85"/>
    </row>
    <row r="21896" spans="9:13" x14ac:dyDescent="0.3">
      <c r="I21896" s="82"/>
      <c r="M21896" s="85"/>
    </row>
    <row r="21897" spans="9:13" x14ac:dyDescent="0.3">
      <c r="I21897" s="82"/>
      <c r="M21897" s="85"/>
    </row>
    <row r="21898" spans="9:13" x14ac:dyDescent="0.3">
      <c r="I21898" s="82"/>
      <c r="M21898" s="85"/>
    </row>
    <row r="21899" spans="9:13" x14ac:dyDescent="0.3">
      <c r="I21899" s="82"/>
      <c r="M21899" s="85"/>
    </row>
    <row r="21900" spans="9:13" x14ac:dyDescent="0.3">
      <c r="I21900" s="82"/>
      <c r="M21900" s="85"/>
    </row>
    <row r="21901" spans="9:13" x14ac:dyDescent="0.3">
      <c r="I21901" s="82"/>
      <c r="M21901" s="85"/>
    </row>
    <row r="21902" spans="9:13" x14ac:dyDescent="0.3">
      <c r="I21902" s="82"/>
      <c r="M21902" s="85"/>
    </row>
    <row r="21903" spans="9:13" x14ac:dyDescent="0.3">
      <c r="I21903" s="82"/>
      <c r="M21903" s="85"/>
    </row>
    <row r="21904" spans="9:13" x14ac:dyDescent="0.3">
      <c r="I21904" s="82"/>
      <c r="M21904" s="85"/>
    </row>
    <row r="21905" spans="9:13" x14ac:dyDescent="0.3">
      <c r="I21905" s="82"/>
      <c r="M21905" s="85"/>
    </row>
    <row r="21906" spans="9:13" x14ac:dyDescent="0.3">
      <c r="I21906" s="82"/>
      <c r="M21906" s="85"/>
    </row>
    <row r="21907" spans="9:13" x14ac:dyDescent="0.3">
      <c r="I21907" s="82"/>
      <c r="M21907" s="85"/>
    </row>
    <row r="21908" spans="9:13" x14ac:dyDescent="0.3">
      <c r="I21908" s="82"/>
      <c r="M21908" s="85"/>
    </row>
    <row r="21909" spans="9:13" x14ac:dyDescent="0.3">
      <c r="I21909" s="82"/>
      <c r="M21909" s="85"/>
    </row>
    <row r="21910" spans="9:13" x14ac:dyDescent="0.3">
      <c r="I21910" s="82"/>
      <c r="M21910" s="85"/>
    </row>
    <row r="21911" spans="9:13" x14ac:dyDescent="0.3">
      <c r="I21911" s="82"/>
      <c r="M21911" s="85"/>
    </row>
    <row r="21912" spans="9:13" x14ac:dyDescent="0.3">
      <c r="I21912" s="82"/>
      <c r="M21912" s="85"/>
    </row>
    <row r="21913" spans="9:13" x14ac:dyDescent="0.3">
      <c r="I21913" s="82"/>
      <c r="M21913" s="85"/>
    </row>
    <row r="21914" spans="9:13" x14ac:dyDescent="0.3">
      <c r="I21914" s="82"/>
      <c r="M21914" s="85"/>
    </row>
    <row r="21915" spans="9:13" x14ac:dyDescent="0.3">
      <c r="I21915" s="82"/>
      <c r="M21915" s="85"/>
    </row>
    <row r="21916" spans="9:13" x14ac:dyDescent="0.3">
      <c r="I21916" s="82"/>
      <c r="M21916" s="85"/>
    </row>
    <row r="21917" spans="9:13" x14ac:dyDescent="0.3">
      <c r="I21917" s="82"/>
      <c r="M21917" s="85"/>
    </row>
    <row r="21918" spans="9:13" x14ac:dyDescent="0.3">
      <c r="I21918" s="82"/>
      <c r="M21918" s="85"/>
    </row>
    <row r="21919" spans="9:13" x14ac:dyDescent="0.3">
      <c r="I21919" s="82"/>
      <c r="M21919" s="85"/>
    </row>
    <row r="21920" spans="9:13" x14ac:dyDescent="0.3">
      <c r="I21920" s="82"/>
      <c r="M21920" s="85"/>
    </row>
    <row r="21921" spans="9:13" x14ac:dyDescent="0.3">
      <c r="I21921" s="82"/>
      <c r="M21921" s="85"/>
    </row>
    <row r="21922" spans="9:13" x14ac:dyDescent="0.3">
      <c r="I21922" s="82"/>
      <c r="M21922" s="85"/>
    </row>
    <row r="21923" spans="9:13" x14ac:dyDescent="0.3">
      <c r="I21923" s="82"/>
      <c r="M21923" s="85"/>
    </row>
    <row r="21924" spans="9:13" x14ac:dyDescent="0.3">
      <c r="I21924" s="82"/>
      <c r="M21924" s="85"/>
    </row>
    <row r="21925" spans="9:13" x14ac:dyDescent="0.3">
      <c r="I21925" s="82"/>
      <c r="M21925" s="85"/>
    </row>
    <row r="21926" spans="9:13" x14ac:dyDescent="0.3">
      <c r="I21926" s="82"/>
      <c r="M21926" s="85"/>
    </row>
    <row r="21927" spans="9:13" x14ac:dyDescent="0.3">
      <c r="I21927" s="82"/>
      <c r="M21927" s="85"/>
    </row>
    <row r="21928" spans="9:13" x14ac:dyDescent="0.3">
      <c r="I21928" s="82"/>
      <c r="M21928" s="85"/>
    </row>
    <row r="21929" spans="9:13" x14ac:dyDescent="0.3">
      <c r="I21929" s="82"/>
      <c r="M21929" s="85"/>
    </row>
    <row r="21930" spans="9:13" x14ac:dyDescent="0.3">
      <c r="I21930" s="82"/>
      <c r="M21930" s="85"/>
    </row>
    <row r="21931" spans="9:13" x14ac:dyDescent="0.3">
      <c r="I21931" s="82"/>
      <c r="M21931" s="85"/>
    </row>
    <row r="21932" spans="9:13" x14ac:dyDescent="0.3">
      <c r="I21932" s="82"/>
      <c r="M21932" s="85"/>
    </row>
    <row r="21933" spans="9:13" x14ac:dyDescent="0.3">
      <c r="I21933" s="82"/>
      <c r="M21933" s="85"/>
    </row>
    <row r="21934" spans="9:13" x14ac:dyDescent="0.3">
      <c r="I21934" s="82"/>
      <c r="M21934" s="85"/>
    </row>
    <row r="21935" spans="9:13" x14ac:dyDescent="0.3">
      <c r="I21935" s="82"/>
      <c r="M21935" s="85"/>
    </row>
    <row r="21936" spans="9:13" x14ac:dyDescent="0.3">
      <c r="I21936" s="82"/>
      <c r="M21936" s="85"/>
    </row>
    <row r="21937" spans="9:13" x14ac:dyDescent="0.3">
      <c r="I21937" s="82"/>
      <c r="M21937" s="85"/>
    </row>
    <row r="21938" spans="9:13" x14ac:dyDescent="0.3">
      <c r="I21938" s="82"/>
      <c r="M21938" s="85"/>
    </row>
    <row r="21939" spans="9:13" x14ac:dyDescent="0.3">
      <c r="I21939" s="82"/>
      <c r="M21939" s="85"/>
    </row>
    <row r="21940" spans="9:13" x14ac:dyDescent="0.3">
      <c r="I21940" s="82"/>
      <c r="M21940" s="85"/>
    </row>
    <row r="21941" spans="9:13" x14ac:dyDescent="0.3">
      <c r="I21941" s="82"/>
      <c r="M21941" s="85"/>
    </row>
    <row r="21942" spans="9:13" x14ac:dyDescent="0.3">
      <c r="I21942" s="82"/>
      <c r="M21942" s="85"/>
    </row>
    <row r="21943" spans="9:13" x14ac:dyDescent="0.3">
      <c r="I21943" s="82"/>
      <c r="M21943" s="85"/>
    </row>
    <row r="21944" spans="9:13" x14ac:dyDescent="0.3">
      <c r="I21944" s="82"/>
      <c r="M21944" s="85"/>
    </row>
    <row r="21945" spans="9:13" x14ac:dyDescent="0.3">
      <c r="I21945" s="82"/>
      <c r="M21945" s="85"/>
    </row>
    <row r="21946" spans="9:13" x14ac:dyDescent="0.3">
      <c r="I21946" s="82"/>
      <c r="M21946" s="85"/>
    </row>
    <row r="21947" spans="9:13" x14ac:dyDescent="0.3">
      <c r="I21947" s="82"/>
      <c r="M21947" s="85"/>
    </row>
    <row r="21948" spans="9:13" x14ac:dyDescent="0.3">
      <c r="I21948" s="82"/>
      <c r="M21948" s="85"/>
    </row>
    <row r="21949" spans="9:13" x14ac:dyDescent="0.3">
      <c r="I21949" s="82"/>
      <c r="M21949" s="85"/>
    </row>
    <row r="21950" spans="9:13" x14ac:dyDescent="0.3">
      <c r="I21950" s="82"/>
      <c r="M21950" s="85"/>
    </row>
    <row r="21951" spans="9:13" x14ac:dyDescent="0.3">
      <c r="I21951" s="82"/>
      <c r="M21951" s="85"/>
    </row>
    <row r="21952" spans="9:13" x14ac:dyDescent="0.3">
      <c r="I21952" s="82"/>
      <c r="M21952" s="85"/>
    </row>
    <row r="21953" spans="9:13" x14ac:dyDescent="0.3">
      <c r="I21953" s="82"/>
      <c r="M21953" s="85"/>
    </row>
    <row r="21954" spans="9:13" x14ac:dyDescent="0.3">
      <c r="I21954" s="82"/>
      <c r="M21954" s="85"/>
    </row>
    <row r="21955" spans="9:13" x14ac:dyDescent="0.3">
      <c r="I21955" s="82"/>
      <c r="M21955" s="85"/>
    </row>
    <row r="21956" spans="9:13" x14ac:dyDescent="0.3">
      <c r="I21956" s="82"/>
      <c r="M21956" s="85"/>
    </row>
    <row r="21957" spans="9:13" x14ac:dyDescent="0.3">
      <c r="I21957" s="82"/>
      <c r="M21957" s="85"/>
    </row>
    <row r="21958" spans="9:13" x14ac:dyDescent="0.3">
      <c r="I21958" s="82"/>
      <c r="M21958" s="85"/>
    </row>
    <row r="21959" spans="9:13" x14ac:dyDescent="0.3">
      <c r="I21959" s="82"/>
      <c r="M21959" s="85"/>
    </row>
    <row r="21960" spans="9:13" x14ac:dyDescent="0.3">
      <c r="I21960" s="82"/>
      <c r="M21960" s="85"/>
    </row>
    <row r="21961" spans="9:13" x14ac:dyDescent="0.3">
      <c r="I21961" s="82"/>
      <c r="M21961" s="85"/>
    </row>
    <row r="21962" spans="9:13" x14ac:dyDescent="0.3">
      <c r="I21962" s="82"/>
      <c r="M21962" s="85"/>
    </row>
    <row r="21963" spans="9:13" x14ac:dyDescent="0.3">
      <c r="I21963" s="82"/>
      <c r="M21963" s="85"/>
    </row>
    <row r="21964" spans="9:13" x14ac:dyDescent="0.3">
      <c r="I21964" s="82"/>
      <c r="M21964" s="85"/>
    </row>
    <row r="21965" spans="9:13" x14ac:dyDescent="0.3">
      <c r="I21965" s="82"/>
      <c r="M21965" s="85"/>
    </row>
    <row r="21966" spans="9:13" x14ac:dyDescent="0.3">
      <c r="I21966" s="82"/>
      <c r="M21966" s="85"/>
    </row>
    <row r="21967" spans="9:13" x14ac:dyDescent="0.3">
      <c r="I21967" s="82"/>
      <c r="M21967" s="85"/>
    </row>
    <row r="21968" spans="9:13" x14ac:dyDescent="0.3">
      <c r="I21968" s="82"/>
      <c r="M21968" s="85"/>
    </row>
    <row r="21969" spans="9:13" x14ac:dyDescent="0.3">
      <c r="I21969" s="82"/>
      <c r="M21969" s="85"/>
    </row>
    <row r="21970" spans="9:13" x14ac:dyDescent="0.3">
      <c r="I21970" s="82"/>
      <c r="M21970" s="85"/>
    </row>
    <row r="21971" spans="9:13" x14ac:dyDescent="0.3">
      <c r="I21971" s="82"/>
      <c r="M21971" s="85"/>
    </row>
    <row r="21972" spans="9:13" x14ac:dyDescent="0.3">
      <c r="I21972" s="82"/>
      <c r="M21972" s="85"/>
    </row>
    <row r="21973" spans="9:13" x14ac:dyDescent="0.3">
      <c r="I21973" s="82"/>
      <c r="M21973" s="85"/>
    </row>
    <row r="21974" spans="9:13" x14ac:dyDescent="0.3">
      <c r="I21974" s="82"/>
      <c r="M21974" s="85"/>
    </row>
    <row r="21975" spans="9:13" x14ac:dyDescent="0.3">
      <c r="I21975" s="82"/>
      <c r="M21975" s="85"/>
    </row>
    <row r="21976" spans="9:13" x14ac:dyDescent="0.3">
      <c r="I21976" s="82"/>
      <c r="M21976" s="85"/>
    </row>
    <row r="21977" spans="9:13" x14ac:dyDescent="0.3">
      <c r="I21977" s="82"/>
      <c r="M21977" s="85"/>
    </row>
    <row r="21978" spans="9:13" x14ac:dyDescent="0.3">
      <c r="I21978" s="82"/>
      <c r="M21978" s="85"/>
    </row>
    <row r="21979" spans="9:13" x14ac:dyDescent="0.3">
      <c r="I21979" s="82"/>
      <c r="M21979" s="85"/>
    </row>
    <row r="21980" spans="9:13" x14ac:dyDescent="0.3">
      <c r="I21980" s="82"/>
      <c r="M21980" s="85"/>
    </row>
    <row r="21981" spans="9:13" x14ac:dyDescent="0.3">
      <c r="I21981" s="82"/>
      <c r="M21981" s="85"/>
    </row>
    <row r="21982" spans="9:13" x14ac:dyDescent="0.3">
      <c r="I21982" s="82"/>
      <c r="M21982" s="85"/>
    </row>
    <row r="21983" spans="9:13" x14ac:dyDescent="0.3">
      <c r="I21983" s="82"/>
      <c r="M21983" s="85"/>
    </row>
    <row r="21984" spans="9:13" x14ac:dyDescent="0.3">
      <c r="I21984" s="82"/>
      <c r="M21984" s="85"/>
    </row>
    <row r="21985" spans="9:13" x14ac:dyDescent="0.3">
      <c r="I21985" s="82"/>
      <c r="M21985" s="85"/>
    </row>
    <row r="21986" spans="9:13" x14ac:dyDescent="0.3">
      <c r="I21986" s="82"/>
      <c r="M21986" s="85"/>
    </row>
    <row r="21987" spans="9:13" x14ac:dyDescent="0.3">
      <c r="I21987" s="82"/>
      <c r="M21987" s="85"/>
    </row>
    <row r="21988" spans="9:13" x14ac:dyDescent="0.3">
      <c r="I21988" s="82"/>
      <c r="M21988" s="85"/>
    </row>
    <row r="21989" spans="9:13" x14ac:dyDescent="0.3">
      <c r="I21989" s="82"/>
      <c r="M21989" s="85"/>
    </row>
    <row r="21990" spans="9:13" x14ac:dyDescent="0.3">
      <c r="I21990" s="82"/>
      <c r="M21990" s="85"/>
    </row>
    <row r="21991" spans="9:13" x14ac:dyDescent="0.3">
      <c r="I21991" s="82"/>
      <c r="M21991" s="85"/>
    </row>
    <row r="21992" spans="9:13" x14ac:dyDescent="0.3">
      <c r="I21992" s="82"/>
      <c r="M21992" s="85"/>
    </row>
    <row r="21993" spans="9:13" x14ac:dyDescent="0.3">
      <c r="I21993" s="82"/>
      <c r="M21993" s="85"/>
    </row>
    <row r="21994" spans="9:13" x14ac:dyDescent="0.3">
      <c r="I21994" s="82"/>
      <c r="M21994" s="85"/>
    </row>
    <row r="21995" spans="9:13" x14ac:dyDescent="0.3">
      <c r="I21995" s="82"/>
      <c r="M21995" s="85"/>
    </row>
    <row r="21996" spans="9:13" x14ac:dyDescent="0.3">
      <c r="I21996" s="82"/>
      <c r="M21996" s="85"/>
    </row>
    <row r="21997" spans="9:13" x14ac:dyDescent="0.3">
      <c r="I21997" s="82"/>
      <c r="M21997" s="85"/>
    </row>
    <row r="21998" spans="9:13" x14ac:dyDescent="0.3">
      <c r="I21998" s="82"/>
      <c r="M21998" s="85"/>
    </row>
    <row r="21999" spans="9:13" x14ac:dyDescent="0.3">
      <c r="I21999" s="82"/>
      <c r="M21999" s="85"/>
    </row>
    <row r="22000" spans="9:13" x14ac:dyDescent="0.3">
      <c r="I22000" s="82"/>
      <c r="M22000" s="85"/>
    </row>
    <row r="22001" spans="9:13" x14ac:dyDescent="0.3">
      <c r="I22001" s="82"/>
      <c r="M22001" s="85"/>
    </row>
    <row r="22002" spans="9:13" x14ac:dyDescent="0.3">
      <c r="I22002" s="82"/>
      <c r="M22002" s="85"/>
    </row>
    <row r="22003" spans="9:13" x14ac:dyDescent="0.3">
      <c r="I22003" s="82"/>
      <c r="M22003" s="85"/>
    </row>
    <row r="22004" spans="9:13" x14ac:dyDescent="0.3">
      <c r="I22004" s="82"/>
      <c r="M22004" s="85"/>
    </row>
    <row r="22005" spans="9:13" x14ac:dyDescent="0.3">
      <c r="I22005" s="82"/>
      <c r="M22005" s="85"/>
    </row>
    <row r="22006" spans="9:13" x14ac:dyDescent="0.3">
      <c r="I22006" s="82"/>
      <c r="M22006" s="85"/>
    </row>
    <row r="22007" spans="9:13" x14ac:dyDescent="0.3">
      <c r="I22007" s="82"/>
      <c r="M22007" s="85"/>
    </row>
    <row r="22008" spans="9:13" x14ac:dyDescent="0.3">
      <c r="I22008" s="82"/>
      <c r="M22008" s="85"/>
    </row>
    <row r="22009" spans="9:13" x14ac:dyDescent="0.3">
      <c r="I22009" s="82"/>
      <c r="M22009" s="85"/>
    </row>
    <row r="22010" spans="9:13" x14ac:dyDescent="0.3">
      <c r="I22010" s="82"/>
      <c r="M22010" s="85"/>
    </row>
    <row r="22011" spans="9:13" x14ac:dyDescent="0.3">
      <c r="I22011" s="82"/>
      <c r="M22011" s="85"/>
    </row>
    <row r="22012" spans="9:13" x14ac:dyDescent="0.3">
      <c r="I22012" s="82"/>
      <c r="M22012" s="85"/>
    </row>
    <row r="22013" spans="9:13" x14ac:dyDescent="0.3">
      <c r="I22013" s="82"/>
      <c r="M22013" s="85"/>
    </row>
    <row r="22014" spans="9:13" x14ac:dyDescent="0.3">
      <c r="I22014" s="82"/>
      <c r="M22014" s="85"/>
    </row>
    <row r="22015" spans="9:13" x14ac:dyDescent="0.3">
      <c r="I22015" s="82"/>
      <c r="M22015" s="85"/>
    </row>
    <row r="22016" spans="9:13" x14ac:dyDescent="0.3">
      <c r="I22016" s="82"/>
      <c r="M22016" s="85"/>
    </row>
    <row r="22017" spans="9:13" x14ac:dyDescent="0.3">
      <c r="I22017" s="82"/>
      <c r="M22017" s="85"/>
    </row>
    <row r="22018" spans="9:13" x14ac:dyDescent="0.3">
      <c r="I22018" s="82"/>
      <c r="M22018" s="85"/>
    </row>
    <row r="22019" spans="9:13" x14ac:dyDescent="0.3">
      <c r="I22019" s="82"/>
      <c r="M22019" s="85"/>
    </row>
    <row r="22020" spans="9:13" x14ac:dyDescent="0.3">
      <c r="I22020" s="82"/>
      <c r="M22020" s="85"/>
    </row>
    <row r="22021" spans="9:13" x14ac:dyDescent="0.3">
      <c r="I22021" s="82"/>
      <c r="M22021" s="85"/>
    </row>
    <row r="22022" spans="9:13" x14ac:dyDescent="0.3">
      <c r="I22022" s="82"/>
      <c r="M22022" s="85"/>
    </row>
    <row r="22023" spans="9:13" x14ac:dyDescent="0.3">
      <c r="I22023" s="82"/>
      <c r="M22023" s="85"/>
    </row>
    <row r="22024" spans="9:13" x14ac:dyDescent="0.3">
      <c r="I22024" s="82"/>
      <c r="M22024" s="85"/>
    </row>
    <row r="22025" spans="9:13" x14ac:dyDescent="0.3">
      <c r="I22025" s="82"/>
      <c r="M22025" s="85"/>
    </row>
    <row r="22026" spans="9:13" x14ac:dyDescent="0.3">
      <c r="I22026" s="82"/>
      <c r="M22026" s="85"/>
    </row>
    <row r="22027" spans="9:13" x14ac:dyDescent="0.3">
      <c r="I22027" s="82"/>
      <c r="M22027" s="85"/>
    </row>
    <row r="22028" spans="9:13" x14ac:dyDescent="0.3">
      <c r="I22028" s="82"/>
      <c r="M22028" s="85"/>
    </row>
    <row r="22029" spans="9:13" x14ac:dyDescent="0.3">
      <c r="I22029" s="82"/>
      <c r="M22029" s="85"/>
    </row>
    <row r="22030" spans="9:13" x14ac:dyDescent="0.3">
      <c r="I22030" s="82"/>
      <c r="M22030" s="85"/>
    </row>
    <row r="22031" spans="9:13" x14ac:dyDescent="0.3">
      <c r="I22031" s="82"/>
      <c r="M22031" s="85"/>
    </row>
    <row r="22032" spans="9:13" x14ac:dyDescent="0.3">
      <c r="I22032" s="82"/>
      <c r="M22032" s="85"/>
    </row>
    <row r="22033" spans="9:13" x14ac:dyDescent="0.3">
      <c r="I22033" s="82"/>
      <c r="M22033" s="85"/>
    </row>
    <row r="22034" spans="9:13" x14ac:dyDescent="0.3">
      <c r="I22034" s="82"/>
      <c r="M22034" s="85"/>
    </row>
    <row r="22035" spans="9:13" x14ac:dyDescent="0.3">
      <c r="I22035" s="82"/>
      <c r="M22035" s="85"/>
    </row>
    <row r="22036" spans="9:13" x14ac:dyDescent="0.3">
      <c r="I22036" s="82"/>
      <c r="M22036" s="85"/>
    </row>
    <row r="22037" spans="9:13" x14ac:dyDescent="0.3">
      <c r="I22037" s="82"/>
      <c r="M22037" s="85"/>
    </row>
    <row r="22038" spans="9:13" x14ac:dyDescent="0.3">
      <c r="I22038" s="82"/>
      <c r="M22038" s="85"/>
    </row>
    <row r="22039" spans="9:13" x14ac:dyDescent="0.3">
      <c r="I22039" s="82"/>
      <c r="M22039" s="85"/>
    </row>
    <row r="22040" spans="9:13" x14ac:dyDescent="0.3">
      <c r="I22040" s="82"/>
      <c r="M22040" s="85"/>
    </row>
    <row r="22041" spans="9:13" x14ac:dyDescent="0.3">
      <c r="I22041" s="82"/>
      <c r="M22041" s="85"/>
    </row>
    <row r="22042" spans="9:13" x14ac:dyDescent="0.3">
      <c r="I22042" s="82"/>
      <c r="M22042" s="85"/>
    </row>
    <row r="22043" spans="9:13" x14ac:dyDescent="0.3">
      <c r="I22043" s="82"/>
      <c r="M22043" s="85"/>
    </row>
    <row r="22044" spans="9:13" x14ac:dyDescent="0.3">
      <c r="I22044" s="82"/>
      <c r="M22044" s="85"/>
    </row>
    <row r="22045" spans="9:13" x14ac:dyDescent="0.3">
      <c r="I22045" s="82"/>
      <c r="M22045" s="85"/>
    </row>
    <row r="22046" spans="9:13" x14ac:dyDescent="0.3">
      <c r="I22046" s="82"/>
      <c r="M22046" s="85"/>
    </row>
    <row r="22047" spans="9:13" x14ac:dyDescent="0.3">
      <c r="I22047" s="82"/>
      <c r="M22047" s="85"/>
    </row>
    <row r="22048" spans="9:13" x14ac:dyDescent="0.3">
      <c r="I22048" s="82"/>
      <c r="M22048" s="85"/>
    </row>
    <row r="22049" spans="9:13" x14ac:dyDescent="0.3">
      <c r="I22049" s="82"/>
      <c r="M22049" s="85"/>
    </row>
    <row r="22050" spans="9:13" x14ac:dyDescent="0.3">
      <c r="I22050" s="82"/>
      <c r="M22050" s="85"/>
    </row>
    <row r="22051" spans="9:13" x14ac:dyDescent="0.3">
      <c r="I22051" s="82"/>
      <c r="M22051" s="85"/>
    </row>
    <row r="22052" spans="9:13" x14ac:dyDescent="0.3">
      <c r="I22052" s="82"/>
      <c r="M22052" s="85"/>
    </row>
    <row r="22053" spans="9:13" x14ac:dyDescent="0.3">
      <c r="I22053" s="82"/>
      <c r="M22053" s="85"/>
    </row>
    <row r="22054" spans="9:13" x14ac:dyDescent="0.3">
      <c r="I22054" s="82"/>
      <c r="M22054" s="85"/>
    </row>
    <row r="22055" spans="9:13" x14ac:dyDescent="0.3">
      <c r="I22055" s="82"/>
      <c r="M22055" s="85"/>
    </row>
    <row r="22056" spans="9:13" x14ac:dyDescent="0.3">
      <c r="I22056" s="82"/>
      <c r="M22056" s="85"/>
    </row>
    <row r="22057" spans="9:13" x14ac:dyDescent="0.3">
      <c r="I22057" s="82"/>
      <c r="M22057" s="85"/>
    </row>
    <row r="22058" spans="9:13" x14ac:dyDescent="0.3">
      <c r="I22058" s="82"/>
      <c r="M22058" s="85"/>
    </row>
    <row r="22059" spans="9:13" x14ac:dyDescent="0.3">
      <c r="I22059" s="82"/>
      <c r="M22059" s="85"/>
    </row>
    <row r="22060" spans="9:13" x14ac:dyDescent="0.3">
      <c r="I22060" s="82"/>
      <c r="M22060" s="85"/>
    </row>
    <row r="22061" spans="9:13" x14ac:dyDescent="0.3">
      <c r="I22061" s="82"/>
      <c r="M22061" s="85"/>
    </row>
    <row r="22062" spans="9:13" x14ac:dyDescent="0.3">
      <c r="I22062" s="82"/>
      <c r="M22062" s="85"/>
    </row>
    <row r="22063" spans="9:13" x14ac:dyDescent="0.3">
      <c r="I22063" s="82"/>
      <c r="M22063" s="85"/>
    </row>
    <row r="22064" spans="9:13" x14ac:dyDescent="0.3">
      <c r="I22064" s="82"/>
      <c r="M22064" s="85"/>
    </row>
    <row r="22065" spans="9:13" x14ac:dyDescent="0.3">
      <c r="I22065" s="82"/>
      <c r="M22065" s="85"/>
    </row>
    <row r="22066" spans="9:13" x14ac:dyDescent="0.3">
      <c r="I22066" s="82"/>
      <c r="M22066" s="85"/>
    </row>
    <row r="22067" spans="9:13" x14ac:dyDescent="0.3">
      <c r="I22067" s="82"/>
      <c r="M22067" s="85"/>
    </row>
    <row r="22068" spans="9:13" x14ac:dyDescent="0.3">
      <c r="I22068" s="82"/>
      <c r="M22068" s="85"/>
    </row>
    <row r="22069" spans="9:13" x14ac:dyDescent="0.3">
      <c r="I22069" s="82"/>
      <c r="M22069" s="85"/>
    </row>
    <row r="22070" spans="9:13" x14ac:dyDescent="0.3">
      <c r="I22070" s="82"/>
      <c r="M22070" s="85"/>
    </row>
    <row r="22071" spans="9:13" x14ac:dyDescent="0.3">
      <c r="I22071" s="82"/>
      <c r="M22071" s="85"/>
    </row>
    <row r="22072" spans="9:13" x14ac:dyDescent="0.3">
      <c r="I22072" s="82"/>
      <c r="M22072" s="85"/>
    </row>
    <row r="22073" spans="9:13" x14ac:dyDescent="0.3">
      <c r="I22073" s="82"/>
      <c r="M22073" s="85"/>
    </row>
    <row r="22074" spans="9:13" x14ac:dyDescent="0.3">
      <c r="I22074" s="82"/>
      <c r="M22074" s="85"/>
    </row>
    <row r="22075" spans="9:13" x14ac:dyDescent="0.3">
      <c r="I22075" s="82"/>
      <c r="M22075" s="85"/>
    </row>
    <row r="22076" spans="9:13" x14ac:dyDescent="0.3">
      <c r="I22076" s="82"/>
      <c r="M22076" s="85"/>
    </row>
    <row r="22077" spans="9:13" x14ac:dyDescent="0.3">
      <c r="I22077" s="82"/>
      <c r="M22077" s="85"/>
    </row>
    <row r="22078" spans="9:13" x14ac:dyDescent="0.3">
      <c r="I22078" s="82"/>
      <c r="M22078" s="85"/>
    </row>
    <row r="22079" spans="9:13" x14ac:dyDescent="0.3">
      <c r="I22079" s="82"/>
      <c r="M22079" s="85"/>
    </row>
    <row r="22080" spans="9:13" x14ac:dyDescent="0.3">
      <c r="I22080" s="82"/>
      <c r="M22080" s="85"/>
    </row>
    <row r="22081" spans="9:13" x14ac:dyDescent="0.3">
      <c r="I22081" s="82"/>
      <c r="M22081" s="85"/>
    </row>
    <row r="22082" spans="9:13" x14ac:dyDescent="0.3">
      <c r="I22082" s="82"/>
      <c r="M22082" s="85"/>
    </row>
    <row r="22083" spans="9:13" x14ac:dyDescent="0.3">
      <c r="I22083" s="82"/>
      <c r="M22083" s="85"/>
    </row>
    <row r="22084" spans="9:13" x14ac:dyDescent="0.3">
      <c r="I22084" s="82"/>
      <c r="M22084" s="85"/>
    </row>
    <row r="22085" spans="9:13" x14ac:dyDescent="0.3">
      <c r="I22085" s="82"/>
      <c r="M22085" s="85"/>
    </row>
    <row r="22086" spans="9:13" x14ac:dyDescent="0.3">
      <c r="I22086" s="82"/>
      <c r="M22086" s="85"/>
    </row>
    <row r="22087" spans="9:13" x14ac:dyDescent="0.3">
      <c r="I22087" s="82"/>
      <c r="M22087" s="85"/>
    </row>
    <row r="22088" spans="9:13" x14ac:dyDescent="0.3">
      <c r="I22088" s="82"/>
      <c r="M22088" s="85"/>
    </row>
    <row r="22089" spans="9:13" x14ac:dyDescent="0.3">
      <c r="I22089" s="82"/>
      <c r="M22089" s="85"/>
    </row>
    <row r="22090" spans="9:13" x14ac:dyDescent="0.3">
      <c r="I22090" s="82"/>
      <c r="M22090" s="85"/>
    </row>
    <row r="22091" spans="9:13" x14ac:dyDescent="0.3">
      <c r="I22091" s="82"/>
      <c r="M22091" s="85"/>
    </row>
    <row r="22092" spans="9:13" x14ac:dyDescent="0.3">
      <c r="I22092" s="82"/>
      <c r="M22092" s="85"/>
    </row>
    <row r="22093" spans="9:13" x14ac:dyDescent="0.3">
      <c r="I22093" s="82"/>
      <c r="M22093" s="85"/>
    </row>
    <row r="22094" spans="9:13" x14ac:dyDescent="0.3">
      <c r="I22094" s="82"/>
      <c r="M22094" s="85"/>
    </row>
    <row r="22095" spans="9:13" x14ac:dyDescent="0.3">
      <c r="I22095" s="82"/>
      <c r="M22095" s="85"/>
    </row>
    <row r="22096" spans="9:13" x14ac:dyDescent="0.3">
      <c r="I22096" s="82"/>
      <c r="M22096" s="85"/>
    </row>
    <row r="22097" spans="9:13" x14ac:dyDescent="0.3">
      <c r="I22097" s="82"/>
      <c r="M22097" s="85"/>
    </row>
    <row r="22098" spans="9:13" x14ac:dyDescent="0.3">
      <c r="I22098" s="82"/>
      <c r="M22098" s="85"/>
    </row>
    <row r="22099" spans="9:13" x14ac:dyDescent="0.3">
      <c r="I22099" s="82"/>
      <c r="M22099" s="85"/>
    </row>
    <row r="22100" spans="9:13" x14ac:dyDescent="0.3">
      <c r="I22100" s="82"/>
      <c r="M22100" s="85"/>
    </row>
    <row r="22101" spans="9:13" x14ac:dyDescent="0.3">
      <c r="I22101" s="82"/>
      <c r="M22101" s="85"/>
    </row>
    <row r="22102" spans="9:13" x14ac:dyDescent="0.3">
      <c r="I22102" s="82"/>
      <c r="M22102" s="85"/>
    </row>
    <row r="22103" spans="9:13" x14ac:dyDescent="0.3">
      <c r="I22103" s="82"/>
      <c r="M22103" s="85"/>
    </row>
    <row r="22104" spans="9:13" x14ac:dyDescent="0.3">
      <c r="I22104" s="82"/>
      <c r="M22104" s="85"/>
    </row>
    <row r="22105" spans="9:13" x14ac:dyDescent="0.3">
      <c r="I22105" s="82"/>
      <c r="M22105" s="85"/>
    </row>
    <row r="22106" spans="9:13" x14ac:dyDescent="0.3">
      <c r="I22106" s="82"/>
      <c r="M22106" s="85"/>
    </row>
    <row r="22107" spans="9:13" x14ac:dyDescent="0.3">
      <c r="I22107" s="82"/>
      <c r="M22107" s="85"/>
    </row>
    <row r="22108" spans="9:13" x14ac:dyDescent="0.3">
      <c r="I22108" s="82"/>
      <c r="M22108" s="85"/>
    </row>
    <row r="22109" spans="9:13" x14ac:dyDescent="0.3">
      <c r="I22109" s="82"/>
      <c r="M22109" s="85"/>
    </row>
    <row r="22110" spans="9:13" x14ac:dyDescent="0.3">
      <c r="I22110" s="82"/>
      <c r="M22110" s="85"/>
    </row>
    <row r="22111" spans="9:13" x14ac:dyDescent="0.3">
      <c r="I22111" s="82"/>
      <c r="M22111" s="85"/>
    </row>
    <row r="22112" spans="9:13" x14ac:dyDescent="0.3">
      <c r="I22112" s="82"/>
      <c r="M22112" s="85"/>
    </row>
    <row r="22113" spans="9:13" x14ac:dyDescent="0.3">
      <c r="I22113" s="82"/>
      <c r="M22113" s="85"/>
    </row>
    <row r="22114" spans="9:13" x14ac:dyDescent="0.3">
      <c r="I22114" s="82"/>
      <c r="M22114" s="85"/>
    </row>
    <row r="22115" spans="9:13" x14ac:dyDescent="0.3">
      <c r="I22115" s="82"/>
      <c r="M22115" s="85"/>
    </row>
    <row r="22116" spans="9:13" x14ac:dyDescent="0.3">
      <c r="I22116" s="82"/>
      <c r="M22116" s="85"/>
    </row>
    <row r="22117" spans="9:13" x14ac:dyDescent="0.3">
      <c r="I22117" s="82"/>
      <c r="M22117" s="85"/>
    </row>
    <row r="22118" spans="9:13" x14ac:dyDescent="0.3">
      <c r="I22118" s="82"/>
      <c r="M22118" s="85"/>
    </row>
    <row r="22119" spans="9:13" x14ac:dyDescent="0.3">
      <c r="I22119" s="82"/>
      <c r="M22119" s="85"/>
    </row>
    <row r="22120" spans="9:13" x14ac:dyDescent="0.3">
      <c r="I22120" s="82"/>
      <c r="M22120" s="85"/>
    </row>
    <row r="22121" spans="9:13" x14ac:dyDescent="0.3">
      <c r="I22121" s="82"/>
      <c r="M22121" s="85"/>
    </row>
    <row r="22122" spans="9:13" x14ac:dyDescent="0.3">
      <c r="I22122" s="82"/>
      <c r="M22122" s="85"/>
    </row>
    <row r="22123" spans="9:13" x14ac:dyDescent="0.3">
      <c r="I22123" s="82"/>
      <c r="M22123" s="85"/>
    </row>
    <row r="22124" spans="9:13" x14ac:dyDescent="0.3">
      <c r="I22124" s="82"/>
      <c r="M22124" s="85"/>
    </row>
    <row r="22125" spans="9:13" x14ac:dyDescent="0.3">
      <c r="I22125" s="82"/>
      <c r="M22125" s="85"/>
    </row>
    <row r="22126" spans="9:13" x14ac:dyDescent="0.3">
      <c r="I22126" s="82"/>
      <c r="M22126" s="85"/>
    </row>
    <row r="22127" spans="9:13" x14ac:dyDescent="0.3">
      <c r="I22127" s="82"/>
      <c r="M22127" s="85"/>
    </row>
    <row r="22128" spans="9:13" x14ac:dyDescent="0.3">
      <c r="I22128" s="82"/>
      <c r="M22128" s="85"/>
    </row>
    <row r="22129" spans="9:13" x14ac:dyDescent="0.3">
      <c r="I22129" s="82"/>
      <c r="M22129" s="85"/>
    </row>
    <row r="22130" spans="9:13" x14ac:dyDescent="0.3">
      <c r="I22130" s="82"/>
      <c r="M22130" s="85"/>
    </row>
    <row r="22131" spans="9:13" x14ac:dyDescent="0.3">
      <c r="I22131" s="82"/>
      <c r="M22131" s="85"/>
    </row>
    <row r="22132" spans="9:13" x14ac:dyDescent="0.3">
      <c r="I22132" s="82"/>
      <c r="M22132" s="85"/>
    </row>
    <row r="22133" spans="9:13" x14ac:dyDescent="0.3">
      <c r="I22133" s="82"/>
      <c r="M22133" s="85"/>
    </row>
    <row r="22134" spans="9:13" x14ac:dyDescent="0.3">
      <c r="I22134" s="82"/>
      <c r="M22134" s="85"/>
    </row>
    <row r="22135" spans="9:13" x14ac:dyDescent="0.3">
      <c r="I22135" s="82"/>
      <c r="M22135" s="85"/>
    </row>
    <row r="22136" spans="9:13" x14ac:dyDescent="0.3">
      <c r="I22136" s="82"/>
      <c r="M22136" s="85"/>
    </row>
    <row r="22137" spans="9:13" x14ac:dyDescent="0.3">
      <c r="I22137" s="82"/>
      <c r="M22137" s="85"/>
    </row>
    <row r="22138" spans="9:13" x14ac:dyDescent="0.3">
      <c r="I22138" s="82"/>
      <c r="M22138" s="85"/>
    </row>
    <row r="22139" spans="9:13" x14ac:dyDescent="0.3">
      <c r="I22139" s="82"/>
      <c r="M22139" s="85"/>
    </row>
    <row r="22140" spans="9:13" x14ac:dyDescent="0.3">
      <c r="I22140" s="82"/>
      <c r="M22140" s="85"/>
    </row>
    <row r="22141" spans="9:13" x14ac:dyDescent="0.3">
      <c r="I22141" s="82"/>
      <c r="M22141" s="85"/>
    </row>
    <row r="22142" spans="9:13" x14ac:dyDescent="0.3">
      <c r="I22142" s="82"/>
      <c r="M22142" s="85"/>
    </row>
    <row r="22143" spans="9:13" x14ac:dyDescent="0.3">
      <c r="I22143" s="82"/>
      <c r="M22143" s="85"/>
    </row>
    <row r="22144" spans="9:13" x14ac:dyDescent="0.3">
      <c r="I22144" s="82"/>
      <c r="M22144" s="85"/>
    </row>
    <row r="22145" spans="9:13" x14ac:dyDescent="0.3">
      <c r="I22145" s="82"/>
      <c r="M22145" s="85"/>
    </row>
    <row r="22146" spans="9:13" x14ac:dyDescent="0.3">
      <c r="I22146" s="82"/>
      <c r="M22146" s="85"/>
    </row>
    <row r="22147" spans="9:13" x14ac:dyDescent="0.3">
      <c r="I22147" s="82"/>
      <c r="M22147" s="85"/>
    </row>
    <row r="22148" spans="9:13" x14ac:dyDescent="0.3">
      <c r="I22148" s="82"/>
      <c r="M22148" s="85"/>
    </row>
    <row r="22149" spans="9:13" x14ac:dyDescent="0.3">
      <c r="I22149" s="82"/>
      <c r="M22149" s="85"/>
    </row>
    <row r="22150" spans="9:13" x14ac:dyDescent="0.3">
      <c r="I22150" s="82"/>
      <c r="M22150" s="85"/>
    </row>
    <row r="22151" spans="9:13" x14ac:dyDescent="0.3">
      <c r="I22151" s="82"/>
      <c r="M22151" s="85"/>
    </row>
    <row r="22152" spans="9:13" x14ac:dyDescent="0.3">
      <c r="I22152" s="82"/>
      <c r="M22152" s="85"/>
    </row>
    <row r="22153" spans="9:13" x14ac:dyDescent="0.3">
      <c r="I22153" s="82"/>
      <c r="M22153" s="85"/>
    </row>
    <row r="22154" spans="9:13" x14ac:dyDescent="0.3">
      <c r="I22154" s="82"/>
      <c r="M22154" s="85"/>
    </row>
    <row r="22155" spans="9:13" x14ac:dyDescent="0.3">
      <c r="I22155" s="82"/>
      <c r="M22155" s="85"/>
    </row>
    <row r="22156" spans="9:13" x14ac:dyDescent="0.3">
      <c r="I22156" s="82"/>
      <c r="M22156" s="85"/>
    </row>
    <row r="22157" spans="9:13" x14ac:dyDescent="0.3">
      <c r="I22157" s="82"/>
      <c r="M22157" s="85"/>
    </row>
    <row r="22158" spans="9:13" x14ac:dyDescent="0.3">
      <c r="I22158" s="82"/>
      <c r="M22158" s="85"/>
    </row>
    <row r="22159" spans="9:13" x14ac:dyDescent="0.3">
      <c r="I22159" s="82"/>
      <c r="M22159" s="85"/>
    </row>
    <row r="22160" spans="9:13" x14ac:dyDescent="0.3">
      <c r="I22160" s="82"/>
      <c r="M22160" s="85"/>
    </row>
    <row r="22161" spans="9:13" x14ac:dyDescent="0.3">
      <c r="I22161" s="82"/>
      <c r="M22161" s="85"/>
    </row>
    <row r="22162" spans="9:13" x14ac:dyDescent="0.3">
      <c r="I22162" s="82"/>
      <c r="M22162" s="85"/>
    </row>
    <row r="22163" spans="9:13" x14ac:dyDescent="0.3">
      <c r="I22163" s="82"/>
      <c r="M22163" s="85"/>
    </row>
    <row r="22164" spans="9:13" x14ac:dyDescent="0.3">
      <c r="I22164" s="82"/>
      <c r="M22164" s="85"/>
    </row>
    <row r="22165" spans="9:13" x14ac:dyDescent="0.3">
      <c r="I22165" s="82"/>
      <c r="M22165" s="85"/>
    </row>
    <row r="22166" spans="9:13" x14ac:dyDescent="0.3">
      <c r="I22166" s="82"/>
      <c r="M22166" s="85"/>
    </row>
    <row r="22167" spans="9:13" x14ac:dyDescent="0.3">
      <c r="I22167" s="82"/>
      <c r="M22167" s="85"/>
    </row>
    <row r="22168" spans="9:13" x14ac:dyDescent="0.3">
      <c r="I22168" s="82"/>
      <c r="M22168" s="85"/>
    </row>
    <row r="22169" spans="9:13" x14ac:dyDescent="0.3">
      <c r="I22169" s="82"/>
      <c r="M22169" s="85"/>
    </row>
    <row r="22170" spans="9:13" x14ac:dyDescent="0.3">
      <c r="I22170" s="82"/>
      <c r="M22170" s="85"/>
    </row>
    <row r="22171" spans="9:13" x14ac:dyDescent="0.3">
      <c r="I22171" s="82"/>
      <c r="M22171" s="85"/>
    </row>
    <row r="22172" spans="9:13" x14ac:dyDescent="0.3">
      <c r="I22172" s="82"/>
      <c r="M22172" s="85"/>
    </row>
    <row r="22173" spans="9:13" x14ac:dyDescent="0.3">
      <c r="I22173" s="82"/>
      <c r="M22173" s="85"/>
    </row>
    <row r="22174" spans="9:13" x14ac:dyDescent="0.3">
      <c r="I22174" s="82"/>
      <c r="M22174" s="85"/>
    </row>
    <row r="22175" spans="9:13" x14ac:dyDescent="0.3">
      <c r="I22175" s="82"/>
      <c r="M22175" s="85"/>
    </row>
    <row r="22176" spans="9:13" x14ac:dyDescent="0.3">
      <c r="I22176" s="82"/>
      <c r="M22176" s="85"/>
    </row>
    <row r="22177" spans="9:13" x14ac:dyDescent="0.3">
      <c r="I22177" s="82"/>
      <c r="M22177" s="85"/>
    </row>
    <row r="22178" spans="9:13" x14ac:dyDescent="0.3">
      <c r="I22178" s="82"/>
      <c r="M22178" s="85"/>
    </row>
    <row r="22179" spans="9:13" x14ac:dyDescent="0.3">
      <c r="I22179" s="82"/>
      <c r="M22179" s="85"/>
    </row>
    <row r="22180" spans="9:13" x14ac:dyDescent="0.3">
      <c r="I22180" s="82"/>
      <c r="M22180" s="85"/>
    </row>
    <row r="22181" spans="9:13" x14ac:dyDescent="0.3">
      <c r="I22181" s="82"/>
      <c r="M22181" s="85"/>
    </row>
    <row r="22182" spans="9:13" x14ac:dyDescent="0.3">
      <c r="I22182" s="82"/>
      <c r="M22182" s="85"/>
    </row>
    <row r="22183" spans="9:13" x14ac:dyDescent="0.3">
      <c r="I22183" s="82"/>
      <c r="M22183" s="85"/>
    </row>
    <row r="22184" spans="9:13" x14ac:dyDescent="0.3">
      <c r="I22184" s="82"/>
      <c r="M22184" s="85"/>
    </row>
    <row r="22185" spans="9:13" x14ac:dyDescent="0.3">
      <c r="I22185" s="82"/>
      <c r="M22185" s="85"/>
    </row>
    <row r="22186" spans="9:13" x14ac:dyDescent="0.3">
      <c r="I22186" s="82"/>
      <c r="M22186" s="85"/>
    </row>
    <row r="22187" spans="9:13" x14ac:dyDescent="0.3">
      <c r="I22187" s="82"/>
      <c r="M22187" s="85"/>
    </row>
    <row r="22188" spans="9:13" x14ac:dyDescent="0.3">
      <c r="I22188" s="82"/>
      <c r="M22188" s="85"/>
    </row>
    <row r="22189" spans="9:13" x14ac:dyDescent="0.3">
      <c r="I22189" s="82"/>
      <c r="M22189" s="85"/>
    </row>
    <row r="22190" spans="9:13" x14ac:dyDescent="0.3">
      <c r="I22190" s="82"/>
      <c r="M22190" s="85"/>
    </row>
    <row r="22191" spans="9:13" x14ac:dyDescent="0.3">
      <c r="I22191" s="82"/>
      <c r="M22191" s="85"/>
    </row>
    <row r="22192" spans="9:13" x14ac:dyDescent="0.3">
      <c r="I22192" s="82"/>
      <c r="M22192" s="85"/>
    </row>
    <row r="22193" spans="9:13" x14ac:dyDescent="0.3">
      <c r="I22193" s="82"/>
      <c r="M22193" s="85"/>
    </row>
    <row r="22194" spans="9:13" x14ac:dyDescent="0.3">
      <c r="I22194" s="82"/>
      <c r="M22194" s="85"/>
    </row>
    <row r="22195" spans="9:13" x14ac:dyDescent="0.3">
      <c r="I22195" s="82"/>
      <c r="M22195" s="85"/>
    </row>
    <row r="22196" spans="9:13" x14ac:dyDescent="0.3">
      <c r="I22196" s="82"/>
      <c r="M22196" s="85"/>
    </row>
    <row r="22197" spans="9:13" x14ac:dyDescent="0.3">
      <c r="I22197" s="82"/>
      <c r="M22197" s="85"/>
    </row>
    <row r="22198" spans="9:13" x14ac:dyDescent="0.3">
      <c r="I22198" s="82"/>
      <c r="M22198" s="85"/>
    </row>
    <row r="22199" spans="9:13" x14ac:dyDescent="0.3">
      <c r="I22199" s="82"/>
      <c r="M22199" s="85"/>
    </row>
    <row r="22200" spans="9:13" x14ac:dyDescent="0.3">
      <c r="I22200" s="82"/>
      <c r="M22200" s="85"/>
    </row>
    <row r="22201" spans="9:13" x14ac:dyDescent="0.3">
      <c r="I22201" s="82"/>
      <c r="M22201" s="85"/>
    </row>
    <row r="22202" spans="9:13" x14ac:dyDescent="0.3">
      <c r="I22202" s="82"/>
      <c r="M22202" s="85"/>
    </row>
    <row r="22203" spans="9:13" x14ac:dyDescent="0.3">
      <c r="I22203" s="82"/>
      <c r="M22203" s="85"/>
    </row>
    <row r="22204" spans="9:13" x14ac:dyDescent="0.3">
      <c r="I22204" s="82"/>
      <c r="M22204" s="85"/>
    </row>
    <row r="22205" spans="9:13" x14ac:dyDescent="0.3">
      <c r="I22205" s="82"/>
      <c r="M22205" s="85"/>
    </row>
    <row r="22206" spans="9:13" x14ac:dyDescent="0.3">
      <c r="I22206" s="82"/>
      <c r="M22206" s="85"/>
    </row>
    <row r="22207" spans="9:13" x14ac:dyDescent="0.3">
      <c r="I22207" s="82"/>
      <c r="M22207" s="85"/>
    </row>
    <row r="22208" spans="9:13" x14ac:dyDescent="0.3">
      <c r="I22208" s="82"/>
      <c r="M22208" s="85"/>
    </row>
    <row r="22209" spans="9:13" x14ac:dyDescent="0.3">
      <c r="I22209" s="82"/>
      <c r="M22209" s="85"/>
    </row>
    <row r="22210" spans="9:13" x14ac:dyDescent="0.3">
      <c r="I22210" s="82"/>
      <c r="M22210" s="85"/>
    </row>
    <row r="22211" spans="9:13" x14ac:dyDescent="0.3">
      <c r="I22211" s="82"/>
      <c r="M22211" s="85"/>
    </row>
    <row r="22212" spans="9:13" x14ac:dyDescent="0.3">
      <c r="I22212" s="82"/>
      <c r="M22212" s="85"/>
    </row>
    <row r="22213" spans="9:13" x14ac:dyDescent="0.3">
      <c r="I22213" s="82"/>
      <c r="M22213" s="85"/>
    </row>
    <row r="22214" spans="9:13" x14ac:dyDescent="0.3">
      <c r="I22214" s="82"/>
      <c r="M22214" s="85"/>
    </row>
    <row r="22215" spans="9:13" x14ac:dyDescent="0.3">
      <c r="I22215" s="82"/>
      <c r="M22215" s="85"/>
    </row>
    <row r="22216" spans="9:13" x14ac:dyDescent="0.3">
      <c r="I22216" s="82"/>
      <c r="M22216" s="85"/>
    </row>
    <row r="22217" spans="9:13" x14ac:dyDescent="0.3">
      <c r="I22217" s="82"/>
      <c r="M22217" s="85"/>
    </row>
    <row r="22218" spans="9:13" x14ac:dyDescent="0.3">
      <c r="I22218" s="82"/>
      <c r="M22218" s="85"/>
    </row>
    <row r="22219" spans="9:13" x14ac:dyDescent="0.3">
      <c r="I22219" s="82"/>
      <c r="M22219" s="85"/>
    </row>
    <row r="22220" spans="9:13" x14ac:dyDescent="0.3">
      <c r="I22220" s="82"/>
      <c r="M22220" s="85"/>
    </row>
    <row r="22221" spans="9:13" x14ac:dyDescent="0.3">
      <c r="I22221" s="82"/>
      <c r="M22221" s="85"/>
    </row>
    <row r="22222" spans="9:13" x14ac:dyDescent="0.3">
      <c r="I22222" s="82"/>
      <c r="M22222" s="85"/>
    </row>
    <row r="22223" spans="9:13" x14ac:dyDescent="0.3">
      <c r="I22223" s="82"/>
      <c r="M22223" s="85"/>
    </row>
    <row r="22224" spans="9:13" x14ac:dyDescent="0.3">
      <c r="I22224" s="82"/>
      <c r="M22224" s="85"/>
    </row>
    <row r="22225" spans="9:13" x14ac:dyDescent="0.3">
      <c r="I22225" s="82"/>
      <c r="M22225" s="85"/>
    </row>
    <row r="22226" spans="9:13" x14ac:dyDescent="0.3">
      <c r="I22226" s="82"/>
      <c r="M22226" s="85"/>
    </row>
    <row r="22227" spans="9:13" x14ac:dyDescent="0.3">
      <c r="I22227" s="82"/>
      <c r="M22227" s="85"/>
    </row>
    <row r="22228" spans="9:13" x14ac:dyDescent="0.3">
      <c r="I22228" s="82"/>
      <c r="M22228" s="85"/>
    </row>
    <row r="22229" spans="9:13" x14ac:dyDescent="0.3">
      <c r="I22229" s="82"/>
      <c r="M22229" s="85"/>
    </row>
    <row r="22230" spans="9:13" x14ac:dyDescent="0.3">
      <c r="I22230" s="82"/>
      <c r="M22230" s="85"/>
    </row>
    <row r="22231" spans="9:13" x14ac:dyDescent="0.3">
      <c r="I22231" s="82"/>
      <c r="M22231" s="85"/>
    </row>
    <row r="22232" spans="9:13" x14ac:dyDescent="0.3">
      <c r="I22232" s="82"/>
      <c r="M22232" s="85"/>
    </row>
    <row r="22233" spans="9:13" x14ac:dyDescent="0.3">
      <c r="I22233" s="82"/>
      <c r="M22233" s="85"/>
    </row>
    <row r="22234" spans="9:13" x14ac:dyDescent="0.3">
      <c r="I22234" s="82"/>
      <c r="M22234" s="85"/>
    </row>
    <row r="22235" spans="9:13" x14ac:dyDescent="0.3">
      <c r="I22235" s="82"/>
      <c r="M22235" s="85"/>
    </row>
    <row r="22236" spans="9:13" x14ac:dyDescent="0.3">
      <c r="I22236" s="82"/>
      <c r="M22236" s="85"/>
    </row>
    <row r="22237" spans="9:13" x14ac:dyDescent="0.3">
      <c r="I22237" s="82"/>
      <c r="M22237" s="85"/>
    </row>
    <row r="22238" spans="9:13" x14ac:dyDescent="0.3">
      <c r="I22238" s="82"/>
      <c r="M22238" s="85"/>
    </row>
    <row r="22239" spans="9:13" x14ac:dyDescent="0.3">
      <c r="I22239" s="82"/>
      <c r="M22239" s="85"/>
    </row>
    <row r="22240" spans="9:13" x14ac:dyDescent="0.3">
      <c r="I22240" s="82"/>
      <c r="M22240" s="85"/>
    </row>
    <row r="22241" spans="9:13" x14ac:dyDescent="0.3">
      <c r="I22241" s="82"/>
      <c r="M22241" s="85"/>
    </row>
    <row r="22242" spans="9:13" x14ac:dyDescent="0.3">
      <c r="I22242" s="82"/>
      <c r="M22242" s="85"/>
    </row>
    <row r="22243" spans="9:13" x14ac:dyDescent="0.3">
      <c r="I22243" s="82"/>
      <c r="M22243" s="85"/>
    </row>
    <row r="22244" spans="9:13" x14ac:dyDescent="0.3">
      <c r="I22244" s="82"/>
      <c r="M22244" s="85"/>
    </row>
    <row r="22245" spans="9:13" x14ac:dyDescent="0.3">
      <c r="I22245" s="82"/>
      <c r="M22245" s="85"/>
    </row>
    <row r="22246" spans="9:13" x14ac:dyDescent="0.3">
      <c r="I22246" s="82"/>
      <c r="M22246" s="85"/>
    </row>
    <row r="22247" spans="9:13" x14ac:dyDescent="0.3">
      <c r="I22247" s="82"/>
      <c r="M22247" s="85"/>
    </row>
    <row r="22248" spans="9:13" x14ac:dyDescent="0.3">
      <c r="I22248" s="82"/>
      <c r="M22248" s="85"/>
    </row>
    <row r="22249" spans="9:13" x14ac:dyDescent="0.3">
      <c r="I22249" s="82"/>
      <c r="M22249" s="85"/>
    </row>
    <row r="22250" spans="9:13" x14ac:dyDescent="0.3">
      <c r="I22250" s="82"/>
      <c r="M22250" s="85"/>
    </row>
    <row r="22251" spans="9:13" x14ac:dyDescent="0.3">
      <c r="I22251" s="82"/>
      <c r="M22251" s="85"/>
    </row>
    <row r="22252" spans="9:13" x14ac:dyDescent="0.3">
      <c r="I22252" s="82"/>
      <c r="M22252" s="85"/>
    </row>
    <row r="22253" spans="9:13" x14ac:dyDescent="0.3">
      <c r="I22253" s="82"/>
      <c r="M22253" s="85"/>
    </row>
    <row r="22254" spans="9:13" x14ac:dyDescent="0.3">
      <c r="I22254" s="82"/>
      <c r="M22254" s="85"/>
    </row>
    <row r="22255" spans="9:13" x14ac:dyDescent="0.3">
      <c r="I22255" s="82"/>
      <c r="M22255" s="85"/>
    </row>
    <row r="22256" spans="9:13" x14ac:dyDescent="0.3">
      <c r="I22256" s="82"/>
      <c r="M22256" s="85"/>
    </row>
    <row r="22257" spans="9:13" x14ac:dyDescent="0.3">
      <c r="I22257" s="82"/>
      <c r="M22257" s="85"/>
    </row>
    <row r="22258" spans="9:13" x14ac:dyDescent="0.3">
      <c r="I22258" s="82"/>
      <c r="M22258" s="85"/>
    </row>
    <row r="22259" spans="9:13" x14ac:dyDescent="0.3">
      <c r="I22259" s="82"/>
      <c r="M22259" s="85"/>
    </row>
    <row r="22260" spans="9:13" x14ac:dyDescent="0.3">
      <c r="I22260" s="82"/>
      <c r="M22260" s="85"/>
    </row>
    <row r="22261" spans="9:13" x14ac:dyDescent="0.3">
      <c r="I22261" s="82"/>
      <c r="M22261" s="85"/>
    </row>
    <row r="22262" spans="9:13" x14ac:dyDescent="0.3">
      <c r="I22262" s="82"/>
      <c r="M22262" s="85"/>
    </row>
    <row r="22263" spans="9:13" x14ac:dyDescent="0.3">
      <c r="I22263" s="82"/>
      <c r="M22263" s="85"/>
    </row>
    <row r="22264" spans="9:13" x14ac:dyDescent="0.3">
      <c r="I22264" s="82"/>
      <c r="M22264" s="85"/>
    </row>
    <row r="22265" spans="9:13" x14ac:dyDescent="0.3">
      <c r="I22265" s="82"/>
      <c r="M22265" s="85"/>
    </row>
    <row r="22266" spans="9:13" x14ac:dyDescent="0.3">
      <c r="I22266" s="82"/>
      <c r="M22266" s="85"/>
    </row>
    <row r="22267" spans="9:13" x14ac:dyDescent="0.3">
      <c r="I22267" s="82"/>
      <c r="M22267" s="85"/>
    </row>
    <row r="22268" spans="9:13" x14ac:dyDescent="0.3">
      <c r="I22268" s="82"/>
      <c r="M22268" s="85"/>
    </row>
    <row r="22269" spans="9:13" x14ac:dyDescent="0.3">
      <c r="I22269" s="82"/>
      <c r="M22269" s="85"/>
    </row>
    <row r="22270" spans="9:13" x14ac:dyDescent="0.3">
      <c r="I22270" s="82"/>
      <c r="M22270" s="85"/>
    </row>
    <row r="22271" spans="9:13" x14ac:dyDescent="0.3">
      <c r="I22271" s="82"/>
      <c r="M22271" s="85"/>
    </row>
    <row r="22272" spans="9:13" x14ac:dyDescent="0.3">
      <c r="I22272" s="82"/>
      <c r="M22272" s="85"/>
    </row>
    <row r="22273" spans="9:13" x14ac:dyDescent="0.3">
      <c r="I22273" s="82"/>
      <c r="M22273" s="85"/>
    </row>
    <row r="22274" spans="9:13" x14ac:dyDescent="0.3">
      <c r="I22274" s="82"/>
      <c r="M22274" s="85"/>
    </row>
    <row r="22275" spans="9:13" x14ac:dyDescent="0.3">
      <c r="I22275" s="82"/>
      <c r="M22275" s="85"/>
    </row>
    <row r="22276" spans="9:13" x14ac:dyDescent="0.3">
      <c r="I22276" s="82"/>
      <c r="M22276" s="85"/>
    </row>
    <row r="22277" spans="9:13" x14ac:dyDescent="0.3">
      <c r="I22277" s="82"/>
      <c r="M22277" s="85"/>
    </row>
    <row r="22278" spans="9:13" x14ac:dyDescent="0.3">
      <c r="I22278" s="82"/>
      <c r="M22278" s="85"/>
    </row>
    <row r="22279" spans="9:13" x14ac:dyDescent="0.3">
      <c r="I22279" s="82"/>
      <c r="M22279" s="85"/>
    </row>
    <row r="22280" spans="9:13" x14ac:dyDescent="0.3">
      <c r="I22280" s="82"/>
      <c r="M22280" s="85"/>
    </row>
    <row r="22281" spans="9:13" x14ac:dyDescent="0.3">
      <c r="I22281" s="82"/>
      <c r="M22281" s="85"/>
    </row>
    <row r="22282" spans="9:13" x14ac:dyDescent="0.3">
      <c r="I22282" s="82"/>
      <c r="M22282" s="85"/>
    </row>
    <row r="22283" spans="9:13" x14ac:dyDescent="0.3">
      <c r="I22283" s="82"/>
      <c r="M22283" s="85"/>
    </row>
    <row r="22284" spans="9:13" x14ac:dyDescent="0.3">
      <c r="I22284" s="82"/>
      <c r="M22284" s="85"/>
    </row>
    <row r="22285" spans="9:13" x14ac:dyDescent="0.3">
      <c r="I22285" s="82"/>
      <c r="M22285" s="85"/>
    </row>
    <row r="22286" spans="9:13" x14ac:dyDescent="0.3">
      <c r="I22286" s="82"/>
      <c r="M22286" s="85"/>
    </row>
    <row r="22287" spans="9:13" x14ac:dyDescent="0.3">
      <c r="I22287" s="82"/>
      <c r="M22287" s="85"/>
    </row>
    <row r="22288" spans="9:13" x14ac:dyDescent="0.3">
      <c r="I22288" s="82"/>
      <c r="M22288" s="85"/>
    </row>
    <row r="22289" spans="9:13" x14ac:dyDescent="0.3">
      <c r="I22289" s="82"/>
      <c r="M22289" s="85"/>
    </row>
    <row r="22290" spans="9:13" x14ac:dyDescent="0.3">
      <c r="I22290" s="82"/>
      <c r="M22290" s="85"/>
    </row>
    <row r="22291" spans="9:13" x14ac:dyDescent="0.3">
      <c r="I22291" s="82"/>
      <c r="M22291" s="85"/>
    </row>
    <row r="22292" spans="9:13" x14ac:dyDescent="0.3">
      <c r="I22292" s="82"/>
      <c r="M22292" s="85"/>
    </row>
    <row r="22293" spans="9:13" x14ac:dyDescent="0.3">
      <c r="I22293" s="82"/>
      <c r="M22293" s="85"/>
    </row>
    <row r="22294" spans="9:13" x14ac:dyDescent="0.3">
      <c r="I22294" s="82"/>
      <c r="M22294" s="85"/>
    </row>
    <row r="22295" spans="9:13" x14ac:dyDescent="0.3">
      <c r="I22295" s="82"/>
      <c r="M22295" s="85"/>
    </row>
    <row r="22296" spans="9:13" x14ac:dyDescent="0.3">
      <c r="I22296" s="82"/>
      <c r="M22296" s="85"/>
    </row>
    <row r="22297" spans="9:13" x14ac:dyDescent="0.3">
      <c r="I22297" s="82"/>
      <c r="M22297" s="85"/>
    </row>
    <row r="22298" spans="9:13" x14ac:dyDescent="0.3">
      <c r="I22298" s="82"/>
      <c r="M22298" s="85"/>
    </row>
    <row r="22299" spans="9:13" x14ac:dyDescent="0.3">
      <c r="I22299" s="82"/>
      <c r="M22299" s="85"/>
    </row>
    <row r="22300" spans="9:13" x14ac:dyDescent="0.3">
      <c r="I22300" s="82"/>
      <c r="M22300" s="85"/>
    </row>
    <row r="22301" spans="9:13" x14ac:dyDescent="0.3">
      <c r="I22301" s="82"/>
      <c r="M22301" s="85"/>
    </row>
    <row r="22302" spans="9:13" x14ac:dyDescent="0.3">
      <c r="I22302" s="82"/>
      <c r="M22302" s="85"/>
    </row>
    <row r="22303" spans="9:13" x14ac:dyDescent="0.3">
      <c r="I22303" s="82"/>
      <c r="M22303" s="85"/>
    </row>
    <row r="22304" spans="9:13" x14ac:dyDescent="0.3">
      <c r="I22304" s="82"/>
      <c r="M22304" s="85"/>
    </row>
    <row r="22305" spans="9:13" x14ac:dyDescent="0.3">
      <c r="I22305" s="82"/>
      <c r="M22305" s="85"/>
    </row>
    <row r="22306" spans="9:13" x14ac:dyDescent="0.3">
      <c r="I22306" s="82"/>
      <c r="M22306" s="85"/>
    </row>
    <row r="22307" spans="9:13" x14ac:dyDescent="0.3">
      <c r="I22307" s="82"/>
      <c r="M22307" s="85"/>
    </row>
    <row r="22308" spans="9:13" x14ac:dyDescent="0.3">
      <c r="I22308" s="82"/>
      <c r="M22308" s="85"/>
    </row>
    <row r="22309" spans="9:13" x14ac:dyDescent="0.3">
      <c r="I22309" s="82"/>
      <c r="M22309" s="85"/>
    </row>
    <row r="22310" spans="9:13" x14ac:dyDescent="0.3">
      <c r="I22310" s="82"/>
      <c r="M22310" s="85"/>
    </row>
    <row r="22311" spans="9:13" x14ac:dyDescent="0.3">
      <c r="I22311" s="82"/>
      <c r="M22311" s="85"/>
    </row>
    <row r="22312" spans="9:13" x14ac:dyDescent="0.3">
      <c r="I22312" s="82"/>
      <c r="M22312" s="85"/>
    </row>
    <row r="22313" spans="9:13" x14ac:dyDescent="0.3">
      <c r="I22313" s="82"/>
      <c r="M22313" s="85"/>
    </row>
    <row r="22314" spans="9:13" x14ac:dyDescent="0.3">
      <c r="I22314" s="82"/>
      <c r="M22314" s="85"/>
    </row>
    <row r="22315" spans="9:13" x14ac:dyDescent="0.3">
      <c r="I22315" s="82"/>
      <c r="M22315" s="85"/>
    </row>
    <row r="22316" spans="9:13" x14ac:dyDescent="0.3">
      <c r="I22316" s="82"/>
      <c r="M22316" s="85"/>
    </row>
    <row r="22317" spans="9:13" x14ac:dyDescent="0.3">
      <c r="I22317" s="82"/>
      <c r="M22317" s="85"/>
    </row>
    <row r="22318" spans="9:13" x14ac:dyDescent="0.3">
      <c r="I22318" s="82"/>
      <c r="M22318" s="85"/>
    </row>
    <row r="22319" spans="9:13" x14ac:dyDescent="0.3">
      <c r="I22319" s="82"/>
      <c r="M22319" s="85"/>
    </row>
    <row r="22320" spans="9:13" x14ac:dyDescent="0.3">
      <c r="I22320" s="82"/>
      <c r="M22320" s="85"/>
    </row>
    <row r="22321" spans="9:13" x14ac:dyDescent="0.3">
      <c r="I22321" s="82"/>
      <c r="M22321" s="85"/>
    </row>
    <row r="22322" spans="9:13" x14ac:dyDescent="0.3">
      <c r="I22322" s="82"/>
      <c r="M22322" s="85"/>
    </row>
    <row r="22323" spans="9:13" x14ac:dyDescent="0.3">
      <c r="I22323" s="82"/>
      <c r="M22323" s="85"/>
    </row>
    <row r="22324" spans="9:13" x14ac:dyDescent="0.3">
      <c r="I22324" s="82"/>
      <c r="M22324" s="85"/>
    </row>
    <row r="22325" spans="9:13" x14ac:dyDescent="0.3">
      <c r="I22325" s="82"/>
      <c r="M22325" s="85"/>
    </row>
    <row r="22326" spans="9:13" x14ac:dyDescent="0.3">
      <c r="I22326" s="82"/>
      <c r="M22326" s="85"/>
    </row>
    <row r="22327" spans="9:13" x14ac:dyDescent="0.3">
      <c r="I22327" s="82"/>
      <c r="M22327" s="85"/>
    </row>
    <row r="22328" spans="9:13" x14ac:dyDescent="0.3">
      <c r="I22328" s="82"/>
      <c r="M22328" s="85"/>
    </row>
    <row r="22329" spans="9:13" x14ac:dyDescent="0.3">
      <c r="I22329" s="82"/>
      <c r="M22329" s="85"/>
    </row>
    <row r="22330" spans="9:13" x14ac:dyDescent="0.3">
      <c r="I22330" s="82"/>
      <c r="M22330" s="85"/>
    </row>
    <row r="22331" spans="9:13" x14ac:dyDescent="0.3">
      <c r="I22331" s="82"/>
      <c r="M22331" s="85"/>
    </row>
    <row r="22332" spans="9:13" x14ac:dyDescent="0.3">
      <c r="I22332" s="82"/>
      <c r="M22332" s="85"/>
    </row>
    <row r="22333" spans="9:13" x14ac:dyDescent="0.3">
      <c r="I22333" s="82"/>
      <c r="M22333" s="85"/>
    </row>
    <row r="22334" spans="9:13" x14ac:dyDescent="0.3">
      <c r="I22334" s="82"/>
      <c r="M22334" s="85"/>
    </row>
    <row r="22335" spans="9:13" x14ac:dyDescent="0.3">
      <c r="I22335" s="82"/>
      <c r="M22335" s="85"/>
    </row>
    <row r="22336" spans="9:13" x14ac:dyDescent="0.3">
      <c r="I22336" s="82"/>
      <c r="M22336" s="85"/>
    </row>
    <row r="22337" spans="9:13" x14ac:dyDescent="0.3">
      <c r="I22337" s="82"/>
      <c r="M22337" s="85"/>
    </row>
    <row r="22338" spans="9:13" x14ac:dyDescent="0.3">
      <c r="I22338" s="82"/>
      <c r="M22338" s="85"/>
    </row>
    <row r="22339" spans="9:13" x14ac:dyDescent="0.3">
      <c r="I22339" s="82"/>
      <c r="M22339" s="85"/>
    </row>
    <row r="22340" spans="9:13" x14ac:dyDescent="0.3">
      <c r="I22340" s="82"/>
      <c r="M22340" s="85"/>
    </row>
    <row r="22341" spans="9:13" x14ac:dyDescent="0.3">
      <c r="I22341" s="82"/>
      <c r="M22341" s="85"/>
    </row>
    <row r="22342" spans="9:13" x14ac:dyDescent="0.3">
      <c r="I22342" s="82"/>
      <c r="M22342" s="85"/>
    </row>
    <row r="22343" spans="9:13" x14ac:dyDescent="0.3">
      <c r="I22343" s="82"/>
      <c r="M22343" s="85"/>
    </row>
    <row r="22344" spans="9:13" x14ac:dyDescent="0.3">
      <c r="I22344" s="82"/>
      <c r="M22344" s="85"/>
    </row>
    <row r="22345" spans="9:13" x14ac:dyDescent="0.3">
      <c r="I22345" s="82"/>
      <c r="M22345" s="85"/>
    </row>
    <row r="22346" spans="9:13" x14ac:dyDescent="0.3">
      <c r="I22346" s="82"/>
      <c r="M22346" s="85"/>
    </row>
    <row r="22347" spans="9:13" x14ac:dyDescent="0.3">
      <c r="I22347" s="82"/>
      <c r="M22347" s="85"/>
    </row>
    <row r="22348" spans="9:13" x14ac:dyDescent="0.3">
      <c r="I22348" s="82"/>
      <c r="M22348" s="85"/>
    </row>
    <row r="22349" spans="9:13" x14ac:dyDescent="0.3">
      <c r="I22349" s="82"/>
      <c r="M22349" s="85"/>
    </row>
    <row r="22350" spans="9:13" x14ac:dyDescent="0.3">
      <c r="I22350" s="82"/>
      <c r="M22350" s="85"/>
    </row>
    <row r="22351" spans="9:13" x14ac:dyDescent="0.3">
      <c r="I22351" s="82"/>
      <c r="M22351" s="85"/>
    </row>
    <row r="22352" spans="9:13" x14ac:dyDescent="0.3">
      <c r="I22352" s="82"/>
      <c r="M22352" s="85"/>
    </row>
    <row r="22353" spans="9:13" x14ac:dyDescent="0.3">
      <c r="I22353" s="82"/>
      <c r="M22353" s="85"/>
    </row>
    <row r="22354" spans="9:13" x14ac:dyDescent="0.3">
      <c r="I22354" s="82"/>
      <c r="M22354" s="85"/>
    </row>
    <row r="22355" spans="9:13" x14ac:dyDescent="0.3">
      <c r="I22355" s="82"/>
      <c r="M22355" s="85"/>
    </row>
    <row r="22356" spans="9:13" x14ac:dyDescent="0.3">
      <c r="I22356" s="82"/>
      <c r="M22356" s="85"/>
    </row>
    <row r="22357" spans="9:13" x14ac:dyDescent="0.3">
      <c r="I22357" s="82"/>
      <c r="M22357" s="85"/>
    </row>
    <row r="22358" spans="9:13" x14ac:dyDescent="0.3">
      <c r="I22358" s="82"/>
      <c r="M22358" s="85"/>
    </row>
    <row r="22359" spans="9:13" x14ac:dyDescent="0.3">
      <c r="I22359" s="82"/>
      <c r="M22359" s="85"/>
    </row>
    <row r="22360" spans="9:13" x14ac:dyDescent="0.3">
      <c r="I22360" s="82"/>
      <c r="M22360" s="85"/>
    </row>
    <row r="22361" spans="9:13" x14ac:dyDescent="0.3">
      <c r="I22361" s="82"/>
      <c r="M22361" s="85"/>
    </row>
    <row r="22362" spans="9:13" x14ac:dyDescent="0.3">
      <c r="I22362" s="82"/>
      <c r="M22362" s="85"/>
    </row>
    <row r="22363" spans="9:13" x14ac:dyDescent="0.3">
      <c r="I22363" s="82"/>
      <c r="M22363" s="85"/>
    </row>
    <row r="22364" spans="9:13" x14ac:dyDescent="0.3">
      <c r="I22364" s="82"/>
      <c r="M22364" s="85"/>
    </row>
    <row r="22365" spans="9:13" x14ac:dyDescent="0.3">
      <c r="I22365" s="82"/>
      <c r="M22365" s="85"/>
    </row>
    <row r="22366" spans="9:13" x14ac:dyDescent="0.3">
      <c r="I22366" s="82"/>
      <c r="M22366" s="85"/>
    </row>
    <row r="22367" spans="9:13" x14ac:dyDescent="0.3">
      <c r="I22367" s="82"/>
      <c r="M22367" s="85"/>
    </row>
    <row r="22368" spans="9:13" x14ac:dyDescent="0.3">
      <c r="I22368" s="82"/>
      <c r="M22368" s="85"/>
    </row>
    <row r="22369" spans="9:13" x14ac:dyDescent="0.3">
      <c r="I22369" s="82"/>
      <c r="M22369" s="85"/>
    </row>
    <row r="22370" spans="9:13" x14ac:dyDescent="0.3">
      <c r="I22370" s="82"/>
      <c r="M22370" s="85"/>
    </row>
    <row r="22371" spans="9:13" x14ac:dyDescent="0.3">
      <c r="I22371" s="82"/>
      <c r="M22371" s="85"/>
    </row>
    <row r="22372" spans="9:13" x14ac:dyDescent="0.3">
      <c r="I22372" s="82"/>
      <c r="M22372" s="85"/>
    </row>
    <row r="22373" spans="9:13" x14ac:dyDescent="0.3">
      <c r="I22373" s="82"/>
      <c r="M22373" s="85"/>
    </row>
    <row r="22374" spans="9:13" x14ac:dyDescent="0.3">
      <c r="I22374" s="82"/>
      <c r="M22374" s="85"/>
    </row>
    <row r="22375" spans="9:13" x14ac:dyDescent="0.3">
      <c r="I22375" s="82"/>
      <c r="M22375" s="85"/>
    </row>
    <row r="22376" spans="9:13" x14ac:dyDescent="0.3">
      <c r="I22376" s="82"/>
      <c r="M22376" s="85"/>
    </row>
    <row r="22377" spans="9:13" x14ac:dyDescent="0.3">
      <c r="I22377" s="82"/>
      <c r="M22377" s="85"/>
    </row>
    <row r="22378" spans="9:13" x14ac:dyDescent="0.3">
      <c r="I22378" s="82"/>
      <c r="M22378" s="85"/>
    </row>
    <row r="22379" spans="9:13" x14ac:dyDescent="0.3">
      <c r="I22379" s="82"/>
      <c r="M22379" s="85"/>
    </row>
    <row r="22380" spans="9:13" x14ac:dyDescent="0.3">
      <c r="I22380" s="82"/>
      <c r="M22380" s="85"/>
    </row>
    <row r="22381" spans="9:13" x14ac:dyDescent="0.3">
      <c r="I22381" s="82"/>
      <c r="M22381" s="85"/>
    </row>
    <row r="22382" spans="9:13" x14ac:dyDescent="0.3">
      <c r="I22382" s="82"/>
      <c r="M22382" s="85"/>
    </row>
    <row r="22383" spans="9:13" x14ac:dyDescent="0.3">
      <c r="I22383" s="82"/>
      <c r="M22383" s="85"/>
    </row>
    <row r="22384" spans="9:13" x14ac:dyDescent="0.3">
      <c r="I22384" s="82"/>
      <c r="M22384" s="85"/>
    </row>
    <row r="22385" spans="9:13" x14ac:dyDescent="0.3">
      <c r="I22385" s="82"/>
      <c r="M22385" s="85"/>
    </row>
    <row r="22386" spans="9:13" x14ac:dyDescent="0.3">
      <c r="I22386" s="82"/>
      <c r="M22386" s="85"/>
    </row>
    <row r="22387" spans="9:13" x14ac:dyDescent="0.3">
      <c r="I22387" s="82"/>
      <c r="M22387" s="85"/>
    </row>
    <row r="22388" spans="9:13" x14ac:dyDescent="0.3">
      <c r="I22388" s="82"/>
      <c r="M22388" s="85"/>
    </row>
    <row r="22389" spans="9:13" x14ac:dyDescent="0.3">
      <c r="I22389" s="82"/>
      <c r="M22389" s="85"/>
    </row>
    <row r="22390" spans="9:13" x14ac:dyDescent="0.3">
      <c r="I22390" s="82"/>
      <c r="M22390" s="85"/>
    </row>
    <row r="22391" spans="9:13" x14ac:dyDescent="0.3">
      <c r="I22391" s="82"/>
      <c r="M22391" s="85"/>
    </row>
    <row r="22392" spans="9:13" x14ac:dyDescent="0.3">
      <c r="I22392" s="82"/>
      <c r="M22392" s="85"/>
    </row>
    <row r="22393" spans="9:13" x14ac:dyDescent="0.3">
      <c r="I22393" s="82"/>
      <c r="M22393" s="85"/>
    </row>
    <row r="22394" spans="9:13" x14ac:dyDescent="0.3">
      <c r="I22394" s="82"/>
      <c r="M22394" s="85"/>
    </row>
    <row r="22395" spans="9:13" x14ac:dyDescent="0.3">
      <c r="I22395" s="82"/>
      <c r="M22395" s="85"/>
    </row>
    <row r="22396" spans="9:13" x14ac:dyDescent="0.3">
      <c r="I22396" s="82"/>
      <c r="M22396" s="85"/>
    </row>
    <row r="22397" spans="9:13" x14ac:dyDescent="0.3">
      <c r="I22397" s="82"/>
      <c r="M22397" s="85"/>
    </row>
    <row r="22398" spans="9:13" x14ac:dyDescent="0.3">
      <c r="I22398" s="82"/>
      <c r="M22398" s="85"/>
    </row>
    <row r="22399" spans="9:13" x14ac:dyDescent="0.3">
      <c r="I22399" s="82"/>
      <c r="M22399" s="85"/>
    </row>
    <row r="22400" spans="9:13" x14ac:dyDescent="0.3">
      <c r="I22400" s="82"/>
      <c r="M22400" s="85"/>
    </row>
    <row r="22401" spans="9:13" x14ac:dyDescent="0.3">
      <c r="I22401" s="82"/>
      <c r="M22401" s="85"/>
    </row>
    <row r="22402" spans="9:13" x14ac:dyDescent="0.3">
      <c r="I22402" s="82"/>
      <c r="M22402" s="85"/>
    </row>
    <row r="22403" spans="9:13" x14ac:dyDescent="0.3">
      <c r="I22403" s="82"/>
      <c r="M22403" s="85"/>
    </row>
    <row r="22404" spans="9:13" x14ac:dyDescent="0.3">
      <c r="I22404" s="82"/>
      <c r="M22404" s="85"/>
    </row>
    <row r="22405" spans="9:13" x14ac:dyDescent="0.3">
      <c r="I22405" s="82"/>
      <c r="M22405" s="85"/>
    </row>
    <row r="22406" spans="9:13" x14ac:dyDescent="0.3">
      <c r="I22406" s="82"/>
      <c r="M22406" s="85"/>
    </row>
    <row r="22407" spans="9:13" x14ac:dyDescent="0.3">
      <c r="I22407" s="82"/>
      <c r="M22407" s="85"/>
    </row>
    <row r="22408" spans="9:13" x14ac:dyDescent="0.3">
      <c r="I22408" s="82"/>
      <c r="M22408" s="85"/>
    </row>
    <row r="22409" spans="9:13" x14ac:dyDescent="0.3">
      <c r="I22409" s="82"/>
      <c r="M22409" s="85"/>
    </row>
    <row r="22410" spans="9:13" x14ac:dyDescent="0.3">
      <c r="I22410" s="82"/>
      <c r="M22410" s="85"/>
    </row>
    <row r="22411" spans="9:13" x14ac:dyDescent="0.3">
      <c r="I22411" s="82"/>
      <c r="M22411" s="85"/>
    </row>
    <row r="22412" spans="9:13" x14ac:dyDescent="0.3">
      <c r="I22412" s="82"/>
      <c r="M22412" s="85"/>
    </row>
    <row r="22413" spans="9:13" x14ac:dyDescent="0.3">
      <c r="I22413" s="82"/>
      <c r="M22413" s="85"/>
    </row>
    <row r="22414" spans="9:13" x14ac:dyDescent="0.3">
      <c r="I22414" s="82"/>
      <c r="M22414" s="85"/>
    </row>
    <row r="22415" spans="9:13" x14ac:dyDescent="0.3">
      <c r="I22415" s="82"/>
      <c r="M22415" s="85"/>
    </row>
    <row r="22416" spans="9:13" x14ac:dyDescent="0.3">
      <c r="I22416" s="82"/>
      <c r="M22416" s="85"/>
    </row>
    <row r="22417" spans="9:13" x14ac:dyDescent="0.3">
      <c r="I22417" s="82"/>
      <c r="M22417" s="85"/>
    </row>
    <row r="22418" spans="9:13" x14ac:dyDescent="0.3">
      <c r="I22418" s="82"/>
      <c r="M22418" s="85"/>
    </row>
    <row r="22419" spans="9:13" x14ac:dyDescent="0.3">
      <c r="I22419" s="82"/>
      <c r="M22419" s="85"/>
    </row>
    <row r="22420" spans="9:13" x14ac:dyDescent="0.3">
      <c r="I22420" s="82"/>
      <c r="M22420" s="85"/>
    </row>
    <row r="22421" spans="9:13" x14ac:dyDescent="0.3">
      <c r="I22421" s="82"/>
      <c r="M22421" s="85"/>
    </row>
    <row r="22422" spans="9:13" x14ac:dyDescent="0.3">
      <c r="I22422" s="82"/>
      <c r="M22422" s="85"/>
    </row>
    <row r="22423" spans="9:13" x14ac:dyDescent="0.3">
      <c r="I22423" s="82"/>
      <c r="M22423" s="85"/>
    </row>
    <row r="22424" spans="9:13" x14ac:dyDescent="0.3">
      <c r="I22424" s="82"/>
      <c r="M22424" s="85"/>
    </row>
    <row r="22425" spans="9:13" x14ac:dyDescent="0.3">
      <c r="I22425" s="82"/>
      <c r="M22425" s="85"/>
    </row>
    <row r="22426" spans="9:13" x14ac:dyDescent="0.3">
      <c r="I22426" s="82"/>
      <c r="M22426" s="85"/>
    </row>
    <row r="22427" spans="9:13" x14ac:dyDescent="0.3">
      <c r="I22427" s="82"/>
      <c r="M22427" s="85"/>
    </row>
    <row r="22428" spans="9:13" x14ac:dyDescent="0.3">
      <c r="I22428" s="82"/>
      <c r="M22428" s="85"/>
    </row>
    <row r="22429" spans="9:13" x14ac:dyDescent="0.3">
      <c r="I22429" s="82"/>
      <c r="M22429" s="85"/>
    </row>
    <row r="22430" spans="9:13" x14ac:dyDescent="0.3">
      <c r="I22430" s="82"/>
      <c r="M22430" s="85"/>
    </row>
    <row r="22431" spans="9:13" x14ac:dyDescent="0.3">
      <c r="I22431" s="82"/>
      <c r="M22431" s="85"/>
    </row>
    <row r="22432" spans="9:13" x14ac:dyDescent="0.3">
      <c r="I22432" s="82"/>
      <c r="M22432" s="85"/>
    </row>
    <row r="22433" spans="9:13" x14ac:dyDescent="0.3">
      <c r="I22433" s="82"/>
      <c r="M22433" s="85"/>
    </row>
    <row r="22434" spans="9:13" x14ac:dyDescent="0.3">
      <c r="I22434" s="82"/>
      <c r="M22434" s="85"/>
    </row>
    <row r="22435" spans="9:13" x14ac:dyDescent="0.3">
      <c r="I22435" s="82"/>
      <c r="M22435" s="85"/>
    </row>
    <row r="22436" spans="9:13" x14ac:dyDescent="0.3">
      <c r="I22436" s="82"/>
      <c r="M22436" s="85"/>
    </row>
    <row r="22437" spans="9:13" x14ac:dyDescent="0.3">
      <c r="I22437" s="82"/>
      <c r="M22437" s="85"/>
    </row>
    <row r="22438" spans="9:13" x14ac:dyDescent="0.3">
      <c r="I22438" s="82"/>
      <c r="M22438" s="85"/>
    </row>
    <row r="22439" spans="9:13" x14ac:dyDescent="0.3">
      <c r="I22439" s="82"/>
      <c r="M22439" s="85"/>
    </row>
    <row r="22440" spans="9:13" x14ac:dyDescent="0.3">
      <c r="I22440" s="82"/>
      <c r="M22440" s="85"/>
    </row>
    <row r="22441" spans="9:13" x14ac:dyDescent="0.3">
      <c r="I22441" s="82"/>
      <c r="M22441" s="85"/>
    </row>
    <row r="22442" spans="9:13" x14ac:dyDescent="0.3">
      <c r="I22442" s="82"/>
      <c r="M22442" s="85"/>
    </row>
    <row r="22443" spans="9:13" x14ac:dyDescent="0.3">
      <c r="I22443" s="82"/>
      <c r="M22443" s="85"/>
    </row>
    <row r="22444" spans="9:13" x14ac:dyDescent="0.3">
      <c r="I22444" s="82"/>
      <c r="M22444" s="85"/>
    </row>
    <row r="22445" spans="9:13" x14ac:dyDescent="0.3">
      <c r="I22445" s="82"/>
      <c r="M22445" s="85"/>
    </row>
    <row r="22446" spans="9:13" x14ac:dyDescent="0.3">
      <c r="I22446" s="82"/>
      <c r="M22446" s="85"/>
    </row>
    <row r="22447" spans="9:13" x14ac:dyDescent="0.3">
      <c r="I22447" s="82"/>
      <c r="M22447" s="85"/>
    </row>
    <row r="22448" spans="9:13" x14ac:dyDescent="0.3">
      <c r="I22448" s="82"/>
      <c r="M22448" s="85"/>
    </row>
    <row r="22449" spans="9:13" x14ac:dyDescent="0.3">
      <c r="I22449" s="82"/>
      <c r="M22449" s="85"/>
    </row>
    <row r="22450" spans="9:13" x14ac:dyDescent="0.3">
      <c r="I22450" s="82"/>
      <c r="M22450" s="85"/>
    </row>
    <row r="22451" spans="9:13" x14ac:dyDescent="0.3">
      <c r="I22451" s="82"/>
      <c r="M22451" s="85"/>
    </row>
    <row r="22452" spans="9:13" x14ac:dyDescent="0.3">
      <c r="I22452" s="82"/>
      <c r="M22452" s="85"/>
    </row>
    <row r="22453" spans="9:13" x14ac:dyDescent="0.3">
      <c r="I22453" s="82"/>
      <c r="M22453" s="85"/>
    </row>
    <row r="22454" spans="9:13" x14ac:dyDescent="0.3">
      <c r="I22454" s="82"/>
      <c r="M22454" s="85"/>
    </row>
    <row r="22455" spans="9:13" x14ac:dyDescent="0.3">
      <c r="I22455" s="82"/>
      <c r="M22455" s="85"/>
    </row>
    <row r="22456" spans="9:13" x14ac:dyDescent="0.3">
      <c r="I22456" s="82"/>
      <c r="M22456" s="85"/>
    </row>
    <row r="22457" spans="9:13" x14ac:dyDescent="0.3">
      <c r="I22457" s="82"/>
      <c r="M22457" s="85"/>
    </row>
    <row r="22458" spans="9:13" x14ac:dyDescent="0.3">
      <c r="I22458" s="82"/>
      <c r="M22458" s="85"/>
    </row>
    <row r="22459" spans="9:13" x14ac:dyDescent="0.3">
      <c r="I22459" s="82"/>
      <c r="M22459" s="85"/>
    </row>
    <row r="22460" spans="9:13" x14ac:dyDescent="0.3">
      <c r="I22460" s="82"/>
      <c r="M22460" s="85"/>
    </row>
    <row r="22461" spans="9:13" x14ac:dyDescent="0.3">
      <c r="I22461" s="82"/>
      <c r="M22461" s="85"/>
    </row>
    <row r="22462" spans="9:13" x14ac:dyDescent="0.3">
      <c r="I22462" s="82"/>
      <c r="M22462" s="85"/>
    </row>
    <row r="22463" spans="9:13" x14ac:dyDescent="0.3">
      <c r="I22463" s="82"/>
      <c r="M22463" s="85"/>
    </row>
    <row r="22464" spans="9:13" x14ac:dyDescent="0.3">
      <c r="I22464" s="82"/>
      <c r="M22464" s="85"/>
    </row>
    <row r="22465" spans="9:13" x14ac:dyDescent="0.3">
      <c r="I22465" s="82"/>
      <c r="M22465" s="85"/>
    </row>
    <row r="22466" spans="9:13" x14ac:dyDescent="0.3">
      <c r="I22466" s="82"/>
      <c r="M22466" s="85"/>
    </row>
    <row r="22467" spans="9:13" x14ac:dyDescent="0.3">
      <c r="I22467" s="82"/>
      <c r="M22467" s="85"/>
    </row>
    <row r="22468" spans="9:13" x14ac:dyDescent="0.3">
      <c r="I22468" s="82"/>
      <c r="M22468" s="85"/>
    </row>
    <row r="22469" spans="9:13" x14ac:dyDescent="0.3">
      <c r="I22469" s="82"/>
      <c r="M22469" s="85"/>
    </row>
    <row r="22470" spans="9:13" x14ac:dyDescent="0.3">
      <c r="I22470" s="82"/>
      <c r="M22470" s="85"/>
    </row>
    <row r="22471" spans="9:13" x14ac:dyDescent="0.3">
      <c r="I22471" s="82"/>
      <c r="M22471" s="85"/>
    </row>
    <row r="22472" spans="9:13" x14ac:dyDescent="0.3">
      <c r="I22472" s="82"/>
      <c r="M22472" s="85"/>
    </row>
    <row r="22473" spans="9:13" x14ac:dyDescent="0.3">
      <c r="I22473" s="82"/>
      <c r="M22473" s="85"/>
    </row>
    <row r="22474" spans="9:13" x14ac:dyDescent="0.3">
      <c r="I22474" s="82"/>
      <c r="M22474" s="85"/>
    </row>
    <row r="22475" spans="9:13" x14ac:dyDescent="0.3">
      <c r="I22475" s="82"/>
      <c r="M22475" s="85"/>
    </row>
    <row r="22476" spans="9:13" x14ac:dyDescent="0.3">
      <c r="I22476" s="82"/>
      <c r="M22476" s="85"/>
    </row>
    <row r="22477" spans="9:13" x14ac:dyDescent="0.3">
      <c r="I22477" s="82"/>
      <c r="M22477" s="85"/>
    </row>
    <row r="22478" spans="9:13" x14ac:dyDescent="0.3">
      <c r="I22478" s="82"/>
      <c r="M22478" s="85"/>
    </row>
    <row r="22479" spans="9:13" x14ac:dyDescent="0.3">
      <c r="I22479" s="82"/>
      <c r="M22479" s="85"/>
    </row>
    <row r="22480" spans="9:13" x14ac:dyDescent="0.3">
      <c r="I22480" s="82"/>
      <c r="M22480" s="85"/>
    </row>
    <row r="22481" spans="9:13" x14ac:dyDescent="0.3">
      <c r="I22481" s="82"/>
      <c r="M22481" s="85"/>
    </row>
    <row r="22482" spans="9:13" x14ac:dyDescent="0.3">
      <c r="I22482" s="82"/>
      <c r="M22482" s="85"/>
    </row>
    <row r="22483" spans="9:13" x14ac:dyDescent="0.3">
      <c r="I22483" s="82"/>
      <c r="M22483" s="85"/>
    </row>
    <row r="22484" spans="9:13" x14ac:dyDescent="0.3">
      <c r="I22484" s="82"/>
      <c r="M22484" s="85"/>
    </row>
    <row r="22485" spans="9:13" x14ac:dyDescent="0.3">
      <c r="I22485" s="82"/>
      <c r="M22485" s="85"/>
    </row>
    <row r="22486" spans="9:13" x14ac:dyDescent="0.3">
      <c r="I22486" s="82"/>
      <c r="M22486" s="85"/>
    </row>
    <row r="22487" spans="9:13" x14ac:dyDescent="0.3">
      <c r="I22487" s="82"/>
      <c r="M22487" s="85"/>
    </row>
    <row r="22488" spans="9:13" x14ac:dyDescent="0.3">
      <c r="I22488" s="82"/>
      <c r="M22488" s="85"/>
    </row>
    <row r="22489" spans="9:13" x14ac:dyDescent="0.3">
      <c r="I22489" s="82"/>
      <c r="M22489" s="85"/>
    </row>
    <row r="22490" spans="9:13" x14ac:dyDescent="0.3">
      <c r="I22490" s="82"/>
      <c r="M22490" s="85"/>
    </row>
    <row r="22491" spans="9:13" x14ac:dyDescent="0.3">
      <c r="I22491" s="82"/>
      <c r="M22491" s="85"/>
    </row>
    <row r="22492" spans="9:13" x14ac:dyDescent="0.3">
      <c r="I22492" s="82"/>
      <c r="M22492" s="85"/>
    </row>
    <row r="22493" spans="9:13" x14ac:dyDescent="0.3">
      <c r="I22493" s="82"/>
      <c r="M22493" s="85"/>
    </row>
    <row r="22494" spans="9:13" x14ac:dyDescent="0.3">
      <c r="I22494" s="82"/>
      <c r="M22494" s="85"/>
    </row>
    <row r="22495" spans="9:13" x14ac:dyDescent="0.3">
      <c r="I22495" s="82"/>
      <c r="M22495" s="85"/>
    </row>
    <row r="22496" spans="9:13" x14ac:dyDescent="0.3">
      <c r="I22496" s="82"/>
      <c r="M22496" s="85"/>
    </row>
    <row r="22497" spans="9:13" x14ac:dyDescent="0.3">
      <c r="I22497" s="82"/>
      <c r="M22497" s="85"/>
    </row>
    <row r="22498" spans="9:13" x14ac:dyDescent="0.3">
      <c r="I22498" s="82"/>
      <c r="M22498" s="85"/>
    </row>
    <row r="22499" spans="9:13" x14ac:dyDescent="0.3">
      <c r="I22499" s="82"/>
      <c r="M22499" s="85"/>
    </row>
    <row r="22500" spans="9:13" x14ac:dyDescent="0.3">
      <c r="I22500" s="82"/>
      <c r="M22500" s="85"/>
    </row>
    <row r="22501" spans="9:13" x14ac:dyDescent="0.3">
      <c r="I22501" s="82"/>
      <c r="M22501" s="85"/>
    </row>
    <row r="22502" spans="9:13" x14ac:dyDescent="0.3">
      <c r="I22502" s="82"/>
      <c r="M22502" s="85"/>
    </row>
    <row r="22503" spans="9:13" x14ac:dyDescent="0.3">
      <c r="I22503" s="82"/>
      <c r="M22503" s="85"/>
    </row>
    <row r="22504" spans="9:13" x14ac:dyDescent="0.3">
      <c r="I22504" s="82"/>
      <c r="M22504" s="85"/>
    </row>
    <row r="22505" spans="9:13" x14ac:dyDescent="0.3">
      <c r="I22505" s="82"/>
      <c r="M22505" s="85"/>
    </row>
    <row r="22506" spans="9:13" x14ac:dyDescent="0.3">
      <c r="I22506" s="82"/>
      <c r="M22506" s="85"/>
    </row>
    <row r="22507" spans="9:13" x14ac:dyDescent="0.3">
      <c r="I22507" s="82"/>
      <c r="M22507" s="85"/>
    </row>
    <row r="22508" spans="9:13" x14ac:dyDescent="0.3">
      <c r="I22508" s="82"/>
      <c r="M22508" s="85"/>
    </row>
    <row r="22509" spans="9:13" x14ac:dyDescent="0.3">
      <c r="I22509" s="82"/>
      <c r="M22509" s="85"/>
    </row>
    <row r="22510" spans="9:13" x14ac:dyDescent="0.3">
      <c r="I22510" s="82"/>
      <c r="M22510" s="85"/>
    </row>
    <row r="22511" spans="9:13" x14ac:dyDescent="0.3">
      <c r="I22511" s="82"/>
      <c r="M22511" s="85"/>
    </row>
    <row r="22512" spans="9:13" x14ac:dyDescent="0.3">
      <c r="I22512" s="82"/>
      <c r="M22512" s="85"/>
    </row>
    <row r="22513" spans="9:13" x14ac:dyDescent="0.3">
      <c r="I22513" s="82"/>
      <c r="M22513" s="85"/>
    </row>
    <row r="22514" spans="9:13" x14ac:dyDescent="0.3">
      <c r="I22514" s="82"/>
      <c r="M22514" s="85"/>
    </row>
    <row r="22515" spans="9:13" x14ac:dyDescent="0.3">
      <c r="I22515" s="82"/>
      <c r="M22515" s="85"/>
    </row>
    <row r="22516" spans="9:13" x14ac:dyDescent="0.3">
      <c r="I22516" s="82"/>
      <c r="M22516" s="85"/>
    </row>
    <row r="22517" spans="9:13" x14ac:dyDescent="0.3">
      <c r="I22517" s="82"/>
      <c r="M22517" s="85"/>
    </row>
    <row r="22518" spans="9:13" x14ac:dyDescent="0.3">
      <c r="I22518" s="82"/>
      <c r="M22518" s="85"/>
    </row>
    <row r="22519" spans="9:13" x14ac:dyDescent="0.3">
      <c r="I22519" s="82"/>
      <c r="M22519" s="85"/>
    </row>
    <row r="22520" spans="9:13" x14ac:dyDescent="0.3">
      <c r="I22520" s="82"/>
      <c r="M22520" s="85"/>
    </row>
    <row r="22521" spans="9:13" x14ac:dyDescent="0.3">
      <c r="I22521" s="82"/>
      <c r="M22521" s="85"/>
    </row>
    <row r="22522" spans="9:13" x14ac:dyDescent="0.3">
      <c r="I22522" s="82"/>
      <c r="M22522" s="85"/>
    </row>
    <row r="22523" spans="9:13" x14ac:dyDescent="0.3">
      <c r="I22523" s="82"/>
      <c r="M22523" s="85"/>
    </row>
    <row r="22524" spans="9:13" x14ac:dyDescent="0.3">
      <c r="I22524" s="82"/>
      <c r="M22524" s="85"/>
    </row>
    <row r="22525" spans="9:13" x14ac:dyDescent="0.3">
      <c r="I22525" s="82"/>
      <c r="M22525" s="85"/>
    </row>
    <row r="22526" spans="9:13" x14ac:dyDescent="0.3">
      <c r="I22526" s="82"/>
      <c r="M22526" s="85"/>
    </row>
    <row r="22527" spans="9:13" x14ac:dyDescent="0.3">
      <c r="I22527" s="82"/>
      <c r="M22527" s="85"/>
    </row>
    <row r="22528" spans="9:13" x14ac:dyDescent="0.3">
      <c r="I22528" s="82"/>
      <c r="M22528" s="85"/>
    </row>
    <row r="22529" spans="9:13" x14ac:dyDescent="0.3">
      <c r="I22529" s="82"/>
      <c r="M22529" s="85"/>
    </row>
    <row r="22530" spans="9:13" x14ac:dyDescent="0.3">
      <c r="I22530" s="82"/>
      <c r="M22530" s="85"/>
    </row>
    <row r="22531" spans="9:13" x14ac:dyDescent="0.3">
      <c r="I22531" s="82"/>
      <c r="M22531" s="85"/>
    </row>
    <row r="22532" spans="9:13" x14ac:dyDescent="0.3">
      <c r="I22532" s="82"/>
      <c r="M22532" s="85"/>
    </row>
    <row r="22533" spans="9:13" x14ac:dyDescent="0.3">
      <c r="I22533" s="82"/>
      <c r="M22533" s="85"/>
    </row>
    <row r="22534" spans="9:13" x14ac:dyDescent="0.3">
      <c r="I22534" s="82"/>
      <c r="M22534" s="85"/>
    </row>
    <row r="22535" spans="9:13" x14ac:dyDescent="0.3">
      <c r="I22535" s="82"/>
      <c r="M22535" s="85"/>
    </row>
    <row r="22536" spans="9:13" x14ac:dyDescent="0.3">
      <c r="I22536" s="82"/>
      <c r="M22536" s="85"/>
    </row>
    <row r="22537" spans="9:13" x14ac:dyDescent="0.3">
      <c r="I22537" s="82"/>
      <c r="M22537" s="85"/>
    </row>
    <row r="22538" spans="9:13" x14ac:dyDescent="0.3">
      <c r="I22538" s="82"/>
      <c r="M22538" s="85"/>
    </row>
    <row r="22539" spans="9:13" x14ac:dyDescent="0.3">
      <c r="I22539" s="82"/>
      <c r="M22539" s="85"/>
    </row>
    <row r="22540" spans="9:13" x14ac:dyDescent="0.3">
      <c r="I22540" s="82"/>
      <c r="M22540" s="85"/>
    </row>
    <row r="22541" spans="9:13" x14ac:dyDescent="0.3">
      <c r="I22541" s="82"/>
      <c r="M22541" s="85"/>
    </row>
    <row r="22542" spans="9:13" x14ac:dyDescent="0.3">
      <c r="I22542" s="82"/>
      <c r="M22542" s="85"/>
    </row>
    <row r="22543" spans="9:13" x14ac:dyDescent="0.3">
      <c r="I22543" s="82"/>
      <c r="M22543" s="85"/>
    </row>
    <row r="22544" spans="9:13" x14ac:dyDescent="0.3">
      <c r="I22544" s="82"/>
      <c r="M22544" s="85"/>
    </row>
    <row r="22545" spans="9:13" x14ac:dyDescent="0.3">
      <c r="I22545" s="82"/>
      <c r="M22545" s="85"/>
    </row>
    <row r="22546" spans="9:13" x14ac:dyDescent="0.3">
      <c r="I22546" s="82"/>
      <c r="M22546" s="85"/>
    </row>
    <row r="22547" spans="9:13" x14ac:dyDescent="0.3">
      <c r="I22547" s="82"/>
      <c r="M22547" s="85"/>
    </row>
    <row r="22548" spans="9:13" x14ac:dyDescent="0.3">
      <c r="I22548" s="82"/>
      <c r="M22548" s="85"/>
    </row>
    <row r="22549" spans="9:13" x14ac:dyDescent="0.3">
      <c r="I22549" s="82"/>
      <c r="M22549" s="85"/>
    </row>
    <row r="22550" spans="9:13" x14ac:dyDescent="0.3">
      <c r="I22550" s="82"/>
      <c r="M22550" s="85"/>
    </row>
    <row r="22551" spans="9:13" x14ac:dyDescent="0.3">
      <c r="I22551" s="82"/>
      <c r="M22551" s="85"/>
    </row>
    <row r="22552" spans="9:13" x14ac:dyDescent="0.3">
      <c r="I22552" s="82"/>
      <c r="M22552" s="85"/>
    </row>
    <row r="22553" spans="9:13" x14ac:dyDescent="0.3">
      <c r="I22553" s="82"/>
      <c r="M22553" s="85"/>
    </row>
    <row r="22554" spans="9:13" x14ac:dyDescent="0.3">
      <c r="I22554" s="82"/>
      <c r="M22554" s="85"/>
    </row>
    <row r="22555" spans="9:13" x14ac:dyDescent="0.3">
      <c r="I22555" s="82"/>
      <c r="M22555" s="85"/>
    </row>
    <row r="22556" spans="9:13" x14ac:dyDescent="0.3">
      <c r="I22556" s="82"/>
      <c r="M22556" s="85"/>
    </row>
    <row r="22557" spans="9:13" x14ac:dyDescent="0.3">
      <c r="I22557" s="82"/>
      <c r="M22557" s="85"/>
    </row>
    <row r="22558" spans="9:13" x14ac:dyDescent="0.3">
      <c r="I22558" s="82"/>
      <c r="M22558" s="85"/>
    </row>
    <row r="22559" spans="9:13" x14ac:dyDescent="0.3">
      <c r="I22559" s="82"/>
      <c r="M22559" s="85"/>
    </row>
    <row r="22560" spans="9:13" x14ac:dyDescent="0.3">
      <c r="I22560" s="82"/>
      <c r="M22560" s="85"/>
    </row>
    <row r="22561" spans="9:13" x14ac:dyDescent="0.3">
      <c r="I22561" s="82"/>
      <c r="M22561" s="85"/>
    </row>
    <row r="22562" spans="9:13" x14ac:dyDescent="0.3">
      <c r="I22562" s="82"/>
      <c r="M22562" s="85"/>
    </row>
    <row r="22563" spans="9:13" x14ac:dyDescent="0.3">
      <c r="I22563" s="82"/>
      <c r="M22563" s="85"/>
    </row>
    <row r="22564" spans="9:13" x14ac:dyDescent="0.3">
      <c r="I22564" s="82"/>
      <c r="M22564" s="85"/>
    </row>
    <row r="22565" spans="9:13" x14ac:dyDescent="0.3">
      <c r="I22565" s="82"/>
      <c r="M22565" s="85"/>
    </row>
    <row r="22566" spans="9:13" x14ac:dyDescent="0.3">
      <c r="I22566" s="82"/>
      <c r="M22566" s="85"/>
    </row>
    <row r="22567" spans="9:13" x14ac:dyDescent="0.3">
      <c r="I22567" s="82"/>
      <c r="M22567" s="85"/>
    </row>
    <row r="22568" spans="9:13" x14ac:dyDescent="0.3">
      <c r="I22568" s="82"/>
      <c r="M22568" s="85"/>
    </row>
    <row r="22569" spans="9:13" x14ac:dyDescent="0.3">
      <c r="I22569" s="82"/>
      <c r="M22569" s="85"/>
    </row>
    <row r="22570" spans="9:13" x14ac:dyDescent="0.3">
      <c r="I22570" s="82"/>
      <c r="M22570" s="85"/>
    </row>
    <row r="22571" spans="9:13" x14ac:dyDescent="0.3">
      <c r="I22571" s="82"/>
      <c r="M22571" s="85"/>
    </row>
    <row r="22572" spans="9:13" x14ac:dyDescent="0.3">
      <c r="I22572" s="82"/>
      <c r="M22572" s="85"/>
    </row>
    <row r="22573" spans="9:13" x14ac:dyDescent="0.3">
      <c r="I22573" s="82"/>
      <c r="M22573" s="85"/>
    </row>
    <row r="22574" spans="9:13" x14ac:dyDescent="0.3">
      <c r="I22574" s="82"/>
      <c r="M22574" s="85"/>
    </row>
    <row r="22575" spans="9:13" x14ac:dyDescent="0.3">
      <c r="I22575" s="82"/>
      <c r="M22575" s="85"/>
    </row>
    <row r="22576" spans="9:13" x14ac:dyDescent="0.3">
      <c r="I22576" s="82"/>
      <c r="M22576" s="85"/>
    </row>
    <row r="22577" spans="9:13" x14ac:dyDescent="0.3">
      <c r="I22577" s="82"/>
      <c r="M22577" s="85"/>
    </row>
    <row r="22578" spans="9:13" x14ac:dyDescent="0.3">
      <c r="I22578" s="82"/>
      <c r="M22578" s="85"/>
    </row>
    <row r="22579" spans="9:13" x14ac:dyDescent="0.3">
      <c r="I22579" s="82"/>
      <c r="M22579" s="85"/>
    </row>
    <row r="22580" spans="9:13" x14ac:dyDescent="0.3">
      <c r="I22580" s="82"/>
      <c r="M22580" s="85"/>
    </row>
    <row r="22581" spans="9:13" x14ac:dyDescent="0.3">
      <c r="I22581" s="82"/>
      <c r="M22581" s="85"/>
    </row>
    <row r="22582" spans="9:13" x14ac:dyDescent="0.3">
      <c r="I22582" s="82"/>
      <c r="M22582" s="85"/>
    </row>
    <row r="22583" spans="9:13" x14ac:dyDescent="0.3">
      <c r="I22583" s="82"/>
      <c r="M22583" s="85"/>
    </row>
    <row r="22584" spans="9:13" x14ac:dyDescent="0.3">
      <c r="I22584" s="82"/>
      <c r="M22584" s="85"/>
    </row>
    <row r="22585" spans="9:13" x14ac:dyDescent="0.3">
      <c r="I22585" s="82"/>
      <c r="M22585" s="85"/>
    </row>
    <row r="22586" spans="9:13" x14ac:dyDescent="0.3">
      <c r="I22586" s="82"/>
      <c r="M22586" s="85"/>
    </row>
    <row r="22587" spans="9:13" x14ac:dyDescent="0.3">
      <c r="I22587" s="82"/>
      <c r="M22587" s="85"/>
    </row>
    <row r="22588" spans="9:13" x14ac:dyDescent="0.3">
      <c r="I22588" s="82"/>
      <c r="M22588" s="85"/>
    </row>
    <row r="22589" spans="9:13" x14ac:dyDescent="0.3">
      <c r="I22589" s="82"/>
      <c r="M22589" s="85"/>
    </row>
    <row r="22590" spans="9:13" x14ac:dyDescent="0.3">
      <c r="I22590" s="82"/>
      <c r="M22590" s="85"/>
    </row>
    <row r="22591" spans="9:13" x14ac:dyDescent="0.3">
      <c r="I22591" s="82"/>
      <c r="M22591" s="85"/>
    </row>
    <row r="22592" spans="9:13" x14ac:dyDescent="0.3">
      <c r="I22592" s="82"/>
      <c r="M22592" s="85"/>
    </row>
    <row r="22593" spans="9:13" x14ac:dyDescent="0.3">
      <c r="I22593" s="82"/>
      <c r="M22593" s="85"/>
    </row>
    <row r="22594" spans="9:13" x14ac:dyDescent="0.3">
      <c r="I22594" s="82"/>
      <c r="M22594" s="85"/>
    </row>
    <row r="22595" spans="9:13" x14ac:dyDescent="0.3">
      <c r="I22595" s="82"/>
      <c r="M22595" s="85"/>
    </row>
    <row r="22596" spans="9:13" x14ac:dyDescent="0.3">
      <c r="I22596" s="82"/>
      <c r="M22596" s="85"/>
    </row>
    <row r="22597" spans="9:13" x14ac:dyDescent="0.3">
      <c r="I22597" s="82"/>
      <c r="M22597" s="85"/>
    </row>
    <row r="22598" spans="9:13" x14ac:dyDescent="0.3">
      <c r="I22598" s="82"/>
      <c r="M22598" s="85"/>
    </row>
    <row r="22599" spans="9:13" x14ac:dyDescent="0.3">
      <c r="I22599" s="82"/>
      <c r="M22599" s="85"/>
    </row>
    <row r="22600" spans="9:13" x14ac:dyDescent="0.3">
      <c r="I22600" s="82"/>
      <c r="M22600" s="85"/>
    </row>
    <row r="22601" spans="9:13" x14ac:dyDescent="0.3">
      <c r="I22601" s="82"/>
      <c r="M22601" s="85"/>
    </row>
    <row r="22602" spans="9:13" x14ac:dyDescent="0.3">
      <c r="I22602" s="82"/>
      <c r="M22602" s="85"/>
    </row>
    <row r="22603" spans="9:13" x14ac:dyDescent="0.3">
      <c r="I22603" s="82"/>
      <c r="M22603" s="85"/>
    </row>
    <row r="22604" spans="9:13" x14ac:dyDescent="0.3">
      <c r="I22604" s="82"/>
      <c r="M22604" s="85"/>
    </row>
    <row r="22605" spans="9:13" x14ac:dyDescent="0.3">
      <c r="I22605" s="82"/>
      <c r="M22605" s="85"/>
    </row>
    <row r="22606" spans="9:13" x14ac:dyDescent="0.3">
      <c r="I22606" s="82"/>
      <c r="M22606" s="85"/>
    </row>
    <row r="22607" spans="9:13" x14ac:dyDescent="0.3">
      <c r="I22607" s="82"/>
      <c r="M22607" s="85"/>
    </row>
    <row r="22608" spans="9:13" x14ac:dyDescent="0.3">
      <c r="I22608" s="82"/>
      <c r="M22608" s="85"/>
    </row>
    <row r="22609" spans="9:13" x14ac:dyDescent="0.3">
      <c r="I22609" s="82"/>
      <c r="M22609" s="85"/>
    </row>
    <row r="22610" spans="9:13" x14ac:dyDescent="0.3">
      <c r="I22610" s="82"/>
      <c r="M22610" s="85"/>
    </row>
    <row r="22611" spans="9:13" x14ac:dyDescent="0.3">
      <c r="I22611" s="82"/>
      <c r="M22611" s="85"/>
    </row>
    <row r="22612" spans="9:13" x14ac:dyDescent="0.3">
      <c r="I22612" s="82"/>
      <c r="M22612" s="85"/>
    </row>
    <row r="22613" spans="9:13" x14ac:dyDescent="0.3">
      <c r="I22613" s="82"/>
      <c r="M22613" s="85"/>
    </row>
    <row r="22614" spans="9:13" x14ac:dyDescent="0.3">
      <c r="I22614" s="82"/>
      <c r="M22614" s="85"/>
    </row>
    <row r="22615" spans="9:13" x14ac:dyDescent="0.3">
      <c r="I22615" s="82"/>
      <c r="M22615" s="85"/>
    </row>
    <row r="22616" spans="9:13" x14ac:dyDescent="0.3">
      <c r="I22616" s="82"/>
      <c r="M22616" s="85"/>
    </row>
    <row r="22617" spans="9:13" x14ac:dyDescent="0.3">
      <c r="I22617" s="82"/>
      <c r="M22617" s="85"/>
    </row>
    <row r="22618" spans="9:13" x14ac:dyDescent="0.3">
      <c r="I22618" s="82"/>
      <c r="M22618" s="85"/>
    </row>
    <row r="22619" spans="9:13" x14ac:dyDescent="0.3">
      <c r="I22619" s="82"/>
      <c r="M22619" s="85"/>
    </row>
    <row r="22620" spans="9:13" x14ac:dyDescent="0.3">
      <c r="I22620" s="82"/>
      <c r="M22620" s="85"/>
    </row>
    <row r="22621" spans="9:13" x14ac:dyDescent="0.3">
      <c r="I22621" s="82"/>
      <c r="M22621" s="85"/>
    </row>
    <row r="22622" spans="9:13" x14ac:dyDescent="0.3">
      <c r="I22622" s="82"/>
      <c r="M22622" s="85"/>
    </row>
    <row r="22623" spans="9:13" x14ac:dyDescent="0.3">
      <c r="I22623" s="82"/>
      <c r="M22623" s="85"/>
    </row>
    <row r="22624" spans="9:13" x14ac:dyDescent="0.3">
      <c r="I22624" s="82"/>
      <c r="M22624" s="85"/>
    </row>
    <row r="22625" spans="9:13" x14ac:dyDescent="0.3">
      <c r="I22625" s="82"/>
      <c r="M22625" s="85"/>
    </row>
    <row r="22626" spans="9:13" x14ac:dyDescent="0.3">
      <c r="I22626" s="82"/>
      <c r="M22626" s="85"/>
    </row>
    <row r="22627" spans="9:13" x14ac:dyDescent="0.3">
      <c r="I22627" s="82"/>
      <c r="M22627" s="85"/>
    </row>
    <row r="22628" spans="9:13" x14ac:dyDescent="0.3">
      <c r="I22628" s="82"/>
      <c r="M22628" s="85"/>
    </row>
    <row r="22629" spans="9:13" x14ac:dyDescent="0.3">
      <c r="I22629" s="82"/>
      <c r="M22629" s="85"/>
    </row>
    <row r="22630" spans="9:13" x14ac:dyDescent="0.3">
      <c r="I22630" s="82"/>
      <c r="M22630" s="85"/>
    </row>
    <row r="22631" spans="9:13" x14ac:dyDescent="0.3">
      <c r="I22631" s="82"/>
      <c r="M22631" s="85"/>
    </row>
    <row r="22632" spans="9:13" x14ac:dyDescent="0.3">
      <c r="I22632" s="82"/>
      <c r="M22632" s="85"/>
    </row>
    <row r="22633" spans="9:13" x14ac:dyDescent="0.3">
      <c r="I22633" s="82"/>
      <c r="M22633" s="85"/>
    </row>
    <row r="22634" spans="9:13" x14ac:dyDescent="0.3">
      <c r="I22634" s="82"/>
      <c r="M22634" s="85"/>
    </row>
    <row r="22635" spans="9:13" x14ac:dyDescent="0.3">
      <c r="I22635" s="82"/>
      <c r="M22635" s="85"/>
    </row>
    <row r="22636" spans="9:13" x14ac:dyDescent="0.3">
      <c r="I22636" s="82"/>
      <c r="M22636" s="85"/>
    </row>
    <row r="22637" spans="9:13" x14ac:dyDescent="0.3">
      <c r="I22637" s="82"/>
      <c r="M22637" s="85"/>
    </row>
    <row r="22638" spans="9:13" x14ac:dyDescent="0.3">
      <c r="I22638" s="82"/>
      <c r="M22638" s="85"/>
    </row>
    <row r="22639" spans="9:13" x14ac:dyDescent="0.3">
      <c r="I22639" s="82"/>
      <c r="M22639" s="85"/>
    </row>
    <row r="22640" spans="9:13" x14ac:dyDescent="0.3">
      <c r="I22640" s="82"/>
      <c r="M22640" s="85"/>
    </row>
    <row r="22641" spans="9:13" x14ac:dyDescent="0.3">
      <c r="I22641" s="82"/>
      <c r="M22641" s="85"/>
    </row>
    <row r="22642" spans="9:13" x14ac:dyDescent="0.3">
      <c r="I22642" s="82"/>
      <c r="M22642" s="85"/>
    </row>
    <row r="22643" spans="9:13" x14ac:dyDescent="0.3">
      <c r="I22643" s="82"/>
      <c r="M22643" s="85"/>
    </row>
    <row r="22644" spans="9:13" x14ac:dyDescent="0.3">
      <c r="I22644" s="82"/>
      <c r="M22644" s="85"/>
    </row>
    <row r="22645" spans="9:13" x14ac:dyDescent="0.3">
      <c r="I22645" s="82"/>
      <c r="M22645" s="85"/>
    </row>
    <row r="22646" spans="9:13" x14ac:dyDescent="0.3">
      <c r="I22646" s="82"/>
      <c r="M22646" s="85"/>
    </row>
    <row r="22647" spans="9:13" x14ac:dyDescent="0.3">
      <c r="I22647" s="82"/>
      <c r="M22647" s="85"/>
    </row>
    <row r="22648" spans="9:13" x14ac:dyDescent="0.3">
      <c r="I22648" s="82"/>
      <c r="M22648" s="85"/>
    </row>
    <row r="22649" spans="9:13" x14ac:dyDescent="0.3">
      <c r="I22649" s="82"/>
      <c r="M22649" s="85"/>
    </row>
    <row r="22650" spans="9:13" x14ac:dyDescent="0.3">
      <c r="I22650" s="82"/>
      <c r="M22650" s="85"/>
    </row>
    <row r="22651" spans="9:13" x14ac:dyDescent="0.3">
      <c r="I22651" s="82"/>
      <c r="M22651" s="85"/>
    </row>
    <row r="22652" spans="9:13" x14ac:dyDescent="0.3">
      <c r="I22652" s="82"/>
      <c r="M22652" s="85"/>
    </row>
    <row r="22653" spans="9:13" x14ac:dyDescent="0.3">
      <c r="I22653" s="82"/>
      <c r="M22653" s="85"/>
    </row>
    <row r="22654" spans="9:13" x14ac:dyDescent="0.3">
      <c r="I22654" s="82"/>
      <c r="M22654" s="85"/>
    </row>
    <row r="22655" spans="9:13" x14ac:dyDescent="0.3">
      <c r="I22655" s="82"/>
      <c r="M22655" s="85"/>
    </row>
    <row r="22656" spans="9:13" x14ac:dyDescent="0.3">
      <c r="I22656" s="82"/>
      <c r="M22656" s="85"/>
    </row>
    <row r="22657" spans="9:13" x14ac:dyDescent="0.3">
      <c r="I22657" s="82"/>
      <c r="M22657" s="85"/>
    </row>
    <row r="22658" spans="9:13" x14ac:dyDescent="0.3">
      <c r="I22658" s="82"/>
      <c r="M22658" s="85"/>
    </row>
    <row r="22659" spans="9:13" x14ac:dyDescent="0.3">
      <c r="I22659" s="82"/>
      <c r="M22659" s="85"/>
    </row>
    <row r="22660" spans="9:13" x14ac:dyDescent="0.3">
      <c r="I22660" s="82"/>
      <c r="M22660" s="85"/>
    </row>
    <row r="22661" spans="9:13" x14ac:dyDescent="0.3">
      <c r="I22661" s="82"/>
      <c r="M22661" s="85"/>
    </row>
    <row r="22662" spans="9:13" x14ac:dyDescent="0.3">
      <c r="I22662" s="82"/>
      <c r="M22662" s="85"/>
    </row>
    <row r="22663" spans="9:13" x14ac:dyDescent="0.3">
      <c r="I22663" s="82"/>
      <c r="M22663" s="85"/>
    </row>
    <row r="22664" spans="9:13" x14ac:dyDescent="0.3">
      <c r="I22664" s="82"/>
      <c r="M22664" s="85"/>
    </row>
    <row r="22665" spans="9:13" x14ac:dyDescent="0.3">
      <c r="I22665" s="82"/>
      <c r="M22665" s="85"/>
    </row>
    <row r="22666" spans="9:13" x14ac:dyDescent="0.3">
      <c r="I22666" s="82"/>
      <c r="M22666" s="85"/>
    </row>
    <row r="22667" spans="9:13" x14ac:dyDescent="0.3">
      <c r="I22667" s="82"/>
      <c r="M22667" s="85"/>
    </row>
    <row r="22668" spans="9:13" x14ac:dyDescent="0.3">
      <c r="I22668" s="82"/>
      <c r="M22668" s="85"/>
    </row>
    <row r="22669" spans="9:13" x14ac:dyDescent="0.3">
      <c r="I22669" s="82"/>
      <c r="M22669" s="85"/>
    </row>
    <row r="22670" spans="9:13" x14ac:dyDescent="0.3">
      <c r="I22670" s="82"/>
      <c r="M22670" s="85"/>
    </row>
    <row r="22671" spans="9:13" x14ac:dyDescent="0.3">
      <c r="I22671" s="82"/>
      <c r="M22671" s="85"/>
    </row>
    <row r="22672" spans="9:13" x14ac:dyDescent="0.3">
      <c r="I22672" s="82"/>
      <c r="M22672" s="85"/>
    </row>
    <row r="22673" spans="9:13" x14ac:dyDescent="0.3">
      <c r="I22673" s="82"/>
      <c r="M22673" s="85"/>
    </row>
    <row r="22674" spans="9:13" x14ac:dyDescent="0.3">
      <c r="I22674" s="82"/>
      <c r="M22674" s="85"/>
    </row>
    <row r="22675" spans="9:13" x14ac:dyDescent="0.3">
      <c r="I22675" s="82"/>
      <c r="M22675" s="85"/>
    </row>
    <row r="22676" spans="9:13" x14ac:dyDescent="0.3">
      <c r="I22676" s="82"/>
      <c r="M22676" s="85"/>
    </row>
    <row r="22677" spans="9:13" x14ac:dyDescent="0.3">
      <c r="I22677" s="82"/>
      <c r="M22677" s="85"/>
    </row>
    <row r="22678" spans="9:13" x14ac:dyDescent="0.3">
      <c r="I22678" s="82"/>
      <c r="M22678" s="85"/>
    </row>
    <row r="22679" spans="9:13" x14ac:dyDescent="0.3">
      <c r="I22679" s="82"/>
      <c r="M22679" s="85"/>
    </row>
    <row r="22680" spans="9:13" x14ac:dyDescent="0.3">
      <c r="I22680" s="82"/>
      <c r="M22680" s="85"/>
    </row>
    <row r="22681" spans="9:13" x14ac:dyDescent="0.3">
      <c r="I22681" s="82"/>
      <c r="M22681" s="85"/>
    </row>
    <row r="22682" spans="9:13" x14ac:dyDescent="0.3">
      <c r="I22682" s="82"/>
      <c r="M22682" s="85"/>
    </row>
    <row r="22683" spans="9:13" x14ac:dyDescent="0.3">
      <c r="I22683" s="82"/>
      <c r="M22683" s="85"/>
    </row>
    <row r="22684" spans="9:13" x14ac:dyDescent="0.3">
      <c r="I22684" s="82"/>
      <c r="M22684" s="85"/>
    </row>
    <row r="22685" spans="9:13" x14ac:dyDescent="0.3">
      <c r="I22685" s="82"/>
      <c r="M22685" s="85"/>
    </row>
    <row r="22686" spans="9:13" x14ac:dyDescent="0.3">
      <c r="I22686" s="82"/>
      <c r="M22686" s="85"/>
    </row>
    <row r="22687" spans="9:13" x14ac:dyDescent="0.3">
      <c r="I22687" s="82"/>
      <c r="M22687" s="85"/>
    </row>
    <row r="22688" spans="9:13" x14ac:dyDescent="0.3">
      <c r="I22688" s="82"/>
      <c r="M22688" s="85"/>
    </row>
    <row r="22689" spans="9:13" x14ac:dyDescent="0.3">
      <c r="I22689" s="82"/>
      <c r="M22689" s="85"/>
    </row>
    <row r="22690" spans="9:13" x14ac:dyDescent="0.3">
      <c r="I22690" s="82"/>
      <c r="M22690" s="85"/>
    </row>
    <row r="22691" spans="9:13" x14ac:dyDescent="0.3">
      <c r="I22691" s="82"/>
      <c r="M22691" s="85"/>
    </row>
    <row r="22692" spans="9:13" x14ac:dyDescent="0.3">
      <c r="I22692" s="82"/>
      <c r="M22692" s="85"/>
    </row>
    <row r="22693" spans="9:13" x14ac:dyDescent="0.3">
      <c r="I22693" s="82"/>
      <c r="M22693" s="85"/>
    </row>
    <row r="22694" spans="9:13" x14ac:dyDescent="0.3">
      <c r="I22694" s="82"/>
      <c r="M22694" s="85"/>
    </row>
    <row r="22695" spans="9:13" x14ac:dyDescent="0.3">
      <c r="I22695" s="82"/>
      <c r="M22695" s="85"/>
    </row>
    <row r="22696" spans="9:13" x14ac:dyDescent="0.3">
      <c r="I22696" s="82"/>
      <c r="M22696" s="85"/>
    </row>
    <row r="22697" spans="9:13" x14ac:dyDescent="0.3">
      <c r="I22697" s="82"/>
      <c r="M22697" s="85"/>
    </row>
    <row r="22698" spans="9:13" x14ac:dyDescent="0.3">
      <c r="I22698" s="82"/>
      <c r="M22698" s="85"/>
    </row>
    <row r="22699" spans="9:13" x14ac:dyDescent="0.3">
      <c r="I22699" s="82"/>
      <c r="M22699" s="85"/>
    </row>
    <row r="22700" spans="9:13" x14ac:dyDescent="0.3">
      <c r="I22700" s="82"/>
      <c r="M22700" s="85"/>
    </row>
    <row r="22701" spans="9:13" x14ac:dyDescent="0.3">
      <c r="I22701" s="82"/>
      <c r="M22701" s="85"/>
    </row>
    <row r="22702" spans="9:13" x14ac:dyDescent="0.3">
      <c r="I22702" s="82"/>
      <c r="M22702" s="85"/>
    </row>
    <row r="22703" spans="9:13" x14ac:dyDescent="0.3">
      <c r="I22703" s="82"/>
      <c r="M22703" s="85"/>
    </row>
    <row r="22704" spans="9:13" x14ac:dyDescent="0.3">
      <c r="I22704" s="82"/>
      <c r="M22704" s="85"/>
    </row>
    <row r="22705" spans="9:13" x14ac:dyDescent="0.3">
      <c r="I22705" s="82"/>
      <c r="M22705" s="85"/>
    </row>
    <row r="22706" spans="9:13" x14ac:dyDescent="0.3">
      <c r="I22706" s="82"/>
      <c r="M22706" s="85"/>
    </row>
    <row r="22707" spans="9:13" x14ac:dyDescent="0.3">
      <c r="I22707" s="82"/>
      <c r="M22707" s="85"/>
    </row>
    <row r="22708" spans="9:13" x14ac:dyDescent="0.3">
      <c r="I22708" s="82"/>
      <c r="M22708" s="85"/>
    </row>
    <row r="22709" spans="9:13" x14ac:dyDescent="0.3">
      <c r="I22709" s="82"/>
      <c r="M22709" s="85"/>
    </row>
    <row r="22710" spans="9:13" x14ac:dyDescent="0.3">
      <c r="I22710" s="82"/>
      <c r="M22710" s="85"/>
    </row>
    <row r="22711" spans="9:13" x14ac:dyDescent="0.3">
      <c r="I22711" s="82"/>
      <c r="M22711" s="85"/>
    </row>
    <row r="22712" spans="9:13" x14ac:dyDescent="0.3">
      <c r="I22712" s="82"/>
      <c r="M22712" s="85"/>
    </row>
    <row r="22713" spans="9:13" x14ac:dyDescent="0.3">
      <c r="I22713" s="82"/>
      <c r="M22713" s="85"/>
    </row>
    <row r="22714" spans="9:13" x14ac:dyDescent="0.3">
      <c r="I22714" s="82"/>
      <c r="M22714" s="85"/>
    </row>
    <row r="22715" spans="9:13" x14ac:dyDescent="0.3">
      <c r="I22715" s="82"/>
      <c r="M22715" s="85"/>
    </row>
    <row r="22716" spans="9:13" x14ac:dyDescent="0.3">
      <c r="I22716" s="82"/>
      <c r="M22716" s="85"/>
    </row>
    <row r="22717" spans="9:13" x14ac:dyDescent="0.3">
      <c r="I22717" s="82"/>
      <c r="M22717" s="85"/>
    </row>
    <row r="22718" spans="9:13" x14ac:dyDescent="0.3">
      <c r="I22718" s="82"/>
      <c r="M22718" s="85"/>
    </row>
    <row r="22719" spans="9:13" x14ac:dyDescent="0.3">
      <c r="I22719" s="82"/>
      <c r="M22719" s="85"/>
    </row>
    <row r="22720" spans="9:13" x14ac:dyDescent="0.3">
      <c r="I22720" s="82"/>
      <c r="M22720" s="85"/>
    </row>
    <row r="22721" spans="9:13" x14ac:dyDescent="0.3">
      <c r="I22721" s="82"/>
      <c r="M22721" s="85"/>
    </row>
    <row r="22722" spans="9:13" x14ac:dyDescent="0.3">
      <c r="I22722" s="82"/>
      <c r="M22722" s="85"/>
    </row>
    <row r="22723" spans="9:13" x14ac:dyDescent="0.3">
      <c r="I22723" s="82"/>
      <c r="M22723" s="85"/>
    </row>
    <row r="22724" spans="9:13" x14ac:dyDescent="0.3">
      <c r="I22724" s="82"/>
      <c r="M22724" s="85"/>
    </row>
    <row r="22725" spans="9:13" x14ac:dyDescent="0.3">
      <c r="I22725" s="82"/>
      <c r="M22725" s="85"/>
    </row>
    <row r="22726" spans="9:13" x14ac:dyDescent="0.3">
      <c r="I22726" s="82"/>
      <c r="M22726" s="85"/>
    </row>
    <row r="22727" spans="9:13" x14ac:dyDescent="0.3">
      <c r="I22727" s="82"/>
      <c r="M22727" s="85"/>
    </row>
    <row r="22728" spans="9:13" x14ac:dyDescent="0.3">
      <c r="I22728" s="82"/>
      <c r="M22728" s="85"/>
    </row>
    <row r="22729" spans="9:13" x14ac:dyDescent="0.3">
      <c r="I22729" s="82"/>
      <c r="M22729" s="85"/>
    </row>
    <row r="22730" spans="9:13" x14ac:dyDescent="0.3">
      <c r="I22730" s="82"/>
      <c r="M22730" s="85"/>
    </row>
    <row r="22731" spans="9:13" x14ac:dyDescent="0.3">
      <c r="I22731" s="82"/>
      <c r="M22731" s="85"/>
    </row>
    <row r="22732" spans="9:13" x14ac:dyDescent="0.3">
      <c r="I22732" s="82"/>
      <c r="M22732" s="85"/>
    </row>
    <row r="22733" spans="9:13" x14ac:dyDescent="0.3">
      <c r="I22733" s="82"/>
      <c r="M22733" s="85"/>
    </row>
    <row r="22734" spans="9:13" x14ac:dyDescent="0.3">
      <c r="I22734" s="82"/>
      <c r="M22734" s="85"/>
    </row>
    <row r="22735" spans="9:13" x14ac:dyDescent="0.3">
      <c r="I22735" s="82"/>
      <c r="M22735" s="85"/>
    </row>
    <row r="22736" spans="9:13" x14ac:dyDescent="0.3">
      <c r="I22736" s="82"/>
      <c r="M22736" s="85"/>
    </row>
    <row r="22737" spans="9:13" x14ac:dyDescent="0.3">
      <c r="I22737" s="82"/>
      <c r="M22737" s="85"/>
    </row>
    <row r="22738" spans="9:13" x14ac:dyDescent="0.3">
      <c r="I22738" s="82"/>
      <c r="M22738" s="85"/>
    </row>
    <row r="22739" spans="9:13" x14ac:dyDescent="0.3">
      <c r="I22739" s="82"/>
      <c r="M22739" s="85"/>
    </row>
    <row r="22740" spans="9:13" x14ac:dyDescent="0.3">
      <c r="I22740" s="82"/>
      <c r="M22740" s="85"/>
    </row>
    <row r="22741" spans="9:13" x14ac:dyDescent="0.3">
      <c r="I22741" s="82"/>
      <c r="M22741" s="85"/>
    </row>
    <row r="22742" spans="9:13" x14ac:dyDescent="0.3">
      <c r="I22742" s="82"/>
      <c r="M22742" s="85"/>
    </row>
    <row r="22743" spans="9:13" x14ac:dyDescent="0.3">
      <c r="I22743" s="82"/>
      <c r="M22743" s="85"/>
    </row>
    <row r="22744" spans="9:13" x14ac:dyDescent="0.3">
      <c r="I22744" s="82"/>
      <c r="M22744" s="85"/>
    </row>
    <row r="22745" spans="9:13" x14ac:dyDescent="0.3">
      <c r="I22745" s="82"/>
      <c r="M22745" s="85"/>
    </row>
    <row r="22746" spans="9:13" x14ac:dyDescent="0.3">
      <c r="I22746" s="82"/>
      <c r="M22746" s="85"/>
    </row>
    <row r="22747" spans="9:13" x14ac:dyDescent="0.3">
      <c r="I22747" s="82"/>
      <c r="M22747" s="85"/>
    </row>
    <row r="22748" spans="9:13" x14ac:dyDescent="0.3">
      <c r="I22748" s="82"/>
      <c r="M22748" s="85"/>
    </row>
    <row r="22749" spans="9:13" x14ac:dyDescent="0.3">
      <c r="I22749" s="82"/>
      <c r="M22749" s="85"/>
    </row>
    <row r="22750" spans="9:13" x14ac:dyDescent="0.3">
      <c r="I22750" s="82"/>
      <c r="M22750" s="85"/>
    </row>
    <row r="22751" spans="9:13" x14ac:dyDescent="0.3">
      <c r="I22751" s="82"/>
      <c r="M22751" s="85"/>
    </row>
    <row r="22752" spans="9:13" x14ac:dyDescent="0.3">
      <c r="I22752" s="82"/>
      <c r="M22752" s="85"/>
    </row>
    <row r="22753" spans="9:13" x14ac:dyDescent="0.3">
      <c r="I22753" s="82"/>
      <c r="M22753" s="85"/>
    </row>
    <row r="22754" spans="9:13" x14ac:dyDescent="0.3">
      <c r="I22754" s="82"/>
      <c r="M22754" s="85"/>
    </row>
    <row r="22755" spans="9:13" x14ac:dyDescent="0.3">
      <c r="I22755" s="82"/>
      <c r="M22755" s="85"/>
    </row>
    <row r="22756" spans="9:13" x14ac:dyDescent="0.3">
      <c r="I22756" s="82"/>
      <c r="M22756" s="85"/>
    </row>
    <row r="22757" spans="9:13" x14ac:dyDescent="0.3">
      <c r="I22757" s="82"/>
      <c r="M22757" s="85"/>
    </row>
    <row r="22758" spans="9:13" x14ac:dyDescent="0.3">
      <c r="I22758" s="82"/>
      <c r="M22758" s="85"/>
    </row>
    <row r="22759" spans="9:13" x14ac:dyDescent="0.3">
      <c r="I22759" s="82"/>
      <c r="M22759" s="85"/>
    </row>
    <row r="22760" spans="9:13" x14ac:dyDescent="0.3">
      <c r="I22760" s="82"/>
      <c r="M22760" s="85"/>
    </row>
    <row r="22761" spans="9:13" x14ac:dyDescent="0.3">
      <c r="I22761" s="82"/>
      <c r="M22761" s="85"/>
    </row>
    <row r="22762" spans="9:13" x14ac:dyDescent="0.3">
      <c r="I22762" s="82"/>
      <c r="M22762" s="85"/>
    </row>
    <row r="22763" spans="9:13" x14ac:dyDescent="0.3">
      <c r="I22763" s="82"/>
      <c r="M22763" s="85"/>
    </row>
    <row r="22764" spans="9:13" x14ac:dyDescent="0.3">
      <c r="I22764" s="82"/>
      <c r="M22764" s="85"/>
    </row>
    <row r="22765" spans="9:13" x14ac:dyDescent="0.3">
      <c r="I22765" s="82"/>
      <c r="M22765" s="85"/>
    </row>
    <row r="22766" spans="9:13" x14ac:dyDescent="0.3">
      <c r="I22766" s="82"/>
      <c r="M22766" s="85"/>
    </row>
    <row r="22767" spans="9:13" x14ac:dyDescent="0.3">
      <c r="I22767" s="82"/>
      <c r="M22767" s="85"/>
    </row>
    <row r="22768" spans="9:13" x14ac:dyDescent="0.3">
      <c r="I22768" s="82"/>
      <c r="M22768" s="85"/>
    </row>
    <row r="22769" spans="9:13" x14ac:dyDescent="0.3">
      <c r="I22769" s="82"/>
      <c r="M22769" s="85"/>
    </row>
    <row r="22770" spans="9:13" x14ac:dyDescent="0.3">
      <c r="I22770" s="82"/>
      <c r="M22770" s="85"/>
    </row>
    <row r="22771" spans="9:13" x14ac:dyDescent="0.3">
      <c r="I22771" s="82"/>
      <c r="M22771" s="85"/>
    </row>
    <row r="22772" spans="9:13" x14ac:dyDescent="0.3">
      <c r="I22772" s="82"/>
      <c r="M22772" s="85"/>
    </row>
    <row r="22773" spans="9:13" x14ac:dyDescent="0.3">
      <c r="I22773" s="82"/>
      <c r="M22773" s="85"/>
    </row>
    <row r="22774" spans="9:13" x14ac:dyDescent="0.3">
      <c r="I22774" s="82"/>
      <c r="M22774" s="85"/>
    </row>
    <row r="22775" spans="9:13" x14ac:dyDescent="0.3">
      <c r="I22775" s="82"/>
      <c r="M22775" s="85"/>
    </row>
    <row r="22776" spans="9:13" x14ac:dyDescent="0.3">
      <c r="I22776" s="82"/>
      <c r="M22776" s="85"/>
    </row>
    <row r="22777" spans="9:13" x14ac:dyDescent="0.3">
      <c r="I22777" s="82"/>
      <c r="M22777" s="85"/>
    </row>
    <row r="22778" spans="9:13" x14ac:dyDescent="0.3">
      <c r="I22778" s="82"/>
      <c r="M22778" s="85"/>
    </row>
    <row r="22779" spans="9:13" x14ac:dyDescent="0.3">
      <c r="I22779" s="82"/>
      <c r="M22779" s="85"/>
    </row>
    <row r="22780" spans="9:13" x14ac:dyDescent="0.3">
      <c r="I22780" s="82"/>
      <c r="M22780" s="85"/>
    </row>
    <row r="22781" spans="9:13" x14ac:dyDescent="0.3">
      <c r="I22781" s="82"/>
      <c r="M22781" s="85"/>
    </row>
    <row r="22782" spans="9:13" x14ac:dyDescent="0.3">
      <c r="I22782" s="82"/>
      <c r="M22782" s="85"/>
    </row>
    <row r="22783" spans="9:13" x14ac:dyDescent="0.3">
      <c r="I22783" s="82"/>
      <c r="M22783" s="85"/>
    </row>
    <row r="22784" spans="9:13" x14ac:dyDescent="0.3">
      <c r="I22784" s="82"/>
      <c r="M22784" s="85"/>
    </row>
    <row r="22785" spans="9:13" x14ac:dyDescent="0.3">
      <c r="I22785" s="82"/>
      <c r="M22785" s="85"/>
    </row>
    <row r="22786" spans="9:13" x14ac:dyDescent="0.3">
      <c r="I22786" s="82"/>
      <c r="M22786" s="85"/>
    </row>
    <row r="22787" spans="9:13" x14ac:dyDescent="0.3">
      <c r="I22787" s="82"/>
      <c r="M22787" s="85"/>
    </row>
    <row r="22788" spans="9:13" x14ac:dyDescent="0.3">
      <c r="I22788" s="82"/>
      <c r="M22788" s="85"/>
    </row>
    <row r="22789" spans="9:13" x14ac:dyDescent="0.3">
      <c r="I22789" s="82"/>
      <c r="M22789" s="85"/>
    </row>
    <row r="22790" spans="9:13" x14ac:dyDescent="0.3">
      <c r="I22790" s="82"/>
      <c r="M22790" s="85"/>
    </row>
    <row r="22791" spans="9:13" x14ac:dyDescent="0.3">
      <c r="I22791" s="82"/>
      <c r="M22791" s="85"/>
    </row>
    <row r="22792" spans="9:13" x14ac:dyDescent="0.3">
      <c r="I22792" s="82"/>
      <c r="M22792" s="85"/>
    </row>
    <row r="22793" spans="9:13" x14ac:dyDescent="0.3">
      <c r="I22793" s="82"/>
      <c r="M22793" s="85"/>
    </row>
    <row r="22794" spans="9:13" x14ac:dyDescent="0.3">
      <c r="I22794" s="82"/>
      <c r="M22794" s="85"/>
    </row>
    <row r="22795" spans="9:13" x14ac:dyDescent="0.3">
      <c r="I22795" s="82"/>
      <c r="M22795" s="85"/>
    </row>
    <row r="22796" spans="9:13" x14ac:dyDescent="0.3">
      <c r="I22796" s="82"/>
      <c r="M22796" s="85"/>
    </row>
    <row r="22797" spans="9:13" x14ac:dyDescent="0.3">
      <c r="I22797" s="82"/>
      <c r="M22797" s="85"/>
    </row>
    <row r="22798" spans="9:13" x14ac:dyDescent="0.3">
      <c r="I22798" s="82"/>
      <c r="M22798" s="85"/>
    </row>
    <row r="22799" spans="9:13" x14ac:dyDescent="0.3">
      <c r="I22799" s="82"/>
      <c r="M22799" s="85"/>
    </row>
    <row r="22800" spans="9:13" x14ac:dyDescent="0.3">
      <c r="I22800" s="82"/>
      <c r="M22800" s="85"/>
    </row>
    <row r="22801" spans="9:13" x14ac:dyDescent="0.3">
      <c r="I22801" s="82"/>
      <c r="M22801" s="85"/>
    </row>
    <row r="22802" spans="9:13" x14ac:dyDescent="0.3">
      <c r="I22802" s="82"/>
      <c r="M22802" s="85"/>
    </row>
    <row r="22803" spans="9:13" x14ac:dyDescent="0.3">
      <c r="I22803" s="82"/>
      <c r="M22803" s="85"/>
    </row>
    <row r="22804" spans="9:13" x14ac:dyDescent="0.3">
      <c r="I22804" s="82"/>
      <c r="M22804" s="85"/>
    </row>
    <row r="22805" spans="9:13" x14ac:dyDescent="0.3">
      <c r="I22805" s="82"/>
      <c r="M22805" s="85"/>
    </row>
    <row r="22806" spans="9:13" x14ac:dyDescent="0.3">
      <c r="I22806" s="82"/>
      <c r="M22806" s="85"/>
    </row>
    <row r="22807" spans="9:13" x14ac:dyDescent="0.3">
      <c r="I22807" s="82"/>
      <c r="M22807" s="85"/>
    </row>
    <row r="22808" spans="9:13" x14ac:dyDescent="0.3">
      <c r="I22808" s="82"/>
      <c r="M22808" s="85"/>
    </row>
    <row r="22809" spans="9:13" x14ac:dyDescent="0.3">
      <c r="I22809" s="82"/>
      <c r="M22809" s="85"/>
    </row>
    <row r="22810" spans="9:13" x14ac:dyDescent="0.3">
      <c r="I22810" s="82"/>
      <c r="M22810" s="85"/>
    </row>
    <row r="22811" spans="9:13" x14ac:dyDescent="0.3">
      <c r="I22811" s="82"/>
      <c r="M22811" s="85"/>
    </row>
    <row r="22812" spans="9:13" x14ac:dyDescent="0.3">
      <c r="I22812" s="82"/>
      <c r="M22812" s="85"/>
    </row>
    <row r="22813" spans="9:13" x14ac:dyDescent="0.3">
      <c r="I22813" s="82"/>
      <c r="M22813" s="85"/>
    </row>
    <row r="22814" spans="9:13" x14ac:dyDescent="0.3">
      <c r="I22814" s="82"/>
      <c r="M22814" s="85"/>
    </row>
    <row r="22815" spans="9:13" x14ac:dyDescent="0.3">
      <c r="I22815" s="82"/>
      <c r="M22815" s="85"/>
    </row>
    <row r="22816" spans="9:13" x14ac:dyDescent="0.3">
      <c r="I22816" s="82"/>
      <c r="M22816" s="85"/>
    </row>
    <row r="22817" spans="9:13" x14ac:dyDescent="0.3">
      <c r="I22817" s="82"/>
      <c r="M22817" s="85"/>
    </row>
    <row r="22818" spans="9:13" x14ac:dyDescent="0.3">
      <c r="I22818" s="82"/>
      <c r="M22818" s="85"/>
    </row>
    <row r="22819" spans="9:13" x14ac:dyDescent="0.3">
      <c r="I22819" s="82"/>
      <c r="M22819" s="85"/>
    </row>
    <row r="22820" spans="9:13" x14ac:dyDescent="0.3">
      <c r="I22820" s="82"/>
      <c r="M22820" s="85"/>
    </row>
    <row r="22821" spans="9:13" x14ac:dyDescent="0.3">
      <c r="I22821" s="82"/>
      <c r="M22821" s="85"/>
    </row>
    <row r="22822" spans="9:13" x14ac:dyDescent="0.3">
      <c r="I22822" s="82"/>
      <c r="M22822" s="85"/>
    </row>
    <row r="22823" spans="9:13" x14ac:dyDescent="0.3">
      <c r="I22823" s="82"/>
      <c r="M22823" s="85"/>
    </row>
    <row r="22824" spans="9:13" x14ac:dyDescent="0.3">
      <c r="I22824" s="82"/>
      <c r="M22824" s="85"/>
    </row>
    <row r="22825" spans="9:13" x14ac:dyDescent="0.3">
      <c r="I22825" s="82"/>
      <c r="M22825" s="85"/>
    </row>
    <row r="22826" spans="9:13" x14ac:dyDescent="0.3">
      <c r="I22826" s="82"/>
      <c r="M22826" s="85"/>
    </row>
    <row r="22827" spans="9:13" x14ac:dyDescent="0.3">
      <c r="I22827" s="82"/>
      <c r="M22827" s="85"/>
    </row>
    <row r="22828" spans="9:13" x14ac:dyDescent="0.3">
      <c r="I22828" s="82"/>
      <c r="M22828" s="85"/>
    </row>
    <row r="22829" spans="9:13" x14ac:dyDescent="0.3">
      <c r="I22829" s="82"/>
      <c r="M22829" s="85"/>
    </row>
    <row r="22830" spans="9:13" x14ac:dyDescent="0.3">
      <c r="I22830" s="82"/>
      <c r="M22830" s="85"/>
    </row>
    <row r="22831" spans="9:13" x14ac:dyDescent="0.3">
      <c r="I22831" s="82"/>
      <c r="M22831" s="85"/>
    </row>
    <row r="22832" spans="9:13" x14ac:dyDescent="0.3">
      <c r="I22832" s="82"/>
      <c r="M22832" s="85"/>
    </row>
    <row r="22833" spans="9:13" x14ac:dyDescent="0.3">
      <c r="I22833" s="82"/>
      <c r="M22833" s="85"/>
    </row>
    <row r="22834" spans="9:13" x14ac:dyDescent="0.3">
      <c r="I22834" s="82"/>
      <c r="M22834" s="85"/>
    </row>
    <row r="22835" spans="9:13" x14ac:dyDescent="0.3">
      <c r="I22835" s="82"/>
      <c r="M22835" s="85"/>
    </row>
    <row r="22836" spans="9:13" x14ac:dyDescent="0.3">
      <c r="I22836" s="82"/>
      <c r="M22836" s="85"/>
    </row>
    <row r="22837" spans="9:13" x14ac:dyDescent="0.3">
      <c r="I22837" s="82"/>
      <c r="M22837" s="85"/>
    </row>
    <row r="22838" spans="9:13" x14ac:dyDescent="0.3">
      <c r="I22838" s="82"/>
      <c r="M22838" s="85"/>
    </row>
    <row r="22839" spans="9:13" x14ac:dyDescent="0.3">
      <c r="I22839" s="82"/>
      <c r="M22839" s="85"/>
    </row>
    <row r="22840" spans="9:13" x14ac:dyDescent="0.3">
      <c r="I22840" s="82"/>
      <c r="M22840" s="85"/>
    </row>
    <row r="22841" spans="9:13" x14ac:dyDescent="0.3">
      <c r="I22841" s="82"/>
      <c r="M22841" s="85"/>
    </row>
    <row r="22842" spans="9:13" x14ac:dyDescent="0.3">
      <c r="I22842" s="82"/>
      <c r="M22842" s="85"/>
    </row>
    <row r="22843" spans="9:13" x14ac:dyDescent="0.3">
      <c r="I22843" s="82"/>
      <c r="M22843" s="85"/>
    </row>
    <row r="22844" spans="9:13" x14ac:dyDescent="0.3">
      <c r="I22844" s="82"/>
      <c r="M22844" s="85"/>
    </row>
    <row r="22845" spans="9:13" x14ac:dyDescent="0.3">
      <c r="I22845" s="82"/>
      <c r="M22845" s="85"/>
    </row>
    <row r="22846" spans="9:13" x14ac:dyDescent="0.3">
      <c r="I22846" s="82"/>
      <c r="M22846" s="85"/>
    </row>
    <row r="22847" spans="9:13" x14ac:dyDescent="0.3">
      <c r="I22847" s="82"/>
      <c r="M22847" s="85"/>
    </row>
    <row r="22848" spans="9:13" x14ac:dyDescent="0.3">
      <c r="I22848" s="82"/>
      <c r="M22848" s="85"/>
    </row>
    <row r="22849" spans="9:13" x14ac:dyDescent="0.3">
      <c r="I22849" s="82"/>
      <c r="M22849" s="85"/>
    </row>
    <row r="22850" spans="9:13" x14ac:dyDescent="0.3">
      <c r="I22850" s="82"/>
      <c r="M22850" s="85"/>
    </row>
    <row r="22851" spans="9:13" x14ac:dyDescent="0.3">
      <c r="I22851" s="82"/>
      <c r="M22851" s="85"/>
    </row>
    <row r="22852" spans="9:13" x14ac:dyDescent="0.3">
      <c r="I22852" s="82"/>
      <c r="M22852" s="85"/>
    </row>
    <row r="22853" spans="9:13" x14ac:dyDescent="0.3">
      <c r="I22853" s="82"/>
      <c r="M22853" s="85"/>
    </row>
    <row r="22854" spans="9:13" x14ac:dyDescent="0.3">
      <c r="I22854" s="82"/>
      <c r="M22854" s="85"/>
    </row>
    <row r="22855" spans="9:13" x14ac:dyDescent="0.3">
      <c r="I22855" s="82"/>
      <c r="M22855" s="85"/>
    </row>
    <row r="22856" spans="9:13" x14ac:dyDescent="0.3">
      <c r="I22856" s="82"/>
      <c r="M22856" s="85"/>
    </row>
    <row r="22857" spans="9:13" x14ac:dyDescent="0.3">
      <c r="I22857" s="82"/>
      <c r="M22857" s="85"/>
    </row>
    <row r="22858" spans="9:13" x14ac:dyDescent="0.3">
      <c r="I22858" s="82"/>
      <c r="M22858" s="85"/>
    </row>
    <row r="22859" spans="9:13" x14ac:dyDescent="0.3">
      <c r="I22859" s="82"/>
      <c r="M22859" s="85"/>
    </row>
    <row r="22860" spans="9:13" x14ac:dyDescent="0.3">
      <c r="I22860" s="82"/>
      <c r="M22860" s="85"/>
    </row>
    <row r="22861" spans="9:13" x14ac:dyDescent="0.3">
      <c r="I22861" s="82"/>
      <c r="M22861" s="85"/>
    </row>
    <row r="22862" spans="9:13" x14ac:dyDescent="0.3">
      <c r="I22862" s="82"/>
      <c r="M22862" s="85"/>
    </row>
    <row r="22863" spans="9:13" x14ac:dyDescent="0.3">
      <c r="I22863" s="82"/>
      <c r="M22863" s="85"/>
    </row>
    <row r="22864" spans="9:13" x14ac:dyDescent="0.3">
      <c r="I22864" s="82"/>
      <c r="M22864" s="85"/>
    </row>
    <row r="22865" spans="9:13" x14ac:dyDescent="0.3">
      <c r="I22865" s="82"/>
      <c r="M22865" s="85"/>
    </row>
    <row r="22866" spans="9:13" x14ac:dyDescent="0.3">
      <c r="I22866" s="82"/>
      <c r="M22866" s="85"/>
    </row>
    <row r="22867" spans="9:13" x14ac:dyDescent="0.3">
      <c r="I22867" s="82"/>
      <c r="M22867" s="85"/>
    </row>
    <row r="22868" spans="9:13" x14ac:dyDescent="0.3">
      <c r="I22868" s="82"/>
      <c r="M22868" s="85"/>
    </row>
    <row r="22869" spans="9:13" x14ac:dyDescent="0.3">
      <c r="I22869" s="82"/>
      <c r="M22869" s="85"/>
    </row>
    <row r="22870" spans="9:13" x14ac:dyDescent="0.3">
      <c r="I22870" s="82"/>
      <c r="M22870" s="85"/>
    </row>
    <row r="22871" spans="9:13" x14ac:dyDescent="0.3">
      <c r="I22871" s="82"/>
      <c r="M22871" s="85"/>
    </row>
    <row r="22872" spans="9:13" x14ac:dyDescent="0.3">
      <c r="I22872" s="82"/>
      <c r="M22872" s="85"/>
    </row>
    <row r="22873" spans="9:13" x14ac:dyDescent="0.3">
      <c r="I22873" s="82"/>
      <c r="M22873" s="85"/>
    </row>
    <row r="22874" spans="9:13" x14ac:dyDescent="0.3">
      <c r="I22874" s="82"/>
      <c r="M22874" s="85"/>
    </row>
    <row r="22875" spans="9:13" x14ac:dyDescent="0.3">
      <c r="I22875" s="82"/>
      <c r="M22875" s="85"/>
    </row>
    <row r="22876" spans="9:13" x14ac:dyDescent="0.3">
      <c r="I22876" s="82"/>
      <c r="M22876" s="85"/>
    </row>
    <row r="22877" spans="9:13" x14ac:dyDescent="0.3">
      <c r="I22877" s="82"/>
      <c r="M22877" s="85"/>
    </row>
    <row r="22878" spans="9:13" x14ac:dyDescent="0.3">
      <c r="I22878" s="82"/>
      <c r="M22878" s="85"/>
    </row>
    <row r="22879" spans="9:13" x14ac:dyDescent="0.3">
      <c r="I22879" s="82"/>
      <c r="M22879" s="85"/>
    </row>
    <row r="22880" spans="9:13" x14ac:dyDescent="0.3">
      <c r="I22880" s="82"/>
      <c r="M22880" s="85"/>
    </row>
    <row r="22881" spans="9:13" x14ac:dyDescent="0.3">
      <c r="I22881" s="82"/>
      <c r="M22881" s="85"/>
    </row>
    <row r="22882" spans="9:13" x14ac:dyDescent="0.3">
      <c r="I22882" s="82"/>
      <c r="M22882" s="85"/>
    </row>
    <row r="22883" spans="9:13" x14ac:dyDescent="0.3">
      <c r="I22883" s="82"/>
      <c r="M22883" s="85"/>
    </row>
    <row r="22884" spans="9:13" x14ac:dyDescent="0.3">
      <c r="I22884" s="82"/>
      <c r="M22884" s="85"/>
    </row>
    <row r="22885" spans="9:13" x14ac:dyDescent="0.3">
      <c r="I22885" s="82"/>
      <c r="M22885" s="85"/>
    </row>
    <row r="22886" spans="9:13" x14ac:dyDescent="0.3">
      <c r="I22886" s="82"/>
      <c r="M22886" s="85"/>
    </row>
    <row r="22887" spans="9:13" x14ac:dyDescent="0.3">
      <c r="I22887" s="82"/>
      <c r="M22887" s="85"/>
    </row>
    <row r="22888" spans="9:13" x14ac:dyDescent="0.3">
      <c r="I22888" s="82"/>
      <c r="M22888" s="85"/>
    </row>
    <row r="22889" spans="9:13" x14ac:dyDescent="0.3">
      <c r="I22889" s="82"/>
      <c r="M22889" s="85"/>
    </row>
    <row r="22890" spans="9:13" x14ac:dyDescent="0.3">
      <c r="I22890" s="82"/>
      <c r="M22890" s="85"/>
    </row>
    <row r="22891" spans="9:13" x14ac:dyDescent="0.3">
      <c r="I22891" s="82"/>
      <c r="M22891" s="85"/>
    </row>
    <row r="22892" spans="9:13" x14ac:dyDescent="0.3">
      <c r="I22892" s="82"/>
      <c r="M22892" s="85"/>
    </row>
    <row r="22893" spans="9:13" x14ac:dyDescent="0.3">
      <c r="I22893" s="82"/>
      <c r="M22893" s="85"/>
    </row>
    <row r="22894" spans="9:13" x14ac:dyDescent="0.3">
      <c r="I22894" s="82"/>
      <c r="M22894" s="85"/>
    </row>
    <row r="22895" spans="9:13" x14ac:dyDescent="0.3">
      <c r="I22895" s="82"/>
      <c r="M22895" s="85"/>
    </row>
    <row r="22896" spans="9:13" x14ac:dyDescent="0.3">
      <c r="I22896" s="82"/>
      <c r="M22896" s="85"/>
    </row>
    <row r="22897" spans="9:13" x14ac:dyDescent="0.3">
      <c r="I22897" s="82"/>
      <c r="M22897" s="85"/>
    </row>
    <row r="22898" spans="9:13" x14ac:dyDescent="0.3">
      <c r="I22898" s="82"/>
      <c r="M22898" s="85"/>
    </row>
    <row r="22899" spans="9:13" x14ac:dyDescent="0.3">
      <c r="I22899" s="82"/>
      <c r="M22899" s="85"/>
    </row>
    <row r="22900" spans="9:13" x14ac:dyDescent="0.3">
      <c r="I22900" s="82"/>
      <c r="M22900" s="85"/>
    </row>
    <row r="22901" spans="9:13" x14ac:dyDescent="0.3">
      <c r="I22901" s="82"/>
      <c r="M22901" s="85"/>
    </row>
    <row r="22902" spans="9:13" x14ac:dyDescent="0.3">
      <c r="I22902" s="82"/>
      <c r="M22902" s="85"/>
    </row>
    <row r="22903" spans="9:13" x14ac:dyDescent="0.3">
      <c r="I22903" s="82"/>
      <c r="M22903" s="85"/>
    </row>
    <row r="22904" spans="9:13" x14ac:dyDescent="0.3">
      <c r="I22904" s="82"/>
      <c r="M22904" s="85"/>
    </row>
    <row r="22905" spans="9:13" x14ac:dyDescent="0.3">
      <c r="I22905" s="82"/>
      <c r="M22905" s="85"/>
    </row>
    <row r="22906" spans="9:13" x14ac:dyDescent="0.3">
      <c r="I22906" s="82"/>
      <c r="M22906" s="85"/>
    </row>
    <row r="22907" spans="9:13" x14ac:dyDescent="0.3">
      <c r="I22907" s="82"/>
      <c r="M22907" s="85"/>
    </row>
    <row r="22908" spans="9:13" x14ac:dyDescent="0.3">
      <c r="I22908" s="82"/>
      <c r="M22908" s="85"/>
    </row>
    <row r="22909" spans="9:13" x14ac:dyDescent="0.3">
      <c r="I22909" s="82"/>
      <c r="M22909" s="85"/>
    </row>
    <row r="22910" spans="9:13" x14ac:dyDescent="0.3">
      <c r="I22910" s="82"/>
      <c r="M22910" s="85"/>
    </row>
    <row r="22911" spans="9:13" x14ac:dyDescent="0.3">
      <c r="I22911" s="82"/>
      <c r="M22911" s="85"/>
    </row>
    <row r="22912" spans="9:13" x14ac:dyDescent="0.3">
      <c r="I22912" s="82"/>
      <c r="M22912" s="85"/>
    </row>
    <row r="22913" spans="9:13" x14ac:dyDescent="0.3">
      <c r="I22913" s="82"/>
      <c r="M22913" s="85"/>
    </row>
    <row r="22914" spans="9:13" x14ac:dyDescent="0.3">
      <c r="I22914" s="82"/>
      <c r="M22914" s="85"/>
    </row>
    <row r="22915" spans="9:13" x14ac:dyDescent="0.3">
      <c r="I22915" s="82"/>
      <c r="M22915" s="85"/>
    </row>
    <row r="22916" spans="9:13" x14ac:dyDescent="0.3">
      <c r="I22916" s="82"/>
      <c r="M22916" s="85"/>
    </row>
    <row r="22917" spans="9:13" x14ac:dyDescent="0.3">
      <c r="I22917" s="82"/>
      <c r="M22917" s="85"/>
    </row>
    <row r="22918" spans="9:13" x14ac:dyDescent="0.3">
      <c r="I22918" s="82"/>
      <c r="M22918" s="85"/>
    </row>
    <row r="22919" spans="9:13" x14ac:dyDescent="0.3">
      <c r="I22919" s="82"/>
      <c r="M22919" s="85"/>
    </row>
    <row r="22920" spans="9:13" x14ac:dyDescent="0.3">
      <c r="I22920" s="82"/>
      <c r="M22920" s="85"/>
    </row>
    <row r="22921" spans="9:13" x14ac:dyDescent="0.3">
      <c r="I22921" s="82"/>
      <c r="M22921" s="85"/>
    </row>
    <row r="22922" spans="9:13" x14ac:dyDescent="0.3">
      <c r="I22922" s="82"/>
      <c r="M22922" s="85"/>
    </row>
    <row r="22923" spans="9:13" x14ac:dyDescent="0.3">
      <c r="I22923" s="82"/>
      <c r="M22923" s="85"/>
    </row>
    <row r="22924" spans="9:13" x14ac:dyDescent="0.3">
      <c r="I22924" s="82"/>
      <c r="M22924" s="85"/>
    </row>
    <row r="22925" spans="9:13" x14ac:dyDescent="0.3">
      <c r="I22925" s="82"/>
      <c r="M22925" s="85"/>
    </row>
    <row r="22926" spans="9:13" x14ac:dyDescent="0.3">
      <c r="I22926" s="82"/>
      <c r="M22926" s="85"/>
    </row>
    <row r="22927" spans="9:13" x14ac:dyDescent="0.3">
      <c r="I22927" s="82"/>
      <c r="M22927" s="85"/>
    </row>
    <row r="22928" spans="9:13" x14ac:dyDescent="0.3">
      <c r="I22928" s="82"/>
      <c r="M22928" s="85"/>
    </row>
    <row r="22929" spans="9:13" x14ac:dyDescent="0.3">
      <c r="I22929" s="82"/>
      <c r="M22929" s="85"/>
    </row>
    <row r="22930" spans="9:13" x14ac:dyDescent="0.3">
      <c r="I22930" s="82"/>
      <c r="M22930" s="85"/>
    </row>
    <row r="22931" spans="9:13" x14ac:dyDescent="0.3">
      <c r="I22931" s="82"/>
      <c r="M22931" s="85"/>
    </row>
    <row r="22932" spans="9:13" x14ac:dyDescent="0.3">
      <c r="I22932" s="82"/>
      <c r="M22932" s="85"/>
    </row>
    <row r="22933" spans="9:13" x14ac:dyDescent="0.3">
      <c r="I22933" s="82"/>
      <c r="M22933" s="85"/>
    </row>
    <row r="22934" spans="9:13" x14ac:dyDescent="0.3">
      <c r="I22934" s="82"/>
      <c r="M22934" s="85"/>
    </row>
    <row r="22935" spans="9:13" x14ac:dyDescent="0.3">
      <c r="I22935" s="82"/>
      <c r="M22935" s="85"/>
    </row>
    <row r="22936" spans="9:13" x14ac:dyDescent="0.3">
      <c r="I22936" s="82"/>
      <c r="M22936" s="85"/>
    </row>
    <row r="22937" spans="9:13" x14ac:dyDescent="0.3">
      <c r="I22937" s="82"/>
      <c r="M22937" s="85"/>
    </row>
    <row r="22938" spans="9:13" x14ac:dyDescent="0.3">
      <c r="I22938" s="82"/>
      <c r="M22938" s="85"/>
    </row>
    <row r="22939" spans="9:13" x14ac:dyDescent="0.3">
      <c r="I22939" s="82"/>
      <c r="M22939" s="85"/>
    </row>
    <row r="22940" spans="9:13" x14ac:dyDescent="0.3">
      <c r="I22940" s="82"/>
      <c r="M22940" s="85"/>
    </row>
    <row r="22941" spans="9:13" x14ac:dyDescent="0.3">
      <c r="I22941" s="82"/>
      <c r="M22941" s="85"/>
    </row>
    <row r="22942" spans="9:13" x14ac:dyDescent="0.3">
      <c r="I22942" s="82"/>
      <c r="M22942" s="85"/>
    </row>
    <row r="22943" spans="9:13" x14ac:dyDescent="0.3">
      <c r="I22943" s="82"/>
      <c r="M22943" s="85"/>
    </row>
    <row r="22944" spans="9:13" x14ac:dyDescent="0.3">
      <c r="I22944" s="82"/>
      <c r="M22944" s="85"/>
    </row>
    <row r="22945" spans="9:13" x14ac:dyDescent="0.3">
      <c r="I22945" s="82"/>
      <c r="M22945" s="85"/>
    </row>
    <row r="22946" spans="9:13" x14ac:dyDescent="0.3">
      <c r="I22946" s="82"/>
      <c r="M22946" s="85"/>
    </row>
    <row r="22947" spans="9:13" x14ac:dyDescent="0.3">
      <c r="I22947" s="82"/>
      <c r="M22947" s="85"/>
    </row>
    <row r="22948" spans="9:13" x14ac:dyDescent="0.3">
      <c r="I22948" s="82"/>
      <c r="M22948" s="85"/>
    </row>
    <row r="22949" spans="9:13" x14ac:dyDescent="0.3">
      <c r="I22949" s="82"/>
      <c r="M22949" s="85"/>
    </row>
    <row r="22950" spans="9:13" x14ac:dyDescent="0.3">
      <c r="I22950" s="82"/>
      <c r="M22950" s="85"/>
    </row>
    <row r="22951" spans="9:13" x14ac:dyDescent="0.3">
      <c r="I22951" s="82"/>
      <c r="M22951" s="85"/>
    </row>
    <row r="22952" spans="9:13" x14ac:dyDescent="0.3">
      <c r="I22952" s="82"/>
      <c r="M22952" s="85"/>
    </row>
    <row r="22953" spans="9:13" x14ac:dyDescent="0.3">
      <c r="I22953" s="82"/>
      <c r="M22953" s="85"/>
    </row>
    <row r="22954" spans="9:13" x14ac:dyDescent="0.3">
      <c r="I22954" s="82"/>
      <c r="M22954" s="85"/>
    </row>
    <row r="22955" spans="9:13" x14ac:dyDescent="0.3">
      <c r="I22955" s="82"/>
      <c r="M22955" s="85"/>
    </row>
    <row r="22956" spans="9:13" x14ac:dyDescent="0.3">
      <c r="I22956" s="82"/>
      <c r="M22956" s="85"/>
    </row>
    <row r="22957" spans="9:13" x14ac:dyDescent="0.3">
      <c r="I22957" s="82"/>
      <c r="M22957" s="85"/>
    </row>
    <row r="22958" spans="9:13" x14ac:dyDescent="0.3">
      <c r="I22958" s="82"/>
      <c r="M22958" s="85"/>
    </row>
    <row r="22959" spans="9:13" x14ac:dyDescent="0.3">
      <c r="I22959" s="82"/>
      <c r="M22959" s="85"/>
    </row>
    <row r="22960" spans="9:13" x14ac:dyDescent="0.3">
      <c r="I22960" s="82"/>
      <c r="M22960" s="85"/>
    </row>
    <row r="22961" spans="9:13" x14ac:dyDescent="0.3">
      <c r="I22961" s="82"/>
      <c r="M22961" s="85"/>
    </row>
    <row r="22962" spans="9:13" x14ac:dyDescent="0.3">
      <c r="I22962" s="82"/>
      <c r="M22962" s="85"/>
    </row>
    <row r="22963" spans="9:13" x14ac:dyDescent="0.3">
      <c r="I22963" s="82"/>
      <c r="M22963" s="85"/>
    </row>
    <row r="22964" spans="9:13" x14ac:dyDescent="0.3">
      <c r="I22964" s="82"/>
      <c r="M22964" s="85"/>
    </row>
    <row r="22965" spans="9:13" x14ac:dyDescent="0.3">
      <c r="I22965" s="82"/>
      <c r="M22965" s="85"/>
    </row>
    <row r="22966" spans="9:13" x14ac:dyDescent="0.3">
      <c r="I22966" s="82"/>
      <c r="M22966" s="85"/>
    </row>
    <row r="22967" spans="9:13" x14ac:dyDescent="0.3">
      <c r="I22967" s="82"/>
      <c r="M22967" s="85"/>
    </row>
    <row r="22968" spans="9:13" x14ac:dyDescent="0.3">
      <c r="I22968" s="82"/>
      <c r="M22968" s="85"/>
    </row>
    <row r="22969" spans="9:13" x14ac:dyDescent="0.3">
      <c r="I22969" s="82"/>
      <c r="M22969" s="85"/>
    </row>
    <row r="22970" spans="9:13" x14ac:dyDescent="0.3">
      <c r="I22970" s="82"/>
      <c r="M22970" s="85"/>
    </row>
    <row r="22971" spans="9:13" x14ac:dyDescent="0.3">
      <c r="I22971" s="82"/>
      <c r="M22971" s="85"/>
    </row>
    <row r="22972" spans="9:13" x14ac:dyDescent="0.3">
      <c r="I22972" s="82"/>
      <c r="M22972" s="85"/>
    </row>
    <row r="22973" spans="9:13" x14ac:dyDescent="0.3">
      <c r="I22973" s="82"/>
      <c r="M22973" s="85"/>
    </row>
    <row r="22974" spans="9:13" x14ac:dyDescent="0.3">
      <c r="I22974" s="82"/>
      <c r="M22974" s="85"/>
    </row>
    <row r="22975" spans="9:13" x14ac:dyDescent="0.3">
      <c r="I22975" s="82"/>
      <c r="M22975" s="85"/>
    </row>
    <row r="22976" spans="9:13" x14ac:dyDescent="0.3">
      <c r="I22976" s="82"/>
      <c r="M22976" s="85"/>
    </row>
    <row r="22977" spans="9:13" x14ac:dyDescent="0.3">
      <c r="I22977" s="82"/>
      <c r="M22977" s="85"/>
    </row>
    <row r="22978" spans="9:13" x14ac:dyDescent="0.3">
      <c r="I22978" s="82"/>
      <c r="M22978" s="85"/>
    </row>
    <row r="22979" spans="9:13" x14ac:dyDescent="0.3">
      <c r="I22979" s="82"/>
      <c r="M22979" s="85"/>
    </row>
    <row r="22980" spans="9:13" x14ac:dyDescent="0.3">
      <c r="I22980" s="82"/>
      <c r="M22980" s="85"/>
    </row>
    <row r="22981" spans="9:13" x14ac:dyDescent="0.3">
      <c r="I22981" s="82"/>
      <c r="M22981" s="85"/>
    </row>
    <row r="22982" spans="9:13" x14ac:dyDescent="0.3">
      <c r="I22982" s="82"/>
      <c r="M22982" s="85"/>
    </row>
    <row r="22983" spans="9:13" x14ac:dyDescent="0.3">
      <c r="I22983" s="82"/>
      <c r="M22983" s="85"/>
    </row>
    <row r="22984" spans="9:13" x14ac:dyDescent="0.3">
      <c r="I22984" s="82"/>
      <c r="M22984" s="85"/>
    </row>
    <row r="22985" spans="9:13" x14ac:dyDescent="0.3">
      <c r="I22985" s="82"/>
      <c r="M22985" s="85"/>
    </row>
    <row r="22986" spans="9:13" x14ac:dyDescent="0.3">
      <c r="I22986" s="82"/>
      <c r="M22986" s="85"/>
    </row>
    <row r="22987" spans="9:13" x14ac:dyDescent="0.3">
      <c r="I22987" s="82"/>
      <c r="M22987" s="85"/>
    </row>
    <row r="22988" spans="9:13" x14ac:dyDescent="0.3">
      <c r="I22988" s="82"/>
      <c r="M22988" s="85"/>
    </row>
    <row r="22989" spans="9:13" x14ac:dyDescent="0.3">
      <c r="I22989" s="82"/>
      <c r="M22989" s="85"/>
    </row>
    <row r="22990" spans="9:13" x14ac:dyDescent="0.3">
      <c r="I22990" s="82"/>
      <c r="M22990" s="85"/>
    </row>
    <row r="22991" spans="9:13" x14ac:dyDescent="0.3">
      <c r="I22991" s="82"/>
      <c r="M22991" s="85"/>
    </row>
    <row r="22992" spans="9:13" x14ac:dyDescent="0.3">
      <c r="I22992" s="82"/>
      <c r="M22992" s="85"/>
    </row>
    <row r="22993" spans="9:13" x14ac:dyDescent="0.3">
      <c r="I22993" s="82"/>
      <c r="M22993" s="85"/>
    </row>
    <row r="22994" spans="9:13" x14ac:dyDescent="0.3">
      <c r="I22994" s="82"/>
      <c r="M22994" s="85"/>
    </row>
    <row r="22995" spans="9:13" x14ac:dyDescent="0.3">
      <c r="I22995" s="82"/>
      <c r="M22995" s="85"/>
    </row>
    <row r="22996" spans="9:13" x14ac:dyDescent="0.3">
      <c r="I22996" s="82"/>
      <c r="M22996" s="85"/>
    </row>
    <row r="22997" spans="9:13" x14ac:dyDescent="0.3">
      <c r="I22997" s="82"/>
      <c r="M22997" s="85"/>
    </row>
    <row r="22998" spans="9:13" x14ac:dyDescent="0.3">
      <c r="I22998" s="82"/>
      <c r="M22998" s="85"/>
    </row>
    <row r="22999" spans="9:13" x14ac:dyDescent="0.3">
      <c r="I22999" s="82"/>
      <c r="M22999" s="85"/>
    </row>
    <row r="23000" spans="9:13" x14ac:dyDescent="0.3">
      <c r="I23000" s="82"/>
      <c r="M23000" s="85"/>
    </row>
    <row r="23001" spans="9:13" x14ac:dyDescent="0.3">
      <c r="I23001" s="82"/>
      <c r="M23001" s="85"/>
    </row>
    <row r="23002" spans="9:13" x14ac:dyDescent="0.3">
      <c r="I23002" s="82"/>
      <c r="M23002" s="85"/>
    </row>
    <row r="23003" spans="9:13" x14ac:dyDescent="0.3">
      <c r="I23003" s="82"/>
      <c r="M23003" s="85"/>
    </row>
    <row r="23004" spans="9:13" x14ac:dyDescent="0.3">
      <c r="I23004" s="82"/>
      <c r="M23004" s="85"/>
    </row>
    <row r="23005" spans="9:13" x14ac:dyDescent="0.3">
      <c r="I23005" s="82"/>
      <c r="M23005" s="85"/>
    </row>
    <row r="23006" spans="9:13" x14ac:dyDescent="0.3">
      <c r="I23006" s="82"/>
      <c r="M23006" s="85"/>
    </row>
    <row r="23007" spans="9:13" x14ac:dyDescent="0.3">
      <c r="I23007" s="82"/>
      <c r="M23007" s="85"/>
    </row>
    <row r="23008" spans="9:13" x14ac:dyDescent="0.3">
      <c r="I23008" s="82"/>
      <c r="M23008" s="85"/>
    </row>
    <row r="23009" spans="9:13" x14ac:dyDescent="0.3">
      <c r="I23009" s="82"/>
      <c r="M23009" s="85"/>
    </row>
    <row r="23010" spans="9:13" x14ac:dyDescent="0.3">
      <c r="I23010" s="82"/>
      <c r="M23010" s="85"/>
    </row>
    <row r="23011" spans="9:13" x14ac:dyDescent="0.3">
      <c r="I23011" s="82"/>
      <c r="M23011" s="85"/>
    </row>
    <row r="23012" spans="9:13" x14ac:dyDescent="0.3">
      <c r="I23012" s="82"/>
      <c r="M23012" s="85"/>
    </row>
    <row r="23013" spans="9:13" x14ac:dyDescent="0.3">
      <c r="I23013" s="82"/>
      <c r="M23013" s="85"/>
    </row>
    <row r="23014" spans="9:13" x14ac:dyDescent="0.3">
      <c r="I23014" s="82"/>
      <c r="M23014" s="85"/>
    </row>
    <row r="23015" spans="9:13" x14ac:dyDescent="0.3">
      <c r="I23015" s="82"/>
      <c r="M23015" s="85"/>
    </row>
    <row r="23016" spans="9:13" x14ac:dyDescent="0.3">
      <c r="I23016" s="82"/>
      <c r="M23016" s="85"/>
    </row>
    <row r="23017" spans="9:13" x14ac:dyDescent="0.3">
      <c r="I23017" s="82"/>
      <c r="M23017" s="85"/>
    </row>
    <row r="23018" spans="9:13" x14ac:dyDescent="0.3">
      <c r="I23018" s="82"/>
      <c r="M23018" s="85"/>
    </row>
    <row r="23019" spans="9:13" x14ac:dyDescent="0.3">
      <c r="I23019" s="82"/>
      <c r="M23019" s="85"/>
    </row>
    <row r="23020" spans="9:13" x14ac:dyDescent="0.3">
      <c r="I23020" s="82"/>
      <c r="M23020" s="85"/>
    </row>
    <row r="23021" spans="9:13" x14ac:dyDescent="0.3">
      <c r="I23021" s="82"/>
      <c r="M23021" s="85"/>
    </row>
    <row r="23022" spans="9:13" x14ac:dyDescent="0.3">
      <c r="I23022" s="82"/>
      <c r="M23022" s="85"/>
    </row>
    <row r="23023" spans="9:13" x14ac:dyDescent="0.3">
      <c r="I23023" s="82"/>
      <c r="M23023" s="85"/>
    </row>
    <row r="23024" spans="9:13" x14ac:dyDescent="0.3">
      <c r="I23024" s="82"/>
      <c r="M23024" s="85"/>
    </row>
    <row r="23025" spans="9:13" x14ac:dyDescent="0.3">
      <c r="I23025" s="82"/>
      <c r="M23025" s="85"/>
    </row>
    <row r="23026" spans="9:13" x14ac:dyDescent="0.3">
      <c r="I23026" s="82"/>
      <c r="M23026" s="85"/>
    </row>
    <row r="23027" spans="9:13" x14ac:dyDescent="0.3">
      <c r="I23027" s="82"/>
      <c r="M23027" s="85"/>
    </row>
    <row r="23028" spans="9:13" x14ac:dyDescent="0.3">
      <c r="I23028" s="82"/>
      <c r="M23028" s="85"/>
    </row>
    <row r="23029" spans="9:13" x14ac:dyDescent="0.3">
      <c r="I23029" s="82"/>
      <c r="M23029" s="85"/>
    </row>
    <row r="23030" spans="9:13" x14ac:dyDescent="0.3">
      <c r="I23030" s="82"/>
      <c r="M23030" s="85"/>
    </row>
    <row r="23031" spans="9:13" x14ac:dyDescent="0.3">
      <c r="I23031" s="82"/>
      <c r="M23031" s="85"/>
    </row>
    <row r="23032" spans="9:13" x14ac:dyDescent="0.3">
      <c r="I23032" s="82"/>
      <c r="M23032" s="85"/>
    </row>
    <row r="23033" spans="9:13" x14ac:dyDescent="0.3">
      <c r="I23033" s="82"/>
      <c r="M23033" s="85"/>
    </row>
    <row r="23034" spans="9:13" x14ac:dyDescent="0.3">
      <c r="I23034" s="82"/>
      <c r="M23034" s="85"/>
    </row>
    <row r="23035" spans="9:13" x14ac:dyDescent="0.3">
      <c r="I23035" s="82"/>
      <c r="M23035" s="85"/>
    </row>
    <row r="23036" spans="9:13" x14ac:dyDescent="0.3">
      <c r="I23036" s="82"/>
      <c r="M23036" s="85"/>
    </row>
    <row r="23037" spans="9:13" x14ac:dyDescent="0.3">
      <c r="I23037" s="82"/>
      <c r="M23037" s="85"/>
    </row>
    <row r="23038" spans="9:13" x14ac:dyDescent="0.3">
      <c r="I23038" s="82"/>
      <c r="M23038" s="85"/>
    </row>
    <row r="23039" spans="9:13" x14ac:dyDescent="0.3">
      <c r="I23039" s="82"/>
      <c r="M23039" s="85"/>
    </row>
    <row r="23040" spans="9:13" x14ac:dyDescent="0.3">
      <c r="I23040" s="82"/>
      <c r="M23040" s="85"/>
    </row>
    <row r="23041" spans="9:13" x14ac:dyDescent="0.3">
      <c r="I23041" s="82"/>
      <c r="M23041" s="85"/>
    </row>
    <row r="23042" spans="9:13" x14ac:dyDescent="0.3">
      <c r="I23042" s="82"/>
      <c r="M23042" s="85"/>
    </row>
    <row r="23043" spans="9:13" x14ac:dyDescent="0.3">
      <c r="I23043" s="82"/>
      <c r="M23043" s="85"/>
    </row>
    <row r="23044" spans="9:13" x14ac:dyDescent="0.3">
      <c r="I23044" s="82"/>
      <c r="M23044" s="85"/>
    </row>
    <row r="23045" spans="9:13" x14ac:dyDescent="0.3">
      <c r="I23045" s="82"/>
      <c r="M23045" s="85"/>
    </row>
    <row r="23046" spans="9:13" x14ac:dyDescent="0.3">
      <c r="I23046" s="82"/>
      <c r="M23046" s="85"/>
    </row>
    <row r="23047" spans="9:13" x14ac:dyDescent="0.3">
      <c r="I23047" s="82"/>
      <c r="M23047" s="85"/>
    </row>
    <row r="23048" spans="9:13" x14ac:dyDescent="0.3">
      <c r="I23048" s="82"/>
      <c r="M23048" s="85"/>
    </row>
    <row r="23049" spans="9:13" x14ac:dyDescent="0.3">
      <c r="I23049" s="82"/>
      <c r="M23049" s="85"/>
    </row>
    <row r="23050" spans="9:13" x14ac:dyDescent="0.3">
      <c r="I23050" s="82"/>
      <c r="M23050" s="85"/>
    </row>
    <row r="23051" spans="9:13" x14ac:dyDescent="0.3">
      <c r="I23051" s="82"/>
      <c r="M23051" s="85"/>
    </row>
    <row r="23052" spans="9:13" x14ac:dyDescent="0.3">
      <c r="I23052" s="82"/>
      <c r="M23052" s="85"/>
    </row>
    <row r="23053" spans="9:13" x14ac:dyDescent="0.3">
      <c r="I23053" s="82"/>
      <c r="M23053" s="85"/>
    </row>
    <row r="23054" spans="9:13" x14ac:dyDescent="0.3">
      <c r="I23054" s="82"/>
      <c r="M23054" s="85"/>
    </row>
    <row r="23055" spans="9:13" x14ac:dyDescent="0.3">
      <c r="I23055" s="82"/>
      <c r="M23055" s="85"/>
    </row>
    <row r="23056" spans="9:13" x14ac:dyDescent="0.3">
      <c r="I23056" s="82"/>
      <c r="M23056" s="85"/>
    </row>
    <row r="23057" spans="9:13" x14ac:dyDescent="0.3">
      <c r="I23057" s="82"/>
      <c r="M23057" s="85"/>
    </row>
    <row r="23058" spans="9:13" x14ac:dyDescent="0.3">
      <c r="I23058" s="82"/>
      <c r="M23058" s="85"/>
    </row>
    <row r="23059" spans="9:13" x14ac:dyDescent="0.3">
      <c r="I23059" s="82"/>
      <c r="M23059" s="85"/>
    </row>
    <row r="23060" spans="9:13" x14ac:dyDescent="0.3">
      <c r="I23060" s="82"/>
      <c r="M23060" s="85"/>
    </row>
    <row r="23061" spans="9:13" x14ac:dyDescent="0.3">
      <c r="I23061" s="82"/>
      <c r="M23061" s="85"/>
    </row>
    <row r="23062" spans="9:13" x14ac:dyDescent="0.3">
      <c r="I23062" s="82"/>
      <c r="M23062" s="85"/>
    </row>
    <row r="23063" spans="9:13" x14ac:dyDescent="0.3">
      <c r="I23063" s="82"/>
      <c r="M23063" s="85"/>
    </row>
    <row r="23064" spans="9:13" x14ac:dyDescent="0.3">
      <c r="I23064" s="82"/>
      <c r="M23064" s="85"/>
    </row>
    <row r="23065" spans="9:13" x14ac:dyDescent="0.3">
      <c r="I23065" s="82"/>
      <c r="M23065" s="85"/>
    </row>
    <row r="23066" spans="9:13" x14ac:dyDescent="0.3">
      <c r="I23066" s="82"/>
      <c r="M23066" s="85"/>
    </row>
    <row r="23067" spans="9:13" x14ac:dyDescent="0.3">
      <c r="I23067" s="82"/>
      <c r="M23067" s="85"/>
    </row>
    <row r="23068" spans="9:13" x14ac:dyDescent="0.3">
      <c r="I23068" s="82"/>
      <c r="M23068" s="85"/>
    </row>
    <row r="23069" spans="9:13" x14ac:dyDescent="0.3">
      <c r="I23069" s="82"/>
      <c r="M23069" s="85"/>
    </row>
    <row r="23070" spans="9:13" x14ac:dyDescent="0.3">
      <c r="I23070" s="82"/>
      <c r="M23070" s="85"/>
    </row>
    <row r="23071" spans="9:13" x14ac:dyDescent="0.3">
      <c r="I23071" s="82"/>
      <c r="M23071" s="85"/>
    </row>
    <row r="23072" spans="9:13" x14ac:dyDescent="0.3">
      <c r="I23072" s="82"/>
      <c r="M23072" s="85"/>
    </row>
    <row r="23073" spans="9:13" x14ac:dyDescent="0.3">
      <c r="I23073" s="82"/>
      <c r="M23073" s="85"/>
    </row>
    <row r="23074" spans="9:13" x14ac:dyDescent="0.3">
      <c r="I23074" s="82"/>
      <c r="M23074" s="85"/>
    </row>
    <row r="23075" spans="9:13" x14ac:dyDescent="0.3">
      <c r="I23075" s="82"/>
      <c r="M23075" s="85"/>
    </row>
    <row r="23076" spans="9:13" x14ac:dyDescent="0.3">
      <c r="I23076" s="82"/>
      <c r="M23076" s="85"/>
    </row>
    <row r="23077" spans="9:13" x14ac:dyDescent="0.3">
      <c r="I23077" s="82"/>
      <c r="M23077" s="85"/>
    </row>
    <row r="23078" spans="9:13" x14ac:dyDescent="0.3">
      <c r="I23078" s="82"/>
      <c r="M23078" s="85"/>
    </row>
    <row r="23079" spans="9:13" x14ac:dyDescent="0.3">
      <c r="I23079" s="82"/>
      <c r="M23079" s="85"/>
    </row>
    <row r="23080" spans="9:13" x14ac:dyDescent="0.3">
      <c r="I23080" s="82"/>
      <c r="M23080" s="85"/>
    </row>
    <row r="23081" spans="9:13" x14ac:dyDescent="0.3">
      <c r="I23081" s="82"/>
      <c r="M23081" s="85"/>
    </row>
    <row r="23082" spans="9:13" x14ac:dyDescent="0.3">
      <c r="I23082" s="82"/>
      <c r="M23082" s="85"/>
    </row>
    <row r="23083" spans="9:13" x14ac:dyDescent="0.3">
      <c r="I23083" s="82"/>
      <c r="M23083" s="85"/>
    </row>
    <row r="23084" spans="9:13" x14ac:dyDescent="0.3">
      <c r="I23084" s="82"/>
      <c r="M23084" s="85"/>
    </row>
    <row r="23085" spans="9:13" x14ac:dyDescent="0.3">
      <c r="I23085" s="82"/>
      <c r="M23085" s="85"/>
    </row>
    <row r="23086" spans="9:13" x14ac:dyDescent="0.3">
      <c r="I23086" s="82"/>
      <c r="M23086" s="85"/>
    </row>
    <row r="23087" spans="9:13" x14ac:dyDescent="0.3">
      <c r="I23087" s="82"/>
      <c r="M23087" s="85"/>
    </row>
    <row r="23088" spans="9:13" x14ac:dyDescent="0.3">
      <c r="I23088" s="82"/>
      <c r="M23088" s="85"/>
    </row>
    <row r="23089" spans="9:13" x14ac:dyDescent="0.3">
      <c r="I23089" s="82"/>
      <c r="M23089" s="85"/>
    </row>
    <row r="23090" spans="9:13" x14ac:dyDescent="0.3">
      <c r="I23090" s="82"/>
      <c r="M23090" s="85"/>
    </row>
    <row r="23091" spans="9:13" x14ac:dyDescent="0.3">
      <c r="I23091" s="82"/>
      <c r="M23091" s="85"/>
    </row>
    <row r="23092" spans="9:13" x14ac:dyDescent="0.3">
      <c r="I23092" s="82"/>
      <c r="M23092" s="85"/>
    </row>
    <row r="23093" spans="9:13" x14ac:dyDescent="0.3">
      <c r="I23093" s="82"/>
      <c r="M23093" s="85"/>
    </row>
    <row r="23094" spans="9:13" x14ac:dyDescent="0.3">
      <c r="I23094" s="82"/>
      <c r="M23094" s="85"/>
    </row>
    <row r="23095" spans="9:13" x14ac:dyDescent="0.3">
      <c r="I23095" s="82"/>
      <c r="M23095" s="85"/>
    </row>
    <row r="23096" spans="9:13" x14ac:dyDescent="0.3">
      <c r="I23096" s="82"/>
      <c r="M23096" s="85"/>
    </row>
    <row r="23097" spans="9:13" x14ac:dyDescent="0.3">
      <c r="I23097" s="82"/>
      <c r="M23097" s="85"/>
    </row>
    <row r="23098" spans="9:13" x14ac:dyDescent="0.3">
      <c r="I23098" s="82"/>
      <c r="M23098" s="85"/>
    </row>
    <row r="23099" spans="9:13" x14ac:dyDescent="0.3">
      <c r="I23099" s="82"/>
      <c r="M23099" s="85"/>
    </row>
    <row r="23100" spans="9:13" x14ac:dyDescent="0.3">
      <c r="I23100" s="82"/>
      <c r="M23100" s="85"/>
    </row>
    <row r="23101" spans="9:13" x14ac:dyDescent="0.3">
      <c r="I23101" s="82"/>
      <c r="M23101" s="85"/>
    </row>
    <row r="23102" spans="9:13" x14ac:dyDescent="0.3">
      <c r="I23102" s="82"/>
      <c r="M23102" s="85"/>
    </row>
    <row r="23103" spans="9:13" x14ac:dyDescent="0.3">
      <c r="I23103" s="82"/>
      <c r="M23103" s="85"/>
    </row>
    <row r="23104" spans="9:13" x14ac:dyDescent="0.3">
      <c r="I23104" s="82"/>
      <c r="M23104" s="85"/>
    </row>
    <row r="23105" spans="9:13" x14ac:dyDescent="0.3">
      <c r="I23105" s="82"/>
      <c r="M23105" s="85"/>
    </row>
    <row r="23106" spans="9:13" x14ac:dyDescent="0.3">
      <c r="I23106" s="82"/>
      <c r="M23106" s="85"/>
    </row>
    <row r="23107" spans="9:13" x14ac:dyDescent="0.3">
      <c r="I23107" s="82"/>
      <c r="M23107" s="85"/>
    </row>
    <row r="23108" spans="9:13" x14ac:dyDescent="0.3">
      <c r="I23108" s="82"/>
      <c r="M23108" s="85"/>
    </row>
    <row r="23109" spans="9:13" x14ac:dyDescent="0.3">
      <c r="I23109" s="82"/>
      <c r="M23109" s="85"/>
    </row>
    <row r="23110" spans="9:13" x14ac:dyDescent="0.3">
      <c r="I23110" s="82"/>
      <c r="M23110" s="85"/>
    </row>
    <row r="23111" spans="9:13" x14ac:dyDescent="0.3">
      <c r="I23111" s="82"/>
      <c r="M23111" s="85"/>
    </row>
    <row r="23112" spans="9:13" x14ac:dyDescent="0.3">
      <c r="I23112" s="82"/>
      <c r="M23112" s="85"/>
    </row>
    <row r="23113" spans="9:13" x14ac:dyDescent="0.3">
      <c r="I23113" s="82"/>
      <c r="M23113" s="85"/>
    </row>
    <row r="23114" spans="9:13" x14ac:dyDescent="0.3">
      <c r="I23114" s="82"/>
      <c r="M23114" s="85"/>
    </row>
    <row r="23115" spans="9:13" x14ac:dyDescent="0.3">
      <c r="I23115" s="82"/>
      <c r="M23115" s="85"/>
    </row>
    <row r="23116" spans="9:13" x14ac:dyDescent="0.3">
      <c r="I23116" s="82"/>
      <c r="M23116" s="85"/>
    </row>
    <row r="23117" spans="9:13" x14ac:dyDescent="0.3">
      <c r="I23117" s="82"/>
      <c r="M23117" s="85"/>
    </row>
    <row r="23118" spans="9:13" x14ac:dyDescent="0.3">
      <c r="I23118" s="82"/>
      <c r="M23118" s="85"/>
    </row>
    <row r="23119" spans="9:13" x14ac:dyDescent="0.3">
      <c r="I23119" s="82"/>
      <c r="M23119" s="85"/>
    </row>
    <row r="23120" spans="9:13" x14ac:dyDescent="0.3">
      <c r="I23120" s="82"/>
      <c r="M23120" s="85"/>
    </row>
    <row r="23121" spans="9:13" x14ac:dyDescent="0.3">
      <c r="I23121" s="82"/>
      <c r="M23121" s="85"/>
    </row>
    <row r="23122" spans="9:13" x14ac:dyDescent="0.3">
      <c r="I23122" s="82"/>
      <c r="M23122" s="85"/>
    </row>
    <row r="23123" spans="9:13" x14ac:dyDescent="0.3">
      <c r="I23123" s="82"/>
      <c r="M23123" s="85"/>
    </row>
    <row r="23124" spans="9:13" x14ac:dyDescent="0.3">
      <c r="I23124" s="82"/>
      <c r="M23124" s="85"/>
    </row>
    <row r="23125" spans="9:13" x14ac:dyDescent="0.3">
      <c r="I23125" s="82"/>
      <c r="M23125" s="85"/>
    </row>
    <row r="23126" spans="9:13" x14ac:dyDescent="0.3">
      <c r="I23126" s="82"/>
      <c r="M23126" s="85"/>
    </row>
    <row r="23127" spans="9:13" x14ac:dyDescent="0.3">
      <c r="I23127" s="82"/>
      <c r="M23127" s="85"/>
    </row>
    <row r="23128" spans="9:13" x14ac:dyDescent="0.3">
      <c r="I23128" s="82"/>
      <c r="M23128" s="85"/>
    </row>
    <row r="23129" spans="9:13" x14ac:dyDescent="0.3">
      <c r="I23129" s="82"/>
      <c r="M23129" s="85"/>
    </row>
    <row r="23130" spans="9:13" x14ac:dyDescent="0.3">
      <c r="I23130" s="82"/>
      <c r="M23130" s="85"/>
    </row>
    <row r="23131" spans="9:13" x14ac:dyDescent="0.3">
      <c r="I23131" s="82"/>
      <c r="M23131" s="85"/>
    </row>
    <row r="23132" spans="9:13" x14ac:dyDescent="0.3">
      <c r="I23132" s="82"/>
      <c r="M23132" s="85"/>
    </row>
    <row r="23133" spans="9:13" x14ac:dyDescent="0.3">
      <c r="I23133" s="82"/>
      <c r="M23133" s="85"/>
    </row>
    <row r="23134" spans="9:13" x14ac:dyDescent="0.3">
      <c r="I23134" s="82"/>
      <c r="M23134" s="85"/>
    </row>
    <row r="23135" spans="9:13" x14ac:dyDescent="0.3">
      <c r="I23135" s="82"/>
      <c r="M23135" s="85"/>
    </row>
    <row r="23136" spans="9:13" x14ac:dyDescent="0.3">
      <c r="I23136" s="82"/>
      <c r="M23136" s="85"/>
    </row>
    <row r="23137" spans="9:13" x14ac:dyDescent="0.3">
      <c r="I23137" s="82"/>
      <c r="M23137" s="85"/>
    </row>
    <row r="23138" spans="9:13" x14ac:dyDescent="0.3">
      <c r="I23138" s="82"/>
      <c r="M23138" s="85"/>
    </row>
    <row r="23139" spans="9:13" x14ac:dyDescent="0.3">
      <c r="I23139" s="82"/>
      <c r="M23139" s="85"/>
    </row>
    <row r="23140" spans="9:13" x14ac:dyDescent="0.3">
      <c r="I23140" s="82"/>
      <c r="M23140" s="85"/>
    </row>
    <row r="23141" spans="9:13" x14ac:dyDescent="0.3">
      <c r="I23141" s="82"/>
      <c r="M23141" s="85"/>
    </row>
    <row r="23142" spans="9:13" x14ac:dyDescent="0.3">
      <c r="I23142" s="82"/>
      <c r="M23142" s="85"/>
    </row>
    <row r="23143" spans="9:13" x14ac:dyDescent="0.3">
      <c r="I23143" s="82"/>
      <c r="M23143" s="85"/>
    </row>
    <row r="23144" spans="9:13" x14ac:dyDescent="0.3">
      <c r="I23144" s="82"/>
      <c r="M23144" s="85"/>
    </row>
    <row r="23145" spans="9:13" x14ac:dyDescent="0.3">
      <c r="I23145" s="82"/>
      <c r="M23145" s="85"/>
    </row>
    <row r="23146" spans="9:13" x14ac:dyDescent="0.3">
      <c r="I23146" s="82"/>
      <c r="M23146" s="85"/>
    </row>
    <row r="23147" spans="9:13" x14ac:dyDescent="0.3">
      <c r="I23147" s="82"/>
      <c r="M23147" s="85"/>
    </row>
    <row r="23148" spans="9:13" x14ac:dyDescent="0.3">
      <c r="I23148" s="82"/>
      <c r="M23148" s="85"/>
    </row>
    <row r="23149" spans="9:13" x14ac:dyDescent="0.3">
      <c r="I23149" s="82"/>
      <c r="M23149" s="85"/>
    </row>
    <row r="23150" spans="9:13" x14ac:dyDescent="0.3">
      <c r="I23150" s="82"/>
      <c r="M23150" s="85"/>
    </row>
    <row r="23151" spans="9:13" x14ac:dyDescent="0.3">
      <c r="I23151" s="82"/>
      <c r="M23151" s="85"/>
    </row>
    <row r="23152" spans="9:13" x14ac:dyDescent="0.3">
      <c r="I23152" s="82"/>
      <c r="M23152" s="85"/>
    </row>
    <row r="23153" spans="9:13" x14ac:dyDescent="0.3">
      <c r="I23153" s="82"/>
      <c r="M23153" s="85"/>
    </row>
    <row r="23154" spans="9:13" x14ac:dyDescent="0.3">
      <c r="I23154" s="82"/>
      <c r="M23154" s="85"/>
    </row>
    <row r="23155" spans="9:13" x14ac:dyDescent="0.3">
      <c r="I23155" s="82"/>
      <c r="M23155" s="85"/>
    </row>
    <row r="23156" spans="9:13" x14ac:dyDescent="0.3">
      <c r="I23156" s="82"/>
      <c r="M23156" s="85"/>
    </row>
    <row r="23157" spans="9:13" x14ac:dyDescent="0.3">
      <c r="I23157" s="82"/>
      <c r="M23157" s="85"/>
    </row>
    <row r="23158" spans="9:13" x14ac:dyDescent="0.3">
      <c r="I23158" s="82"/>
      <c r="M23158" s="85"/>
    </row>
    <row r="23159" spans="9:13" x14ac:dyDescent="0.3">
      <c r="I23159" s="82"/>
      <c r="M23159" s="85"/>
    </row>
    <row r="23160" spans="9:13" x14ac:dyDescent="0.3">
      <c r="I23160" s="82"/>
      <c r="M23160" s="85"/>
    </row>
    <row r="23161" spans="9:13" x14ac:dyDescent="0.3">
      <c r="I23161" s="82"/>
      <c r="M23161" s="85"/>
    </row>
    <row r="23162" spans="9:13" x14ac:dyDescent="0.3">
      <c r="I23162" s="82"/>
      <c r="M23162" s="85"/>
    </row>
    <row r="23163" spans="9:13" x14ac:dyDescent="0.3">
      <c r="I23163" s="82"/>
      <c r="M23163" s="85"/>
    </row>
    <row r="23164" spans="9:13" x14ac:dyDescent="0.3">
      <c r="I23164" s="82"/>
      <c r="M23164" s="85"/>
    </row>
    <row r="23165" spans="9:13" x14ac:dyDescent="0.3">
      <c r="I23165" s="82"/>
      <c r="M23165" s="85"/>
    </row>
    <row r="23166" spans="9:13" x14ac:dyDescent="0.3">
      <c r="I23166" s="82"/>
      <c r="M23166" s="85"/>
    </row>
    <row r="23167" spans="9:13" x14ac:dyDescent="0.3">
      <c r="I23167" s="82"/>
      <c r="M23167" s="85"/>
    </row>
    <row r="23168" spans="9:13" x14ac:dyDescent="0.3">
      <c r="I23168" s="82"/>
      <c r="M23168" s="85"/>
    </row>
    <row r="23169" spans="9:13" x14ac:dyDescent="0.3">
      <c r="I23169" s="82"/>
      <c r="M23169" s="85"/>
    </row>
    <row r="23170" spans="9:13" x14ac:dyDescent="0.3">
      <c r="I23170" s="82"/>
      <c r="M23170" s="85"/>
    </row>
    <row r="23171" spans="9:13" x14ac:dyDescent="0.3">
      <c r="I23171" s="82"/>
      <c r="M23171" s="85"/>
    </row>
    <row r="23172" spans="9:13" x14ac:dyDescent="0.3">
      <c r="I23172" s="82"/>
      <c r="M23172" s="85"/>
    </row>
    <row r="23173" spans="9:13" x14ac:dyDescent="0.3">
      <c r="I23173" s="82"/>
      <c r="M23173" s="85"/>
    </row>
    <row r="23174" spans="9:13" x14ac:dyDescent="0.3">
      <c r="I23174" s="82"/>
      <c r="M23174" s="85"/>
    </row>
    <row r="23175" spans="9:13" x14ac:dyDescent="0.3">
      <c r="I23175" s="82"/>
      <c r="M23175" s="85"/>
    </row>
    <row r="23176" spans="9:13" x14ac:dyDescent="0.3">
      <c r="I23176" s="82"/>
      <c r="M23176" s="85"/>
    </row>
    <row r="23177" spans="9:13" x14ac:dyDescent="0.3">
      <c r="I23177" s="82"/>
      <c r="M23177" s="85"/>
    </row>
    <row r="23178" spans="9:13" x14ac:dyDescent="0.3">
      <c r="I23178" s="82"/>
      <c r="M23178" s="85"/>
    </row>
    <row r="23179" spans="9:13" x14ac:dyDescent="0.3">
      <c r="I23179" s="82"/>
      <c r="M23179" s="85"/>
    </row>
    <row r="23180" spans="9:13" x14ac:dyDescent="0.3">
      <c r="I23180" s="82"/>
      <c r="M23180" s="85"/>
    </row>
    <row r="23181" spans="9:13" x14ac:dyDescent="0.3">
      <c r="I23181" s="82"/>
      <c r="M23181" s="85"/>
    </row>
    <row r="23182" spans="9:13" x14ac:dyDescent="0.3">
      <c r="I23182" s="82"/>
      <c r="M23182" s="85"/>
    </row>
    <row r="23183" spans="9:13" x14ac:dyDescent="0.3">
      <c r="I23183" s="82"/>
      <c r="M23183" s="85"/>
    </row>
    <row r="23184" spans="9:13" x14ac:dyDescent="0.3">
      <c r="I23184" s="82"/>
      <c r="M23184" s="85"/>
    </row>
    <row r="23185" spans="9:13" x14ac:dyDescent="0.3">
      <c r="I23185" s="82"/>
      <c r="M23185" s="85"/>
    </row>
    <row r="23186" spans="9:13" x14ac:dyDescent="0.3">
      <c r="I23186" s="82"/>
      <c r="M23186" s="85"/>
    </row>
    <row r="23187" spans="9:13" x14ac:dyDescent="0.3">
      <c r="I23187" s="82"/>
      <c r="M23187" s="85"/>
    </row>
    <row r="23188" spans="9:13" x14ac:dyDescent="0.3">
      <c r="I23188" s="82"/>
      <c r="M23188" s="85"/>
    </row>
    <row r="23189" spans="9:13" x14ac:dyDescent="0.3">
      <c r="I23189" s="82"/>
      <c r="M23189" s="85"/>
    </row>
    <row r="23190" spans="9:13" x14ac:dyDescent="0.3">
      <c r="I23190" s="82"/>
      <c r="M23190" s="85"/>
    </row>
    <row r="23191" spans="9:13" x14ac:dyDescent="0.3">
      <c r="I23191" s="82"/>
      <c r="M23191" s="85"/>
    </row>
    <row r="23192" spans="9:13" x14ac:dyDescent="0.3">
      <c r="I23192" s="82"/>
      <c r="M23192" s="85"/>
    </row>
    <row r="23193" spans="9:13" x14ac:dyDescent="0.3">
      <c r="I23193" s="82"/>
      <c r="M23193" s="85"/>
    </row>
    <row r="23194" spans="9:13" x14ac:dyDescent="0.3">
      <c r="I23194" s="82"/>
      <c r="M23194" s="85"/>
    </row>
    <row r="23195" spans="9:13" x14ac:dyDescent="0.3">
      <c r="I23195" s="82"/>
      <c r="M23195" s="85"/>
    </row>
    <row r="23196" spans="9:13" x14ac:dyDescent="0.3">
      <c r="I23196" s="82"/>
      <c r="M23196" s="85"/>
    </row>
    <row r="23197" spans="9:13" x14ac:dyDescent="0.3">
      <c r="I23197" s="82"/>
      <c r="M23197" s="85"/>
    </row>
    <row r="23198" spans="9:13" x14ac:dyDescent="0.3">
      <c r="I23198" s="82"/>
      <c r="M23198" s="85"/>
    </row>
    <row r="23199" spans="9:13" x14ac:dyDescent="0.3">
      <c r="I23199" s="82"/>
      <c r="M23199" s="85"/>
    </row>
    <row r="23200" spans="9:13" x14ac:dyDescent="0.3">
      <c r="I23200" s="82"/>
      <c r="M23200" s="85"/>
    </row>
    <row r="23201" spans="9:13" x14ac:dyDescent="0.3">
      <c r="I23201" s="82"/>
      <c r="M23201" s="85"/>
    </row>
    <row r="23202" spans="9:13" x14ac:dyDescent="0.3">
      <c r="I23202" s="82"/>
      <c r="M23202" s="85"/>
    </row>
    <row r="23203" spans="9:13" x14ac:dyDescent="0.3">
      <c r="I23203" s="82"/>
      <c r="M23203" s="85"/>
    </row>
    <row r="23204" spans="9:13" x14ac:dyDescent="0.3">
      <c r="I23204" s="82"/>
      <c r="M23204" s="85"/>
    </row>
    <row r="23205" spans="9:13" x14ac:dyDescent="0.3">
      <c r="I23205" s="82"/>
      <c r="M23205" s="85"/>
    </row>
    <row r="23206" spans="9:13" x14ac:dyDescent="0.3">
      <c r="I23206" s="82"/>
      <c r="M23206" s="85"/>
    </row>
    <row r="23207" spans="9:13" x14ac:dyDescent="0.3">
      <c r="I23207" s="82"/>
      <c r="M23207" s="85"/>
    </row>
    <row r="23208" spans="9:13" x14ac:dyDescent="0.3">
      <c r="I23208" s="82"/>
      <c r="M23208" s="85"/>
    </row>
    <row r="23209" spans="9:13" x14ac:dyDescent="0.3">
      <c r="I23209" s="82"/>
      <c r="M23209" s="85"/>
    </row>
    <row r="23210" spans="9:13" x14ac:dyDescent="0.3">
      <c r="I23210" s="82"/>
      <c r="M23210" s="85"/>
    </row>
    <row r="23211" spans="9:13" x14ac:dyDescent="0.3">
      <c r="I23211" s="82"/>
      <c r="M23211" s="85"/>
    </row>
    <row r="23212" spans="9:13" x14ac:dyDescent="0.3">
      <c r="I23212" s="82"/>
      <c r="M23212" s="85"/>
    </row>
    <row r="23213" spans="9:13" x14ac:dyDescent="0.3">
      <c r="I23213" s="82"/>
      <c r="M23213" s="85"/>
    </row>
    <row r="23214" spans="9:13" x14ac:dyDescent="0.3">
      <c r="I23214" s="82"/>
      <c r="M23214" s="85"/>
    </row>
    <row r="23215" spans="9:13" x14ac:dyDescent="0.3">
      <c r="I23215" s="82"/>
      <c r="M23215" s="85"/>
    </row>
    <row r="23216" spans="9:13" x14ac:dyDescent="0.3">
      <c r="I23216" s="82"/>
      <c r="M23216" s="85"/>
    </row>
    <row r="23217" spans="9:13" x14ac:dyDescent="0.3">
      <c r="I23217" s="82"/>
      <c r="M23217" s="85"/>
    </row>
    <row r="23218" spans="9:13" x14ac:dyDescent="0.3">
      <c r="I23218" s="82"/>
      <c r="M23218" s="85"/>
    </row>
    <row r="23219" spans="9:13" x14ac:dyDescent="0.3">
      <c r="I23219" s="82"/>
      <c r="M23219" s="85"/>
    </row>
    <row r="23220" spans="9:13" x14ac:dyDescent="0.3">
      <c r="I23220" s="82"/>
      <c r="M23220" s="85"/>
    </row>
    <row r="23221" spans="9:13" x14ac:dyDescent="0.3">
      <c r="I23221" s="82"/>
      <c r="M23221" s="85"/>
    </row>
    <row r="23222" spans="9:13" x14ac:dyDescent="0.3">
      <c r="I23222" s="82"/>
      <c r="M23222" s="85"/>
    </row>
    <row r="23223" spans="9:13" x14ac:dyDescent="0.3">
      <c r="I23223" s="82"/>
      <c r="M23223" s="85"/>
    </row>
    <row r="23224" spans="9:13" x14ac:dyDescent="0.3">
      <c r="I23224" s="82"/>
      <c r="M23224" s="85"/>
    </row>
    <row r="23225" spans="9:13" x14ac:dyDescent="0.3">
      <c r="I23225" s="82"/>
      <c r="M23225" s="85"/>
    </row>
    <row r="23226" spans="9:13" x14ac:dyDescent="0.3">
      <c r="I23226" s="82"/>
      <c r="M23226" s="85"/>
    </row>
    <row r="23227" spans="9:13" x14ac:dyDescent="0.3">
      <c r="I23227" s="82"/>
      <c r="M23227" s="85"/>
    </row>
    <row r="23228" spans="9:13" x14ac:dyDescent="0.3">
      <c r="I23228" s="82"/>
      <c r="M23228" s="85"/>
    </row>
    <row r="23229" spans="9:13" x14ac:dyDescent="0.3">
      <c r="I23229" s="82"/>
      <c r="M23229" s="85"/>
    </row>
    <row r="23230" spans="9:13" x14ac:dyDescent="0.3">
      <c r="I23230" s="82"/>
      <c r="M23230" s="85"/>
    </row>
    <row r="23231" spans="9:13" x14ac:dyDescent="0.3">
      <c r="I23231" s="82"/>
      <c r="M23231" s="85"/>
    </row>
    <row r="23232" spans="9:13" x14ac:dyDescent="0.3">
      <c r="I23232" s="82"/>
      <c r="M23232" s="85"/>
    </row>
    <row r="23233" spans="9:13" x14ac:dyDescent="0.3">
      <c r="I23233" s="82"/>
      <c r="M23233" s="85"/>
    </row>
    <row r="23234" spans="9:13" x14ac:dyDescent="0.3">
      <c r="I23234" s="82"/>
      <c r="M23234" s="85"/>
    </row>
    <row r="23235" spans="9:13" x14ac:dyDescent="0.3">
      <c r="I23235" s="82"/>
      <c r="M23235" s="85"/>
    </row>
    <row r="23236" spans="9:13" x14ac:dyDescent="0.3">
      <c r="I23236" s="82"/>
      <c r="M23236" s="85"/>
    </row>
    <row r="23237" spans="9:13" x14ac:dyDescent="0.3">
      <c r="I23237" s="82"/>
      <c r="M23237" s="85"/>
    </row>
    <row r="23238" spans="9:13" x14ac:dyDescent="0.3">
      <c r="I23238" s="82"/>
      <c r="M23238" s="85"/>
    </row>
    <row r="23239" spans="9:13" x14ac:dyDescent="0.3">
      <c r="I23239" s="82"/>
      <c r="M23239" s="85"/>
    </row>
    <row r="23240" spans="9:13" x14ac:dyDescent="0.3">
      <c r="I23240" s="82"/>
      <c r="M23240" s="85"/>
    </row>
    <row r="23241" spans="9:13" x14ac:dyDescent="0.3">
      <c r="I23241" s="82"/>
      <c r="M23241" s="85"/>
    </row>
    <row r="23242" spans="9:13" x14ac:dyDescent="0.3">
      <c r="I23242" s="82"/>
      <c r="M23242" s="85"/>
    </row>
    <row r="23243" spans="9:13" x14ac:dyDescent="0.3">
      <c r="I23243" s="82"/>
      <c r="M23243" s="85"/>
    </row>
    <row r="23244" spans="9:13" x14ac:dyDescent="0.3">
      <c r="I23244" s="82"/>
      <c r="M23244" s="85"/>
    </row>
    <row r="23245" spans="9:13" x14ac:dyDescent="0.3">
      <c r="I23245" s="82"/>
      <c r="M23245" s="85"/>
    </row>
    <row r="23246" spans="9:13" x14ac:dyDescent="0.3">
      <c r="I23246" s="82"/>
      <c r="M23246" s="85"/>
    </row>
    <row r="23247" spans="9:13" x14ac:dyDescent="0.3">
      <c r="I23247" s="82"/>
      <c r="M23247" s="85"/>
    </row>
    <row r="23248" spans="9:13" x14ac:dyDescent="0.3">
      <c r="I23248" s="82"/>
      <c r="M23248" s="85"/>
    </row>
    <row r="23249" spans="9:13" x14ac:dyDescent="0.3">
      <c r="I23249" s="82"/>
      <c r="M23249" s="85"/>
    </row>
    <row r="23250" spans="9:13" x14ac:dyDescent="0.3">
      <c r="I23250" s="82"/>
      <c r="M23250" s="85"/>
    </row>
    <row r="23251" spans="9:13" x14ac:dyDescent="0.3">
      <c r="I23251" s="82"/>
      <c r="M23251" s="85"/>
    </row>
    <row r="23252" spans="9:13" x14ac:dyDescent="0.3">
      <c r="I23252" s="82"/>
      <c r="M23252" s="85"/>
    </row>
    <row r="23253" spans="9:13" x14ac:dyDescent="0.3">
      <c r="I23253" s="82"/>
      <c r="M23253" s="85"/>
    </row>
    <row r="23254" spans="9:13" x14ac:dyDescent="0.3">
      <c r="I23254" s="82"/>
      <c r="M23254" s="85"/>
    </row>
    <row r="23255" spans="9:13" x14ac:dyDescent="0.3">
      <c r="I23255" s="82"/>
      <c r="M23255" s="85"/>
    </row>
    <row r="23256" spans="9:13" x14ac:dyDescent="0.3">
      <c r="I23256" s="82"/>
      <c r="M23256" s="85"/>
    </row>
    <row r="23257" spans="9:13" x14ac:dyDescent="0.3">
      <c r="I23257" s="82"/>
      <c r="M23257" s="85"/>
    </row>
    <row r="23258" spans="9:13" x14ac:dyDescent="0.3">
      <c r="I23258" s="82"/>
      <c r="M23258" s="85"/>
    </row>
    <row r="23259" spans="9:13" x14ac:dyDescent="0.3">
      <c r="I23259" s="82"/>
      <c r="M23259" s="85"/>
    </row>
    <row r="23260" spans="9:13" x14ac:dyDescent="0.3">
      <c r="I23260" s="82"/>
      <c r="M23260" s="85"/>
    </row>
    <row r="23261" spans="9:13" x14ac:dyDescent="0.3">
      <c r="I23261" s="82"/>
      <c r="M23261" s="85"/>
    </row>
    <row r="23262" spans="9:13" x14ac:dyDescent="0.3">
      <c r="I23262" s="82"/>
      <c r="M23262" s="85"/>
    </row>
    <row r="23263" spans="9:13" x14ac:dyDescent="0.3">
      <c r="I23263" s="82"/>
      <c r="M23263" s="85"/>
    </row>
    <row r="23264" spans="9:13" x14ac:dyDescent="0.3">
      <c r="I23264" s="82"/>
      <c r="M23264" s="85"/>
    </row>
    <row r="23265" spans="9:13" x14ac:dyDescent="0.3">
      <c r="I23265" s="82"/>
      <c r="M23265" s="85"/>
    </row>
    <row r="23266" spans="9:13" x14ac:dyDescent="0.3">
      <c r="I23266" s="82"/>
      <c r="M23266" s="85"/>
    </row>
    <row r="23267" spans="9:13" x14ac:dyDescent="0.3">
      <c r="I23267" s="82"/>
      <c r="M23267" s="85"/>
    </row>
    <row r="23268" spans="9:13" x14ac:dyDescent="0.3">
      <c r="I23268" s="82"/>
      <c r="M23268" s="85"/>
    </row>
    <row r="23269" spans="9:13" x14ac:dyDescent="0.3">
      <c r="I23269" s="82"/>
      <c r="M23269" s="85"/>
    </row>
    <row r="23270" spans="9:13" x14ac:dyDescent="0.3">
      <c r="I23270" s="82"/>
      <c r="M23270" s="85"/>
    </row>
    <row r="23271" spans="9:13" x14ac:dyDescent="0.3">
      <c r="I23271" s="82"/>
      <c r="M23271" s="85"/>
    </row>
    <row r="23272" spans="9:13" x14ac:dyDescent="0.3">
      <c r="I23272" s="82"/>
      <c r="M23272" s="85"/>
    </row>
    <row r="23273" spans="9:13" x14ac:dyDescent="0.3">
      <c r="I23273" s="82"/>
      <c r="M23273" s="85"/>
    </row>
    <row r="23274" spans="9:13" x14ac:dyDescent="0.3">
      <c r="I23274" s="82"/>
      <c r="M23274" s="85"/>
    </row>
    <row r="23275" spans="9:13" x14ac:dyDescent="0.3">
      <c r="I23275" s="82"/>
      <c r="M23275" s="85"/>
    </row>
    <row r="23276" spans="9:13" x14ac:dyDescent="0.3">
      <c r="I23276" s="82"/>
      <c r="M23276" s="85"/>
    </row>
    <row r="23277" spans="9:13" x14ac:dyDescent="0.3">
      <c r="I23277" s="82"/>
      <c r="M23277" s="85"/>
    </row>
    <row r="23278" spans="9:13" x14ac:dyDescent="0.3">
      <c r="I23278" s="82"/>
      <c r="M23278" s="85"/>
    </row>
    <row r="23279" spans="9:13" x14ac:dyDescent="0.3">
      <c r="I23279" s="82"/>
      <c r="M23279" s="85"/>
    </row>
    <row r="23280" spans="9:13" x14ac:dyDescent="0.3">
      <c r="I23280" s="82"/>
      <c r="M23280" s="85"/>
    </row>
    <row r="23281" spans="9:13" x14ac:dyDescent="0.3">
      <c r="I23281" s="82"/>
      <c r="M23281" s="85"/>
    </row>
    <row r="23282" spans="9:13" x14ac:dyDescent="0.3">
      <c r="I23282" s="82"/>
      <c r="M23282" s="85"/>
    </row>
    <row r="23283" spans="9:13" x14ac:dyDescent="0.3">
      <c r="I23283" s="82"/>
      <c r="M23283" s="85"/>
    </row>
    <row r="23284" spans="9:13" x14ac:dyDescent="0.3">
      <c r="I23284" s="82"/>
      <c r="M23284" s="85"/>
    </row>
    <row r="23285" spans="9:13" x14ac:dyDescent="0.3">
      <c r="I23285" s="82"/>
      <c r="M23285" s="85"/>
    </row>
    <row r="23286" spans="9:13" x14ac:dyDescent="0.3">
      <c r="I23286" s="82"/>
      <c r="M23286" s="85"/>
    </row>
    <row r="23287" spans="9:13" x14ac:dyDescent="0.3">
      <c r="I23287" s="82"/>
      <c r="M23287" s="85"/>
    </row>
    <row r="23288" spans="9:13" x14ac:dyDescent="0.3">
      <c r="I23288" s="82"/>
      <c r="M23288" s="85"/>
    </row>
    <row r="23289" spans="9:13" x14ac:dyDescent="0.3">
      <c r="I23289" s="82"/>
      <c r="M23289" s="85"/>
    </row>
    <row r="23290" spans="9:13" x14ac:dyDescent="0.3">
      <c r="I23290" s="82"/>
      <c r="M23290" s="85"/>
    </row>
    <row r="23291" spans="9:13" x14ac:dyDescent="0.3">
      <c r="I23291" s="82"/>
      <c r="M23291" s="85"/>
    </row>
    <row r="23292" spans="9:13" x14ac:dyDescent="0.3">
      <c r="I23292" s="82"/>
      <c r="M23292" s="85"/>
    </row>
    <row r="23293" spans="9:13" x14ac:dyDescent="0.3">
      <c r="I23293" s="82"/>
      <c r="M23293" s="85"/>
    </row>
    <row r="23294" spans="9:13" x14ac:dyDescent="0.3">
      <c r="I23294" s="82"/>
      <c r="M23294" s="85"/>
    </row>
    <row r="23295" spans="9:13" x14ac:dyDescent="0.3">
      <c r="I23295" s="82"/>
      <c r="M23295" s="85"/>
    </row>
    <row r="23296" spans="9:13" x14ac:dyDescent="0.3">
      <c r="I23296" s="82"/>
      <c r="M23296" s="85"/>
    </row>
    <row r="23297" spans="9:13" x14ac:dyDescent="0.3">
      <c r="I23297" s="82"/>
      <c r="M23297" s="85"/>
    </row>
    <row r="23298" spans="9:13" x14ac:dyDescent="0.3">
      <c r="I23298" s="82"/>
      <c r="M23298" s="85"/>
    </row>
    <row r="23299" spans="9:13" x14ac:dyDescent="0.3">
      <c r="I23299" s="82"/>
      <c r="M23299" s="85"/>
    </row>
    <row r="23300" spans="9:13" x14ac:dyDescent="0.3">
      <c r="I23300" s="82"/>
      <c r="M23300" s="85"/>
    </row>
    <row r="23301" spans="9:13" x14ac:dyDescent="0.3">
      <c r="I23301" s="82"/>
      <c r="M23301" s="85"/>
    </row>
    <row r="23302" spans="9:13" x14ac:dyDescent="0.3">
      <c r="I23302" s="82"/>
      <c r="M23302" s="85"/>
    </row>
    <row r="23303" spans="9:13" x14ac:dyDescent="0.3">
      <c r="I23303" s="82"/>
      <c r="M23303" s="85"/>
    </row>
    <row r="23304" spans="9:13" x14ac:dyDescent="0.3">
      <c r="I23304" s="82"/>
      <c r="M23304" s="85"/>
    </row>
    <row r="23305" spans="9:13" x14ac:dyDescent="0.3">
      <c r="I23305" s="82"/>
      <c r="M23305" s="85"/>
    </row>
    <row r="23306" spans="9:13" x14ac:dyDescent="0.3">
      <c r="I23306" s="82"/>
      <c r="M23306" s="85"/>
    </row>
    <row r="23307" spans="9:13" x14ac:dyDescent="0.3">
      <c r="I23307" s="82"/>
      <c r="M23307" s="85"/>
    </row>
    <row r="23308" spans="9:13" x14ac:dyDescent="0.3">
      <c r="I23308" s="82"/>
      <c r="M23308" s="85"/>
    </row>
    <row r="23309" spans="9:13" x14ac:dyDescent="0.3">
      <c r="I23309" s="82"/>
      <c r="M23309" s="85"/>
    </row>
    <row r="23310" spans="9:13" x14ac:dyDescent="0.3">
      <c r="I23310" s="82"/>
      <c r="M23310" s="85"/>
    </row>
    <row r="23311" spans="9:13" x14ac:dyDescent="0.3">
      <c r="I23311" s="82"/>
      <c r="M23311" s="85"/>
    </row>
    <row r="23312" spans="9:13" x14ac:dyDescent="0.3">
      <c r="I23312" s="82"/>
      <c r="M23312" s="85"/>
    </row>
    <row r="23313" spans="9:13" x14ac:dyDescent="0.3">
      <c r="I23313" s="82"/>
      <c r="M23313" s="85"/>
    </row>
    <row r="23314" spans="9:13" x14ac:dyDescent="0.3">
      <c r="I23314" s="82"/>
      <c r="M23314" s="85"/>
    </row>
    <row r="23315" spans="9:13" x14ac:dyDescent="0.3">
      <c r="I23315" s="82"/>
      <c r="M23315" s="85"/>
    </row>
    <row r="23316" spans="9:13" x14ac:dyDescent="0.3">
      <c r="I23316" s="82"/>
      <c r="M23316" s="85"/>
    </row>
    <row r="23317" spans="9:13" x14ac:dyDescent="0.3">
      <c r="I23317" s="82"/>
      <c r="M23317" s="85"/>
    </row>
    <row r="23318" spans="9:13" x14ac:dyDescent="0.3">
      <c r="I23318" s="82"/>
      <c r="M23318" s="85"/>
    </row>
    <row r="23319" spans="9:13" x14ac:dyDescent="0.3">
      <c r="I23319" s="82"/>
      <c r="M23319" s="85"/>
    </row>
    <row r="23320" spans="9:13" x14ac:dyDescent="0.3">
      <c r="I23320" s="82"/>
      <c r="M23320" s="85"/>
    </row>
    <row r="23321" spans="9:13" x14ac:dyDescent="0.3">
      <c r="I23321" s="82"/>
      <c r="M23321" s="85"/>
    </row>
    <row r="23322" spans="9:13" x14ac:dyDescent="0.3">
      <c r="I23322" s="82"/>
      <c r="M23322" s="85"/>
    </row>
    <row r="23323" spans="9:13" x14ac:dyDescent="0.3">
      <c r="I23323" s="82"/>
      <c r="M23323" s="85"/>
    </row>
    <row r="23324" spans="9:13" x14ac:dyDescent="0.3">
      <c r="I23324" s="82"/>
      <c r="M23324" s="85"/>
    </row>
    <row r="23325" spans="9:13" x14ac:dyDescent="0.3">
      <c r="I23325" s="82"/>
      <c r="M23325" s="85"/>
    </row>
    <row r="23326" spans="9:13" x14ac:dyDescent="0.3">
      <c r="I23326" s="82"/>
      <c r="M23326" s="85"/>
    </row>
    <row r="23327" spans="9:13" x14ac:dyDescent="0.3">
      <c r="I23327" s="82"/>
      <c r="M23327" s="85"/>
    </row>
    <row r="23328" spans="9:13" x14ac:dyDescent="0.3">
      <c r="I23328" s="82"/>
      <c r="M23328" s="85"/>
    </row>
    <row r="23329" spans="9:13" x14ac:dyDescent="0.3">
      <c r="I23329" s="82"/>
      <c r="M23329" s="85"/>
    </row>
    <row r="23330" spans="9:13" x14ac:dyDescent="0.3">
      <c r="I23330" s="82"/>
      <c r="M23330" s="85"/>
    </row>
    <row r="23331" spans="9:13" x14ac:dyDescent="0.3">
      <c r="I23331" s="82"/>
      <c r="M23331" s="85"/>
    </row>
    <row r="23332" spans="9:13" x14ac:dyDescent="0.3">
      <c r="I23332" s="82"/>
      <c r="M23332" s="85"/>
    </row>
    <row r="23333" spans="9:13" x14ac:dyDescent="0.3">
      <c r="I23333" s="82"/>
      <c r="M23333" s="85"/>
    </row>
    <row r="23334" spans="9:13" x14ac:dyDescent="0.3">
      <c r="I23334" s="82"/>
      <c r="M23334" s="85"/>
    </row>
    <row r="23335" spans="9:13" x14ac:dyDescent="0.3">
      <c r="I23335" s="82"/>
      <c r="M23335" s="85"/>
    </row>
    <row r="23336" spans="9:13" x14ac:dyDescent="0.3">
      <c r="I23336" s="82"/>
      <c r="M23336" s="85"/>
    </row>
    <row r="23337" spans="9:13" x14ac:dyDescent="0.3">
      <c r="I23337" s="82"/>
      <c r="M23337" s="85"/>
    </row>
    <row r="23338" spans="9:13" x14ac:dyDescent="0.3">
      <c r="I23338" s="82"/>
      <c r="M23338" s="85"/>
    </row>
    <row r="23339" spans="9:13" x14ac:dyDescent="0.3">
      <c r="I23339" s="82"/>
      <c r="M23339" s="85"/>
    </row>
    <row r="23340" spans="9:13" x14ac:dyDescent="0.3">
      <c r="I23340" s="82"/>
      <c r="M23340" s="85"/>
    </row>
    <row r="23341" spans="9:13" x14ac:dyDescent="0.3">
      <c r="I23341" s="82"/>
      <c r="M23341" s="85"/>
    </row>
    <row r="23342" spans="9:13" x14ac:dyDescent="0.3">
      <c r="I23342" s="82"/>
      <c r="M23342" s="85"/>
    </row>
    <row r="23343" spans="9:13" x14ac:dyDescent="0.3">
      <c r="I23343" s="82"/>
      <c r="M23343" s="85"/>
    </row>
    <row r="23344" spans="9:13" x14ac:dyDescent="0.3">
      <c r="I23344" s="82"/>
      <c r="M23344" s="85"/>
    </row>
    <row r="23345" spans="9:13" x14ac:dyDescent="0.3">
      <c r="I23345" s="82"/>
      <c r="M23345" s="85"/>
    </row>
    <row r="23346" spans="9:13" x14ac:dyDescent="0.3">
      <c r="I23346" s="82"/>
      <c r="M23346" s="85"/>
    </row>
    <row r="23347" spans="9:13" x14ac:dyDescent="0.3">
      <c r="I23347" s="82"/>
      <c r="M23347" s="85"/>
    </row>
    <row r="23348" spans="9:13" x14ac:dyDescent="0.3">
      <c r="I23348" s="82"/>
      <c r="M23348" s="85"/>
    </row>
    <row r="23349" spans="9:13" x14ac:dyDescent="0.3">
      <c r="I23349" s="82"/>
      <c r="M23349" s="85"/>
    </row>
    <row r="23350" spans="9:13" x14ac:dyDescent="0.3">
      <c r="I23350" s="82"/>
      <c r="M23350" s="85"/>
    </row>
    <row r="23351" spans="9:13" x14ac:dyDescent="0.3">
      <c r="I23351" s="82"/>
      <c r="M23351" s="85"/>
    </row>
    <row r="23352" spans="9:13" x14ac:dyDescent="0.3">
      <c r="I23352" s="82"/>
      <c r="M23352" s="85"/>
    </row>
    <row r="23353" spans="9:13" x14ac:dyDescent="0.3">
      <c r="I23353" s="82"/>
      <c r="M23353" s="85"/>
    </row>
    <row r="23354" spans="9:13" x14ac:dyDescent="0.3">
      <c r="I23354" s="82"/>
      <c r="M23354" s="85"/>
    </row>
    <row r="23355" spans="9:13" x14ac:dyDescent="0.3">
      <c r="I23355" s="82"/>
      <c r="M23355" s="85"/>
    </row>
    <row r="23356" spans="9:13" x14ac:dyDescent="0.3">
      <c r="I23356" s="82"/>
      <c r="M23356" s="85"/>
    </row>
    <row r="23357" spans="9:13" x14ac:dyDescent="0.3">
      <c r="I23357" s="82"/>
      <c r="M23357" s="85"/>
    </row>
    <row r="23358" spans="9:13" x14ac:dyDescent="0.3">
      <c r="I23358" s="82"/>
      <c r="M23358" s="85"/>
    </row>
    <row r="23359" spans="9:13" x14ac:dyDescent="0.3">
      <c r="I23359" s="82"/>
      <c r="M23359" s="85"/>
    </row>
    <row r="23360" spans="9:13" x14ac:dyDescent="0.3">
      <c r="I23360" s="82"/>
      <c r="M23360" s="85"/>
    </row>
    <row r="23361" spans="9:13" x14ac:dyDescent="0.3">
      <c r="I23361" s="82"/>
      <c r="M23361" s="85"/>
    </row>
    <row r="23362" spans="9:13" x14ac:dyDescent="0.3">
      <c r="I23362" s="82"/>
      <c r="M23362" s="85"/>
    </row>
    <row r="23363" spans="9:13" x14ac:dyDescent="0.3">
      <c r="I23363" s="82"/>
      <c r="M23363" s="85"/>
    </row>
    <row r="23364" spans="9:13" x14ac:dyDescent="0.3">
      <c r="I23364" s="82"/>
      <c r="M23364" s="85"/>
    </row>
    <row r="23365" spans="9:13" x14ac:dyDescent="0.3">
      <c r="I23365" s="82"/>
      <c r="M23365" s="85"/>
    </row>
    <row r="23366" spans="9:13" x14ac:dyDescent="0.3">
      <c r="I23366" s="82"/>
      <c r="M23366" s="85"/>
    </row>
    <row r="23367" spans="9:13" x14ac:dyDescent="0.3">
      <c r="I23367" s="82"/>
      <c r="M23367" s="85"/>
    </row>
    <row r="23368" spans="9:13" x14ac:dyDescent="0.3">
      <c r="I23368" s="82"/>
      <c r="M23368" s="85"/>
    </row>
    <row r="23369" spans="9:13" x14ac:dyDescent="0.3">
      <c r="I23369" s="82"/>
      <c r="M23369" s="85"/>
    </row>
    <row r="23370" spans="9:13" x14ac:dyDescent="0.3">
      <c r="I23370" s="82"/>
      <c r="M23370" s="85"/>
    </row>
    <row r="23371" spans="9:13" x14ac:dyDescent="0.3">
      <c r="I23371" s="82"/>
      <c r="M23371" s="85"/>
    </row>
    <row r="23372" spans="9:13" x14ac:dyDescent="0.3">
      <c r="I23372" s="82"/>
      <c r="M23372" s="85"/>
    </row>
    <row r="23373" spans="9:13" x14ac:dyDescent="0.3">
      <c r="I23373" s="82"/>
      <c r="M23373" s="85"/>
    </row>
    <row r="23374" spans="9:13" x14ac:dyDescent="0.3">
      <c r="I23374" s="82"/>
      <c r="M23374" s="85"/>
    </row>
    <row r="23375" spans="9:13" x14ac:dyDescent="0.3">
      <c r="I23375" s="82"/>
      <c r="M23375" s="85"/>
    </row>
    <row r="23376" spans="9:13" x14ac:dyDescent="0.3">
      <c r="I23376" s="82"/>
      <c r="M23376" s="85"/>
    </row>
    <row r="23377" spans="9:13" x14ac:dyDescent="0.3">
      <c r="I23377" s="82"/>
      <c r="M23377" s="85"/>
    </row>
    <row r="23378" spans="9:13" x14ac:dyDescent="0.3">
      <c r="I23378" s="82"/>
      <c r="M23378" s="85"/>
    </row>
    <row r="23379" spans="9:13" x14ac:dyDescent="0.3">
      <c r="I23379" s="82"/>
      <c r="M23379" s="85"/>
    </row>
    <row r="23380" spans="9:13" x14ac:dyDescent="0.3">
      <c r="I23380" s="82"/>
      <c r="M23380" s="85"/>
    </row>
    <row r="23381" spans="9:13" x14ac:dyDescent="0.3">
      <c r="I23381" s="82"/>
      <c r="M23381" s="85"/>
    </row>
    <row r="23382" spans="9:13" x14ac:dyDescent="0.3">
      <c r="I23382" s="82"/>
      <c r="M23382" s="85"/>
    </row>
    <row r="23383" spans="9:13" x14ac:dyDescent="0.3">
      <c r="I23383" s="82"/>
      <c r="M23383" s="85"/>
    </row>
    <row r="23384" spans="9:13" x14ac:dyDescent="0.3">
      <c r="I23384" s="82"/>
      <c r="M23384" s="85"/>
    </row>
    <row r="23385" spans="9:13" x14ac:dyDescent="0.3">
      <c r="I23385" s="82"/>
      <c r="M23385" s="85"/>
    </row>
    <row r="23386" spans="9:13" x14ac:dyDescent="0.3">
      <c r="I23386" s="82"/>
      <c r="M23386" s="85"/>
    </row>
    <row r="23387" spans="9:13" x14ac:dyDescent="0.3">
      <c r="I23387" s="82"/>
      <c r="M23387" s="85"/>
    </row>
    <row r="23388" spans="9:13" x14ac:dyDescent="0.3">
      <c r="I23388" s="82"/>
      <c r="M23388" s="85"/>
    </row>
    <row r="23389" spans="9:13" x14ac:dyDescent="0.3">
      <c r="I23389" s="82"/>
      <c r="M23389" s="85"/>
    </row>
    <row r="23390" spans="9:13" x14ac:dyDescent="0.3">
      <c r="I23390" s="82"/>
      <c r="M23390" s="85"/>
    </row>
    <row r="23391" spans="9:13" x14ac:dyDescent="0.3">
      <c r="I23391" s="82"/>
      <c r="M23391" s="85"/>
    </row>
    <row r="23392" spans="9:13" x14ac:dyDescent="0.3">
      <c r="I23392" s="82"/>
      <c r="M23392" s="85"/>
    </row>
    <row r="23393" spans="9:13" x14ac:dyDescent="0.3">
      <c r="I23393" s="82"/>
      <c r="M23393" s="85"/>
    </row>
    <row r="23394" spans="9:13" x14ac:dyDescent="0.3">
      <c r="I23394" s="82"/>
      <c r="M23394" s="85"/>
    </row>
    <row r="23395" spans="9:13" x14ac:dyDescent="0.3">
      <c r="I23395" s="82"/>
      <c r="M23395" s="85"/>
    </row>
    <row r="23396" spans="9:13" x14ac:dyDescent="0.3">
      <c r="I23396" s="82"/>
      <c r="M23396" s="85"/>
    </row>
    <row r="23397" spans="9:13" x14ac:dyDescent="0.3">
      <c r="I23397" s="82"/>
      <c r="M23397" s="85"/>
    </row>
    <row r="23398" spans="9:13" x14ac:dyDescent="0.3">
      <c r="I23398" s="82"/>
      <c r="M23398" s="85"/>
    </row>
    <row r="23399" spans="9:13" x14ac:dyDescent="0.3">
      <c r="I23399" s="82"/>
      <c r="M23399" s="85"/>
    </row>
    <row r="23400" spans="9:13" x14ac:dyDescent="0.3">
      <c r="I23400" s="82"/>
      <c r="M23400" s="85"/>
    </row>
    <row r="23401" spans="9:13" x14ac:dyDescent="0.3">
      <c r="I23401" s="82"/>
      <c r="M23401" s="85"/>
    </row>
    <row r="23402" spans="9:13" x14ac:dyDescent="0.3">
      <c r="I23402" s="82"/>
      <c r="M23402" s="85"/>
    </row>
    <row r="23403" spans="9:13" x14ac:dyDescent="0.3">
      <c r="I23403" s="82"/>
      <c r="M23403" s="85"/>
    </row>
    <row r="23404" spans="9:13" x14ac:dyDescent="0.3">
      <c r="I23404" s="82"/>
      <c r="M23404" s="85"/>
    </row>
    <row r="23405" spans="9:13" x14ac:dyDescent="0.3">
      <c r="I23405" s="82"/>
      <c r="M23405" s="85"/>
    </row>
    <row r="23406" spans="9:13" x14ac:dyDescent="0.3">
      <c r="I23406" s="82"/>
      <c r="M23406" s="85"/>
    </row>
    <row r="23407" spans="9:13" x14ac:dyDescent="0.3">
      <c r="I23407" s="82"/>
      <c r="M23407" s="85"/>
    </row>
    <row r="23408" spans="9:13" x14ac:dyDescent="0.3">
      <c r="I23408" s="82"/>
      <c r="M23408" s="85"/>
    </row>
    <row r="23409" spans="9:13" x14ac:dyDescent="0.3">
      <c r="I23409" s="82"/>
      <c r="M23409" s="85"/>
    </row>
    <row r="23410" spans="9:13" x14ac:dyDescent="0.3">
      <c r="I23410" s="82"/>
      <c r="M23410" s="85"/>
    </row>
    <row r="23411" spans="9:13" x14ac:dyDescent="0.3">
      <c r="I23411" s="82"/>
      <c r="M23411" s="85"/>
    </row>
    <row r="23412" spans="9:13" x14ac:dyDescent="0.3">
      <c r="I23412" s="82"/>
      <c r="M23412" s="85"/>
    </row>
    <row r="23413" spans="9:13" x14ac:dyDescent="0.3">
      <c r="I23413" s="82"/>
      <c r="M23413" s="85"/>
    </row>
    <row r="23414" spans="9:13" x14ac:dyDescent="0.3">
      <c r="I23414" s="82"/>
      <c r="M23414" s="85"/>
    </row>
    <row r="23415" spans="9:13" x14ac:dyDescent="0.3">
      <c r="I23415" s="82"/>
      <c r="M23415" s="85"/>
    </row>
    <row r="23416" spans="9:13" x14ac:dyDescent="0.3">
      <c r="I23416" s="82"/>
      <c r="M23416" s="85"/>
    </row>
    <row r="23417" spans="9:13" x14ac:dyDescent="0.3">
      <c r="I23417" s="82"/>
      <c r="M23417" s="85"/>
    </row>
    <row r="23418" spans="9:13" x14ac:dyDescent="0.3">
      <c r="I23418" s="82"/>
      <c r="M23418" s="85"/>
    </row>
    <row r="23419" spans="9:13" x14ac:dyDescent="0.3">
      <c r="I23419" s="82"/>
      <c r="M23419" s="85"/>
    </row>
    <row r="23420" spans="9:13" x14ac:dyDescent="0.3">
      <c r="I23420" s="82"/>
      <c r="M23420" s="85"/>
    </row>
    <row r="23421" spans="9:13" x14ac:dyDescent="0.3">
      <c r="I23421" s="82"/>
      <c r="M23421" s="85"/>
    </row>
    <row r="23422" spans="9:13" x14ac:dyDescent="0.3">
      <c r="I23422" s="82"/>
      <c r="M23422" s="85"/>
    </row>
    <row r="23423" spans="9:13" x14ac:dyDescent="0.3">
      <c r="I23423" s="82"/>
      <c r="M23423" s="85"/>
    </row>
    <row r="23424" spans="9:13" x14ac:dyDescent="0.3">
      <c r="I23424" s="82"/>
      <c r="M23424" s="85"/>
    </row>
    <row r="23425" spans="9:13" x14ac:dyDescent="0.3">
      <c r="I23425" s="82"/>
      <c r="M23425" s="85"/>
    </row>
    <row r="23426" spans="9:13" x14ac:dyDescent="0.3">
      <c r="I23426" s="82"/>
      <c r="M23426" s="85"/>
    </row>
    <row r="23427" spans="9:13" x14ac:dyDescent="0.3">
      <c r="I23427" s="82"/>
      <c r="M23427" s="85"/>
    </row>
    <row r="23428" spans="9:13" x14ac:dyDescent="0.3">
      <c r="I23428" s="82"/>
      <c r="M23428" s="85"/>
    </row>
    <row r="23429" spans="9:13" x14ac:dyDescent="0.3">
      <c r="I23429" s="82"/>
      <c r="M23429" s="85"/>
    </row>
    <row r="23430" spans="9:13" x14ac:dyDescent="0.3">
      <c r="I23430" s="82"/>
      <c r="M23430" s="85"/>
    </row>
    <row r="23431" spans="9:13" x14ac:dyDescent="0.3">
      <c r="I23431" s="82"/>
      <c r="M23431" s="85"/>
    </row>
    <row r="23432" spans="9:13" x14ac:dyDescent="0.3">
      <c r="I23432" s="82"/>
      <c r="M23432" s="85"/>
    </row>
    <row r="23433" spans="9:13" x14ac:dyDescent="0.3">
      <c r="I23433" s="82"/>
      <c r="M23433" s="85"/>
    </row>
    <row r="23434" spans="9:13" x14ac:dyDescent="0.3">
      <c r="I23434" s="82"/>
      <c r="M23434" s="85"/>
    </row>
    <row r="23435" spans="9:13" x14ac:dyDescent="0.3">
      <c r="I23435" s="82"/>
      <c r="M23435" s="85"/>
    </row>
    <row r="23436" spans="9:13" x14ac:dyDescent="0.3">
      <c r="I23436" s="82"/>
      <c r="M23436" s="85"/>
    </row>
    <row r="23437" spans="9:13" x14ac:dyDescent="0.3">
      <c r="I23437" s="82"/>
      <c r="M23437" s="85"/>
    </row>
    <row r="23438" spans="9:13" x14ac:dyDescent="0.3">
      <c r="I23438" s="82"/>
      <c r="M23438" s="85"/>
    </row>
    <row r="23439" spans="9:13" x14ac:dyDescent="0.3">
      <c r="I23439" s="82"/>
      <c r="M23439" s="85"/>
    </row>
    <row r="23440" spans="9:13" x14ac:dyDescent="0.3">
      <c r="I23440" s="82"/>
      <c r="M23440" s="85"/>
    </row>
    <row r="23441" spans="9:13" x14ac:dyDescent="0.3">
      <c r="I23441" s="82"/>
      <c r="M23441" s="85"/>
    </row>
    <row r="23442" spans="9:13" x14ac:dyDescent="0.3">
      <c r="I23442" s="82"/>
      <c r="M23442" s="85"/>
    </row>
    <row r="23443" spans="9:13" x14ac:dyDescent="0.3">
      <c r="I23443" s="82"/>
      <c r="M23443" s="85"/>
    </row>
    <row r="23444" spans="9:13" x14ac:dyDescent="0.3">
      <c r="I23444" s="82"/>
      <c r="M23444" s="85"/>
    </row>
    <row r="23445" spans="9:13" x14ac:dyDescent="0.3">
      <c r="I23445" s="82"/>
      <c r="M23445" s="85"/>
    </row>
    <row r="23446" spans="9:13" x14ac:dyDescent="0.3">
      <c r="I23446" s="82"/>
      <c r="M23446" s="85"/>
    </row>
    <row r="23447" spans="9:13" x14ac:dyDescent="0.3">
      <c r="I23447" s="82"/>
      <c r="M23447" s="85"/>
    </row>
    <row r="23448" spans="9:13" x14ac:dyDescent="0.3">
      <c r="I23448" s="82"/>
      <c r="M23448" s="85"/>
    </row>
    <row r="23449" spans="9:13" x14ac:dyDescent="0.3">
      <c r="I23449" s="82"/>
      <c r="M23449" s="85"/>
    </row>
    <row r="23450" spans="9:13" x14ac:dyDescent="0.3">
      <c r="I23450" s="82"/>
      <c r="M23450" s="85"/>
    </row>
    <row r="23451" spans="9:13" x14ac:dyDescent="0.3">
      <c r="I23451" s="82"/>
      <c r="M23451" s="85"/>
    </row>
    <row r="23452" spans="9:13" x14ac:dyDescent="0.3">
      <c r="I23452" s="82"/>
      <c r="M23452" s="85"/>
    </row>
    <row r="23453" spans="9:13" x14ac:dyDescent="0.3">
      <c r="I23453" s="82"/>
      <c r="M23453" s="85"/>
    </row>
    <row r="23454" spans="9:13" x14ac:dyDescent="0.3">
      <c r="I23454" s="82"/>
      <c r="M23454" s="85"/>
    </row>
    <row r="23455" spans="9:13" x14ac:dyDescent="0.3">
      <c r="I23455" s="82"/>
      <c r="M23455" s="85"/>
    </row>
    <row r="23456" spans="9:13" x14ac:dyDescent="0.3">
      <c r="I23456" s="82"/>
      <c r="M23456" s="85"/>
    </row>
    <row r="23457" spans="9:13" x14ac:dyDescent="0.3">
      <c r="I23457" s="82"/>
      <c r="M23457" s="85"/>
    </row>
    <row r="23458" spans="9:13" x14ac:dyDescent="0.3">
      <c r="I23458" s="82"/>
      <c r="M23458" s="85"/>
    </row>
    <row r="23459" spans="9:13" x14ac:dyDescent="0.3">
      <c r="I23459" s="82"/>
      <c r="M23459" s="85"/>
    </row>
    <row r="23460" spans="9:13" x14ac:dyDescent="0.3">
      <c r="I23460" s="82"/>
      <c r="M23460" s="85"/>
    </row>
    <row r="23461" spans="9:13" x14ac:dyDescent="0.3">
      <c r="I23461" s="82"/>
      <c r="M23461" s="85"/>
    </row>
    <row r="23462" spans="9:13" x14ac:dyDescent="0.3">
      <c r="I23462" s="82"/>
      <c r="M23462" s="85"/>
    </row>
    <row r="23463" spans="9:13" x14ac:dyDescent="0.3">
      <c r="I23463" s="82"/>
      <c r="M23463" s="85"/>
    </row>
    <row r="23464" spans="9:13" x14ac:dyDescent="0.3">
      <c r="I23464" s="82"/>
      <c r="M23464" s="85"/>
    </row>
    <row r="23465" spans="9:13" x14ac:dyDescent="0.3">
      <c r="I23465" s="82"/>
      <c r="M23465" s="85"/>
    </row>
    <row r="23466" spans="9:13" x14ac:dyDescent="0.3">
      <c r="I23466" s="82"/>
      <c r="M23466" s="85"/>
    </row>
    <row r="23467" spans="9:13" x14ac:dyDescent="0.3">
      <c r="I23467" s="82"/>
      <c r="M23467" s="85"/>
    </row>
    <row r="23468" spans="9:13" x14ac:dyDescent="0.3">
      <c r="I23468" s="82"/>
      <c r="M23468" s="85"/>
    </row>
    <row r="23469" spans="9:13" x14ac:dyDescent="0.3">
      <c r="I23469" s="82"/>
      <c r="M23469" s="85"/>
    </row>
    <row r="23470" spans="9:13" x14ac:dyDescent="0.3">
      <c r="I23470" s="82"/>
      <c r="M23470" s="85"/>
    </row>
    <row r="23471" spans="9:13" x14ac:dyDescent="0.3">
      <c r="I23471" s="82"/>
      <c r="M23471" s="85"/>
    </row>
    <row r="23472" spans="9:13" x14ac:dyDescent="0.3">
      <c r="I23472" s="82"/>
      <c r="M23472" s="85"/>
    </row>
    <row r="23473" spans="9:13" x14ac:dyDescent="0.3">
      <c r="I23473" s="82"/>
      <c r="M23473" s="85"/>
    </row>
    <row r="23474" spans="9:13" x14ac:dyDescent="0.3">
      <c r="I23474" s="82"/>
      <c r="M23474" s="85"/>
    </row>
    <row r="23475" spans="9:13" x14ac:dyDescent="0.3">
      <c r="I23475" s="82"/>
      <c r="M23475" s="85"/>
    </row>
    <row r="23476" spans="9:13" x14ac:dyDescent="0.3">
      <c r="I23476" s="82"/>
      <c r="M23476" s="85"/>
    </row>
    <row r="23477" spans="9:13" x14ac:dyDescent="0.3">
      <c r="I23477" s="82"/>
      <c r="M23477" s="85"/>
    </row>
    <row r="23478" spans="9:13" x14ac:dyDescent="0.3">
      <c r="I23478" s="82"/>
      <c r="M23478" s="85"/>
    </row>
    <row r="23479" spans="9:13" x14ac:dyDescent="0.3">
      <c r="I23479" s="82"/>
      <c r="M23479" s="85"/>
    </row>
    <row r="23480" spans="9:13" x14ac:dyDescent="0.3">
      <c r="I23480" s="82"/>
      <c r="M23480" s="85"/>
    </row>
    <row r="23481" spans="9:13" x14ac:dyDescent="0.3">
      <c r="I23481" s="82"/>
      <c r="M23481" s="85"/>
    </row>
    <row r="23482" spans="9:13" x14ac:dyDescent="0.3">
      <c r="I23482" s="82"/>
      <c r="M23482" s="85"/>
    </row>
    <row r="23483" spans="9:13" x14ac:dyDescent="0.3">
      <c r="I23483" s="82"/>
      <c r="M23483" s="85"/>
    </row>
    <row r="23484" spans="9:13" x14ac:dyDescent="0.3">
      <c r="I23484" s="82"/>
      <c r="M23484" s="85"/>
    </row>
    <row r="23485" spans="9:13" x14ac:dyDescent="0.3">
      <c r="I23485" s="82"/>
      <c r="M23485" s="85"/>
    </row>
    <row r="23486" spans="9:13" x14ac:dyDescent="0.3">
      <c r="I23486" s="82"/>
      <c r="M23486" s="85"/>
    </row>
    <row r="23487" spans="9:13" x14ac:dyDescent="0.3">
      <c r="I23487" s="82"/>
      <c r="M23487" s="85"/>
    </row>
    <row r="23488" spans="9:13" x14ac:dyDescent="0.3">
      <c r="I23488" s="82"/>
      <c r="M23488" s="85"/>
    </row>
    <row r="23489" spans="9:13" x14ac:dyDescent="0.3">
      <c r="I23489" s="82"/>
      <c r="M23489" s="85"/>
    </row>
    <row r="23490" spans="9:13" x14ac:dyDescent="0.3">
      <c r="I23490" s="82"/>
      <c r="M23490" s="85"/>
    </row>
    <row r="23491" spans="9:13" x14ac:dyDescent="0.3">
      <c r="I23491" s="82"/>
      <c r="M23491" s="85"/>
    </row>
    <row r="23492" spans="9:13" x14ac:dyDescent="0.3">
      <c r="I23492" s="82"/>
      <c r="M23492" s="85"/>
    </row>
    <row r="23493" spans="9:13" x14ac:dyDescent="0.3">
      <c r="I23493" s="82"/>
      <c r="M23493" s="85"/>
    </row>
    <row r="23494" spans="9:13" x14ac:dyDescent="0.3">
      <c r="I23494" s="82"/>
      <c r="M23494" s="85"/>
    </row>
    <row r="23495" spans="9:13" x14ac:dyDescent="0.3">
      <c r="I23495" s="82"/>
      <c r="M23495" s="85"/>
    </row>
    <row r="23496" spans="9:13" x14ac:dyDescent="0.3">
      <c r="I23496" s="82"/>
      <c r="M23496" s="85"/>
    </row>
    <row r="23497" spans="9:13" x14ac:dyDescent="0.3">
      <c r="I23497" s="82"/>
      <c r="M23497" s="85"/>
    </row>
    <row r="23498" spans="9:13" x14ac:dyDescent="0.3">
      <c r="I23498" s="82"/>
      <c r="M23498" s="85"/>
    </row>
    <row r="23499" spans="9:13" x14ac:dyDescent="0.3">
      <c r="I23499" s="82"/>
      <c r="M23499" s="85"/>
    </row>
    <row r="23500" spans="9:13" x14ac:dyDescent="0.3">
      <c r="I23500" s="82"/>
      <c r="M23500" s="85"/>
    </row>
    <row r="23501" spans="9:13" x14ac:dyDescent="0.3">
      <c r="I23501" s="82"/>
      <c r="M23501" s="85"/>
    </row>
    <row r="23502" spans="9:13" x14ac:dyDescent="0.3">
      <c r="I23502" s="82"/>
      <c r="M23502" s="85"/>
    </row>
    <row r="23503" spans="9:13" x14ac:dyDescent="0.3">
      <c r="I23503" s="82"/>
      <c r="M23503" s="85"/>
    </row>
    <row r="23504" spans="9:13" x14ac:dyDescent="0.3">
      <c r="I23504" s="82"/>
      <c r="M23504" s="85"/>
    </row>
    <row r="23505" spans="9:13" x14ac:dyDescent="0.3">
      <c r="I23505" s="82"/>
      <c r="M23505" s="85"/>
    </row>
    <row r="23506" spans="9:13" x14ac:dyDescent="0.3">
      <c r="I23506" s="82"/>
      <c r="M23506" s="85"/>
    </row>
    <row r="23507" spans="9:13" x14ac:dyDescent="0.3">
      <c r="I23507" s="82"/>
      <c r="M23507" s="85"/>
    </row>
    <row r="23508" spans="9:13" x14ac:dyDescent="0.3">
      <c r="I23508" s="82"/>
      <c r="M23508" s="85"/>
    </row>
    <row r="23509" spans="9:13" x14ac:dyDescent="0.3">
      <c r="I23509" s="82"/>
      <c r="M23509" s="85"/>
    </row>
    <row r="23510" spans="9:13" x14ac:dyDescent="0.3">
      <c r="I23510" s="82"/>
      <c r="M23510" s="85"/>
    </row>
    <row r="23511" spans="9:13" x14ac:dyDescent="0.3">
      <c r="I23511" s="82"/>
      <c r="M23511" s="85"/>
    </row>
    <row r="23512" spans="9:13" x14ac:dyDescent="0.3">
      <c r="I23512" s="82"/>
      <c r="M23512" s="85"/>
    </row>
    <row r="23513" spans="9:13" x14ac:dyDescent="0.3">
      <c r="I23513" s="82"/>
      <c r="M23513" s="85"/>
    </row>
    <row r="23514" spans="9:13" x14ac:dyDescent="0.3">
      <c r="I23514" s="82"/>
      <c r="M23514" s="85"/>
    </row>
    <row r="23515" spans="9:13" x14ac:dyDescent="0.3">
      <c r="I23515" s="82"/>
      <c r="M23515" s="85"/>
    </row>
    <row r="23516" spans="9:13" x14ac:dyDescent="0.3">
      <c r="I23516" s="82"/>
      <c r="M23516" s="85"/>
    </row>
    <row r="23517" spans="9:13" x14ac:dyDescent="0.3">
      <c r="I23517" s="82"/>
      <c r="M23517" s="85"/>
    </row>
    <row r="23518" spans="9:13" x14ac:dyDescent="0.3">
      <c r="I23518" s="82"/>
      <c r="M23518" s="85"/>
    </row>
    <row r="23519" spans="9:13" x14ac:dyDescent="0.3">
      <c r="I23519" s="82"/>
      <c r="M23519" s="85"/>
    </row>
    <row r="23520" spans="9:13" x14ac:dyDescent="0.3">
      <c r="I23520" s="82"/>
      <c r="M23520" s="85"/>
    </row>
    <row r="23521" spans="9:13" x14ac:dyDescent="0.3">
      <c r="I23521" s="82"/>
      <c r="M23521" s="85"/>
    </row>
    <row r="23522" spans="9:13" x14ac:dyDescent="0.3">
      <c r="I23522" s="82"/>
      <c r="M23522" s="85"/>
    </row>
    <row r="23523" spans="9:13" x14ac:dyDescent="0.3">
      <c r="I23523" s="82"/>
      <c r="M23523" s="85"/>
    </row>
    <row r="23524" spans="9:13" x14ac:dyDescent="0.3">
      <c r="I23524" s="82"/>
      <c r="M23524" s="85"/>
    </row>
    <row r="23525" spans="9:13" x14ac:dyDescent="0.3">
      <c r="I23525" s="82"/>
      <c r="M23525" s="85"/>
    </row>
    <row r="23526" spans="9:13" x14ac:dyDescent="0.3">
      <c r="I23526" s="82"/>
      <c r="M23526" s="85"/>
    </row>
    <row r="23527" spans="9:13" x14ac:dyDescent="0.3">
      <c r="I23527" s="82"/>
      <c r="M23527" s="85"/>
    </row>
    <row r="23528" spans="9:13" x14ac:dyDescent="0.3">
      <c r="I23528" s="82"/>
      <c r="M23528" s="85"/>
    </row>
    <row r="23529" spans="9:13" x14ac:dyDescent="0.3">
      <c r="I23529" s="82"/>
      <c r="M23529" s="85"/>
    </row>
    <row r="23530" spans="9:13" x14ac:dyDescent="0.3">
      <c r="I23530" s="82"/>
      <c r="M23530" s="85"/>
    </row>
    <row r="23531" spans="9:13" x14ac:dyDescent="0.3">
      <c r="I23531" s="82"/>
      <c r="M23531" s="85"/>
    </row>
    <row r="23532" spans="9:13" x14ac:dyDescent="0.3">
      <c r="I23532" s="82"/>
      <c r="M23532" s="85"/>
    </row>
    <row r="23533" spans="9:13" x14ac:dyDescent="0.3">
      <c r="I23533" s="82"/>
      <c r="M23533" s="85"/>
    </row>
    <row r="23534" spans="9:13" x14ac:dyDescent="0.3">
      <c r="I23534" s="82"/>
      <c r="M23534" s="85"/>
    </row>
    <row r="23535" spans="9:13" x14ac:dyDescent="0.3">
      <c r="I23535" s="82"/>
      <c r="M23535" s="85"/>
    </row>
    <row r="23536" spans="9:13" x14ac:dyDescent="0.3">
      <c r="I23536" s="82"/>
      <c r="M23536" s="85"/>
    </row>
    <row r="23537" spans="9:13" x14ac:dyDescent="0.3">
      <c r="I23537" s="82"/>
      <c r="M23537" s="85"/>
    </row>
    <row r="23538" spans="9:13" x14ac:dyDescent="0.3">
      <c r="I23538" s="82"/>
      <c r="M23538" s="85"/>
    </row>
    <row r="23539" spans="9:13" x14ac:dyDescent="0.3">
      <c r="I23539" s="82"/>
      <c r="M23539" s="85"/>
    </row>
    <row r="23540" spans="9:13" x14ac:dyDescent="0.3">
      <c r="I23540" s="82"/>
      <c r="M23540" s="85"/>
    </row>
    <row r="23541" spans="9:13" x14ac:dyDescent="0.3">
      <c r="I23541" s="82"/>
      <c r="M23541" s="85"/>
    </row>
    <row r="23542" spans="9:13" x14ac:dyDescent="0.3">
      <c r="I23542" s="82"/>
      <c r="M23542" s="85"/>
    </row>
    <row r="23543" spans="9:13" x14ac:dyDescent="0.3">
      <c r="I23543" s="82"/>
      <c r="M23543" s="85"/>
    </row>
    <row r="23544" spans="9:13" x14ac:dyDescent="0.3">
      <c r="I23544" s="82"/>
      <c r="M23544" s="85"/>
    </row>
    <row r="23545" spans="9:13" x14ac:dyDescent="0.3">
      <c r="I23545" s="82"/>
      <c r="M23545" s="85"/>
    </row>
    <row r="23546" spans="9:13" x14ac:dyDescent="0.3">
      <c r="I23546" s="82"/>
      <c r="M23546" s="85"/>
    </row>
    <row r="23547" spans="9:13" x14ac:dyDescent="0.3">
      <c r="I23547" s="82"/>
      <c r="M23547" s="85"/>
    </row>
    <row r="23548" spans="9:13" x14ac:dyDescent="0.3">
      <c r="I23548" s="82"/>
      <c r="M23548" s="85"/>
    </row>
    <row r="23549" spans="9:13" x14ac:dyDescent="0.3">
      <c r="I23549" s="82"/>
      <c r="M23549" s="85"/>
    </row>
    <row r="23550" spans="9:13" x14ac:dyDescent="0.3">
      <c r="I23550" s="82"/>
      <c r="M23550" s="85"/>
    </row>
    <row r="23551" spans="9:13" x14ac:dyDescent="0.3">
      <c r="I23551" s="82"/>
      <c r="M23551" s="85"/>
    </row>
    <row r="23552" spans="9:13" x14ac:dyDescent="0.3">
      <c r="I23552" s="82"/>
      <c r="M23552" s="85"/>
    </row>
    <row r="23553" spans="9:13" x14ac:dyDescent="0.3">
      <c r="I23553" s="82"/>
      <c r="M23553" s="85"/>
    </row>
    <row r="23554" spans="9:13" x14ac:dyDescent="0.3">
      <c r="I23554" s="82"/>
      <c r="M23554" s="85"/>
    </row>
    <row r="23555" spans="9:13" x14ac:dyDescent="0.3">
      <c r="I23555" s="82"/>
      <c r="M23555" s="85"/>
    </row>
    <row r="23556" spans="9:13" x14ac:dyDescent="0.3">
      <c r="I23556" s="82"/>
      <c r="M23556" s="85"/>
    </row>
    <row r="23557" spans="9:13" x14ac:dyDescent="0.3">
      <c r="I23557" s="82"/>
      <c r="M23557" s="85"/>
    </row>
    <row r="23558" spans="9:13" x14ac:dyDescent="0.3">
      <c r="I23558" s="82"/>
      <c r="M23558" s="85"/>
    </row>
    <row r="23559" spans="9:13" x14ac:dyDescent="0.3">
      <c r="I23559" s="82"/>
      <c r="M23559" s="85"/>
    </row>
    <row r="23560" spans="9:13" x14ac:dyDescent="0.3">
      <c r="I23560" s="82"/>
      <c r="M23560" s="85"/>
    </row>
    <row r="23561" spans="9:13" x14ac:dyDescent="0.3">
      <c r="I23561" s="82"/>
      <c r="M23561" s="85"/>
    </row>
    <row r="23562" spans="9:13" x14ac:dyDescent="0.3">
      <c r="I23562" s="82"/>
      <c r="M23562" s="85"/>
    </row>
    <row r="23563" spans="9:13" x14ac:dyDescent="0.3">
      <c r="I23563" s="82"/>
      <c r="M23563" s="85"/>
    </row>
    <row r="23564" spans="9:13" x14ac:dyDescent="0.3">
      <c r="I23564" s="82"/>
      <c r="M23564" s="85"/>
    </row>
    <row r="23565" spans="9:13" x14ac:dyDescent="0.3">
      <c r="I23565" s="82"/>
      <c r="M23565" s="85"/>
    </row>
    <row r="23566" spans="9:13" x14ac:dyDescent="0.3">
      <c r="I23566" s="82"/>
      <c r="M23566" s="85"/>
    </row>
    <row r="23567" spans="9:13" x14ac:dyDescent="0.3">
      <c r="I23567" s="82"/>
      <c r="M23567" s="85"/>
    </row>
    <row r="23568" spans="9:13" x14ac:dyDescent="0.3">
      <c r="I23568" s="82"/>
      <c r="M23568" s="85"/>
    </row>
    <row r="23569" spans="9:13" x14ac:dyDescent="0.3">
      <c r="I23569" s="82"/>
      <c r="M23569" s="85"/>
    </row>
    <row r="23570" spans="9:13" x14ac:dyDescent="0.3">
      <c r="I23570" s="82"/>
      <c r="M23570" s="85"/>
    </row>
    <row r="23571" spans="9:13" x14ac:dyDescent="0.3">
      <c r="I23571" s="82"/>
      <c r="M23571" s="85"/>
    </row>
    <row r="23572" spans="9:13" x14ac:dyDescent="0.3">
      <c r="I23572" s="82"/>
      <c r="M23572" s="85"/>
    </row>
    <row r="23573" spans="9:13" x14ac:dyDescent="0.3">
      <c r="I23573" s="82"/>
      <c r="M23573" s="85"/>
    </row>
    <row r="23574" spans="9:13" x14ac:dyDescent="0.3">
      <c r="I23574" s="82"/>
      <c r="M23574" s="85"/>
    </row>
    <row r="23575" spans="9:13" x14ac:dyDescent="0.3">
      <c r="I23575" s="82"/>
      <c r="M23575" s="85"/>
    </row>
    <row r="23576" spans="9:13" x14ac:dyDescent="0.3">
      <c r="I23576" s="82"/>
      <c r="M23576" s="85"/>
    </row>
    <row r="23577" spans="9:13" x14ac:dyDescent="0.3">
      <c r="I23577" s="82"/>
      <c r="M23577" s="85"/>
    </row>
    <row r="23578" spans="9:13" x14ac:dyDescent="0.3">
      <c r="I23578" s="82"/>
      <c r="M23578" s="85"/>
    </row>
    <row r="23579" spans="9:13" x14ac:dyDescent="0.3">
      <c r="I23579" s="82"/>
      <c r="M23579" s="85"/>
    </row>
    <row r="23580" spans="9:13" x14ac:dyDescent="0.3">
      <c r="I23580" s="82"/>
      <c r="M23580" s="85"/>
    </row>
    <row r="23581" spans="9:13" x14ac:dyDescent="0.3">
      <c r="I23581" s="82"/>
      <c r="M23581" s="85"/>
    </row>
    <row r="23582" spans="9:13" x14ac:dyDescent="0.3">
      <c r="I23582" s="82"/>
      <c r="M23582" s="85"/>
    </row>
    <row r="23583" spans="9:13" x14ac:dyDescent="0.3">
      <c r="I23583" s="82"/>
      <c r="M23583" s="85"/>
    </row>
    <row r="23584" spans="9:13" x14ac:dyDescent="0.3">
      <c r="I23584" s="82"/>
      <c r="M23584" s="85"/>
    </row>
    <row r="23585" spans="9:13" x14ac:dyDescent="0.3">
      <c r="I23585" s="82"/>
      <c r="M23585" s="85"/>
    </row>
    <row r="23586" spans="9:13" x14ac:dyDescent="0.3">
      <c r="I23586" s="82"/>
      <c r="M23586" s="85"/>
    </row>
    <row r="23587" spans="9:13" x14ac:dyDescent="0.3">
      <c r="I23587" s="82"/>
      <c r="M23587" s="85"/>
    </row>
    <row r="23588" spans="9:13" x14ac:dyDescent="0.3">
      <c r="I23588" s="82"/>
      <c r="M23588" s="85"/>
    </row>
    <row r="23589" spans="9:13" x14ac:dyDescent="0.3">
      <c r="I23589" s="82"/>
      <c r="M23589" s="85"/>
    </row>
    <row r="23590" spans="9:13" x14ac:dyDescent="0.3">
      <c r="I23590" s="82"/>
      <c r="M23590" s="85"/>
    </row>
    <row r="23591" spans="9:13" x14ac:dyDescent="0.3">
      <c r="I23591" s="82"/>
      <c r="M23591" s="85"/>
    </row>
    <row r="23592" spans="9:13" x14ac:dyDescent="0.3">
      <c r="I23592" s="82"/>
      <c r="M23592" s="85"/>
    </row>
    <row r="23593" spans="9:13" x14ac:dyDescent="0.3">
      <c r="I23593" s="82"/>
      <c r="M23593" s="85"/>
    </row>
    <row r="23594" spans="9:13" x14ac:dyDescent="0.3">
      <c r="I23594" s="82"/>
      <c r="M23594" s="85"/>
    </row>
    <row r="23595" spans="9:13" x14ac:dyDescent="0.3">
      <c r="I23595" s="82"/>
      <c r="M23595" s="85"/>
    </row>
    <row r="23596" spans="9:13" x14ac:dyDescent="0.3">
      <c r="I23596" s="82"/>
      <c r="M23596" s="85"/>
    </row>
    <row r="23597" spans="9:13" x14ac:dyDescent="0.3">
      <c r="I23597" s="82"/>
      <c r="M23597" s="85"/>
    </row>
    <row r="23598" spans="9:13" x14ac:dyDescent="0.3">
      <c r="I23598" s="82"/>
      <c r="M23598" s="85"/>
    </row>
    <row r="23599" spans="9:13" x14ac:dyDescent="0.3">
      <c r="I23599" s="82"/>
      <c r="M23599" s="85"/>
    </row>
    <row r="23600" spans="9:13" x14ac:dyDescent="0.3">
      <c r="I23600" s="82"/>
      <c r="M23600" s="85"/>
    </row>
    <row r="23601" spans="9:13" x14ac:dyDescent="0.3">
      <c r="I23601" s="82"/>
      <c r="M23601" s="85"/>
    </row>
    <row r="23602" spans="9:13" x14ac:dyDescent="0.3">
      <c r="I23602" s="82"/>
      <c r="M23602" s="85"/>
    </row>
    <row r="23603" spans="9:13" x14ac:dyDescent="0.3">
      <c r="I23603" s="82"/>
      <c r="M23603" s="85"/>
    </row>
    <row r="23604" spans="9:13" x14ac:dyDescent="0.3">
      <c r="I23604" s="82"/>
      <c r="M23604" s="85"/>
    </row>
    <row r="23605" spans="9:13" x14ac:dyDescent="0.3">
      <c r="I23605" s="82"/>
      <c r="M23605" s="85"/>
    </row>
    <row r="23606" spans="9:13" x14ac:dyDescent="0.3">
      <c r="I23606" s="82"/>
      <c r="M23606" s="85"/>
    </row>
    <row r="23607" spans="9:13" x14ac:dyDescent="0.3">
      <c r="I23607" s="82"/>
      <c r="M23607" s="85"/>
    </row>
    <row r="23608" spans="9:13" x14ac:dyDescent="0.3">
      <c r="I23608" s="82"/>
      <c r="M23608" s="85"/>
    </row>
    <row r="23609" spans="9:13" x14ac:dyDescent="0.3">
      <c r="I23609" s="82"/>
      <c r="M23609" s="85"/>
    </row>
    <row r="23610" spans="9:13" x14ac:dyDescent="0.3">
      <c r="I23610" s="82"/>
      <c r="M23610" s="85"/>
    </row>
    <row r="23611" spans="9:13" x14ac:dyDescent="0.3">
      <c r="I23611" s="82"/>
      <c r="M23611" s="85"/>
    </row>
    <row r="23612" spans="9:13" x14ac:dyDescent="0.3">
      <c r="I23612" s="82"/>
      <c r="M23612" s="85"/>
    </row>
    <row r="23613" spans="9:13" x14ac:dyDescent="0.3">
      <c r="I23613" s="82"/>
      <c r="M23613" s="85"/>
    </row>
    <row r="23614" spans="9:13" x14ac:dyDescent="0.3">
      <c r="I23614" s="82"/>
      <c r="M23614" s="85"/>
    </row>
    <row r="23615" spans="9:13" x14ac:dyDescent="0.3">
      <c r="I23615" s="82"/>
      <c r="M23615" s="85"/>
    </row>
    <row r="23616" spans="9:13" x14ac:dyDescent="0.3">
      <c r="I23616" s="82"/>
      <c r="M23616" s="85"/>
    </row>
    <row r="23617" spans="9:13" x14ac:dyDescent="0.3">
      <c r="I23617" s="82"/>
      <c r="M23617" s="85"/>
    </row>
    <row r="23618" spans="9:13" x14ac:dyDescent="0.3">
      <c r="I23618" s="82"/>
      <c r="M23618" s="85"/>
    </row>
    <row r="23619" spans="9:13" x14ac:dyDescent="0.3">
      <c r="I23619" s="82"/>
      <c r="M23619" s="85"/>
    </row>
    <row r="23620" spans="9:13" x14ac:dyDescent="0.3">
      <c r="I23620" s="82"/>
      <c r="M23620" s="85"/>
    </row>
    <row r="23621" spans="9:13" x14ac:dyDescent="0.3">
      <c r="I23621" s="82"/>
      <c r="M23621" s="85"/>
    </row>
    <row r="23622" spans="9:13" x14ac:dyDescent="0.3">
      <c r="I23622" s="82"/>
      <c r="M23622" s="85"/>
    </row>
    <row r="23623" spans="9:13" x14ac:dyDescent="0.3">
      <c r="I23623" s="82"/>
      <c r="M23623" s="85"/>
    </row>
    <row r="23624" spans="9:13" x14ac:dyDescent="0.3">
      <c r="I23624" s="82"/>
      <c r="M23624" s="85"/>
    </row>
    <row r="23625" spans="9:13" x14ac:dyDescent="0.3">
      <c r="I23625" s="82"/>
      <c r="M23625" s="85"/>
    </row>
    <row r="23626" spans="9:13" x14ac:dyDescent="0.3">
      <c r="I23626" s="82"/>
      <c r="M23626" s="85"/>
    </row>
    <row r="23627" spans="9:13" x14ac:dyDescent="0.3">
      <c r="I23627" s="82"/>
      <c r="M23627" s="85"/>
    </row>
    <row r="23628" spans="9:13" x14ac:dyDescent="0.3">
      <c r="I23628" s="82"/>
      <c r="M23628" s="85"/>
    </row>
    <row r="23629" spans="9:13" x14ac:dyDescent="0.3">
      <c r="I23629" s="82"/>
      <c r="M23629" s="85"/>
    </row>
    <row r="23630" spans="9:13" x14ac:dyDescent="0.3">
      <c r="I23630" s="82"/>
      <c r="M23630" s="85"/>
    </row>
    <row r="23631" spans="9:13" x14ac:dyDescent="0.3">
      <c r="I23631" s="82"/>
      <c r="M23631" s="85"/>
    </row>
    <row r="23632" spans="9:13" x14ac:dyDescent="0.3">
      <c r="I23632" s="82"/>
      <c r="M23632" s="85"/>
    </row>
    <row r="23633" spans="9:13" x14ac:dyDescent="0.3">
      <c r="I23633" s="82"/>
      <c r="M23633" s="85"/>
    </row>
    <row r="23634" spans="9:13" x14ac:dyDescent="0.3">
      <c r="I23634" s="82"/>
      <c r="M23634" s="85"/>
    </row>
    <row r="23635" spans="9:13" x14ac:dyDescent="0.3">
      <c r="I23635" s="82"/>
      <c r="M23635" s="85"/>
    </row>
    <row r="23636" spans="9:13" x14ac:dyDescent="0.3">
      <c r="I23636" s="82"/>
      <c r="M23636" s="85"/>
    </row>
    <row r="23637" spans="9:13" x14ac:dyDescent="0.3">
      <c r="I23637" s="82"/>
      <c r="M23637" s="85"/>
    </row>
    <row r="23638" spans="9:13" x14ac:dyDescent="0.3">
      <c r="I23638" s="82"/>
      <c r="M23638" s="85"/>
    </row>
    <row r="23639" spans="9:13" x14ac:dyDescent="0.3">
      <c r="I23639" s="82"/>
      <c r="M23639" s="85"/>
    </row>
    <row r="23640" spans="9:13" x14ac:dyDescent="0.3">
      <c r="I23640" s="82"/>
      <c r="M23640" s="85"/>
    </row>
    <row r="23641" spans="9:13" x14ac:dyDescent="0.3">
      <c r="I23641" s="82"/>
      <c r="M23641" s="85"/>
    </row>
    <row r="23642" spans="9:13" x14ac:dyDescent="0.3">
      <c r="I23642" s="82"/>
      <c r="M23642" s="85"/>
    </row>
    <row r="23643" spans="9:13" x14ac:dyDescent="0.3">
      <c r="I23643" s="82"/>
      <c r="M23643" s="85"/>
    </row>
    <row r="23644" spans="9:13" x14ac:dyDescent="0.3">
      <c r="I23644" s="82"/>
      <c r="M23644" s="85"/>
    </row>
    <row r="23645" spans="9:13" x14ac:dyDescent="0.3">
      <c r="I23645" s="82"/>
      <c r="M23645" s="85"/>
    </row>
    <row r="23646" spans="9:13" x14ac:dyDescent="0.3">
      <c r="I23646" s="82"/>
      <c r="M23646" s="85"/>
    </row>
    <row r="23647" spans="9:13" x14ac:dyDescent="0.3">
      <c r="I23647" s="82"/>
      <c r="M23647" s="85"/>
    </row>
    <row r="23648" spans="9:13" x14ac:dyDescent="0.3">
      <c r="I23648" s="82"/>
      <c r="M23648" s="85"/>
    </row>
    <row r="23649" spans="9:13" x14ac:dyDescent="0.3">
      <c r="I23649" s="82"/>
      <c r="M23649" s="85"/>
    </row>
    <row r="23650" spans="9:13" x14ac:dyDescent="0.3">
      <c r="I23650" s="82"/>
      <c r="M23650" s="85"/>
    </row>
    <row r="23651" spans="9:13" x14ac:dyDescent="0.3">
      <c r="I23651" s="82"/>
      <c r="M23651" s="85"/>
    </row>
    <row r="23652" spans="9:13" x14ac:dyDescent="0.3">
      <c r="I23652" s="82"/>
      <c r="M23652" s="85"/>
    </row>
    <row r="23653" spans="9:13" x14ac:dyDescent="0.3">
      <c r="I23653" s="82"/>
      <c r="M23653" s="85"/>
    </row>
    <row r="23654" spans="9:13" x14ac:dyDescent="0.3">
      <c r="I23654" s="82"/>
      <c r="M23654" s="85"/>
    </row>
    <row r="23655" spans="9:13" x14ac:dyDescent="0.3">
      <c r="I23655" s="82"/>
      <c r="M23655" s="85"/>
    </row>
    <row r="23656" spans="9:13" x14ac:dyDescent="0.3">
      <c r="I23656" s="82"/>
      <c r="M23656" s="85"/>
    </row>
    <row r="23657" spans="9:13" x14ac:dyDescent="0.3">
      <c r="I23657" s="82"/>
      <c r="M23657" s="85"/>
    </row>
    <row r="23658" spans="9:13" x14ac:dyDescent="0.3">
      <c r="I23658" s="82"/>
      <c r="M23658" s="85"/>
    </row>
    <row r="23659" spans="9:13" x14ac:dyDescent="0.3">
      <c r="I23659" s="82"/>
      <c r="M23659" s="85"/>
    </row>
    <row r="23660" spans="9:13" x14ac:dyDescent="0.3">
      <c r="I23660" s="82"/>
      <c r="M23660" s="85"/>
    </row>
    <row r="23661" spans="9:13" x14ac:dyDescent="0.3">
      <c r="I23661" s="82"/>
      <c r="M23661" s="85"/>
    </row>
    <row r="23662" spans="9:13" x14ac:dyDescent="0.3">
      <c r="I23662" s="82"/>
      <c r="M23662" s="85"/>
    </row>
    <row r="23663" spans="9:13" x14ac:dyDescent="0.3">
      <c r="I23663" s="82"/>
      <c r="M23663" s="85"/>
    </row>
    <row r="23664" spans="9:13" x14ac:dyDescent="0.3">
      <c r="I23664" s="82"/>
      <c r="M23664" s="85"/>
    </row>
    <row r="23665" spans="9:13" x14ac:dyDescent="0.3">
      <c r="I23665" s="82"/>
      <c r="M23665" s="85"/>
    </row>
    <row r="23666" spans="9:13" x14ac:dyDescent="0.3">
      <c r="I23666" s="82"/>
      <c r="M23666" s="85"/>
    </row>
    <row r="23667" spans="9:13" x14ac:dyDescent="0.3">
      <c r="I23667" s="82"/>
      <c r="M23667" s="85"/>
    </row>
    <row r="23668" spans="9:13" x14ac:dyDescent="0.3">
      <c r="I23668" s="82"/>
      <c r="M23668" s="85"/>
    </row>
    <row r="23669" spans="9:13" x14ac:dyDescent="0.3">
      <c r="I23669" s="82"/>
      <c r="M23669" s="85"/>
    </row>
    <row r="23670" spans="9:13" x14ac:dyDescent="0.3">
      <c r="I23670" s="82"/>
      <c r="M23670" s="85"/>
    </row>
    <row r="23671" spans="9:13" x14ac:dyDescent="0.3">
      <c r="I23671" s="82"/>
      <c r="M23671" s="85"/>
    </row>
    <row r="23672" spans="9:13" x14ac:dyDescent="0.3">
      <c r="I23672" s="82"/>
      <c r="M23672" s="85"/>
    </row>
    <row r="23673" spans="9:13" x14ac:dyDescent="0.3">
      <c r="I23673" s="82"/>
      <c r="M23673" s="85"/>
    </row>
    <row r="23674" spans="9:13" x14ac:dyDescent="0.3">
      <c r="I23674" s="82"/>
      <c r="M23674" s="85"/>
    </row>
    <row r="23675" spans="9:13" x14ac:dyDescent="0.3">
      <c r="I23675" s="82"/>
      <c r="M23675" s="85"/>
    </row>
    <row r="23676" spans="9:13" x14ac:dyDescent="0.3">
      <c r="I23676" s="82"/>
      <c r="M23676" s="85"/>
    </row>
    <row r="23677" spans="9:13" x14ac:dyDescent="0.3">
      <c r="I23677" s="82"/>
      <c r="M23677" s="85"/>
    </row>
    <row r="23678" spans="9:13" x14ac:dyDescent="0.3">
      <c r="I23678" s="82"/>
      <c r="M23678" s="85"/>
    </row>
    <row r="23679" spans="9:13" x14ac:dyDescent="0.3">
      <c r="I23679" s="82"/>
      <c r="M23679" s="85"/>
    </row>
    <row r="23680" spans="9:13" x14ac:dyDescent="0.3">
      <c r="I23680" s="82"/>
      <c r="M23680" s="85"/>
    </row>
    <row r="23681" spans="9:13" x14ac:dyDescent="0.3">
      <c r="I23681" s="82"/>
      <c r="M23681" s="85"/>
    </row>
    <row r="23682" spans="9:13" x14ac:dyDescent="0.3">
      <c r="I23682" s="82"/>
      <c r="M23682" s="85"/>
    </row>
    <row r="23683" spans="9:13" x14ac:dyDescent="0.3">
      <c r="I23683" s="82"/>
      <c r="M23683" s="85"/>
    </row>
    <row r="23684" spans="9:13" x14ac:dyDescent="0.3">
      <c r="I23684" s="82"/>
      <c r="M23684" s="85"/>
    </row>
    <row r="23685" spans="9:13" x14ac:dyDescent="0.3">
      <c r="I23685" s="82"/>
      <c r="M23685" s="85"/>
    </row>
    <row r="23686" spans="9:13" x14ac:dyDescent="0.3">
      <c r="I23686" s="82"/>
      <c r="M23686" s="85"/>
    </row>
    <row r="23687" spans="9:13" x14ac:dyDescent="0.3">
      <c r="I23687" s="82"/>
      <c r="M23687" s="85"/>
    </row>
    <row r="23688" spans="9:13" x14ac:dyDescent="0.3">
      <c r="I23688" s="82"/>
      <c r="M23688" s="85"/>
    </row>
    <row r="23689" spans="9:13" x14ac:dyDescent="0.3">
      <c r="I23689" s="82"/>
      <c r="M23689" s="85"/>
    </row>
    <row r="23690" spans="9:13" x14ac:dyDescent="0.3">
      <c r="I23690" s="82"/>
      <c r="M23690" s="85"/>
    </row>
    <row r="23691" spans="9:13" x14ac:dyDescent="0.3">
      <c r="I23691" s="82"/>
      <c r="M23691" s="85"/>
    </row>
    <row r="23692" spans="9:13" x14ac:dyDescent="0.3">
      <c r="I23692" s="82"/>
      <c r="M23692" s="85"/>
    </row>
    <row r="23693" spans="9:13" x14ac:dyDescent="0.3">
      <c r="I23693" s="82"/>
      <c r="M23693" s="85"/>
    </row>
    <row r="23694" spans="9:13" x14ac:dyDescent="0.3">
      <c r="I23694" s="82"/>
      <c r="M23694" s="85"/>
    </row>
    <row r="23695" spans="9:13" x14ac:dyDescent="0.3">
      <c r="I23695" s="82"/>
      <c r="M23695" s="85"/>
    </row>
    <row r="23696" spans="9:13" x14ac:dyDescent="0.3">
      <c r="I23696" s="82"/>
      <c r="M23696" s="85"/>
    </row>
    <row r="23697" spans="9:13" x14ac:dyDescent="0.3">
      <c r="I23697" s="82"/>
      <c r="M23697" s="85"/>
    </row>
    <row r="23698" spans="9:13" x14ac:dyDescent="0.3">
      <c r="I23698" s="82"/>
      <c r="M23698" s="85"/>
    </row>
    <row r="23699" spans="9:13" x14ac:dyDescent="0.3">
      <c r="I23699" s="82"/>
      <c r="M23699" s="85"/>
    </row>
    <row r="23700" spans="9:13" x14ac:dyDescent="0.3">
      <c r="I23700" s="82"/>
      <c r="M23700" s="85"/>
    </row>
    <row r="23701" spans="9:13" x14ac:dyDescent="0.3">
      <c r="I23701" s="82"/>
      <c r="M23701" s="85"/>
    </row>
    <row r="23702" spans="9:13" x14ac:dyDescent="0.3">
      <c r="I23702" s="82"/>
      <c r="M23702" s="85"/>
    </row>
    <row r="23703" spans="9:13" x14ac:dyDescent="0.3">
      <c r="I23703" s="82"/>
      <c r="M23703" s="85"/>
    </row>
    <row r="23704" spans="9:13" x14ac:dyDescent="0.3">
      <c r="I23704" s="82"/>
      <c r="M23704" s="85"/>
    </row>
    <row r="23705" spans="9:13" x14ac:dyDescent="0.3">
      <c r="I23705" s="82"/>
      <c r="M23705" s="85"/>
    </row>
    <row r="23706" spans="9:13" x14ac:dyDescent="0.3">
      <c r="I23706" s="82"/>
      <c r="M23706" s="85"/>
    </row>
    <row r="23707" spans="9:13" x14ac:dyDescent="0.3">
      <c r="I23707" s="82"/>
      <c r="M23707" s="85"/>
    </row>
    <row r="23708" spans="9:13" x14ac:dyDescent="0.3">
      <c r="I23708" s="82"/>
      <c r="M23708" s="85"/>
    </row>
    <row r="23709" spans="9:13" x14ac:dyDescent="0.3">
      <c r="I23709" s="82"/>
      <c r="M23709" s="85"/>
    </row>
    <row r="23710" spans="9:13" x14ac:dyDescent="0.3">
      <c r="I23710" s="82"/>
      <c r="M23710" s="85"/>
    </row>
    <row r="23711" spans="9:13" x14ac:dyDescent="0.3">
      <c r="I23711" s="82"/>
      <c r="M23711" s="85"/>
    </row>
    <row r="23712" spans="9:13" x14ac:dyDescent="0.3">
      <c r="I23712" s="82"/>
      <c r="M23712" s="85"/>
    </row>
    <row r="23713" spans="9:13" x14ac:dyDescent="0.3">
      <c r="I23713" s="82"/>
      <c r="M23713" s="85"/>
    </row>
    <row r="23714" spans="9:13" x14ac:dyDescent="0.3">
      <c r="I23714" s="82"/>
      <c r="M23714" s="85"/>
    </row>
    <row r="23715" spans="9:13" x14ac:dyDescent="0.3">
      <c r="I23715" s="82"/>
      <c r="M23715" s="85"/>
    </row>
    <row r="23716" spans="9:13" x14ac:dyDescent="0.3">
      <c r="I23716" s="82"/>
      <c r="M23716" s="85"/>
    </row>
    <row r="23717" spans="9:13" x14ac:dyDescent="0.3">
      <c r="I23717" s="82"/>
      <c r="M23717" s="85"/>
    </row>
    <row r="23718" spans="9:13" x14ac:dyDescent="0.3">
      <c r="I23718" s="82"/>
      <c r="M23718" s="85"/>
    </row>
    <row r="23719" spans="9:13" x14ac:dyDescent="0.3">
      <c r="I23719" s="82"/>
      <c r="M23719" s="85"/>
    </row>
    <row r="23720" spans="9:13" x14ac:dyDescent="0.3">
      <c r="I23720" s="82"/>
      <c r="M23720" s="85"/>
    </row>
    <row r="23721" spans="9:13" x14ac:dyDescent="0.3">
      <c r="I23721" s="82"/>
      <c r="M23721" s="85"/>
    </row>
    <row r="23722" spans="9:13" x14ac:dyDescent="0.3">
      <c r="I23722" s="82"/>
      <c r="M23722" s="85"/>
    </row>
    <row r="23723" spans="9:13" x14ac:dyDescent="0.3">
      <c r="I23723" s="82"/>
      <c r="M23723" s="85"/>
    </row>
    <row r="23724" spans="9:13" x14ac:dyDescent="0.3">
      <c r="I23724" s="82"/>
      <c r="M23724" s="85"/>
    </row>
    <row r="23725" spans="9:13" x14ac:dyDescent="0.3">
      <c r="I23725" s="82"/>
      <c r="M23725" s="85"/>
    </row>
    <row r="23726" spans="9:13" x14ac:dyDescent="0.3">
      <c r="I23726" s="82"/>
      <c r="M23726" s="85"/>
    </row>
    <row r="23727" spans="9:13" x14ac:dyDescent="0.3">
      <c r="I23727" s="82"/>
      <c r="M23727" s="85"/>
    </row>
    <row r="23728" spans="9:13" x14ac:dyDescent="0.3">
      <c r="I23728" s="82"/>
      <c r="M23728" s="85"/>
    </row>
    <row r="23729" spans="9:13" x14ac:dyDescent="0.3">
      <c r="I23729" s="82"/>
      <c r="M23729" s="85"/>
    </row>
    <row r="23730" spans="9:13" x14ac:dyDescent="0.3">
      <c r="I23730" s="82"/>
      <c r="M23730" s="85"/>
    </row>
    <row r="23731" spans="9:13" x14ac:dyDescent="0.3">
      <c r="I23731" s="82"/>
      <c r="M23731" s="85"/>
    </row>
    <row r="23732" spans="9:13" x14ac:dyDescent="0.3">
      <c r="I23732" s="82"/>
      <c r="M23732" s="85"/>
    </row>
    <row r="23733" spans="9:13" x14ac:dyDescent="0.3">
      <c r="I23733" s="82"/>
      <c r="M23733" s="85"/>
    </row>
    <row r="23734" spans="9:13" x14ac:dyDescent="0.3">
      <c r="I23734" s="82"/>
      <c r="M23734" s="85"/>
    </row>
    <row r="23735" spans="9:13" x14ac:dyDescent="0.3">
      <c r="I23735" s="82"/>
      <c r="M23735" s="85"/>
    </row>
    <row r="23736" spans="9:13" x14ac:dyDescent="0.3">
      <c r="I23736" s="82"/>
      <c r="M23736" s="85"/>
    </row>
    <row r="23737" spans="9:13" x14ac:dyDescent="0.3">
      <c r="I23737" s="82"/>
      <c r="M23737" s="85"/>
    </row>
    <row r="23738" spans="9:13" x14ac:dyDescent="0.3">
      <c r="I23738" s="82"/>
      <c r="M23738" s="85"/>
    </row>
    <row r="23739" spans="9:13" x14ac:dyDescent="0.3">
      <c r="I23739" s="82"/>
      <c r="M23739" s="85"/>
    </row>
    <row r="23740" spans="9:13" x14ac:dyDescent="0.3">
      <c r="I23740" s="82"/>
      <c r="M23740" s="85"/>
    </row>
    <row r="23741" spans="9:13" x14ac:dyDescent="0.3">
      <c r="I23741" s="82"/>
      <c r="M23741" s="85"/>
    </row>
    <row r="23742" spans="9:13" x14ac:dyDescent="0.3">
      <c r="I23742" s="82"/>
      <c r="M23742" s="85"/>
    </row>
    <row r="23743" spans="9:13" x14ac:dyDescent="0.3">
      <c r="I23743" s="82"/>
      <c r="M23743" s="85"/>
    </row>
    <row r="23744" spans="9:13" x14ac:dyDescent="0.3">
      <c r="I23744" s="82"/>
      <c r="M23744" s="85"/>
    </row>
    <row r="23745" spans="9:13" x14ac:dyDescent="0.3">
      <c r="I23745" s="82"/>
      <c r="M23745" s="85"/>
    </row>
    <row r="23746" spans="9:13" x14ac:dyDescent="0.3">
      <c r="I23746" s="82"/>
      <c r="M23746" s="85"/>
    </row>
    <row r="23747" spans="9:13" x14ac:dyDescent="0.3">
      <c r="I23747" s="82"/>
      <c r="M23747" s="85"/>
    </row>
    <row r="23748" spans="9:13" x14ac:dyDescent="0.3">
      <c r="I23748" s="82"/>
      <c r="M23748" s="85"/>
    </row>
    <row r="23749" spans="9:13" x14ac:dyDescent="0.3">
      <c r="I23749" s="82"/>
      <c r="M23749" s="85"/>
    </row>
    <row r="23750" spans="9:13" x14ac:dyDescent="0.3">
      <c r="I23750" s="82"/>
      <c r="M23750" s="85"/>
    </row>
    <row r="23751" spans="9:13" x14ac:dyDescent="0.3">
      <c r="I23751" s="82"/>
      <c r="M23751" s="85"/>
    </row>
    <row r="23752" spans="9:13" x14ac:dyDescent="0.3">
      <c r="I23752" s="82"/>
      <c r="M23752" s="85"/>
    </row>
    <row r="23753" spans="9:13" x14ac:dyDescent="0.3">
      <c r="I23753" s="82"/>
      <c r="M23753" s="85"/>
    </row>
    <row r="23754" spans="9:13" x14ac:dyDescent="0.3">
      <c r="I23754" s="82"/>
      <c r="M23754" s="85"/>
    </row>
    <row r="23755" spans="9:13" x14ac:dyDescent="0.3">
      <c r="I23755" s="82"/>
      <c r="M23755" s="85"/>
    </row>
    <row r="23756" spans="9:13" x14ac:dyDescent="0.3">
      <c r="I23756" s="82"/>
      <c r="M23756" s="85"/>
    </row>
    <row r="23757" spans="9:13" x14ac:dyDescent="0.3">
      <c r="I23757" s="82"/>
      <c r="M23757" s="85"/>
    </row>
    <row r="23758" spans="9:13" x14ac:dyDescent="0.3">
      <c r="I23758" s="82"/>
      <c r="M23758" s="85"/>
    </row>
    <row r="23759" spans="9:13" x14ac:dyDescent="0.3">
      <c r="I23759" s="82"/>
      <c r="M23759" s="85"/>
    </row>
    <row r="23760" spans="9:13" x14ac:dyDescent="0.3">
      <c r="I23760" s="82"/>
      <c r="M23760" s="85"/>
    </row>
    <row r="23761" spans="9:13" x14ac:dyDescent="0.3">
      <c r="I23761" s="82"/>
      <c r="M23761" s="85"/>
    </row>
    <row r="23762" spans="9:13" x14ac:dyDescent="0.3">
      <c r="I23762" s="82"/>
      <c r="M23762" s="85"/>
    </row>
    <row r="23763" spans="9:13" x14ac:dyDescent="0.3">
      <c r="I23763" s="82"/>
      <c r="M23763" s="85"/>
    </row>
    <row r="23764" spans="9:13" x14ac:dyDescent="0.3">
      <c r="I23764" s="82"/>
      <c r="M23764" s="85"/>
    </row>
    <row r="23765" spans="9:13" x14ac:dyDescent="0.3">
      <c r="I23765" s="82"/>
      <c r="M23765" s="85"/>
    </row>
    <row r="23766" spans="9:13" x14ac:dyDescent="0.3">
      <c r="I23766" s="82"/>
      <c r="M23766" s="85"/>
    </row>
    <row r="23767" spans="9:13" x14ac:dyDescent="0.3">
      <c r="I23767" s="82"/>
      <c r="M23767" s="85"/>
    </row>
    <row r="23768" spans="9:13" x14ac:dyDescent="0.3">
      <c r="I23768" s="82"/>
      <c r="M23768" s="85"/>
    </row>
    <row r="23769" spans="9:13" x14ac:dyDescent="0.3">
      <c r="I23769" s="82"/>
      <c r="M23769" s="85"/>
    </row>
    <row r="23770" spans="9:13" x14ac:dyDescent="0.3">
      <c r="I23770" s="82"/>
      <c r="M23770" s="85"/>
    </row>
    <row r="23771" spans="9:13" x14ac:dyDescent="0.3">
      <c r="I23771" s="82"/>
      <c r="M23771" s="85"/>
    </row>
    <row r="23772" spans="9:13" x14ac:dyDescent="0.3">
      <c r="I23772" s="82"/>
      <c r="M23772" s="85"/>
    </row>
    <row r="23773" spans="9:13" x14ac:dyDescent="0.3">
      <c r="I23773" s="82"/>
      <c r="M23773" s="85"/>
    </row>
    <row r="23774" spans="9:13" x14ac:dyDescent="0.3">
      <c r="I23774" s="82"/>
      <c r="M23774" s="85"/>
    </row>
    <row r="23775" spans="9:13" x14ac:dyDescent="0.3">
      <c r="I23775" s="82"/>
      <c r="M23775" s="85"/>
    </row>
    <row r="23776" spans="9:13" x14ac:dyDescent="0.3">
      <c r="I23776" s="82"/>
      <c r="M23776" s="85"/>
    </row>
    <row r="23777" spans="9:13" x14ac:dyDescent="0.3">
      <c r="I23777" s="82"/>
      <c r="M23777" s="85"/>
    </row>
    <row r="23778" spans="9:13" x14ac:dyDescent="0.3">
      <c r="I23778" s="82"/>
      <c r="M23778" s="85"/>
    </row>
    <row r="23779" spans="9:13" x14ac:dyDescent="0.3">
      <c r="I23779" s="82"/>
      <c r="M23779" s="85"/>
    </row>
    <row r="23780" spans="9:13" x14ac:dyDescent="0.3">
      <c r="I23780" s="82"/>
      <c r="M23780" s="85"/>
    </row>
    <row r="23781" spans="9:13" x14ac:dyDescent="0.3">
      <c r="I23781" s="82"/>
      <c r="M23781" s="85"/>
    </row>
    <row r="23782" spans="9:13" x14ac:dyDescent="0.3">
      <c r="I23782" s="82"/>
      <c r="M23782" s="85"/>
    </row>
    <row r="23783" spans="9:13" x14ac:dyDescent="0.3">
      <c r="I23783" s="82"/>
      <c r="M23783" s="85"/>
    </row>
    <row r="23784" spans="9:13" x14ac:dyDescent="0.3">
      <c r="I23784" s="82"/>
      <c r="M23784" s="85"/>
    </row>
    <row r="23785" spans="9:13" x14ac:dyDescent="0.3">
      <c r="I23785" s="82"/>
      <c r="M23785" s="85"/>
    </row>
    <row r="23786" spans="9:13" x14ac:dyDescent="0.3">
      <c r="I23786" s="82"/>
      <c r="M23786" s="85"/>
    </row>
    <row r="23787" spans="9:13" x14ac:dyDescent="0.3">
      <c r="I23787" s="82"/>
      <c r="M23787" s="85"/>
    </row>
    <row r="23788" spans="9:13" x14ac:dyDescent="0.3">
      <c r="I23788" s="82"/>
      <c r="M23788" s="85"/>
    </row>
    <row r="23789" spans="9:13" x14ac:dyDescent="0.3">
      <c r="I23789" s="82"/>
      <c r="M23789" s="85"/>
    </row>
    <row r="23790" spans="9:13" x14ac:dyDescent="0.3">
      <c r="I23790" s="82"/>
      <c r="M23790" s="85"/>
    </row>
    <row r="23791" spans="9:13" x14ac:dyDescent="0.3">
      <c r="I23791" s="82"/>
      <c r="M23791" s="85"/>
    </row>
    <row r="23792" spans="9:13" x14ac:dyDescent="0.3">
      <c r="I23792" s="82"/>
      <c r="M23792" s="85"/>
    </row>
    <row r="23793" spans="9:13" x14ac:dyDescent="0.3">
      <c r="I23793" s="82"/>
      <c r="M23793" s="85"/>
    </row>
    <row r="23794" spans="9:13" x14ac:dyDescent="0.3">
      <c r="I23794" s="82"/>
      <c r="M23794" s="85"/>
    </row>
    <row r="23795" spans="9:13" x14ac:dyDescent="0.3">
      <c r="I23795" s="82"/>
      <c r="M23795" s="85"/>
    </row>
    <row r="23796" spans="9:13" x14ac:dyDescent="0.3">
      <c r="I23796" s="82"/>
      <c r="M23796" s="85"/>
    </row>
    <row r="23797" spans="9:13" x14ac:dyDescent="0.3">
      <c r="I23797" s="82"/>
      <c r="M23797" s="85"/>
    </row>
    <row r="23798" spans="9:13" x14ac:dyDescent="0.3">
      <c r="I23798" s="82"/>
      <c r="M23798" s="85"/>
    </row>
    <row r="23799" spans="9:13" x14ac:dyDescent="0.3">
      <c r="I23799" s="82"/>
      <c r="M23799" s="85"/>
    </row>
    <row r="23800" spans="9:13" x14ac:dyDescent="0.3">
      <c r="I23800" s="82"/>
      <c r="M23800" s="85"/>
    </row>
    <row r="23801" spans="9:13" x14ac:dyDescent="0.3">
      <c r="I23801" s="82"/>
      <c r="M23801" s="85"/>
    </row>
    <row r="23802" spans="9:13" x14ac:dyDescent="0.3">
      <c r="I23802" s="82"/>
      <c r="M23802" s="85"/>
    </row>
    <row r="23803" spans="9:13" x14ac:dyDescent="0.3">
      <c r="I23803" s="82"/>
      <c r="M23803" s="85"/>
    </row>
    <row r="23804" spans="9:13" x14ac:dyDescent="0.3">
      <c r="I23804" s="82"/>
      <c r="M23804" s="85"/>
    </row>
    <row r="23805" spans="9:13" x14ac:dyDescent="0.3">
      <c r="I23805" s="82"/>
      <c r="M23805" s="85"/>
    </row>
    <row r="23806" spans="9:13" x14ac:dyDescent="0.3">
      <c r="I23806" s="82"/>
      <c r="M23806" s="85"/>
    </row>
    <row r="23807" spans="9:13" x14ac:dyDescent="0.3">
      <c r="I23807" s="82"/>
      <c r="M23807" s="85"/>
    </row>
    <row r="23808" spans="9:13" x14ac:dyDescent="0.3">
      <c r="I23808" s="82"/>
      <c r="M23808" s="85"/>
    </row>
    <row r="23809" spans="9:13" x14ac:dyDescent="0.3">
      <c r="I23809" s="82"/>
      <c r="M23809" s="85"/>
    </row>
    <row r="23810" spans="9:13" x14ac:dyDescent="0.3">
      <c r="I23810" s="82"/>
      <c r="M23810" s="85"/>
    </row>
    <row r="23811" spans="9:13" x14ac:dyDescent="0.3">
      <c r="I23811" s="82"/>
      <c r="M23811" s="85"/>
    </row>
    <row r="23812" spans="9:13" x14ac:dyDescent="0.3">
      <c r="I23812" s="82"/>
      <c r="M23812" s="85"/>
    </row>
    <row r="23813" spans="9:13" x14ac:dyDescent="0.3">
      <c r="I23813" s="82"/>
      <c r="M23813" s="85"/>
    </row>
    <row r="23814" spans="9:13" x14ac:dyDescent="0.3">
      <c r="I23814" s="82"/>
      <c r="M23814" s="85"/>
    </row>
    <row r="23815" spans="9:13" x14ac:dyDescent="0.3">
      <c r="I23815" s="82"/>
      <c r="M23815" s="85"/>
    </row>
    <row r="23816" spans="9:13" x14ac:dyDescent="0.3">
      <c r="I23816" s="82"/>
      <c r="M23816" s="85"/>
    </row>
    <row r="23817" spans="9:13" x14ac:dyDescent="0.3">
      <c r="I23817" s="82"/>
      <c r="M23817" s="85"/>
    </row>
    <row r="23818" spans="9:13" x14ac:dyDescent="0.3">
      <c r="I23818" s="82"/>
      <c r="M23818" s="85"/>
    </row>
    <row r="23819" spans="9:13" x14ac:dyDescent="0.3">
      <c r="I23819" s="82"/>
      <c r="M23819" s="85"/>
    </row>
    <row r="23820" spans="9:13" x14ac:dyDescent="0.3">
      <c r="I23820" s="82"/>
      <c r="M23820" s="85"/>
    </row>
    <row r="23821" spans="9:13" x14ac:dyDescent="0.3">
      <c r="I23821" s="82"/>
      <c r="M23821" s="85"/>
    </row>
    <row r="23822" spans="9:13" x14ac:dyDescent="0.3">
      <c r="I23822" s="82"/>
      <c r="M23822" s="85"/>
    </row>
    <row r="23823" spans="9:13" x14ac:dyDescent="0.3">
      <c r="I23823" s="82"/>
      <c r="M23823" s="85"/>
    </row>
    <row r="23824" spans="9:13" x14ac:dyDescent="0.3">
      <c r="I23824" s="82"/>
      <c r="M23824" s="85"/>
    </row>
    <row r="23825" spans="9:13" x14ac:dyDescent="0.3">
      <c r="I23825" s="82"/>
      <c r="M23825" s="85"/>
    </row>
    <row r="23826" spans="9:13" x14ac:dyDescent="0.3">
      <c r="I23826" s="82"/>
      <c r="M23826" s="85"/>
    </row>
    <row r="23827" spans="9:13" x14ac:dyDescent="0.3">
      <c r="I23827" s="82"/>
      <c r="M23827" s="85"/>
    </row>
    <row r="23828" spans="9:13" x14ac:dyDescent="0.3">
      <c r="I23828" s="82"/>
      <c r="M23828" s="85"/>
    </row>
    <row r="23829" spans="9:13" x14ac:dyDescent="0.3">
      <c r="I23829" s="82"/>
      <c r="M23829" s="85"/>
    </row>
    <row r="23830" spans="9:13" x14ac:dyDescent="0.3">
      <c r="I23830" s="82"/>
      <c r="M23830" s="85"/>
    </row>
    <row r="23831" spans="9:13" x14ac:dyDescent="0.3">
      <c r="I23831" s="82"/>
      <c r="M23831" s="85"/>
    </row>
    <row r="23832" spans="9:13" x14ac:dyDescent="0.3">
      <c r="I23832" s="82"/>
      <c r="M23832" s="85"/>
    </row>
    <row r="23833" spans="9:13" x14ac:dyDescent="0.3">
      <c r="I23833" s="82"/>
      <c r="M23833" s="85"/>
    </row>
    <row r="23834" spans="9:13" x14ac:dyDescent="0.3">
      <c r="I23834" s="82"/>
      <c r="M23834" s="85"/>
    </row>
    <row r="23835" spans="9:13" x14ac:dyDescent="0.3">
      <c r="I23835" s="82"/>
      <c r="M23835" s="85"/>
    </row>
    <row r="23836" spans="9:13" x14ac:dyDescent="0.3">
      <c r="I23836" s="82"/>
      <c r="M23836" s="85"/>
    </row>
    <row r="23837" spans="9:13" x14ac:dyDescent="0.3">
      <c r="I23837" s="82"/>
      <c r="M23837" s="85"/>
    </row>
    <row r="23838" spans="9:13" x14ac:dyDescent="0.3">
      <c r="I23838" s="82"/>
      <c r="M23838" s="85"/>
    </row>
    <row r="23839" spans="9:13" x14ac:dyDescent="0.3">
      <c r="I23839" s="82"/>
      <c r="M23839" s="85"/>
    </row>
    <row r="23840" spans="9:13" x14ac:dyDescent="0.3">
      <c r="I23840" s="82"/>
      <c r="M23840" s="85"/>
    </row>
    <row r="23841" spans="9:13" x14ac:dyDescent="0.3">
      <c r="I23841" s="82"/>
      <c r="M23841" s="85"/>
    </row>
    <row r="23842" spans="9:13" x14ac:dyDescent="0.3">
      <c r="I23842" s="82"/>
      <c r="M23842" s="85"/>
    </row>
    <row r="23843" spans="9:13" x14ac:dyDescent="0.3">
      <c r="I23843" s="82"/>
      <c r="M23843" s="85"/>
    </row>
    <row r="23844" spans="9:13" x14ac:dyDescent="0.3">
      <c r="I23844" s="82"/>
      <c r="M23844" s="85"/>
    </row>
    <row r="23845" spans="9:13" x14ac:dyDescent="0.3">
      <c r="I23845" s="82"/>
      <c r="M23845" s="85"/>
    </row>
    <row r="23846" spans="9:13" x14ac:dyDescent="0.3">
      <c r="I23846" s="82"/>
      <c r="M23846" s="85"/>
    </row>
    <row r="23847" spans="9:13" x14ac:dyDescent="0.3">
      <c r="I23847" s="82"/>
      <c r="M23847" s="85"/>
    </row>
    <row r="23848" spans="9:13" x14ac:dyDescent="0.3">
      <c r="I23848" s="82"/>
      <c r="M23848" s="85"/>
    </row>
    <row r="23849" spans="9:13" x14ac:dyDescent="0.3">
      <c r="I23849" s="82"/>
      <c r="M23849" s="85"/>
    </row>
    <row r="23850" spans="9:13" x14ac:dyDescent="0.3">
      <c r="I23850" s="82"/>
      <c r="M23850" s="85"/>
    </row>
    <row r="23851" spans="9:13" x14ac:dyDescent="0.3">
      <c r="I23851" s="82"/>
      <c r="M23851" s="85"/>
    </row>
    <row r="23852" spans="9:13" x14ac:dyDescent="0.3">
      <c r="I23852" s="82"/>
      <c r="M23852" s="85"/>
    </row>
    <row r="23853" spans="9:13" x14ac:dyDescent="0.3">
      <c r="I23853" s="82"/>
      <c r="M23853" s="85"/>
    </row>
    <row r="23854" spans="9:13" x14ac:dyDescent="0.3">
      <c r="I23854" s="82"/>
      <c r="M23854" s="85"/>
    </row>
    <row r="23855" spans="9:13" x14ac:dyDescent="0.3">
      <c r="I23855" s="82"/>
      <c r="M23855" s="85"/>
    </row>
    <row r="23856" spans="9:13" x14ac:dyDescent="0.3">
      <c r="I23856" s="82"/>
      <c r="M23856" s="85"/>
    </row>
    <row r="23857" spans="9:13" x14ac:dyDescent="0.3">
      <c r="I23857" s="82"/>
      <c r="M23857" s="85"/>
    </row>
    <row r="23858" spans="9:13" x14ac:dyDescent="0.3">
      <c r="I23858" s="82"/>
      <c r="M23858" s="85"/>
    </row>
    <row r="23859" spans="9:13" x14ac:dyDescent="0.3">
      <c r="I23859" s="82"/>
      <c r="M23859" s="85"/>
    </row>
    <row r="23860" spans="9:13" x14ac:dyDescent="0.3">
      <c r="I23860" s="82"/>
      <c r="M23860" s="85"/>
    </row>
    <row r="23861" spans="9:13" x14ac:dyDescent="0.3">
      <c r="I23861" s="82"/>
      <c r="M23861" s="85"/>
    </row>
    <row r="23862" spans="9:13" x14ac:dyDescent="0.3">
      <c r="I23862" s="82"/>
      <c r="M23862" s="85"/>
    </row>
    <row r="23863" spans="9:13" x14ac:dyDescent="0.3">
      <c r="I23863" s="82"/>
      <c r="M23863" s="85"/>
    </row>
    <row r="23864" spans="9:13" x14ac:dyDescent="0.3">
      <c r="I23864" s="82"/>
      <c r="M23864" s="85"/>
    </row>
    <row r="23865" spans="9:13" x14ac:dyDescent="0.3">
      <c r="I23865" s="82"/>
      <c r="M23865" s="85"/>
    </row>
    <row r="23866" spans="9:13" x14ac:dyDescent="0.3">
      <c r="I23866" s="82"/>
      <c r="M23866" s="85"/>
    </row>
    <row r="23867" spans="9:13" x14ac:dyDescent="0.3">
      <c r="I23867" s="82"/>
      <c r="M23867" s="85"/>
    </row>
    <row r="23868" spans="9:13" x14ac:dyDescent="0.3">
      <c r="I23868" s="82"/>
      <c r="M23868" s="85"/>
    </row>
    <row r="23869" spans="9:13" x14ac:dyDescent="0.3">
      <c r="I23869" s="82"/>
      <c r="M23869" s="85"/>
    </row>
    <row r="23870" spans="9:13" x14ac:dyDescent="0.3">
      <c r="I23870" s="82"/>
      <c r="M23870" s="85"/>
    </row>
    <row r="23871" spans="9:13" x14ac:dyDescent="0.3">
      <c r="I23871" s="82"/>
      <c r="M23871" s="85"/>
    </row>
    <row r="23872" spans="9:13" x14ac:dyDescent="0.3">
      <c r="I23872" s="82"/>
      <c r="M23872" s="85"/>
    </row>
    <row r="23873" spans="9:13" x14ac:dyDescent="0.3">
      <c r="I23873" s="82"/>
      <c r="M23873" s="85"/>
    </row>
    <row r="23874" spans="9:13" x14ac:dyDescent="0.3">
      <c r="I23874" s="82"/>
      <c r="M23874" s="85"/>
    </row>
    <row r="23875" spans="9:13" x14ac:dyDescent="0.3">
      <c r="I23875" s="82"/>
      <c r="M23875" s="85"/>
    </row>
    <row r="23876" spans="9:13" x14ac:dyDescent="0.3">
      <c r="I23876" s="82"/>
      <c r="M23876" s="85"/>
    </row>
    <row r="23877" spans="9:13" x14ac:dyDescent="0.3">
      <c r="I23877" s="82"/>
      <c r="M23877" s="85"/>
    </row>
    <row r="23878" spans="9:13" x14ac:dyDescent="0.3">
      <c r="I23878" s="82"/>
      <c r="M23878" s="85"/>
    </row>
    <row r="23879" spans="9:13" x14ac:dyDescent="0.3">
      <c r="I23879" s="82"/>
      <c r="M23879" s="85"/>
    </row>
    <row r="23880" spans="9:13" x14ac:dyDescent="0.3">
      <c r="I23880" s="82"/>
      <c r="M23880" s="85"/>
    </row>
    <row r="23881" spans="9:13" x14ac:dyDescent="0.3">
      <c r="I23881" s="82"/>
      <c r="M23881" s="85"/>
    </row>
    <row r="23882" spans="9:13" x14ac:dyDescent="0.3">
      <c r="I23882" s="82"/>
      <c r="M23882" s="85"/>
    </row>
    <row r="23883" spans="9:13" x14ac:dyDescent="0.3">
      <c r="I23883" s="82"/>
      <c r="M23883" s="85"/>
    </row>
    <row r="23884" spans="9:13" x14ac:dyDescent="0.3">
      <c r="I23884" s="82"/>
      <c r="M23884" s="85"/>
    </row>
    <row r="23885" spans="9:13" x14ac:dyDescent="0.3">
      <c r="I23885" s="82"/>
      <c r="M23885" s="85"/>
    </row>
    <row r="23886" spans="9:13" x14ac:dyDescent="0.3">
      <c r="I23886" s="82"/>
      <c r="M23886" s="85"/>
    </row>
    <row r="23887" spans="9:13" x14ac:dyDescent="0.3">
      <c r="I23887" s="82"/>
      <c r="M23887" s="85"/>
    </row>
    <row r="23888" spans="9:13" x14ac:dyDescent="0.3">
      <c r="I23888" s="82"/>
      <c r="M23888" s="85"/>
    </row>
    <row r="23889" spans="9:13" x14ac:dyDescent="0.3">
      <c r="I23889" s="82"/>
      <c r="M23889" s="85"/>
    </row>
    <row r="23890" spans="9:13" x14ac:dyDescent="0.3">
      <c r="I23890" s="82"/>
      <c r="M23890" s="85"/>
    </row>
    <row r="23891" spans="9:13" x14ac:dyDescent="0.3">
      <c r="I23891" s="82"/>
      <c r="M23891" s="85"/>
    </row>
    <row r="23892" spans="9:13" x14ac:dyDescent="0.3">
      <c r="I23892" s="82"/>
      <c r="M23892" s="85"/>
    </row>
    <row r="23893" spans="9:13" x14ac:dyDescent="0.3">
      <c r="I23893" s="82"/>
      <c r="M23893" s="85"/>
    </row>
    <row r="23894" spans="9:13" x14ac:dyDescent="0.3">
      <c r="I23894" s="82"/>
      <c r="M23894" s="85"/>
    </row>
    <row r="23895" spans="9:13" x14ac:dyDescent="0.3">
      <c r="I23895" s="82"/>
      <c r="M23895" s="85"/>
    </row>
    <row r="23896" spans="9:13" x14ac:dyDescent="0.3">
      <c r="I23896" s="82"/>
      <c r="M23896" s="85"/>
    </row>
    <row r="23897" spans="9:13" x14ac:dyDescent="0.3">
      <c r="I23897" s="82"/>
      <c r="M23897" s="85"/>
    </row>
    <row r="23898" spans="9:13" x14ac:dyDescent="0.3">
      <c r="I23898" s="82"/>
      <c r="M23898" s="85"/>
    </row>
    <row r="23899" spans="9:13" x14ac:dyDescent="0.3">
      <c r="I23899" s="82"/>
      <c r="M23899" s="85"/>
    </row>
    <row r="23900" spans="9:13" x14ac:dyDescent="0.3">
      <c r="I23900" s="82"/>
      <c r="M23900" s="85"/>
    </row>
    <row r="23901" spans="9:13" x14ac:dyDescent="0.3">
      <c r="I23901" s="82"/>
      <c r="M23901" s="85"/>
    </row>
    <row r="23902" spans="9:13" x14ac:dyDescent="0.3">
      <c r="I23902" s="82"/>
      <c r="M23902" s="85"/>
    </row>
    <row r="23903" spans="9:13" x14ac:dyDescent="0.3">
      <c r="I23903" s="82"/>
      <c r="M23903" s="85"/>
    </row>
    <row r="23904" spans="9:13" x14ac:dyDescent="0.3">
      <c r="I23904" s="82"/>
      <c r="M23904" s="85"/>
    </row>
    <row r="23905" spans="9:13" x14ac:dyDescent="0.3">
      <c r="I23905" s="82"/>
      <c r="M23905" s="85"/>
    </row>
    <row r="23906" spans="9:13" x14ac:dyDescent="0.3">
      <c r="I23906" s="82"/>
      <c r="M23906" s="85"/>
    </row>
    <row r="23907" spans="9:13" x14ac:dyDescent="0.3">
      <c r="I23907" s="82"/>
      <c r="M23907" s="85"/>
    </row>
    <row r="23908" spans="9:13" x14ac:dyDescent="0.3">
      <c r="I23908" s="82"/>
      <c r="M23908" s="85"/>
    </row>
    <row r="23909" spans="9:13" x14ac:dyDescent="0.3">
      <c r="I23909" s="82"/>
      <c r="M23909" s="85"/>
    </row>
    <row r="23910" spans="9:13" x14ac:dyDescent="0.3">
      <c r="I23910" s="82"/>
      <c r="M23910" s="85"/>
    </row>
    <row r="23911" spans="9:13" x14ac:dyDescent="0.3">
      <c r="I23911" s="82"/>
      <c r="M23911" s="85"/>
    </row>
    <row r="23912" spans="9:13" x14ac:dyDescent="0.3">
      <c r="I23912" s="82"/>
      <c r="M23912" s="85"/>
    </row>
    <row r="23913" spans="9:13" x14ac:dyDescent="0.3">
      <c r="I23913" s="82"/>
      <c r="M23913" s="85"/>
    </row>
    <row r="23914" spans="9:13" x14ac:dyDescent="0.3">
      <c r="I23914" s="82"/>
      <c r="M23914" s="85"/>
    </row>
    <row r="23915" spans="9:13" x14ac:dyDescent="0.3">
      <c r="I23915" s="82"/>
      <c r="M23915" s="85"/>
    </row>
    <row r="23916" spans="9:13" x14ac:dyDescent="0.3">
      <c r="I23916" s="82"/>
      <c r="M23916" s="85"/>
    </row>
    <row r="23917" spans="9:13" x14ac:dyDescent="0.3">
      <c r="I23917" s="82"/>
      <c r="M23917" s="85"/>
    </row>
    <row r="23918" spans="9:13" x14ac:dyDescent="0.3">
      <c r="I23918" s="82"/>
      <c r="M23918" s="85"/>
    </row>
    <row r="23919" spans="9:13" x14ac:dyDescent="0.3">
      <c r="I23919" s="82"/>
      <c r="M23919" s="85"/>
    </row>
    <row r="23920" spans="9:13" x14ac:dyDescent="0.3">
      <c r="I23920" s="82"/>
      <c r="M23920" s="85"/>
    </row>
    <row r="23921" spans="9:13" x14ac:dyDescent="0.3">
      <c r="I23921" s="82"/>
      <c r="M23921" s="85"/>
    </row>
    <row r="23922" spans="9:13" x14ac:dyDescent="0.3">
      <c r="I23922" s="82"/>
      <c r="M23922" s="85"/>
    </row>
    <row r="23923" spans="9:13" x14ac:dyDescent="0.3">
      <c r="I23923" s="82"/>
      <c r="M23923" s="85"/>
    </row>
    <row r="23924" spans="9:13" x14ac:dyDescent="0.3">
      <c r="I23924" s="82"/>
      <c r="M23924" s="85"/>
    </row>
    <row r="23925" spans="9:13" x14ac:dyDescent="0.3">
      <c r="I23925" s="82"/>
      <c r="M23925" s="85"/>
    </row>
    <row r="23926" spans="9:13" x14ac:dyDescent="0.3">
      <c r="I23926" s="82"/>
      <c r="M23926" s="85"/>
    </row>
    <row r="23927" spans="9:13" x14ac:dyDescent="0.3">
      <c r="I23927" s="82"/>
      <c r="M23927" s="85"/>
    </row>
    <row r="23928" spans="9:13" x14ac:dyDescent="0.3">
      <c r="I23928" s="82"/>
      <c r="M23928" s="85"/>
    </row>
    <row r="23929" spans="9:13" x14ac:dyDescent="0.3">
      <c r="I23929" s="82"/>
      <c r="M23929" s="85"/>
    </row>
    <row r="23930" spans="9:13" x14ac:dyDescent="0.3">
      <c r="I23930" s="82"/>
      <c r="M23930" s="85"/>
    </row>
    <row r="23931" spans="9:13" x14ac:dyDescent="0.3">
      <c r="I23931" s="82"/>
      <c r="M23931" s="85"/>
    </row>
    <row r="23932" spans="9:13" x14ac:dyDescent="0.3">
      <c r="I23932" s="82"/>
      <c r="M23932" s="85"/>
    </row>
    <row r="23933" spans="9:13" x14ac:dyDescent="0.3">
      <c r="I23933" s="82"/>
      <c r="M23933" s="85"/>
    </row>
    <row r="23934" spans="9:13" x14ac:dyDescent="0.3">
      <c r="I23934" s="82"/>
      <c r="M23934" s="85"/>
    </row>
    <row r="23935" spans="9:13" x14ac:dyDescent="0.3">
      <c r="I23935" s="82"/>
      <c r="M23935" s="85"/>
    </row>
    <row r="23936" spans="9:13" x14ac:dyDescent="0.3">
      <c r="I23936" s="82"/>
      <c r="M23936" s="85"/>
    </row>
    <row r="23937" spans="9:13" x14ac:dyDescent="0.3">
      <c r="I23937" s="82"/>
      <c r="M23937" s="85"/>
    </row>
    <row r="23938" spans="9:13" x14ac:dyDescent="0.3">
      <c r="I23938" s="82"/>
      <c r="M23938" s="85"/>
    </row>
    <row r="23939" spans="9:13" x14ac:dyDescent="0.3">
      <c r="I23939" s="82"/>
      <c r="M23939" s="85"/>
    </row>
    <row r="23940" spans="9:13" x14ac:dyDescent="0.3">
      <c r="I23940" s="82"/>
      <c r="M23940" s="85"/>
    </row>
    <row r="23941" spans="9:13" x14ac:dyDescent="0.3">
      <c r="I23941" s="82"/>
      <c r="M23941" s="85"/>
    </row>
    <row r="23942" spans="9:13" x14ac:dyDescent="0.3">
      <c r="I23942" s="82"/>
      <c r="M23942" s="85"/>
    </row>
    <row r="23943" spans="9:13" x14ac:dyDescent="0.3">
      <c r="I23943" s="82"/>
      <c r="M23943" s="85"/>
    </row>
    <row r="23944" spans="9:13" x14ac:dyDescent="0.3">
      <c r="I23944" s="82"/>
      <c r="M23944" s="85"/>
    </row>
    <row r="23945" spans="9:13" x14ac:dyDescent="0.3">
      <c r="I23945" s="82"/>
      <c r="M23945" s="85"/>
    </row>
    <row r="23946" spans="9:13" x14ac:dyDescent="0.3">
      <c r="I23946" s="82"/>
      <c r="M23946" s="85"/>
    </row>
    <row r="23947" spans="9:13" x14ac:dyDescent="0.3">
      <c r="I23947" s="82"/>
      <c r="M23947" s="85"/>
    </row>
    <row r="23948" spans="9:13" x14ac:dyDescent="0.3">
      <c r="I23948" s="82"/>
      <c r="M23948" s="85"/>
    </row>
    <row r="23949" spans="9:13" x14ac:dyDescent="0.3">
      <c r="I23949" s="82"/>
      <c r="M23949" s="85"/>
    </row>
    <row r="23950" spans="9:13" x14ac:dyDescent="0.3">
      <c r="I23950" s="82"/>
      <c r="M23950" s="85"/>
    </row>
    <row r="23951" spans="9:13" x14ac:dyDescent="0.3">
      <c r="I23951" s="82"/>
      <c r="M23951" s="85"/>
    </row>
    <row r="23952" spans="9:13" x14ac:dyDescent="0.3">
      <c r="I23952" s="82"/>
      <c r="M23952" s="85"/>
    </row>
    <row r="23953" spans="9:13" x14ac:dyDescent="0.3">
      <c r="I23953" s="82"/>
      <c r="M23953" s="85"/>
    </row>
    <row r="23954" spans="9:13" x14ac:dyDescent="0.3">
      <c r="I23954" s="82"/>
      <c r="M23954" s="85"/>
    </row>
    <row r="23955" spans="9:13" x14ac:dyDescent="0.3">
      <c r="I23955" s="82"/>
      <c r="M23955" s="85"/>
    </row>
    <row r="23956" spans="9:13" x14ac:dyDescent="0.3">
      <c r="I23956" s="82"/>
      <c r="M23956" s="85"/>
    </row>
    <row r="23957" spans="9:13" x14ac:dyDescent="0.3">
      <c r="I23957" s="82"/>
      <c r="M23957" s="85"/>
    </row>
    <row r="23958" spans="9:13" x14ac:dyDescent="0.3">
      <c r="I23958" s="82"/>
      <c r="M23958" s="85"/>
    </row>
    <row r="23959" spans="9:13" x14ac:dyDescent="0.3">
      <c r="I23959" s="82"/>
      <c r="M23959" s="85"/>
    </row>
    <row r="23960" spans="9:13" x14ac:dyDescent="0.3">
      <c r="I23960" s="82"/>
      <c r="M23960" s="85"/>
    </row>
    <row r="23961" spans="9:13" x14ac:dyDescent="0.3">
      <c r="I23961" s="82"/>
      <c r="M23961" s="85"/>
    </row>
    <row r="23962" spans="9:13" x14ac:dyDescent="0.3">
      <c r="I23962" s="82"/>
      <c r="M23962" s="85"/>
    </row>
    <row r="23963" spans="9:13" x14ac:dyDescent="0.3">
      <c r="I23963" s="82"/>
      <c r="M23963" s="85"/>
    </row>
    <row r="23964" spans="9:13" x14ac:dyDescent="0.3">
      <c r="I23964" s="82"/>
      <c r="M23964" s="85"/>
    </row>
    <row r="23965" spans="9:13" x14ac:dyDescent="0.3">
      <c r="I23965" s="82"/>
      <c r="M23965" s="85"/>
    </row>
    <row r="23966" spans="9:13" x14ac:dyDescent="0.3">
      <c r="I23966" s="82"/>
      <c r="M23966" s="85"/>
    </row>
    <row r="23967" spans="9:13" x14ac:dyDescent="0.3">
      <c r="I23967" s="82"/>
      <c r="M23967" s="85"/>
    </row>
    <row r="23968" spans="9:13" x14ac:dyDescent="0.3">
      <c r="I23968" s="82"/>
      <c r="M23968" s="85"/>
    </row>
    <row r="23969" spans="9:13" x14ac:dyDescent="0.3">
      <c r="I23969" s="82"/>
      <c r="M23969" s="85"/>
    </row>
    <row r="23970" spans="9:13" x14ac:dyDescent="0.3">
      <c r="I23970" s="82"/>
      <c r="M23970" s="85"/>
    </row>
    <row r="23971" spans="9:13" x14ac:dyDescent="0.3">
      <c r="I23971" s="82"/>
      <c r="M23971" s="85"/>
    </row>
    <row r="23972" spans="9:13" x14ac:dyDescent="0.3">
      <c r="I23972" s="82"/>
      <c r="M23972" s="85"/>
    </row>
    <row r="23973" spans="9:13" x14ac:dyDescent="0.3">
      <c r="I23973" s="82"/>
      <c r="M23973" s="85"/>
    </row>
    <row r="23974" spans="9:13" x14ac:dyDescent="0.3">
      <c r="I23974" s="82"/>
      <c r="M23974" s="85"/>
    </row>
    <row r="23975" spans="9:13" x14ac:dyDescent="0.3">
      <c r="I23975" s="82"/>
      <c r="M23975" s="85"/>
    </row>
    <row r="23976" spans="9:13" x14ac:dyDescent="0.3">
      <c r="I23976" s="82"/>
      <c r="M23976" s="85"/>
    </row>
    <row r="23977" spans="9:13" x14ac:dyDescent="0.3">
      <c r="I23977" s="82"/>
      <c r="M23977" s="85"/>
    </row>
    <row r="23978" spans="9:13" x14ac:dyDescent="0.3">
      <c r="I23978" s="82"/>
      <c r="M23978" s="85"/>
    </row>
    <row r="23979" spans="9:13" x14ac:dyDescent="0.3">
      <c r="I23979" s="82"/>
      <c r="M23979" s="85"/>
    </row>
    <row r="23980" spans="9:13" x14ac:dyDescent="0.3">
      <c r="I23980" s="82"/>
      <c r="M23980" s="85"/>
    </row>
    <row r="23981" spans="9:13" x14ac:dyDescent="0.3">
      <c r="I23981" s="82"/>
      <c r="M23981" s="85"/>
    </row>
    <row r="23982" spans="9:13" x14ac:dyDescent="0.3">
      <c r="I23982" s="82"/>
      <c r="M23982" s="85"/>
    </row>
    <row r="23983" spans="9:13" x14ac:dyDescent="0.3">
      <c r="I23983" s="82"/>
      <c r="M23983" s="85"/>
    </row>
    <row r="23984" spans="9:13" x14ac:dyDescent="0.3">
      <c r="I23984" s="82"/>
      <c r="M23984" s="85"/>
    </row>
    <row r="23985" spans="9:13" x14ac:dyDescent="0.3">
      <c r="I23985" s="82"/>
      <c r="M23985" s="85"/>
    </row>
    <row r="23986" spans="9:13" x14ac:dyDescent="0.3">
      <c r="I23986" s="82"/>
      <c r="M23986" s="85"/>
    </row>
    <row r="23987" spans="9:13" x14ac:dyDescent="0.3">
      <c r="I23987" s="82"/>
      <c r="M23987" s="85"/>
    </row>
    <row r="23988" spans="9:13" x14ac:dyDescent="0.3">
      <c r="I23988" s="82"/>
      <c r="M23988" s="85"/>
    </row>
    <row r="23989" spans="9:13" x14ac:dyDescent="0.3">
      <c r="I23989" s="82"/>
      <c r="M23989" s="85"/>
    </row>
    <row r="23990" spans="9:13" x14ac:dyDescent="0.3">
      <c r="I23990" s="82"/>
      <c r="M23990" s="85"/>
    </row>
    <row r="23991" spans="9:13" x14ac:dyDescent="0.3">
      <c r="I23991" s="82"/>
      <c r="M23991" s="85"/>
    </row>
    <row r="23992" spans="9:13" x14ac:dyDescent="0.3">
      <c r="I23992" s="82"/>
      <c r="M23992" s="85"/>
    </row>
    <row r="23993" spans="9:13" x14ac:dyDescent="0.3">
      <c r="I23993" s="82"/>
      <c r="M23993" s="85"/>
    </row>
    <row r="23994" spans="9:13" x14ac:dyDescent="0.3">
      <c r="I23994" s="82"/>
      <c r="M23994" s="85"/>
    </row>
    <row r="23995" spans="9:13" x14ac:dyDescent="0.3">
      <c r="I23995" s="82"/>
      <c r="M23995" s="85"/>
    </row>
    <row r="23996" spans="9:13" x14ac:dyDescent="0.3">
      <c r="I23996" s="82"/>
      <c r="M23996" s="85"/>
    </row>
    <row r="23997" spans="9:13" x14ac:dyDescent="0.3">
      <c r="I23997" s="82"/>
      <c r="M23997" s="85"/>
    </row>
    <row r="23998" spans="9:13" x14ac:dyDescent="0.3">
      <c r="I23998" s="82"/>
      <c r="M23998" s="85"/>
    </row>
    <row r="23999" spans="9:13" x14ac:dyDescent="0.3">
      <c r="I23999" s="82"/>
      <c r="M23999" s="85"/>
    </row>
    <row r="24000" spans="9:13" x14ac:dyDescent="0.3">
      <c r="I24000" s="82"/>
      <c r="M24000" s="85"/>
    </row>
    <row r="24001" spans="9:13" x14ac:dyDescent="0.3">
      <c r="I24001" s="82"/>
      <c r="M24001" s="85"/>
    </row>
    <row r="24002" spans="9:13" x14ac:dyDescent="0.3">
      <c r="I24002" s="82"/>
      <c r="M24002" s="85"/>
    </row>
    <row r="24003" spans="9:13" x14ac:dyDescent="0.3">
      <c r="I24003" s="82"/>
      <c r="M24003" s="85"/>
    </row>
    <row r="24004" spans="9:13" x14ac:dyDescent="0.3">
      <c r="I24004" s="82"/>
      <c r="M24004" s="85"/>
    </row>
    <row r="24005" spans="9:13" x14ac:dyDescent="0.3">
      <c r="I24005" s="82"/>
      <c r="M24005" s="85"/>
    </row>
    <row r="24006" spans="9:13" x14ac:dyDescent="0.3">
      <c r="I24006" s="82"/>
      <c r="M24006" s="85"/>
    </row>
    <row r="24007" spans="9:13" x14ac:dyDescent="0.3">
      <c r="I24007" s="82"/>
      <c r="M24007" s="85"/>
    </row>
    <row r="24008" spans="9:13" x14ac:dyDescent="0.3">
      <c r="I24008" s="82"/>
      <c r="M24008" s="85"/>
    </row>
    <row r="24009" spans="9:13" x14ac:dyDescent="0.3">
      <c r="I24009" s="82"/>
      <c r="M24009" s="85"/>
    </row>
    <row r="24010" spans="9:13" x14ac:dyDescent="0.3">
      <c r="I24010" s="82"/>
      <c r="M24010" s="85"/>
    </row>
    <row r="24011" spans="9:13" x14ac:dyDescent="0.3">
      <c r="I24011" s="82"/>
      <c r="M24011" s="85"/>
    </row>
    <row r="24012" spans="9:13" x14ac:dyDescent="0.3">
      <c r="I24012" s="82"/>
      <c r="M24012" s="85"/>
    </row>
    <row r="24013" spans="9:13" x14ac:dyDescent="0.3">
      <c r="I24013" s="82"/>
      <c r="M24013" s="85"/>
    </row>
    <row r="24014" spans="9:13" x14ac:dyDescent="0.3">
      <c r="I24014" s="82"/>
      <c r="M24014" s="85"/>
    </row>
    <row r="24015" spans="9:13" x14ac:dyDescent="0.3">
      <c r="I24015" s="82"/>
      <c r="M24015" s="85"/>
    </row>
    <row r="24016" spans="9:13" x14ac:dyDescent="0.3">
      <c r="I24016" s="82"/>
      <c r="M24016" s="85"/>
    </row>
    <row r="24017" spans="9:13" x14ac:dyDescent="0.3">
      <c r="I24017" s="82"/>
      <c r="M24017" s="85"/>
    </row>
    <row r="24018" spans="9:13" x14ac:dyDescent="0.3">
      <c r="I24018" s="82"/>
      <c r="M24018" s="85"/>
    </row>
    <row r="24019" spans="9:13" x14ac:dyDescent="0.3">
      <c r="I24019" s="82"/>
      <c r="M24019" s="85"/>
    </row>
    <row r="24020" spans="9:13" x14ac:dyDescent="0.3">
      <c r="I24020" s="82"/>
      <c r="M24020" s="85"/>
    </row>
    <row r="24021" spans="9:13" x14ac:dyDescent="0.3">
      <c r="I24021" s="82"/>
      <c r="M24021" s="85"/>
    </row>
    <row r="24022" spans="9:13" x14ac:dyDescent="0.3">
      <c r="I24022" s="82"/>
      <c r="M24022" s="85"/>
    </row>
    <row r="24023" spans="9:13" x14ac:dyDescent="0.3">
      <c r="I24023" s="82"/>
      <c r="M24023" s="85"/>
    </row>
    <row r="24024" spans="9:13" x14ac:dyDescent="0.3">
      <c r="I24024" s="82"/>
      <c r="M24024" s="85"/>
    </row>
    <row r="24025" spans="9:13" x14ac:dyDescent="0.3">
      <c r="I24025" s="82"/>
      <c r="M24025" s="85"/>
    </row>
    <row r="24026" spans="9:13" x14ac:dyDescent="0.3">
      <c r="I24026" s="82"/>
      <c r="M24026" s="85"/>
    </row>
    <row r="24027" spans="9:13" x14ac:dyDescent="0.3">
      <c r="I24027" s="82"/>
      <c r="M24027" s="85"/>
    </row>
    <row r="24028" spans="9:13" x14ac:dyDescent="0.3">
      <c r="I24028" s="82"/>
      <c r="M24028" s="85"/>
    </row>
    <row r="24029" spans="9:13" x14ac:dyDescent="0.3">
      <c r="I24029" s="82"/>
      <c r="M24029" s="85"/>
    </row>
    <row r="24030" spans="9:13" x14ac:dyDescent="0.3">
      <c r="I24030" s="82"/>
      <c r="M24030" s="85"/>
    </row>
    <row r="24031" spans="9:13" x14ac:dyDescent="0.3">
      <c r="I24031" s="82"/>
      <c r="M24031" s="85"/>
    </row>
    <row r="24032" spans="9:13" x14ac:dyDescent="0.3">
      <c r="I24032" s="82"/>
      <c r="M24032" s="85"/>
    </row>
    <row r="24033" spans="9:13" x14ac:dyDescent="0.3">
      <c r="I24033" s="82"/>
      <c r="M24033" s="85"/>
    </row>
    <row r="24034" spans="9:13" x14ac:dyDescent="0.3">
      <c r="I24034" s="82"/>
      <c r="M24034" s="85"/>
    </row>
    <row r="24035" spans="9:13" x14ac:dyDescent="0.3">
      <c r="I24035" s="82"/>
      <c r="M24035" s="85"/>
    </row>
    <row r="24036" spans="9:13" x14ac:dyDescent="0.3">
      <c r="I24036" s="82"/>
      <c r="M24036" s="85"/>
    </row>
    <row r="24037" spans="9:13" x14ac:dyDescent="0.3">
      <c r="I24037" s="82"/>
      <c r="M24037" s="85"/>
    </row>
    <row r="24038" spans="9:13" x14ac:dyDescent="0.3">
      <c r="I24038" s="82"/>
      <c r="M24038" s="85"/>
    </row>
    <row r="24039" spans="9:13" x14ac:dyDescent="0.3">
      <c r="I24039" s="82"/>
      <c r="M24039" s="85"/>
    </row>
    <row r="24040" spans="9:13" x14ac:dyDescent="0.3">
      <c r="I24040" s="82"/>
      <c r="M24040" s="85"/>
    </row>
    <row r="24041" spans="9:13" x14ac:dyDescent="0.3">
      <c r="I24041" s="82"/>
      <c r="M24041" s="85"/>
    </row>
    <row r="24042" spans="9:13" x14ac:dyDescent="0.3">
      <c r="I24042" s="82"/>
      <c r="M24042" s="85"/>
    </row>
    <row r="24043" spans="9:13" x14ac:dyDescent="0.3">
      <c r="I24043" s="82"/>
      <c r="M24043" s="85"/>
    </row>
    <row r="24044" spans="9:13" x14ac:dyDescent="0.3">
      <c r="I24044" s="82"/>
      <c r="M24044" s="85"/>
    </row>
    <row r="24045" spans="9:13" x14ac:dyDescent="0.3">
      <c r="I24045" s="82"/>
      <c r="M24045" s="85"/>
    </row>
    <row r="24046" spans="9:13" x14ac:dyDescent="0.3">
      <c r="I24046" s="82"/>
      <c r="M24046" s="85"/>
    </row>
    <row r="24047" spans="9:13" x14ac:dyDescent="0.3">
      <c r="I24047" s="82"/>
      <c r="M24047" s="85"/>
    </row>
    <row r="24048" spans="9:13" x14ac:dyDescent="0.3">
      <c r="I24048" s="82"/>
      <c r="M24048" s="85"/>
    </row>
    <row r="24049" spans="9:13" x14ac:dyDescent="0.3">
      <c r="I24049" s="82"/>
      <c r="M24049" s="85"/>
    </row>
    <row r="24050" spans="9:13" x14ac:dyDescent="0.3">
      <c r="I24050" s="82"/>
      <c r="M24050" s="85"/>
    </row>
    <row r="24051" spans="9:13" x14ac:dyDescent="0.3">
      <c r="I24051" s="82"/>
      <c r="M24051" s="85"/>
    </row>
    <row r="24052" spans="9:13" x14ac:dyDescent="0.3">
      <c r="I24052" s="82"/>
      <c r="M24052" s="85"/>
    </row>
    <row r="24053" spans="9:13" x14ac:dyDescent="0.3">
      <c r="I24053" s="82"/>
      <c r="M24053" s="85"/>
    </row>
    <row r="24054" spans="9:13" x14ac:dyDescent="0.3">
      <c r="I24054" s="82"/>
      <c r="M24054" s="85"/>
    </row>
    <row r="24055" spans="9:13" x14ac:dyDescent="0.3">
      <c r="I24055" s="82"/>
      <c r="M24055" s="85"/>
    </row>
    <row r="24056" spans="9:13" x14ac:dyDescent="0.3">
      <c r="I24056" s="82"/>
      <c r="M24056" s="85"/>
    </row>
    <row r="24057" spans="9:13" x14ac:dyDescent="0.3">
      <c r="I24057" s="82"/>
      <c r="M24057" s="85"/>
    </row>
    <row r="24058" spans="9:13" x14ac:dyDescent="0.3">
      <c r="I24058" s="82"/>
      <c r="M24058" s="85"/>
    </row>
    <row r="24059" spans="9:13" x14ac:dyDescent="0.3">
      <c r="I24059" s="82"/>
      <c r="M24059" s="85"/>
    </row>
    <row r="24060" spans="9:13" x14ac:dyDescent="0.3">
      <c r="I24060" s="82"/>
      <c r="M24060" s="85"/>
    </row>
    <row r="24061" spans="9:13" x14ac:dyDescent="0.3">
      <c r="I24061" s="82"/>
      <c r="M24061" s="85"/>
    </row>
    <row r="24062" spans="9:13" x14ac:dyDescent="0.3">
      <c r="I24062" s="82"/>
      <c r="M24062" s="85"/>
    </row>
    <row r="24063" spans="9:13" x14ac:dyDescent="0.3">
      <c r="I24063" s="82"/>
      <c r="M24063" s="85"/>
    </row>
    <row r="24064" spans="9:13" x14ac:dyDescent="0.3">
      <c r="I24064" s="82"/>
      <c r="M24064" s="85"/>
    </row>
    <row r="24065" spans="9:13" x14ac:dyDescent="0.3">
      <c r="I24065" s="82"/>
      <c r="M24065" s="85"/>
    </row>
    <row r="24066" spans="9:13" x14ac:dyDescent="0.3">
      <c r="I24066" s="82"/>
      <c r="M24066" s="85"/>
    </row>
    <row r="24067" spans="9:13" x14ac:dyDescent="0.3">
      <c r="I24067" s="82"/>
      <c r="M24067" s="85"/>
    </row>
    <row r="24068" spans="9:13" x14ac:dyDescent="0.3">
      <c r="I24068" s="82"/>
      <c r="M24068" s="85"/>
    </row>
    <row r="24069" spans="9:13" x14ac:dyDescent="0.3">
      <c r="I24069" s="82"/>
      <c r="M24069" s="85"/>
    </row>
    <row r="24070" spans="9:13" x14ac:dyDescent="0.3">
      <c r="I24070" s="82"/>
      <c r="M24070" s="85"/>
    </row>
    <row r="24071" spans="9:13" x14ac:dyDescent="0.3">
      <c r="I24071" s="82"/>
      <c r="M24071" s="85"/>
    </row>
    <row r="24072" spans="9:13" x14ac:dyDescent="0.3">
      <c r="I24072" s="82"/>
      <c r="M24072" s="85"/>
    </row>
    <row r="24073" spans="9:13" x14ac:dyDescent="0.3">
      <c r="I24073" s="82"/>
      <c r="M24073" s="85"/>
    </row>
    <row r="24074" spans="9:13" x14ac:dyDescent="0.3">
      <c r="I24074" s="82"/>
      <c r="M24074" s="85"/>
    </row>
    <row r="24075" spans="9:13" x14ac:dyDescent="0.3">
      <c r="I24075" s="82"/>
      <c r="M24075" s="85"/>
    </row>
    <row r="24076" spans="9:13" x14ac:dyDescent="0.3">
      <c r="I24076" s="82"/>
      <c r="M24076" s="85"/>
    </row>
    <row r="24077" spans="9:13" x14ac:dyDescent="0.3">
      <c r="I24077" s="82"/>
      <c r="M24077" s="85"/>
    </row>
    <row r="24078" spans="9:13" x14ac:dyDescent="0.3">
      <c r="I24078" s="82"/>
      <c r="M24078" s="85"/>
    </row>
    <row r="24079" spans="9:13" x14ac:dyDescent="0.3">
      <c r="I24079" s="82"/>
      <c r="M24079" s="85"/>
    </row>
    <row r="24080" spans="9:13" x14ac:dyDescent="0.3">
      <c r="I24080" s="82"/>
      <c r="M24080" s="85"/>
    </row>
    <row r="24081" spans="9:13" x14ac:dyDescent="0.3">
      <c r="I24081" s="82"/>
      <c r="M24081" s="85"/>
    </row>
    <row r="24082" spans="9:13" x14ac:dyDescent="0.3">
      <c r="I24082" s="82"/>
      <c r="M24082" s="85"/>
    </row>
    <row r="24083" spans="9:13" x14ac:dyDescent="0.3">
      <c r="I24083" s="82"/>
      <c r="M24083" s="85"/>
    </row>
    <row r="24084" spans="9:13" x14ac:dyDescent="0.3">
      <c r="I24084" s="82"/>
      <c r="M24084" s="85"/>
    </row>
    <row r="24085" spans="9:13" x14ac:dyDescent="0.3">
      <c r="I24085" s="82"/>
      <c r="M24085" s="85"/>
    </row>
    <row r="24086" spans="9:13" x14ac:dyDescent="0.3">
      <c r="I24086" s="82"/>
      <c r="M24086" s="85"/>
    </row>
    <row r="24087" spans="9:13" x14ac:dyDescent="0.3">
      <c r="I24087" s="82"/>
      <c r="M24087" s="85"/>
    </row>
    <row r="24088" spans="9:13" x14ac:dyDescent="0.3">
      <c r="I24088" s="82"/>
      <c r="M24088" s="85"/>
    </row>
    <row r="24089" spans="9:13" x14ac:dyDescent="0.3">
      <c r="I24089" s="82"/>
      <c r="M24089" s="85"/>
    </row>
    <row r="24090" spans="9:13" x14ac:dyDescent="0.3">
      <c r="I24090" s="82"/>
      <c r="M24090" s="85"/>
    </row>
    <row r="24091" spans="9:13" x14ac:dyDescent="0.3">
      <c r="I24091" s="82"/>
      <c r="M24091" s="85"/>
    </row>
    <row r="24092" spans="9:13" x14ac:dyDescent="0.3">
      <c r="I24092" s="82"/>
      <c r="M24092" s="85"/>
    </row>
    <row r="24093" spans="9:13" x14ac:dyDescent="0.3">
      <c r="I24093" s="82"/>
      <c r="M24093" s="85"/>
    </row>
    <row r="24094" spans="9:13" x14ac:dyDescent="0.3">
      <c r="I24094" s="82"/>
      <c r="M24094" s="85"/>
    </row>
    <row r="24095" spans="9:13" x14ac:dyDescent="0.3">
      <c r="I24095" s="82"/>
      <c r="M24095" s="85"/>
    </row>
    <row r="24096" spans="9:13" x14ac:dyDescent="0.3">
      <c r="I24096" s="82"/>
      <c r="M24096" s="85"/>
    </row>
    <row r="24097" spans="9:13" x14ac:dyDescent="0.3">
      <c r="I24097" s="82"/>
      <c r="M24097" s="85"/>
    </row>
    <row r="24098" spans="9:13" x14ac:dyDescent="0.3">
      <c r="I24098" s="82"/>
      <c r="M24098" s="85"/>
    </row>
    <row r="24099" spans="9:13" x14ac:dyDescent="0.3">
      <c r="I24099" s="82"/>
      <c r="M24099" s="85"/>
    </row>
    <row r="24100" spans="9:13" x14ac:dyDescent="0.3">
      <c r="I24100" s="82"/>
      <c r="M24100" s="85"/>
    </row>
    <row r="24101" spans="9:13" x14ac:dyDescent="0.3">
      <c r="I24101" s="82"/>
      <c r="M24101" s="85"/>
    </row>
    <row r="24102" spans="9:13" x14ac:dyDescent="0.3">
      <c r="I24102" s="82"/>
      <c r="M24102" s="85"/>
    </row>
    <row r="24103" spans="9:13" x14ac:dyDescent="0.3">
      <c r="I24103" s="82"/>
      <c r="M24103" s="85"/>
    </row>
    <row r="24104" spans="9:13" x14ac:dyDescent="0.3">
      <c r="I24104" s="82"/>
      <c r="M24104" s="85"/>
    </row>
    <row r="24105" spans="9:13" x14ac:dyDescent="0.3">
      <c r="I24105" s="82"/>
      <c r="M24105" s="85"/>
    </row>
    <row r="24106" spans="9:13" x14ac:dyDescent="0.3">
      <c r="I24106" s="82"/>
      <c r="M24106" s="85"/>
    </row>
    <row r="24107" spans="9:13" x14ac:dyDescent="0.3">
      <c r="I24107" s="82"/>
      <c r="M24107" s="85"/>
    </row>
    <row r="24108" spans="9:13" x14ac:dyDescent="0.3">
      <c r="I24108" s="82"/>
      <c r="M24108" s="85"/>
    </row>
    <row r="24109" spans="9:13" x14ac:dyDescent="0.3">
      <c r="I24109" s="82"/>
      <c r="M24109" s="85"/>
    </row>
    <row r="24110" spans="9:13" x14ac:dyDescent="0.3">
      <c r="I24110" s="82"/>
      <c r="M24110" s="85"/>
    </row>
    <row r="24111" spans="9:13" x14ac:dyDescent="0.3">
      <c r="I24111" s="82"/>
      <c r="M24111" s="85"/>
    </row>
    <row r="24112" spans="9:13" x14ac:dyDescent="0.3">
      <c r="I24112" s="82"/>
      <c r="M24112" s="85"/>
    </row>
    <row r="24113" spans="9:13" x14ac:dyDescent="0.3">
      <c r="I24113" s="82"/>
      <c r="M24113" s="85"/>
    </row>
    <row r="24114" spans="9:13" x14ac:dyDescent="0.3">
      <c r="I24114" s="82"/>
      <c r="M24114" s="85"/>
    </row>
    <row r="24115" spans="9:13" x14ac:dyDescent="0.3">
      <c r="I24115" s="82"/>
      <c r="M24115" s="85"/>
    </row>
    <row r="24116" spans="9:13" x14ac:dyDescent="0.3">
      <c r="I24116" s="82"/>
      <c r="M24116" s="85"/>
    </row>
    <row r="24117" spans="9:13" x14ac:dyDescent="0.3">
      <c r="I24117" s="82"/>
      <c r="M24117" s="85"/>
    </row>
    <row r="24118" spans="9:13" x14ac:dyDescent="0.3">
      <c r="I24118" s="82"/>
      <c r="M24118" s="85"/>
    </row>
    <row r="24119" spans="9:13" x14ac:dyDescent="0.3">
      <c r="I24119" s="82"/>
      <c r="M24119" s="85"/>
    </row>
    <row r="24120" spans="9:13" x14ac:dyDescent="0.3">
      <c r="I24120" s="82"/>
      <c r="M24120" s="85"/>
    </row>
    <row r="24121" spans="9:13" x14ac:dyDescent="0.3">
      <c r="I24121" s="82"/>
      <c r="M24121" s="85"/>
    </row>
    <row r="24122" spans="9:13" x14ac:dyDescent="0.3">
      <c r="I24122" s="82"/>
      <c r="M24122" s="85"/>
    </row>
    <row r="24123" spans="9:13" x14ac:dyDescent="0.3">
      <c r="I24123" s="82"/>
      <c r="M24123" s="85"/>
    </row>
    <row r="24124" spans="9:13" x14ac:dyDescent="0.3">
      <c r="I24124" s="82"/>
      <c r="M24124" s="85"/>
    </row>
    <row r="24125" spans="9:13" x14ac:dyDescent="0.3">
      <c r="I24125" s="82"/>
      <c r="M24125" s="85"/>
    </row>
    <row r="24126" spans="9:13" x14ac:dyDescent="0.3">
      <c r="I24126" s="82"/>
      <c r="M24126" s="85"/>
    </row>
    <row r="24127" spans="9:13" x14ac:dyDescent="0.3">
      <c r="I24127" s="82"/>
      <c r="M24127" s="85"/>
    </row>
    <row r="24128" spans="9:13" x14ac:dyDescent="0.3">
      <c r="I24128" s="82"/>
      <c r="M24128" s="85"/>
    </row>
    <row r="24129" spans="9:13" x14ac:dyDescent="0.3">
      <c r="I24129" s="82"/>
      <c r="M24129" s="85"/>
    </row>
    <row r="24130" spans="9:13" x14ac:dyDescent="0.3">
      <c r="I24130" s="82"/>
      <c r="M24130" s="85"/>
    </row>
    <row r="24131" spans="9:13" x14ac:dyDescent="0.3">
      <c r="I24131" s="82"/>
      <c r="M24131" s="85"/>
    </row>
    <row r="24132" spans="9:13" x14ac:dyDescent="0.3">
      <c r="I24132" s="82"/>
      <c r="M24132" s="85"/>
    </row>
    <row r="24133" spans="9:13" x14ac:dyDescent="0.3">
      <c r="I24133" s="82"/>
      <c r="M24133" s="85"/>
    </row>
    <row r="24134" spans="9:13" x14ac:dyDescent="0.3">
      <c r="I24134" s="82"/>
      <c r="M24134" s="85"/>
    </row>
    <row r="24135" spans="9:13" x14ac:dyDescent="0.3">
      <c r="I24135" s="82"/>
      <c r="M24135" s="85"/>
    </row>
    <row r="24136" spans="9:13" x14ac:dyDescent="0.3">
      <c r="I24136" s="82"/>
      <c r="M24136" s="85"/>
    </row>
    <row r="24137" spans="9:13" x14ac:dyDescent="0.3">
      <c r="I24137" s="82"/>
      <c r="M24137" s="85"/>
    </row>
    <row r="24138" spans="9:13" x14ac:dyDescent="0.3">
      <c r="I24138" s="82"/>
      <c r="M24138" s="85"/>
    </row>
    <row r="24139" spans="9:13" x14ac:dyDescent="0.3">
      <c r="I24139" s="82"/>
      <c r="M24139" s="85"/>
    </row>
    <row r="24140" spans="9:13" x14ac:dyDescent="0.3">
      <c r="I24140" s="82"/>
      <c r="M24140" s="85"/>
    </row>
    <row r="24141" spans="9:13" x14ac:dyDescent="0.3">
      <c r="I24141" s="82"/>
      <c r="M24141" s="85"/>
    </row>
    <row r="24142" spans="9:13" x14ac:dyDescent="0.3">
      <c r="I24142" s="82"/>
      <c r="M24142" s="85"/>
    </row>
    <row r="24143" spans="9:13" x14ac:dyDescent="0.3">
      <c r="I24143" s="82"/>
      <c r="M24143" s="85"/>
    </row>
    <row r="24144" spans="9:13" x14ac:dyDescent="0.3">
      <c r="I24144" s="82"/>
      <c r="M24144" s="85"/>
    </row>
    <row r="24145" spans="9:13" x14ac:dyDescent="0.3">
      <c r="I24145" s="82"/>
      <c r="M24145" s="85"/>
    </row>
    <row r="24146" spans="9:13" x14ac:dyDescent="0.3">
      <c r="I24146" s="82"/>
      <c r="M24146" s="85"/>
    </row>
    <row r="24147" spans="9:13" x14ac:dyDescent="0.3">
      <c r="I24147" s="82"/>
      <c r="M24147" s="85"/>
    </row>
    <row r="24148" spans="9:13" x14ac:dyDescent="0.3">
      <c r="I24148" s="82"/>
      <c r="M24148" s="85"/>
    </row>
    <row r="24149" spans="9:13" x14ac:dyDescent="0.3">
      <c r="I24149" s="82"/>
      <c r="M24149" s="85"/>
    </row>
    <row r="24150" spans="9:13" x14ac:dyDescent="0.3">
      <c r="I24150" s="82"/>
      <c r="M24150" s="85"/>
    </row>
    <row r="24151" spans="9:13" x14ac:dyDescent="0.3">
      <c r="I24151" s="82"/>
      <c r="M24151" s="85"/>
    </row>
    <row r="24152" spans="9:13" x14ac:dyDescent="0.3">
      <c r="I24152" s="82"/>
      <c r="M24152" s="85"/>
    </row>
    <row r="24153" spans="9:13" x14ac:dyDescent="0.3">
      <c r="I24153" s="82"/>
      <c r="M24153" s="85"/>
    </row>
    <row r="24154" spans="9:13" x14ac:dyDescent="0.3">
      <c r="I24154" s="82"/>
      <c r="M24154" s="85"/>
    </row>
    <row r="24155" spans="9:13" x14ac:dyDescent="0.3">
      <c r="I24155" s="82"/>
      <c r="M24155" s="85"/>
    </row>
    <row r="24156" spans="9:13" x14ac:dyDescent="0.3">
      <c r="I24156" s="82"/>
      <c r="M24156" s="85"/>
    </row>
    <row r="24157" spans="9:13" x14ac:dyDescent="0.3">
      <c r="I24157" s="82"/>
      <c r="M24157" s="85"/>
    </row>
    <row r="24158" spans="9:13" x14ac:dyDescent="0.3">
      <c r="I24158" s="82"/>
      <c r="M24158" s="85"/>
    </row>
    <row r="24159" spans="9:13" x14ac:dyDescent="0.3">
      <c r="I24159" s="82"/>
      <c r="M24159" s="85"/>
    </row>
    <row r="24160" spans="9:13" x14ac:dyDescent="0.3">
      <c r="I24160" s="82"/>
      <c r="M24160" s="85"/>
    </row>
    <row r="24161" spans="9:13" x14ac:dyDescent="0.3">
      <c r="I24161" s="82"/>
      <c r="M24161" s="85"/>
    </row>
    <row r="24162" spans="9:13" x14ac:dyDescent="0.3">
      <c r="I24162" s="82"/>
      <c r="M24162" s="85"/>
    </row>
    <row r="24163" spans="9:13" x14ac:dyDescent="0.3">
      <c r="I24163" s="82"/>
      <c r="M24163" s="85"/>
    </row>
    <row r="24164" spans="9:13" x14ac:dyDescent="0.3">
      <c r="I24164" s="82"/>
      <c r="M24164" s="85"/>
    </row>
    <row r="24165" spans="9:13" x14ac:dyDescent="0.3">
      <c r="I24165" s="82"/>
      <c r="M24165" s="85"/>
    </row>
    <row r="24166" spans="9:13" x14ac:dyDescent="0.3">
      <c r="I24166" s="82"/>
      <c r="M24166" s="85"/>
    </row>
    <row r="24167" spans="9:13" x14ac:dyDescent="0.3">
      <c r="I24167" s="82"/>
      <c r="M24167" s="85"/>
    </row>
    <row r="24168" spans="9:13" x14ac:dyDescent="0.3">
      <c r="I24168" s="82"/>
      <c r="M24168" s="85"/>
    </row>
    <row r="24169" spans="9:13" x14ac:dyDescent="0.3">
      <c r="I24169" s="82"/>
      <c r="M24169" s="85"/>
    </row>
    <row r="24170" spans="9:13" x14ac:dyDescent="0.3">
      <c r="I24170" s="82"/>
      <c r="M24170" s="85"/>
    </row>
    <row r="24171" spans="9:13" x14ac:dyDescent="0.3">
      <c r="I24171" s="82"/>
      <c r="M24171" s="85"/>
    </row>
    <row r="24172" spans="9:13" x14ac:dyDescent="0.3">
      <c r="I24172" s="82"/>
      <c r="M24172" s="85"/>
    </row>
    <row r="24173" spans="9:13" x14ac:dyDescent="0.3">
      <c r="I24173" s="82"/>
      <c r="M24173" s="85"/>
    </row>
    <row r="24174" spans="9:13" x14ac:dyDescent="0.3">
      <c r="I24174" s="82"/>
      <c r="M24174" s="85"/>
    </row>
    <row r="24175" spans="9:13" x14ac:dyDescent="0.3">
      <c r="I24175" s="82"/>
      <c r="M24175" s="85"/>
    </row>
    <row r="24176" spans="9:13" x14ac:dyDescent="0.3">
      <c r="I24176" s="82"/>
      <c r="M24176" s="85"/>
    </row>
    <row r="24177" spans="9:13" x14ac:dyDescent="0.3">
      <c r="I24177" s="82"/>
      <c r="M24177" s="85"/>
    </row>
    <row r="24178" spans="9:13" x14ac:dyDescent="0.3">
      <c r="I24178" s="82"/>
      <c r="M24178" s="85"/>
    </row>
    <row r="24179" spans="9:13" x14ac:dyDescent="0.3">
      <c r="I24179" s="82"/>
      <c r="M24179" s="85"/>
    </row>
    <row r="24180" spans="9:13" x14ac:dyDescent="0.3">
      <c r="I24180" s="82"/>
      <c r="M24180" s="85"/>
    </row>
    <row r="24181" spans="9:13" x14ac:dyDescent="0.3">
      <c r="I24181" s="82"/>
      <c r="M24181" s="85"/>
    </row>
    <row r="24182" spans="9:13" x14ac:dyDescent="0.3">
      <c r="I24182" s="82"/>
      <c r="M24182" s="85"/>
    </row>
    <row r="24183" spans="9:13" x14ac:dyDescent="0.3">
      <c r="I24183" s="82"/>
      <c r="M24183" s="85"/>
    </row>
    <row r="24184" spans="9:13" x14ac:dyDescent="0.3">
      <c r="I24184" s="82"/>
      <c r="M24184" s="85"/>
    </row>
    <row r="24185" spans="9:13" x14ac:dyDescent="0.3">
      <c r="I24185" s="82"/>
      <c r="M24185" s="85"/>
    </row>
    <row r="24186" spans="9:13" x14ac:dyDescent="0.3">
      <c r="I24186" s="82"/>
      <c r="M24186" s="85"/>
    </row>
    <row r="24187" spans="9:13" x14ac:dyDescent="0.3">
      <c r="I24187" s="82"/>
      <c r="M24187" s="85"/>
    </row>
    <row r="24188" spans="9:13" x14ac:dyDescent="0.3">
      <c r="I24188" s="82"/>
      <c r="M24188" s="85"/>
    </row>
    <row r="24189" spans="9:13" x14ac:dyDescent="0.3">
      <c r="I24189" s="82"/>
      <c r="M24189" s="85"/>
    </row>
    <row r="24190" spans="9:13" x14ac:dyDescent="0.3">
      <c r="I24190" s="82"/>
      <c r="M24190" s="85"/>
    </row>
    <row r="24191" spans="9:13" x14ac:dyDescent="0.3">
      <c r="I24191" s="82"/>
      <c r="M24191" s="85"/>
    </row>
    <row r="24192" spans="9:13" x14ac:dyDescent="0.3">
      <c r="I24192" s="82"/>
      <c r="M24192" s="85"/>
    </row>
    <row r="24193" spans="9:13" x14ac:dyDescent="0.3">
      <c r="I24193" s="82"/>
      <c r="M24193" s="85"/>
    </row>
    <row r="24194" spans="9:13" x14ac:dyDescent="0.3">
      <c r="I24194" s="82"/>
      <c r="M24194" s="85"/>
    </row>
    <row r="24195" spans="9:13" x14ac:dyDescent="0.3">
      <c r="I24195" s="82"/>
      <c r="M24195" s="85"/>
    </row>
    <row r="24196" spans="9:13" x14ac:dyDescent="0.3">
      <c r="I24196" s="82"/>
      <c r="M24196" s="85"/>
    </row>
    <row r="24197" spans="9:13" x14ac:dyDescent="0.3">
      <c r="I24197" s="82"/>
      <c r="M24197" s="85"/>
    </row>
    <row r="24198" spans="9:13" x14ac:dyDescent="0.3">
      <c r="I24198" s="82"/>
      <c r="M24198" s="85"/>
    </row>
    <row r="24199" spans="9:13" x14ac:dyDescent="0.3">
      <c r="I24199" s="82"/>
      <c r="M24199" s="85"/>
    </row>
    <row r="24200" spans="9:13" x14ac:dyDescent="0.3">
      <c r="I24200" s="82"/>
      <c r="M24200" s="85"/>
    </row>
    <row r="24201" spans="9:13" x14ac:dyDescent="0.3">
      <c r="I24201" s="82"/>
      <c r="M24201" s="85"/>
    </row>
    <row r="24202" spans="9:13" x14ac:dyDescent="0.3">
      <c r="I24202" s="82"/>
      <c r="M24202" s="85"/>
    </row>
    <row r="24203" spans="9:13" x14ac:dyDescent="0.3">
      <c r="I24203" s="82"/>
      <c r="M24203" s="85"/>
    </row>
    <row r="24204" spans="9:13" x14ac:dyDescent="0.3">
      <c r="I24204" s="82"/>
      <c r="M24204" s="85"/>
    </row>
    <row r="24205" spans="9:13" x14ac:dyDescent="0.3">
      <c r="I24205" s="82"/>
      <c r="M24205" s="85"/>
    </row>
    <row r="24206" spans="9:13" x14ac:dyDescent="0.3">
      <c r="I24206" s="82"/>
      <c r="M24206" s="85"/>
    </row>
    <row r="24207" spans="9:13" x14ac:dyDescent="0.3">
      <c r="I24207" s="82"/>
      <c r="M24207" s="85"/>
    </row>
    <row r="24208" spans="9:13" x14ac:dyDescent="0.3">
      <c r="I24208" s="82"/>
      <c r="M24208" s="85"/>
    </row>
    <row r="24209" spans="9:13" x14ac:dyDescent="0.3">
      <c r="I24209" s="82"/>
      <c r="M24209" s="85"/>
    </row>
    <row r="24210" spans="9:13" x14ac:dyDescent="0.3">
      <c r="I24210" s="82"/>
      <c r="M24210" s="85"/>
    </row>
    <row r="24211" spans="9:13" x14ac:dyDescent="0.3">
      <c r="I24211" s="82"/>
      <c r="M24211" s="85"/>
    </row>
    <row r="24212" spans="9:13" x14ac:dyDescent="0.3">
      <c r="I24212" s="82"/>
      <c r="M24212" s="85"/>
    </row>
    <row r="24213" spans="9:13" x14ac:dyDescent="0.3">
      <c r="I24213" s="82"/>
      <c r="M24213" s="85"/>
    </row>
    <row r="24214" spans="9:13" x14ac:dyDescent="0.3">
      <c r="I24214" s="82"/>
      <c r="M24214" s="85"/>
    </row>
    <row r="24215" spans="9:13" x14ac:dyDescent="0.3">
      <c r="I24215" s="82"/>
      <c r="M24215" s="85"/>
    </row>
    <row r="24216" spans="9:13" x14ac:dyDescent="0.3">
      <c r="I24216" s="82"/>
      <c r="M24216" s="85"/>
    </row>
    <row r="24217" spans="9:13" x14ac:dyDescent="0.3">
      <c r="I24217" s="82"/>
      <c r="M24217" s="85"/>
    </row>
    <row r="24218" spans="9:13" x14ac:dyDescent="0.3">
      <c r="I24218" s="82"/>
      <c r="M24218" s="85"/>
    </row>
    <row r="24219" spans="9:13" x14ac:dyDescent="0.3">
      <c r="I24219" s="82"/>
      <c r="M24219" s="85"/>
    </row>
    <row r="24220" spans="9:13" x14ac:dyDescent="0.3">
      <c r="I24220" s="82"/>
      <c r="M24220" s="85"/>
    </row>
    <row r="24221" spans="9:13" x14ac:dyDescent="0.3">
      <c r="I24221" s="82"/>
      <c r="M24221" s="85"/>
    </row>
    <row r="24222" spans="9:13" x14ac:dyDescent="0.3">
      <c r="I24222" s="82"/>
      <c r="M24222" s="85"/>
    </row>
    <row r="24223" spans="9:13" x14ac:dyDescent="0.3">
      <c r="I24223" s="82"/>
      <c r="M24223" s="85"/>
    </row>
    <row r="24224" spans="9:13" x14ac:dyDescent="0.3">
      <c r="I24224" s="82"/>
      <c r="M24224" s="85"/>
    </row>
    <row r="24225" spans="9:13" x14ac:dyDescent="0.3">
      <c r="I24225" s="82"/>
      <c r="M24225" s="85"/>
    </row>
    <row r="24226" spans="9:13" x14ac:dyDescent="0.3">
      <c r="I24226" s="82"/>
      <c r="M24226" s="85"/>
    </row>
    <row r="24227" spans="9:13" x14ac:dyDescent="0.3">
      <c r="I24227" s="82"/>
      <c r="M24227" s="85"/>
    </row>
    <row r="24228" spans="9:13" x14ac:dyDescent="0.3">
      <c r="I24228" s="82"/>
      <c r="M24228" s="85"/>
    </row>
    <row r="24229" spans="9:13" x14ac:dyDescent="0.3">
      <c r="I24229" s="82"/>
      <c r="M24229" s="85"/>
    </row>
    <row r="24230" spans="9:13" x14ac:dyDescent="0.3">
      <c r="I24230" s="82"/>
      <c r="M24230" s="85"/>
    </row>
    <row r="24231" spans="9:13" x14ac:dyDescent="0.3">
      <c r="I24231" s="82"/>
      <c r="M24231" s="85"/>
    </row>
    <row r="24232" spans="9:13" x14ac:dyDescent="0.3">
      <c r="I24232" s="82"/>
      <c r="M24232" s="85"/>
    </row>
    <row r="24233" spans="9:13" x14ac:dyDescent="0.3">
      <c r="I24233" s="82"/>
      <c r="M24233" s="85"/>
    </row>
    <row r="24234" spans="9:13" x14ac:dyDescent="0.3">
      <c r="I24234" s="82"/>
      <c r="M24234" s="85"/>
    </row>
    <row r="24235" spans="9:13" x14ac:dyDescent="0.3">
      <c r="I24235" s="82"/>
      <c r="M24235" s="85"/>
    </row>
    <row r="24236" spans="9:13" x14ac:dyDescent="0.3">
      <c r="I24236" s="82"/>
      <c r="M24236" s="85"/>
    </row>
    <row r="24237" spans="9:13" x14ac:dyDescent="0.3">
      <c r="I24237" s="82"/>
      <c r="M24237" s="85"/>
    </row>
    <row r="24238" spans="9:13" x14ac:dyDescent="0.3">
      <c r="I24238" s="82"/>
      <c r="M24238" s="85"/>
    </row>
    <row r="24239" spans="9:13" x14ac:dyDescent="0.3">
      <c r="I24239" s="82"/>
      <c r="M24239" s="85"/>
    </row>
    <row r="24240" spans="9:13" x14ac:dyDescent="0.3">
      <c r="I24240" s="82"/>
      <c r="M24240" s="85"/>
    </row>
    <row r="24241" spans="9:13" x14ac:dyDescent="0.3">
      <c r="I24241" s="82"/>
      <c r="M24241" s="85"/>
    </row>
    <row r="24242" spans="9:13" x14ac:dyDescent="0.3">
      <c r="I24242" s="82"/>
      <c r="M24242" s="85"/>
    </row>
    <row r="24243" spans="9:13" x14ac:dyDescent="0.3">
      <c r="I24243" s="82"/>
      <c r="M24243" s="85"/>
    </row>
    <row r="24244" spans="9:13" x14ac:dyDescent="0.3">
      <c r="I24244" s="82"/>
      <c r="M24244" s="85"/>
    </row>
    <row r="24245" spans="9:13" x14ac:dyDescent="0.3">
      <c r="I24245" s="82"/>
      <c r="M24245" s="85"/>
    </row>
    <row r="24246" spans="9:13" x14ac:dyDescent="0.3">
      <c r="I24246" s="82"/>
      <c r="M24246" s="85"/>
    </row>
    <row r="24247" spans="9:13" x14ac:dyDescent="0.3">
      <c r="I24247" s="82"/>
      <c r="M24247" s="85"/>
    </row>
    <row r="24248" spans="9:13" x14ac:dyDescent="0.3">
      <c r="I24248" s="82"/>
      <c r="M24248" s="85"/>
    </row>
    <row r="24249" spans="9:13" x14ac:dyDescent="0.3">
      <c r="I24249" s="82"/>
      <c r="M24249" s="85"/>
    </row>
    <row r="24250" spans="9:13" x14ac:dyDescent="0.3">
      <c r="I24250" s="82"/>
      <c r="M24250" s="85"/>
    </row>
    <row r="24251" spans="9:13" x14ac:dyDescent="0.3">
      <c r="I24251" s="82"/>
      <c r="M24251" s="85"/>
    </row>
    <row r="24252" spans="9:13" x14ac:dyDescent="0.3">
      <c r="I24252" s="82"/>
      <c r="M24252" s="85"/>
    </row>
    <row r="24253" spans="9:13" x14ac:dyDescent="0.3">
      <c r="I24253" s="82"/>
      <c r="M24253" s="85"/>
    </row>
    <row r="24254" spans="9:13" x14ac:dyDescent="0.3">
      <c r="I24254" s="82"/>
      <c r="M24254" s="85"/>
    </row>
    <row r="24255" spans="9:13" x14ac:dyDescent="0.3">
      <c r="I24255" s="82"/>
      <c r="M24255" s="85"/>
    </row>
    <row r="24256" spans="9:13" x14ac:dyDescent="0.3">
      <c r="I24256" s="82"/>
      <c r="M24256" s="85"/>
    </row>
    <row r="24257" spans="9:13" x14ac:dyDescent="0.3">
      <c r="I24257" s="82"/>
      <c r="M24257" s="85"/>
    </row>
    <row r="24258" spans="9:13" x14ac:dyDescent="0.3">
      <c r="I24258" s="82"/>
      <c r="M24258" s="85"/>
    </row>
    <row r="24259" spans="9:13" x14ac:dyDescent="0.3">
      <c r="I24259" s="82"/>
      <c r="M24259" s="85"/>
    </row>
    <row r="24260" spans="9:13" x14ac:dyDescent="0.3">
      <c r="I24260" s="82"/>
      <c r="M24260" s="85"/>
    </row>
    <row r="24261" spans="9:13" x14ac:dyDescent="0.3">
      <c r="I24261" s="82"/>
      <c r="M24261" s="85"/>
    </row>
    <row r="24262" spans="9:13" x14ac:dyDescent="0.3">
      <c r="I24262" s="82"/>
      <c r="M24262" s="85"/>
    </row>
    <row r="24263" spans="9:13" x14ac:dyDescent="0.3">
      <c r="I24263" s="82"/>
      <c r="M24263" s="85"/>
    </row>
    <row r="24264" spans="9:13" x14ac:dyDescent="0.3">
      <c r="I24264" s="82"/>
      <c r="M24264" s="85"/>
    </row>
    <row r="24265" spans="9:13" x14ac:dyDescent="0.3">
      <c r="I24265" s="82"/>
      <c r="M24265" s="85"/>
    </row>
    <row r="24266" spans="9:13" x14ac:dyDescent="0.3">
      <c r="I24266" s="82"/>
      <c r="M24266" s="85"/>
    </row>
    <row r="24267" spans="9:13" x14ac:dyDescent="0.3">
      <c r="I24267" s="82"/>
      <c r="M24267" s="85"/>
    </row>
    <row r="24268" spans="9:13" x14ac:dyDescent="0.3">
      <c r="I24268" s="82"/>
      <c r="M24268" s="85"/>
    </row>
    <row r="24269" spans="9:13" x14ac:dyDescent="0.3">
      <c r="I24269" s="82"/>
      <c r="M24269" s="85"/>
    </row>
    <row r="24270" spans="9:13" x14ac:dyDescent="0.3">
      <c r="I24270" s="82"/>
      <c r="M24270" s="85"/>
    </row>
    <row r="24271" spans="9:13" x14ac:dyDescent="0.3">
      <c r="I24271" s="82"/>
      <c r="M24271" s="85"/>
    </row>
    <row r="24272" spans="9:13" x14ac:dyDescent="0.3">
      <c r="I24272" s="82"/>
      <c r="M24272" s="85"/>
    </row>
    <row r="24273" spans="9:13" x14ac:dyDescent="0.3">
      <c r="I24273" s="82"/>
      <c r="M24273" s="85"/>
    </row>
    <row r="24274" spans="9:13" x14ac:dyDescent="0.3">
      <c r="I24274" s="82"/>
      <c r="M24274" s="85"/>
    </row>
    <row r="24275" spans="9:13" x14ac:dyDescent="0.3">
      <c r="I24275" s="82"/>
      <c r="M24275" s="85"/>
    </row>
    <row r="24276" spans="9:13" x14ac:dyDescent="0.3">
      <c r="I24276" s="82"/>
      <c r="M24276" s="85"/>
    </row>
    <row r="24277" spans="9:13" x14ac:dyDescent="0.3">
      <c r="I24277" s="82"/>
      <c r="M24277" s="85"/>
    </row>
    <row r="24278" spans="9:13" x14ac:dyDescent="0.3">
      <c r="I24278" s="82"/>
      <c r="M24278" s="85"/>
    </row>
    <row r="24279" spans="9:13" x14ac:dyDescent="0.3">
      <c r="I24279" s="82"/>
      <c r="M24279" s="85"/>
    </row>
    <row r="24280" spans="9:13" x14ac:dyDescent="0.3">
      <c r="I24280" s="82"/>
      <c r="M24280" s="85"/>
    </row>
    <row r="24281" spans="9:13" x14ac:dyDescent="0.3">
      <c r="I24281" s="82"/>
      <c r="M24281" s="85"/>
    </row>
    <row r="24282" spans="9:13" x14ac:dyDescent="0.3">
      <c r="I24282" s="82"/>
      <c r="M24282" s="85"/>
    </row>
    <row r="24283" spans="9:13" x14ac:dyDescent="0.3">
      <c r="I24283" s="82"/>
      <c r="M24283" s="85"/>
    </row>
    <row r="24284" spans="9:13" x14ac:dyDescent="0.3">
      <c r="I24284" s="82"/>
      <c r="M24284" s="85"/>
    </row>
    <row r="24285" spans="9:13" x14ac:dyDescent="0.3">
      <c r="I24285" s="82"/>
      <c r="M24285" s="85"/>
    </row>
    <row r="24286" spans="9:13" x14ac:dyDescent="0.3">
      <c r="I24286" s="82"/>
      <c r="M24286" s="85"/>
    </row>
    <row r="24287" spans="9:13" x14ac:dyDescent="0.3">
      <c r="I24287" s="82"/>
      <c r="M24287" s="85"/>
    </row>
    <row r="24288" spans="9:13" x14ac:dyDescent="0.3">
      <c r="I24288" s="82"/>
      <c r="M24288" s="85"/>
    </row>
    <row r="24289" spans="9:13" x14ac:dyDescent="0.3">
      <c r="I24289" s="82"/>
      <c r="M24289" s="85"/>
    </row>
    <row r="24290" spans="9:13" x14ac:dyDescent="0.3">
      <c r="I24290" s="82"/>
      <c r="M24290" s="85"/>
    </row>
    <row r="24291" spans="9:13" x14ac:dyDescent="0.3">
      <c r="I24291" s="82"/>
      <c r="M24291" s="85"/>
    </row>
    <row r="24292" spans="9:13" x14ac:dyDescent="0.3">
      <c r="I24292" s="82"/>
      <c r="M24292" s="85"/>
    </row>
    <row r="24293" spans="9:13" x14ac:dyDescent="0.3">
      <c r="I24293" s="82"/>
      <c r="M24293" s="85"/>
    </row>
    <row r="24294" spans="9:13" x14ac:dyDescent="0.3">
      <c r="I24294" s="82"/>
      <c r="M24294" s="85"/>
    </row>
    <row r="24295" spans="9:13" x14ac:dyDescent="0.3">
      <c r="I24295" s="82"/>
      <c r="M24295" s="85"/>
    </row>
    <row r="24296" spans="9:13" x14ac:dyDescent="0.3">
      <c r="I24296" s="82"/>
      <c r="M24296" s="85"/>
    </row>
    <row r="24297" spans="9:13" x14ac:dyDescent="0.3">
      <c r="I24297" s="82"/>
      <c r="M24297" s="85"/>
    </row>
    <row r="24298" spans="9:13" x14ac:dyDescent="0.3">
      <c r="I24298" s="82"/>
      <c r="M24298" s="85"/>
    </row>
    <row r="24299" spans="9:13" x14ac:dyDescent="0.3">
      <c r="I24299" s="82"/>
      <c r="M24299" s="85"/>
    </row>
    <row r="24300" spans="9:13" x14ac:dyDescent="0.3">
      <c r="I24300" s="82"/>
      <c r="M24300" s="85"/>
    </row>
    <row r="24301" spans="9:13" x14ac:dyDescent="0.3">
      <c r="I24301" s="82"/>
      <c r="M24301" s="85"/>
    </row>
    <row r="24302" spans="9:13" x14ac:dyDescent="0.3">
      <c r="I24302" s="82"/>
      <c r="M24302" s="85"/>
    </row>
    <row r="24303" spans="9:13" x14ac:dyDescent="0.3">
      <c r="I24303" s="82"/>
      <c r="M24303" s="85"/>
    </row>
    <row r="24304" spans="9:13" x14ac:dyDescent="0.3">
      <c r="I24304" s="82"/>
      <c r="M24304" s="85"/>
    </row>
    <row r="24305" spans="9:13" x14ac:dyDescent="0.3">
      <c r="I24305" s="82"/>
      <c r="M24305" s="85"/>
    </row>
    <row r="24306" spans="9:13" x14ac:dyDescent="0.3">
      <c r="I24306" s="82"/>
      <c r="M24306" s="85"/>
    </row>
    <row r="24307" spans="9:13" x14ac:dyDescent="0.3">
      <c r="I24307" s="82"/>
      <c r="M24307" s="85"/>
    </row>
    <row r="24308" spans="9:13" x14ac:dyDescent="0.3">
      <c r="I24308" s="82"/>
      <c r="M24308" s="85"/>
    </row>
    <row r="24309" spans="9:13" x14ac:dyDescent="0.3">
      <c r="I24309" s="82"/>
      <c r="M24309" s="85"/>
    </row>
    <row r="24310" spans="9:13" x14ac:dyDescent="0.3">
      <c r="I24310" s="82"/>
      <c r="M24310" s="85"/>
    </row>
    <row r="24311" spans="9:13" x14ac:dyDescent="0.3">
      <c r="I24311" s="82"/>
      <c r="M24311" s="85"/>
    </row>
    <row r="24312" spans="9:13" x14ac:dyDescent="0.3">
      <c r="I24312" s="82"/>
      <c r="M24312" s="85"/>
    </row>
    <row r="24313" spans="9:13" x14ac:dyDescent="0.3">
      <c r="I24313" s="82"/>
      <c r="M24313" s="85"/>
    </row>
    <row r="24314" spans="9:13" x14ac:dyDescent="0.3">
      <c r="I24314" s="82"/>
      <c r="M24314" s="85"/>
    </row>
    <row r="24315" spans="9:13" x14ac:dyDescent="0.3">
      <c r="I24315" s="82"/>
      <c r="M24315" s="85"/>
    </row>
    <row r="24316" spans="9:13" x14ac:dyDescent="0.3">
      <c r="I24316" s="82"/>
      <c r="M24316" s="85"/>
    </row>
    <row r="24317" spans="9:13" x14ac:dyDescent="0.3">
      <c r="I24317" s="82"/>
      <c r="M24317" s="85"/>
    </row>
    <row r="24318" spans="9:13" x14ac:dyDescent="0.3">
      <c r="I24318" s="82"/>
      <c r="M24318" s="85"/>
    </row>
    <row r="24319" spans="9:13" x14ac:dyDescent="0.3">
      <c r="I24319" s="82"/>
      <c r="M24319" s="85"/>
    </row>
    <row r="24320" spans="9:13" x14ac:dyDescent="0.3">
      <c r="I24320" s="82"/>
      <c r="M24320" s="85"/>
    </row>
    <row r="24321" spans="9:13" x14ac:dyDescent="0.3">
      <c r="I24321" s="82"/>
      <c r="M24321" s="85"/>
    </row>
    <row r="24322" spans="9:13" x14ac:dyDescent="0.3">
      <c r="I24322" s="82"/>
      <c r="M24322" s="85"/>
    </row>
    <row r="24323" spans="9:13" x14ac:dyDescent="0.3">
      <c r="I24323" s="82"/>
      <c r="M24323" s="85"/>
    </row>
    <row r="24324" spans="9:13" x14ac:dyDescent="0.3">
      <c r="I24324" s="82"/>
      <c r="M24324" s="85"/>
    </row>
    <row r="24325" spans="9:13" x14ac:dyDescent="0.3">
      <c r="I24325" s="82"/>
      <c r="M24325" s="85"/>
    </row>
    <row r="24326" spans="9:13" x14ac:dyDescent="0.3">
      <c r="I24326" s="82"/>
      <c r="M24326" s="85"/>
    </row>
    <row r="24327" spans="9:13" x14ac:dyDescent="0.3">
      <c r="I24327" s="82"/>
      <c r="M24327" s="85"/>
    </row>
    <row r="24328" spans="9:13" x14ac:dyDescent="0.3">
      <c r="I24328" s="82"/>
      <c r="M24328" s="85"/>
    </row>
    <row r="24329" spans="9:13" x14ac:dyDescent="0.3">
      <c r="I24329" s="82"/>
      <c r="M24329" s="85"/>
    </row>
    <row r="24330" spans="9:13" x14ac:dyDescent="0.3">
      <c r="I24330" s="82"/>
      <c r="M24330" s="85"/>
    </row>
    <row r="24331" spans="9:13" x14ac:dyDescent="0.3">
      <c r="I24331" s="82"/>
      <c r="M24331" s="85"/>
    </row>
    <row r="24332" spans="9:13" x14ac:dyDescent="0.3">
      <c r="I24332" s="82"/>
      <c r="M24332" s="85"/>
    </row>
    <row r="24333" spans="9:13" x14ac:dyDescent="0.3">
      <c r="I24333" s="82"/>
      <c r="M24333" s="85"/>
    </row>
    <row r="24334" spans="9:13" x14ac:dyDescent="0.3">
      <c r="I24334" s="82"/>
      <c r="M24334" s="85"/>
    </row>
    <row r="24335" spans="9:13" x14ac:dyDescent="0.3">
      <c r="I24335" s="82"/>
      <c r="M24335" s="85"/>
    </row>
    <row r="24336" spans="9:13" x14ac:dyDescent="0.3">
      <c r="I24336" s="82"/>
      <c r="M24336" s="85"/>
    </row>
    <row r="24337" spans="9:13" x14ac:dyDescent="0.3">
      <c r="I24337" s="82"/>
      <c r="M24337" s="85"/>
    </row>
    <row r="24338" spans="9:13" x14ac:dyDescent="0.3">
      <c r="I24338" s="82"/>
      <c r="M24338" s="85"/>
    </row>
    <row r="24339" spans="9:13" x14ac:dyDescent="0.3">
      <c r="I24339" s="82"/>
      <c r="M24339" s="85"/>
    </row>
    <row r="24340" spans="9:13" x14ac:dyDescent="0.3">
      <c r="I24340" s="82"/>
      <c r="M24340" s="85"/>
    </row>
    <row r="24341" spans="9:13" x14ac:dyDescent="0.3">
      <c r="I24341" s="82"/>
      <c r="M24341" s="85"/>
    </row>
    <row r="24342" spans="9:13" x14ac:dyDescent="0.3">
      <c r="I24342" s="82"/>
      <c r="M24342" s="85"/>
    </row>
    <row r="24343" spans="9:13" x14ac:dyDescent="0.3">
      <c r="I24343" s="82"/>
      <c r="M24343" s="85"/>
    </row>
    <row r="24344" spans="9:13" x14ac:dyDescent="0.3">
      <c r="I24344" s="82"/>
      <c r="M24344" s="85"/>
    </row>
    <row r="24345" spans="9:13" x14ac:dyDescent="0.3">
      <c r="I24345" s="82"/>
      <c r="M24345" s="85"/>
    </row>
    <row r="24346" spans="9:13" x14ac:dyDescent="0.3">
      <c r="I24346" s="82"/>
      <c r="M24346" s="85"/>
    </row>
    <row r="24347" spans="9:13" x14ac:dyDescent="0.3">
      <c r="I24347" s="82"/>
      <c r="M24347" s="85"/>
    </row>
    <row r="24348" spans="9:13" x14ac:dyDescent="0.3">
      <c r="I24348" s="82"/>
      <c r="M24348" s="85"/>
    </row>
    <row r="24349" spans="9:13" x14ac:dyDescent="0.3">
      <c r="I24349" s="82"/>
      <c r="M24349" s="85"/>
    </row>
    <row r="24350" spans="9:13" x14ac:dyDescent="0.3">
      <c r="I24350" s="82"/>
      <c r="M24350" s="85"/>
    </row>
    <row r="24351" spans="9:13" x14ac:dyDescent="0.3">
      <c r="I24351" s="82"/>
      <c r="M24351" s="85"/>
    </row>
    <row r="24352" spans="9:13" x14ac:dyDescent="0.3">
      <c r="I24352" s="82"/>
      <c r="M24352" s="85"/>
    </row>
    <row r="24353" spans="9:13" x14ac:dyDescent="0.3">
      <c r="I24353" s="82"/>
      <c r="M24353" s="85"/>
    </row>
    <row r="24354" spans="9:13" x14ac:dyDescent="0.3">
      <c r="I24354" s="82"/>
      <c r="M24354" s="85"/>
    </row>
    <row r="24355" spans="9:13" x14ac:dyDescent="0.3">
      <c r="I24355" s="82"/>
      <c r="M24355" s="85"/>
    </row>
    <row r="24356" spans="9:13" x14ac:dyDescent="0.3">
      <c r="I24356" s="82"/>
      <c r="M24356" s="85"/>
    </row>
    <row r="24357" spans="9:13" x14ac:dyDescent="0.3">
      <c r="I24357" s="82"/>
      <c r="M24357" s="85"/>
    </row>
    <row r="24358" spans="9:13" x14ac:dyDescent="0.3">
      <c r="I24358" s="82"/>
      <c r="M24358" s="85"/>
    </row>
    <row r="24359" spans="9:13" x14ac:dyDescent="0.3">
      <c r="I24359" s="82"/>
      <c r="M24359" s="85"/>
    </row>
    <row r="24360" spans="9:13" x14ac:dyDescent="0.3">
      <c r="I24360" s="82"/>
      <c r="M24360" s="85"/>
    </row>
    <row r="24361" spans="9:13" x14ac:dyDescent="0.3">
      <c r="I24361" s="82"/>
      <c r="M24361" s="85"/>
    </row>
    <row r="24362" spans="9:13" x14ac:dyDescent="0.3">
      <c r="I24362" s="82"/>
      <c r="M24362" s="85"/>
    </row>
    <row r="24363" spans="9:13" x14ac:dyDescent="0.3">
      <c r="I24363" s="82"/>
      <c r="M24363" s="85"/>
    </row>
    <row r="24364" spans="9:13" x14ac:dyDescent="0.3">
      <c r="I24364" s="82"/>
      <c r="M24364" s="85"/>
    </row>
    <row r="24365" spans="9:13" x14ac:dyDescent="0.3">
      <c r="I24365" s="82"/>
      <c r="M24365" s="85"/>
    </row>
    <row r="24366" spans="9:13" x14ac:dyDescent="0.3">
      <c r="I24366" s="82"/>
      <c r="M24366" s="85"/>
    </row>
    <row r="24367" spans="9:13" x14ac:dyDescent="0.3">
      <c r="I24367" s="82"/>
      <c r="M24367" s="85"/>
    </row>
    <row r="24368" spans="9:13" x14ac:dyDescent="0.3">
      <c r="I24368" s="82"/>
      <c r="M24368" s="85"/>
    </row>
    <row r="24369" spans="9:13" x14ac:dyDescent="0.3">
      <c r="I24369" s="82"/>
      <c r="M24369" s="85"/>
    </row>
    <row r="24370" spans="9:13" x14ac:dyDescent="0.3">
      <c r="I24370" s="82"/>
      <c r="M24370" s="85"/>
    </row>
    <row r="24371" spans="9:13" x14ac:dyDescent="0.3">
      <c r="I24371" s="82"/>
      <c r="M24371" s="85"/>
    </row>
    <row r="24372" spans="9:13" x14ac:dyDescent="0.3">
      <c r="I24372" s="82"/>
      <c r="M24372" s="85"/>
    </row>
    <row r="24373" spans="9:13" x14ac:dyDescent="0.3">
      <c r="I24373" s="82"/>
      <c r="M24373" s="85"/>
    </row>
    <row r="24374" spans="9:13" x14ac:dyDescent="0.3">
      <c r="I24374" s="82"/>
      <c r="M24374" s="85"/>
    </row>
    <row r="24375" spans="9:13" x14ac:dyDescent="0.3">
      <c r="I24375" s="82"/>
      <c r="M24375" s="85"/>
    </row>
    <row r="24376" spans="9:13" x14ac:dyDescent="0.3">
      <c r="I24376" s="82"/>
      <c r="M24376" s="85"/>
    </row>
    <row r="24377" spans="9:13" x14ac:dyDescent="0.3">
      <c r="I24377" s="82"/>
      <c r="M24377" s="85"/>
    </row>
    <row r="24378" spans="9:13" x14ac:dyDescent="0.3">
      <c r="I24378" s="82"/>
      <c r="M24378" s="85"/>
    </row>
    <row r="24379" spans="9:13" x14ac:dyDescent="0.3">
      <c r="I24379" s="82"/>
      <c r="M24379" s="85"/>
    </row>
    <row r="24380" spans="9:13" x14ac:dyDescent="0.3">
      <c r="I24380" s="82"/>
      <c r="M24380" s="85"/>
    </row>
    <row r="24381" spans="9:13" x14ac:dyDescent="0.3">
      <c r="I24381" s="82"/>
      <c r="M24381" s="85"/>
    </row>
    <row r="24382" spans="9:13" x14ac:dyDescent="0.3">
      <c r="I24382" s="82"/>
      <c r="M24382" s="85"/>
    </row>
    <row r="24383" spans="9:13" x14ac:dyDescent="0.3">
      <c r="I24383" s="82"/>
      <c r="M24383" s="85"/>
    </row>
    <row r="24384" spans="9:13" x14ac:dyDescent="0.3">
      <c r="I24384" s="82"/>
      <c r="M24384" s="85"/>
    </row>
    <row r="24385" spans="9:13" x14ac:dyDescent="0.3">
      <c r="I24385" s="82"/>
      <c r="M24385" s="85"/>
    </row>
    <row r="24386" spans="9:13" x14ac:dyDescent="0.3">
      <c r="I24386" s="82"/>
      <c r="M24386" s="85"/>
    </row>
    <row r="24387" spans="9:13" x14ac:dyDescent="0.3">
      <c r="I24387" s="82"/>
      <c r="M24387" s="85"/>
    </row>
    <row r="24388" spans="9:13" x14ac:dyDescent="0.3">
      <c r="I24388" s="82"/>
      <c r="M24388" s="85"/>
    </row>
    <row r="24389" spans="9:13" x14ac:dyDescent="0.3">
      <c r="I24389" s="82"/>
      <c r="M24389" s="85"/>
    </row>
    <row r="24390" spans="9:13" x14ac:dyDescent="0.3">
      <c r="I24390" s="82"/>
      <c r="M24390" s="85"/>
    </row>
    <row r="24391" spans="9:13" x14ac:dyDescent="0.3">
      <c r="I24391" s="82"/>
      <c r="M24391" s="85"/>
    </row>
    <row r="24392" spans="9:13" x14ac:dyDescent="0.3">
      <c r="I24392" s="82"/>
      <c r="M24392" s="85"/>
    </row>
    <row r="24393" spans="9:13" x14ac:dyDescent="0.3">
      <c r="I24393" s="82"/>
      <c r="M24393" s="85"/>
    </row>
    <row r="24394" spans="9:13" x14ac:dyDescent="0.3">
      <c r="I24394" s="82"/>
      <c r="M24394" s="85"/>
    </row>
    <row r="24395" spans="9:13" x14ac:dyDescent="0.3">
      <c r="I24395" s="82"/>
      <c r="M24395" s="85"/>
    </row>
    <row r="24396" spans="9:13" x14ac:dyDescent="0.3">
      <c r="I24396" s="82"/>
      <c r="M24396" s="85"/>
    </row>
    <row r="24397" spans="9:13" x14ac:dyDescent="0.3">
      <c r="I24397" s="82"/>
      <c r="M24397" s="85"/>
    </row>
    <row r="24398" spans="9:13" x14ac:dyDescent="0.3">
      <c r="I24398" s="82"/>
      <c r="M24398" s="85"/>
    </row>
    <row r="24399" spans="9:13" x14ac:dyDescent="0.3">
      <c r="I24399" s="82"/>
      <c r="M24399" s="85"/>
    </row>
    <row r="24400" spans="9:13" x14ac:dyDescent="0.3">
      <c r="I24400" s="82"/>
      <c r="M24400" s="85"/>
    </row>
    <row r="24401" spans="9:13" x14ac:dyDescent="0.3">
      <c r="I24401" s="82"/>
      <c r="M24401" s="85"/>
    </row>
    <row r="24402" spans="9:13" x14ac:dyDescent="0.3">
      <c r="I24402" s="82"/>
      <c r="M24402" s="85"/>
    </row>
    <row r="24403" spans="9:13" x14ac:dyDescent="0.3">
      <c r="I24403" s="82"/>
      <c r="M24403" s="85"/>
    </row>
    <row r="24404" spans="9:13" x14ac:dyDescent="0.3">
      <c r="I24404" s="82"/>
      <c r="M24404" s="85"/>
    </row>
    <row r="24405" spans="9:13" x14ac:dyDescent="0.3">
      <c r="I24405" s="82"/>
      <c r="M24405" s="85"/>
    </row>
    <row r="24406" spans="9:13" x14ac:dyDescent="0.3">
      <c r="I24406" s="82"/>
      <c r="M24406" s="85"/>
    </row>
    <row r="24407" spans="9:13" x14ac:dyDescent="0.3">
      <c r="I24407" s="82"/>
      <c r="M24407" s="85"/>
    </row>
    <row r="24408" spans="9:13" x14ac:dyDescent="0.3">
      <c r="I24408" s="82"/>
      <c r="M24408" s="85"/>
    </row>
    <row r="24409" spans="9:13" x14ac:dyDescent="0.3">
      <c r="I24409" s="82"/>
      <c r="M24409" s="85"/>
    </row>
    <row r="24410" spans="9:13" x14ac:dyDescent="0.3">
      <c r="I24410" s="82"/>
      <c r="M24410" s="85"/>
    </row>
    <row r="24411" spans="9:13" x14ac:dyDescent="0.3">
      <c r="I24411" s="82"/>
      <c r="M24411" s="85"/>
    </row>
    <row r="24412" spans="9:13" x14ac:dyDescent="0.3">
      <c r="I24412" s="82"/>
      <c r="M24412" s="85"/>
    </row>
    <row r="24413" spans="9:13" x14ac:dyDescent="0.3">
      <c r="I24413" s="82"/>
      <c r="M24413" s="85"/>
    </row>
    <row r="24414" spans="9:13" x14ac:dyDescent="0.3">
      <c r="I24414" s="82"/>
      <c r="M24414" s="85"/>
    </row>
    <row r="24415" spans="9:13" x14ac:dyDescent="0.3">
      <c r="I24415" s="82"/>
      <c r="M24415" s="85"/>
    </row>
    <row r="24416" spans="9:13" x14ac:dyDescent="0.3">
      <c r="I24416" s="82"/>
      <c r="M24416" s="85"/>
    </row>
    <row r="24417" spans="9:13" x14ac:dyDescent="0.3">
      <c r="I24417" s="82"/>
      <c r="M24417" s="85"/>
    </row>
    <row r="24418" spans="9:13" x14ac:dyDescent="0.3">
      <c r="I24418" s="82"/>
      <c r="M24418" s="85"/>
    </row>
    <row r="24419" spans="9:13" x14ac:dyDescent="0.3">
      <c r="I24419" s="82"/>
      <c r="M24419" s="85"/>
    </row>
    <row r="24420" spans="9:13" x14ac:dyDescent="0.3">
      <c r="I24420" s="82"/>
      <c r="M24420" s="85"/>
    </row>
    <row r="24421" spans="9:13" x14ac:dyDescent="0.3">
      <c r="I24421" s="82"/>
      <c r="M24421" s="85"/>
    </row>
    <row r="24422" spans="9:13" x14ac:dyDescent="0.3">
      <c r="I24422" s="82"/>
      <c r="M24422" s="85"/>
    </row>
    <row r="24423" spans="9:13" x14ac:dyDescent="0.3">
      <c r="I24423" s="82"/>
      <c r="M24423" s="85"/>
    </row>
    <row r="24424" spans="9:13" x14ac:dyDescent="0.3">
      <c r="I24424" s="82"/>
      <c r="M24424" s="85"/>
    </row>
    <row r="24425" spans="9:13" x14ac:dyDescent="0.3">
      <c r="I24425" s="82"/>
      <c r="M24425" s="85"/>
    </row>
    <row r="24426" spans="9:13" x14ac:dyDescent="0.3">
      <c r="I24426" s="82"/>
      <c r="M24426" s="85"/>
    </row>
    <row r="24427" spans="9:13" x14ac:dyDescent="0.3">
      <c r="I24427" s="82"/>
      <c r="M24427" s="85"/>
    </row>
    <row r="24428" spans="9:13" x14ac:dyDescent="0.3">
      <c r="I24428" s="82"/>
      <c r="M24428" s="85"/>
    </row>
    <row r="24429" spans="9:13" x14ac:dyDescent="0.3">
      <c r="I24429" s="82"/>
      <c r="M24429" s="85"/>
    </row>
    <row r="24430" spans="9:13" x14ac:dyDescent="0.3">
      <c r="I24430" s="82"/>
      <c r="M24430" s="85"/>
    </row>
    <row r="24431" spans="9:13" x14ac:dyDescent="0.3">
      <c r="I24431" s="82"/>
      <c r="M24431" s="85"/>
    </row>
    <row r="24432" spans="9:13" x14ac:dyDescent="0.3">
      <c r="I24432" s="82"/>
      <c r="M24432" s="85"/>
    </row>
    <row r="24433" spans="9:13" x14ac:dyDescent="0.3">
      <c r="I24433" s="82"/>
      <c r="M24433" s="85"/>
    </row>
    <row r="24434" spans="9:13" x14ac:dyDescent="0.3">
      <c r="I24434" s="82"/>
      <c r="M24434" s="85"/>
    </row>
    <row r="24435" spans="9:13" x14ac:dyDescent="0.3">
      <c r="I24435" s="82"/>
      <c r="M24435" s="85"/>
    </row>
    <row r="24436" spans="9:13" x14ac:dyDescent="0.3">
      <c r="I24436" s="82"/>
      <c r="M24436" s="85"/>
    </row>
    <row r="24437" spans="9:13" x14ac:dyDescent="0.3">
      <c r="I24437" s="82"/>
      <c r="M24437" s="85"/>
    </row>
    <row r="24438" spans="9:13" x14ac:dyDescent="0.3">
      <c r="I24438" s="82"/>
      <c r="M24438" s="85"/>
    </row>
    <row r="24439" spans="9:13" x14ac:dyDescent="0.3">
      <c r="I24439" s="82"/>
      <c r="M24439" s="85"/>
    </row>
    <row r="24440" spans="9:13" x14ac:dyDescent="0.3">
      <c r="I24440" s="82"/>
      <c r="M24440" s="85"/>
    </row>
    <row r="24441" spans="9:13" x14ac:dyDescent="0.3">
      <c r="I24441" s="82"/>
      <c r="M24441" s="85"/>
    </row>
    <row r="24442" spans="9:13" x14ac:dyDescent="0.3">
      <c r="I24442" s="82"/>
      <c r="M24442" s="85"/>
    </row>
    <row r="24443" spans="9:13" x14ac:dyDescent="0.3">
      <c r="I24443" s="82"/>
      <c r="M24443" s="85"/>
    </row>
    <row r="24444" spans="9:13" x14ac:dyDescent="0.3">
      <c r="I24444" s="82"/>
      <c r="M24444" s="85"/>
    </row>
    <row r="24445" spans="9:13" x14ac:dyDescent="0.3">
      <c r="I24445" s="82"/>
      <c r="M24445" s="85"/>
    </row>
    <row r="24446" spans="9:13" x14ac:dyDescent="0.3">
      <c r="I24446" s="82"/>
      <c r="M24446" s="85"/>
    </row>
    <row r="24447" spans="9:13" x14ac:dyDescent="0.3">
      <c r="I24447" s="82"/>
      <c r="M24447" s="85"/>
    </row>
    <row r="24448" spans="9:13" x14ac:dyDescent="0.3">
      <c r="I24448" s="82"/>
      <c r="M24448" s="85"/>
    </row>
    <row r="24449" spans="9:13" x14ac:dyDescent="0.3">
      <c r="I24449" s="82"/>
      <c r="M24449" s="85"/>
    </row>
    <row r="24450" spans="9:13" x14ac:dyDescent="0.3">
      <c r="I24450" s="82"/>
      <c r="M24450" s="85"/>
    </row>
    <row r="24451" spans="9:13" x14ac:dyDescent="0.3">
      <c r="I24451" s="82"/>
      <c r="M24451" s="85"/>
    </row>
    <row r="24452" spans="9:13" x14ac:dyDescent="0.3">
      <c r="I24452" s="82"/>
      <c r="M24452" s="85"/>
    </row>
    <row r="24453" spans="9:13" x14ac:dyDescent="0.3">
      <c r="I24453" s="82"/>
      <c r="M24453" s="85"/>
    </row>
    <row r="24454" spans="9:13" x14ac:dyDescent="0.3">
      <c r="I24454" s="82"/>
      <c r="M24454" s="85"/>
    </row>
    <row r="24455" spans="9:13" x14ac:dyDescent="0.3">
      <c r="I24455" s="82"/>
      <c r="M24455" s="85"/>
    </row>
    <row r="24456" spans="9:13" x14ac:dyDescent="0.3">
      <c r="I24456" s="82"/>
      <c r="M24456" s="85"/>
    </row>
    <row r="24457" spans="9:13" x14ac:dyDescent="0.3">
      <c r="I24457" s="82"/>
      <c r="M24457" s="85"/>
    </row>
    <row r="24458" spans="9:13" x14ac:dyDescent="0.3">
      <c r="I24458" s="82"/>
      <c r="M24458" s="85"/>
    </row>
    <row r="24459" spans="9:13" x14ac:dyDescent="0.3">
      <c r="I24459" s="82"/>
      <c r="M24459" s="85"/>
    </row>
    <row r="24460" spans="9:13" x14ac:dyDescent="0.3">
      <c r="I24460" s="82"/>
      <c r="M24460" s="85"/>
    </row>
    <row r="24461" spans="9:13" x14ac:dyDescent="0.3">
      <c r="I24461" s="82"/>
      <c r="M24461" s="85"/>
    </row>
    <row r="24462" spans="9:13" x14ac:dyDescent="0.3">
      <c r="I24462" s="82"/>
      <c r="M24462" s="85"/>
    </row>
    <row r="24463" spans="9:13" x14ac:dyDescent="0.3">
      <c r="I24463" s="82"/>
      <c r="M24463" s="85"/>
    </row>
    <row r="24464" spans="9:13" x14ac:dyDescent="0.3">
      <c r="I24464" s="82"/>
      <c r="M24464" s="85"/>
    </row>
    <row r="24465" spans="9:13" x14ac:dyDescent="0.3">
      <c r="I24465" s="82"/>
      <c r="M24465" s="85"/>
    </row>
    <row r="24466" spans="9:13" x14ac:dyDescent="0.3">
      <c r="I24466" s="82"/>
      <c r="M24466" s="85"/>
    </row>
    <row r="24467" spans="9:13" x14ac:dyDescent="0.3">
      <c r="I24467" s="82"/>
      <c r="M24467" s="85"/>
    </row>
    <row r="24468" spans="9:13" x14ac:dyDescent="0.3">
      <c r="I24468" s="82"/>
      <c r="M24468" s="85"/>
    </row>
    <row r="24469" spans="9:13" x14ac:dyDescent="0.3">
      <c r="I24469" s="82"/>
      <c r="M24469" s="85"/>
    </row>
    <row r="24470" spans="9:13" x14ac:dyDescent="0.3">
      <c r="I24470" s="82"/>
      <c r="M24470" s="85"/>
    </row>
    <row r="24471" spans="9:13" x14ac:dyDescent="0.3">
      <c r="I24471" s="82"/>
      <c r="M24471" s="85"/>
    </row>
    <row r="24472" spans="9:13" x14ac:dyDescent="0.3">
      <c r="I24472" s="82"/>
      <c r="M24472" s="85"/>
    </row>
    <row r="24473" spans="9:13" x14ac:dyDescent="0.3">
      <c r="I24473" s="82"/>
      <c r="M24473" s="85"/>
    </row>
    <row r="24474" spans="9:13" x14ac:dyDescent="0.3">
      <c r="I24474" s="82"/>
      <c r="M24474" s="85"/>
    </row>
    <row r="24475" spans="9:13" x14ac:dyDescent="0.3">
      <c r="I24475" s="82"/>
      <c r="M24475" s="85"/>
    </row>
    <row r="24476" spans="9:13" x14ac:dyDescent="0.3">
      <c r="I24476" s="82"/>
      <c r="M24476" s="85"/>
    </row>
    <row r="24477" spans="9:13" x14ac:dyDescent="0.3">
      <c r="I24477" s="82"/>
      <c r="M24477" s="85"/>
    </row>
    <row r="24478" spans="9:13" x14ac:dyDescent="0.3">
      <c r="I24478" s="82"/>
      <c r="M24478" s="85"/>
    </row>
    <row r="24479" spans="9:13" x14ac:dyDescent="0.3">
      <c r="I24479" s="82"/>
      <c r="M24479" s="85"/>
    </row>
    <row r="24480" spans="9:13" x14ac:dyDescent="0.3">
      <c r="I24480" s="82"/>
      <c r="M24480" s="85"/>
    </row>
    <row r="24481" spans="9:13" x14ac:dyDescent="0.3">
      <c r="I24481" s="82"/>
      <c r="M24481" s="85"/>
    </row>
    <row r="24482" spans="9:13" x14ac:dyDescent="0.3">
      <c r="I24482" s="82"/>
      <c r="M24482" s="85"/>
    </row>
    <row r="24483" spans="9:13" x14ac:dyDescent="0.3">
      <c r="I24483" s="82"/>
      <c r="M24483" s="85"/>
    </row>
    <row r="24484" spans="9:13" x14ac:dyDescent="0.3">
      <c r="I24484" s="82"/>
      <c r="M24484" s="85"/>
    </row>
    <row r="24485" spans="9:13" x14ac:dyDescent="0.3">
      <c r="I24485" s="82"/>
      <c r="M24485" s="85"/>
    </row>
    <row r="24486" spans="9:13" x14ac:dyDescent="0.3">
      <c r="I24486" s="82"/>
      <c r="M24486" s="85"/>
    </row>
    <row r="24487" spans="9:13" x14ac:dyDescent="0.3">
      <c r="I24487" s="82"/>
      <c r="M24487" s="85"/>
    </row>
    <row r="24488" spans="9:13" x14ac:dyDescent="0.3">
      <c r="I24488" s="82"/>
      <c r="M24488" s="85"/>
    </row>
    <row r="24489" spans="9:13" x14ac:dyDescent="0.3">
      <c r="I24489" s="82"/>
      <c r="M24489" s="85"/>
    </row>
    <row r="24490" spans="9:13" x14ac:dyDescent="0.3">
      <c r="I24490" s="82"/>
      <c r="M24490" s="85"/>
    </row>
    <row r="24491" spans="9:13" x14ac:dyDescent="0.3">
      <c r="I24491" s="82"/>
      <c r="M24491" s="85"/>
    </row>
    <row r="24492" spans="9:13" x14ac:dyDescent="0.3">
      <c r="I24492" s="82"/>
      <c r="M24492" s="85"/>
    </row>
    <row r="24493" spans="9:13" x14ac:dyDescent="0.3">
      <c r="I24493" s="82"/>
      <c r="M24493" s="85"/>
    </row>
    <row r="24494" spans="9:13" x14ac:dyDescent="0.3">
      <c r="I24494" s="82"/>
      <c r="M24494" s="85"/>
    </row>
    <row r="24495" spans="9:13" x14ac:dyDescent="0.3">
      <c r="I24495" s="82"/>
      <c r="M24495" s="85"/>
    </row>
    <row r="24496" spans="9:13" x14ac:dyDescent="0.3">
      <c r="I24496" s="82"/>
      <c r="M24496" s="85"/>
    </row>
    <row r="24497" spans="9:13" x14ac:dyDescent="0.3">
      <c r="I24497" s="82"/>
      <c r="M24497" s="85"/>
    </row>
    <row r="24498" spans="9:13" x14ac:dyDescent="0.3">
      <c r="I24498" s="82"/>
      <c r="M24498" s="85"/>
    </row>
    <row r="24499" spans="9:13" x14ac:dyDescent="0.3">
      <c r="I24499" s="82"/>
      <c r="M24499" s="85"/>
    </row>
    <row r="24500" spans="9:13" x14ac:dyDescent="0.3">
      <c r="I24500" s="82"/>
      <c r="M24500" s="85"/>
    </row>
    <row r="24501" spans="9:13" x14ac:dyDescent="0.3">
      <c r="I24501" s="82"/>
      <c r="M24501" s="85"/>
    </row>
    <row r="24502" spans="9:13" x14ac:dyDescent="0.3">
      <c r="I24502" s="82"/>
      <c r="M24502" s="85"/>
    </row>
    <row r="24503" spans="9:13" x14ac:dyDescent="0.3">
      <c r="I24503" s="82"/>
      <c r="M24503" s="85"/>
    </row>
    <row r="24504" spans="9:13" x14ac:dyDescent="0.3">
      <c r="I24504" s="82"/>
      <c r="M24504" s="85"/>
    </row>
    <row r="24505" spans="9:13" x14ac:dyDescent="0.3">
      <c r="I24505" s="82"/>
      <c r="M24505" s="85"/>
    </row>
    <row r="24506" spans="9:13" x14ac:dyDescent="0.3">
      <c r="I24506" s="82"/>
      <c r="M24506" s="85"/>
    </row>
    <row r="24507" spans="9:13" x14ac:dyDescent="0.3">
      <c r="I24507" s="82"/>
      <c r="M24507" s="85"/>
    </row>
    <row r="24508" spans="9:13" x14ac:dyDescent="0.3">
      <c r="I24508" s="82"/>
      <c r="M24508" s="85"/>
    </row>
    <row r="24509" spans="9:13" x14ac:dyDescent="0.3">
      <c r="I24509" s="82"/>
      <c r="M24509" s="85"/>
    </row>
    <row r="24510" spans="9:13" x14ac:dyDescent="0.3">
      <c r="I24510" s="82"/>
      <c r="M24510" s="85"/>
    </row>
    <row r="24511" spans="9:13" x14ac:dyDescent="0.3">
      <c r="I24511" s="82"/>
      <c r="M24511" s="85"/>
    </row>
    <row r="24512" spans="9:13" x14ac:dyDescent="0.3">
      <c r="I24512" s="82"/>
      <c r="M24512" s="85"/>
    </row>
    <row r="24513" spans="9:13" x14ac:dyDescent="0.3">
      <c r="I24513" s="82"/>
      <c r="M24513" s="85"/>
    </row>
    <row r="24514" spans="9:13" x14ac:dyDescent="0.3">
      <c r="I24514" s="82"/>
      <c r="M24514" s="85"/>
    </row>
    <row r="24515" spans="9:13" x14ac:dyDescent="0.3">
      <c r="I24515" s="82"/>
      <c r="M24515" s="85"/>
    </row>
    <row r="24516" spans="9:13" x14ac:dyDescent="0.3">
      <c r="I24516" s="82"/>
      <c r="M24516" s="85"/>
    </row>
    <row r="24517" spans="9:13" x14ac:dyDescent="0.3">
      <c r="I24517" s="82"/>
      <c r="M24517" s="85"/>
    </row>
    <row r="24518" spans="9:13" x14ac:dyDescent="0.3">
      <c r="I24518" s="82"/>
      <c r="M24518" s="85"/>
    </row>
    <row r="24519" spans="9:13" x14ac:dyDescent="0.3">
      <c r="I24519" s="82"/>
      <c r="M24519" s="85"/>
    </row>
    <row r="24520" spans="9:13" x14ac:dyDescent="0.3">
      <c r="I24520" s="82"/>
      <c r="M24520" s="85"/>
    </row>
    <row r="24521" spans="9:13" x14ac:dyDescent="0.3">
      <c r="I24521" s="82"/>
      <c r="M24521" s="85"/>
    </row>
    <row r="24522" spans="9:13" x14ac:dyDescent="0.3">
      <c r="I24522" s="82"/>
      <c r="M24522" s="85"/>
    </row>
    <row r="24523" spans="9:13" x14ac:dyDescent="0.3">
      <c r="I24523" s="82"/>
      <c r="M24523" s="85"/>
    </row>
    <row r="24524" spans="9:13" x14ac:dyDescent="0.3">
      <c r="I24524" s="82"/>
      <c r="M24524" s="85"/>
    </row>
    <row r="24525" spans="9:13" x14ac:dyDescent="0.3">
      <c r="I24525" s="82"/>
      <c r="M24525" s="85"/>
    </row>
    <row r="24526" spans="9:13" x14ac:dyDescent="0.3">
      <c r="I24526" s="82"/>
      <c r="M24526" s="85"/>
    </row>
    <row r="24527" spans="9:13" x14ac:dyDescent="0.3">
      <c r="I24527" s="82"/>
      <c r="M24527" s="85"/>
    </row>
    <row r="24528" spans="9:13" x14ac:dyDescent="0.3">
      <c r="I24528" s="82"/>
      <c r="M24528" s="85"/>
    </row>
    <row r="24529" spans="9:13" x14ac:dyDescent="0.3">
      <c r="I24529" s="82"/>
      <c r="M24529" s="85"/>
    </row>
    <row r="24530" spans="9:13" x14ac:dyDescent="0.3">
      <c r="I24530" s="82"/>
      <c r="M24530" s="85"/>
    </row>
    <row r="24531" spans="9:13" x14ac:dyDescent="0.3">
      <c r="I24531" s="82"/>
      <c r="M24531" s="85"/>
    </row>
    <row r="24532" spans="9:13" x14ac:dyDescent="0.3">
      <c r="I24532" s="82"/>
      <c r="M24532" s="85"/>
    </row>
    <row r="24533" spans="9:13" x14ac:dyDescent="0.3">
      <c r="I24533" s="82"/>
      <c r="M24533" s="85"/>
    </row>
    <row r="24534" spans="9:13" x14ac:dyDescent="0.3">
      <c r="I24534" s="82"/>
      <c r="M24534" s="85"/>
    </row>
    <row r="24535" spans="9:13" x14ac:dyDescent="0.3">
      <c r="I24535" s="82"/>
      <c r="M24535" s="85"/>
    </row>
    <row r="24536" spans="9:13" x14ac:dyDescent="0.3">
      <c r="I24536" s="82"/>
      <c r="M24536" s="85"/>
    </row>
    <row r="24537" spans="9:13" x14ac:dyDescent="0.3">
      <c r="I24537" s="82"/>
      <c r="M24537" s="85"/>
    </row>
    <row r="24538" spans="9:13" x14ac:dyDescent="0.3">
      <c r="I24538" s="82"/>
      <c r="M24538" s="85"/>
    </row>
    <row r="24539" spans="9:13" x14ac:dyDescent="0.3">
      <c r="I24539" s="82"/>
      <c r="M24539" s="85"/>
    </row>
    <row r="24540" spans="9:13" x14ac:dyDescent="0.3">
      <c r="I24540" s="82"/>
      <c r="M24540" s="85"/>
    </row>
    <row r="24541" spans="9:13" x14ac:dyDescent="0.3">
      <c r="I24541" s="82"/>
      <c r="M24541" s="85"/>
    </row>
    <row r="24542" spans="9:13" x14ac:dyDescent="0.3">
      <c r="I24542" s="82"/>
      <c r="M24542" s="85"/>
    </row>
    <row r="24543" spans="9:13" x14ac:dyDescent="0.3">
      <c r="I24543" s="82"/>
      <c r="M24543" s="85"/>
    </row>
    <row r="24544" spans="9:13" x14ac:dyDescent="0.3">
      <c r="I24544" s="82"/>
      <c r="M24544" s="85"/>
    </row>
    <row r="24545" spans="9:13" x14ac:dyDescent="0.3">
      <c r="I24545" s="82"/>
      <c r="M24545" s="85"/>
    </row>
    <row r="24546" spans="9:13" x14ac:dyDescent="0.3">
      <c r="I24546" s="82"/>
      <c r="M24546" s="85"/>
    </row>
    <row r="24547" spans="9:13" x14ac:dyDescent="0.3">
      <c r="I24547" s="82"/>
      <c r="M24547" s="85"/>
    </row>
    <row r="24548" spans="9:13" x14ac:dyDescent="0.3">
      <c r="I24548" s="82"/>
      <c r="M24548" s="85"/>
    </row>
    <row r="24549" spans="9:13" x14ac:dyDescent="0.3">
      <c r="I24549" s="82"/>
      <c r="M24549" s="85"/>
    </row>
    <row r="24550" spans="9:13" x14ac:dyDescent="0.3">
      <c r="I24550" s="82"/>
      <c r="M24550" s="85"/>
    </row>
    <row r="24551" spans="9:13" x14ac:dyDescent="0.3">
      <c r="I24551" s="82"/>
      <c r="M24551" s="85"/>
    </row>
    <row r="24552" spans="9:13" x14ac:dyDescent="0.3">
      <c r="I24552" s="82"/>
      <c r="M24552" s="85"/>
    </row>
    <row r="24553" spans="9:13" x14ac:dyDescent="0.3">
      <c r="I24553" s="82"/>
      <c r="M24553" s="85"/>
    </row>
    <row r="24554" spans="9:13" x14ac:dyDescent="0.3">
      <c r="I24554" s="82"/>
      <c r="M24554" s="85"/>
    </row>
    <row r="24555" spans="9:13" x14ac:dyDescent="0.3">
      <c r="I24555" s="82"/>
      <c r="M24555" s="85"/>
    </row>
    <row r="24556" spans="9:13" x14ac:dyDescent="0.3">
      <c r="I24556" s="82"/>
      <c r="M24556" s="85"/>
    </row>
    <row r="24557" spans="9:13" x14ac:dyDescent="0.3">
      <c r="I24557" s="82"/>
      <c r="M24557" s="85"/>
    </row>
    <row r="24558" spans="9:13" x14ac:dyDescent="0.3">
      <c r="I24558" s="82"/>
      <c r="M24558" s="85"/>
    </row>
    <row r="24559" spans="9:13" x14ac:dyDescent="0.3">
      <c r="I24559" s="82"/>
      <c r="M24559" s="85"/>
    </row>
    <row r="24560" spans="9:13" x14ac:dyDescent="0.3">
      <c r="I24560" s="82"/>
      <c r="M24560" s="85"/>
    </row>
    <row r="24561" spans="9:13" x14ac:dyDescent="0.3">
      <c r="I24561" s="82"/>
      <c r="M24561" s="85"/>
    </row>
    <row r="24562" spans="9:13" x14ac:dyDescent="0.3">
      <c r="I24562" s="82"/>
      <c r="M24562" s="85"/>
    </row>
    <row r="24563" spans="9:13" x14ac:dyDescent="0.3">
      <c r="I24563" s="82"/>
      <c r="M24563" s="85"/>
    </row>
    <row r="24564" spans="9:13" x14ac:dyDescent="0.3">
      <c r="I24564" s="82"/>
      <c r="M24564" s="85"/>
    </row>
    <row r="24565" spans="9:13" x14ac:dyDescent="0.3">
      <c r="I24565" s="82"/>
      <c r="M24565" s="85"/>
    </row>
    <row r="24566" spans="9:13" x14ac:dyDescent="0.3">
      <c r="I24566" s="82"/>
      <c r="M24566" s="85"/>
    </row>
    <row r="24567" spans="9:13" x14ac:dyDescent="0.3">
      <c r="I24567" s="82"/>
      <c r="M24567" s="85"/>
    </row>
    <row r="24568" spans="9:13" x14ac:dyDescent="0.3">
      <c r="I24568" s="82"/>
      <c r="M24568" s="85"/>
    </row>
    <row r="24569" spans="9:13" x14ac:dyDescent="0.3">
      <c r="I24569" s="82"/>
      <c r="M24569" s="85"/>
    </row>
    <row r="24570" spans="9:13" x14ac:dyDescent="0.3">
      <c r="I24570" s="82"/>
      <c r="M24570" s="85"/>
    </row>
    <row r="24571" spans="9:13" x14ac:dyDescent="0.3">
      <c r="I24571" s="82"/>
      <c r="M24571" s="85"/>
    </row>
    <row r="24572" spans="9:13" x14ac:dyDescent="0.3">
      <c r="I24572" s="82"/>
      <c r="M24572" s="85"/>
    </row>
    <row r="24573" spans="9:13" x14ac:dyDescent="0.3">
      <c r="I24573" s="82"/>
      <c r="M24573" s="85"/>
    </row>
    <row r="24574" spans="9:13" x14ac:dyDescent="0.3">
      <c r="I24574" s="82"/>
      <c r="M24574" s="85"/>
    </row>
    <row r="24575" spans="9:13" x14ac:dyDescent="0.3">
      <c r="I24575" s="82"/>
      <c r="M24575" s="85"/>
    </row>
    <row r="24576" spans="9:13" x14ac:dyDescent="0.3">
      <c r="I24576" s="82"/>
      <c r="M24576" s="85"/>
    </row>
    <row r="24577" spans="9:13" x14ac:dyDescent="0.3">
      <c r="I24577" s="82"/>
      <c r="M24577" s="85"/>
    </row>
    <row r="24578" spans="9:13" x14ac:dyDescent="0.3">
      <c r="I24578" s="82"/>
      <c r="M24578" s="85"/>
    </row>
    <row r="24579" spans="9:13" x14ac:dyDescent="0.3">
      <c r="I24579" s="82"/>
      <c r="M24579" s="85"/>
    </row>
    <row r="24580" spans="9:13" x14ac:dyDescent="0.3">
      <c r="I24580" s="82"/>
      <c r="M24580" s="85"/>
    </row>
    <row r="24581" spans="9:13" x14ac:dyDescent="0.3">
      <c r="I24581" s="82"/>
      <c r="M24581" s="85"/>
    </row>
    <row r="24582" spans="9:13" x14ac:dyDescent="0.3">
      <c r="I24582" s="82"/>
      <c r="M24582" s="85"/>
    </row>
    <row r="24583" spans="9:13" x14ac:dyDescent="0.3">
      <c r="I24583" s="82"/>
      <c r="M24583" s="85"/>
    </row>
    <row r="24584" spans="9:13" x14ac:dyDescent="0.3">
      <c r="I24584" s="82"/>
      <c r="M24584" s="85"/>
    </row>
    <row r="24585" spans="9:13" x14ac:dyDescent="0.3">
      <c r="I24585" s="82"/>
      <c r="M24585" s="85"/>
    </row>
    <row r="24586" spans="9:13" x14ac:dyDescent="0.3">
      <c r="I24586" s="82"/>
      <c r="M24586" s="85"/>
    </row>
    <row r="24587" spans="9:13" x14ac:dyDescent="0.3">
      <c r="I24587" s="82"/>
      <c r="M24587" s="85"/>
    </row>
    <row r="24588" spans="9:13" x14ac:dyDescent="0.3">
      <c r="I24588" s="82"/>
      <c r="M24588" s="85"/>
    </row>
    <row r="24589" spans="9:13" x14ac:dyDescent="0.3">
      <c r="I24589" s="82"/>
      <c r="M24589" s="85"/>
    </row>
    <row r="24590" spans="9:13" x14ac:dyDescent="0.3">
      <c r="I24590" s="82"/>
      <c r="M24590" s="85"/>
    </row>
    <row r="24591" spans="9:13" x14ac:dyDescent="0.3">
      <c r="I24591" s="82"/>
      <c r="M24591" s="85"/>
    </row>
    <row r="24592" spans="9:13" x14ac:dyDescent="0.3">
      <c r="I24592" s="82"/>
      <c r="M24592" s="85"/>
    </row>
    <row r="24593" spans="9:13" x14ac:dyDescent="0.3">
      <c r="I24593" s="82"/>
      <c r="M24593" s="85"/>
    </row>
    <row r="24594" spans="9:13" x14ac:dyDescent="0.3">
      <c r="I24594" s="82"/>
      <c r="M24594" s="85"/>
    </row>
    <row r="24595" spans="9:13" x14ac:dyDescent="0.3">
      <c r="I24595" s="82"/>
      <c r="M24595" s="85"/>
    </row>
    <row r="24596" spans="9:13" x14ac:dyDescent="0.3">
      <c r="I24596" s="82"/>
      <c r="M24596" s="85"/>
    </row>
    <row r="24597" spans="9:13" x14ac:dyDescent="0.3">
      <c r="I24597" s="82"/>
      <c r="M24597" s="85"/>
    </row>
    <row r="24598" spans="9:13" x14ac:dyDescent="0.3">
      <c r="I24598" s="82"/>
      <c r="M24598" s="85"/>
    </row>
    <row r="24599" spans="9:13" x14ac:dyDescent="0.3">
      <c r="I24599" s="82"/>
      <c r="M24599" s="85"/>
    </row>
    <row r="24600" spans="9:13" x14ac:dyDescent="0.3">
      <c r="I24600" s="82"/>
      <c r="M24600" s="85"/>
    </row>
    <row r="24601" spans="9:13" x14ac:dyDescent="0.3">
      <c r="I24601" s="82"/>
      <c r="M24601" s="85"/>
    </row>
    <row r="24602" spans="9:13" x14ac:dyDescent="0.3">
      <c r="I24602" s="82"/>
      <c r="M24602" s="85"/>
    </row>
    <row r="24603" spans="9:13" x14ac:dyDescent="0.3">
      <c r="I24603" s="82"/>
      <c r="M24603" s="85"/>
    </row>
    <row r="24604" spans="9:13" x14ac:dyDescent="0.3">
      <c r="I24604" s="82"/>
      <c r="M24604" s="85"/>
    </row>
    <row r="24605" spans="9:13" x14ac:dyDescent="0.3">
      <c r="I24605" s="82"/>
      <c r="M24605" s="85"/>
    </row>
    <row r="24606" spans="9:13" x14ac:dyDescent="0.3">
      <c r="I24606" s="82"/>
      <c r="M24606" s="85"/>
    </row>
    <row r="24607" spans="9:13" x14ac:dyDescent="0.3">
      <c r="I24607" s="82"/>
      <c r="M24607" s="85"/>
    </row>
    <row r="24608" spans="9:13" x14ac:dyDescent="0.3">
      <c r="I24608" s="82"/>
      <c r="M24608" s="85"/>
    </row>
    <row r="24609" spans="9:13" x14ac:dyDescent="0.3">
      <c r="I24609" s="82"/>
      <c r="M24609" s="85"/>
    </row>
    <row r="24610" spans="9:13" x14ac:dyDescent="0.3">
      <c r="I24610" s="82"/>
      <c r="M24610" s="85"/>
    </row>
    <row r="24611" spans="9:13" x14ac:dyDescent="0.3">
      <c r="I24611" s="82"/>
      <c r="M24611" s="85"/>
    </row>
    <row r="24612" spans="9:13" x14ac:dyDescent="0.3">
      <c r="I24612" s="82"/>
      <c r="M24612" s="85"/>
    </row>
    <row r="24613" spans="9:13" x14ac:dyDescent="0.3">
      <c r="I24613" s="82"/>
      <c r="M24613" s="85"/>
    </row>
    <row r="24614" spans="9:13" x14ac:dyDescent="0.3">
      <c r="I24614" s="82"/>
      <c r="M24614" s="85"/>
    </row>
    <row r="24615" spans="9:13" x14ac:dyDescent="0.3">
      <c r="I24615" s="82"/>
      <c r="M24615" s="85"/>
    </row>
    <row r="24616" spans="9:13" x14ac:dyDescent="0.3">
      <c r="I24616" s="82"/>
      <c r="M24616" s="85"/>
    </row>
    <row r="24617" spans="9:13" x14ac:dyDescent="0.3">
      <c r="I24617" s="82"/>
      <c r="M24617" s="85"/>
    </row>
    <row r="24618" spans="9:13" x14ac:dyDescent="0.3">
      <c r="I24618" s="82"/>
      <c r="M24618" s="85"/>
    </row>
    <row r="24619" spans="9:13" x14ac:dyDescent="0.3">
      <c r="I24619" s="82"/>
      <c r="M24619" s="85"/>
    </row>
    <row r="24620" spans="9:13" x14ac:dyDescent="0.3">
      <c r="I24620" s="82"/>
      <c r="M24620" s="85"/>
    </row>
    <row r="24621" spans="9:13" x14ac:dyDescent="0.3">
      <c r="I24621" s="82"/>
      <c r="M24621" s="85"/>
    </row>
    <row r="24622" spans="9:13" x14ac:dyDescent="0.3">
      <c r="I24622" s="82"/>
      <c r="M24622" s="85"/>
    </row>
    <row r="24623" spans="9:13" x14ac:dyDescent="0.3">
      <c r="I24623" s="82"/>
      <c r="M24623" s="85"/>
    </row>
    <row r="24624" spans="9:13" x14ac:dyDescent="0.3">
      <c r="I24624" s="82"/>
      <c r="M24624" s="85"/>
    </row>
    <row r="24625" spans="9:13" x14ac:dyDescent="0.3">
      <c r="I24625" s="82"/>
      <c r="M24625" s="85"/>
    </row>
    <row r="24626" spans="9:13" x14ac:dyDescent="0.3">
      <c r="I24626" s="82"/>
      <c r="M24626" s="85"/>
    </row>
    <row r="24627" spans="9:13" x14ac:dyDescent="0.3">
      <c r="I24627" s="82"/>
      <c r="M24627" s="85"/>
    </row>
    <row r="24628" spans="9:13" x14ac:dyDescent="0.3">
      <c r="I24628" s="82"/>
      <c r="M24628" s="85"/>
    </row>
    <row r="24629" spans="9:13" x14ac:dyDescent="0.3">
      <c r="I24629" s="82"/>
      <c r="M24629" s="85"/>
    </row>
    <row r="24630" spans="9:13" x14ac:dyDescent="0.3">
      <c r="I24630" s="82"/>
      <c r="M24630" s="85"/>
    </row>
    <row r="24631" spans="9:13" x14ac:dyDescent="0.3">
      <c r="I24631" s="82"/>
      <c r="M24631" s="85"/>
    </row>
    <row r="24632" spans="9:13" x14ac:dyDescent="0.3">
      <c r="I24632" s="82"/>
      <c r="M24632" s="85"/>
    </row>
    <row r="24633" spans="9:13" x14ac:dyDescent="0.3">
      <c r="I24633" s="82"/>
      <c r="M24633" s="85"/>
    </row>
    <row r="24634" spans="9:13" x14ac:dyDescent="0.3">
      <c r="I24634" s="82"/>
      <c r="M24634" s="85"/>
    </row>
    <row r="24635" spans="9:13" x14ac:dyDescent="0.3">
      <c r="I24635" s="82"/>
      <c r="M24635" s="85"/>
    </row>
    <row r="24636" spans="9:13" x14ac:dyDescent="0.3">
      <c r="I24636" s="82"/>
      <c r="M24636" s="85"/>
    </row>
    <row r="24637" spans="9:13" x14ac:dyDescent="0.3">
      <c r="I24637" s="82"/>
      <c r="M24637" s="85"/>
    </row>
    <row r="24638" spans="9:13" x14ac:dyDescent="0.3">
      <c r="I24638" s="82"/>
      <c r="M24638" s="85"/>
    </row>
    <row r="24639" spans="9:13" x14ac:dyDescent="0.3">
      <c r="I24639" s="82"/>
      <c r="M24639" s="85"/>
    </row>
    <row r="24640" spans="9:13" x14ac:dyDescent="0.3">
      <c r="I24640" s="82"/>
      <c r="M24640" s="85"/>
    </row>
    <row r="24641" spans="9:13" x14ac:dyDescent="0.3">
      <c r="I24641" s="82"/>
      <c r="M24641" s="85"/>
    </row>
    <row r="24642" spans="9:13" x14ac:dyDescent="0.3">
      <c r="I24642" s="82"/>
      <c r="M24642" s="85"/>
    </row>
    <row r="24643" spans="9:13" x14ac:dyDescent="0.3">
      <c r="I24643" s="82"/>
      <c r="M24643" s="85"/>
    </row>
    <row r="24644" spans="9:13" x14ac:dyDescent="0.3">
      <c r="I24644" s="82"/>
      <c r="M24644" s="85"/>
    </row>
    <row r="24645" spans="9:13" x14ac:dyDescent="0.3">
      <c r="I24645" s="82"/>
      <c r="M24645" s="85"/>
    </row>
    <row r="24646" spans="9:13" x14ac:dyDescent="0.3">
      <c r="I24646" s="82"/>
      <c r="M24646" s="85"/>
    </row>
    <row r="24647" spans="9:13" x14ac:dyDescent="0.3">
      <c r="I24647" s="82"/>
      <c r="M24647" s="85"/>
    </row>
    <row r="24648" spans="9:13" x14ac:dyDescent="0.3">
      <c r="I24648" s="82"/>
      <c r="M24648" s="85"/>
    </row>
    <row r="24649" spans="9:13" x14ac:dyDescent="0.3">
      <c r="I24649" s="82"/>
      <c r="M24649" s="85"/>
    </row>
    <row r="24650" spans="9:13" x14ac:dyDescent="0.3">
      <c r="I24650" s="82"/>
      <c r="M24650" s="85"/>
    </row>
    <row r="24651" spans="9:13" x14ac:dyDescent="0.3">
      <c r="I24651" s="82"/>
      <c r="M24651" s="85"/>
    </row>
    <row r="24652" spans="9:13" x14ac:dyDescent="0.3">
      <c r="I24652" s="82"/>
      <c r="M24652" s="85"/>
    </row>
    <row r="24653" spans="9:13" x14ac:dyDescent="0.3">
      <c r="I24653" s="82"/>
      <c r="M24653" s="85"/>
    </row>
    <row r="24654" spans="9:13" x14ac:dyDescent="0.3">
      <c r="I24654" s="82"/>
      <c r="M24654" s="85"/>
    </row>
    <row r="24655" spans="9:13" x14ac:dyDescent="0.3">
      <c r="I24655" s="82"/>
      <c r="M24655" s="85"/>
    </row>
    <row r="24656" spans="9:13" x14ac:dyDescent="0.3">
      <c r="I24656" s="82"/>
      <c r="M24656" s="85"/>
    </row>
    <row r="24657" spans="9:13" x14ac:dyDescent="0.3">
      <c r="I24657" s="82"/>
      <c r="M24657" s="85"/>
    </row>
    <row r="24658" spans="9:13" x14ac:dyDescent="0.3">
      <c r="I24658" s="82"/>
      <c r="M24658" s="85"/>
    </row>
    <row r="24659" spans="9:13" x14ac:dyDescent="0.3">
      <c r="I24659" s="82"/>
      <c r="M24659" s="85"/>
    </row>
    <row r="24660" spans="9:13" x14ac:dyDescent="0.3">
      <c r="I24660" s="82"/>
      <c r="M24660" s="85"/>
    </row>
    <row r="24661" spans="9:13" x14ac:dyDescent="0.3">
      <c r="I24661" s="82"/>
      <c r="M24661" s="85"/>
    </row>
    <row r="24662" spans="9:13" x14ac:dyDescent="0.3">
      <c r="I24662" s="82"/>
      <c r="M24662" s="85"/>
    </row>
    <row r="24663" spans="9:13" x14ac:dyDescent="0.3">
      <c r="I24663" s="82"/>
      <c r="M24663" s="85"/>
    </row>
    <row r="24664" spans="9:13" x14ac:dyDescent="0.3">
      <c r="I24664" s="82"/>
      <c r="M24664" s="85"/>
    </row>
    <row r="24665" spans="9:13" x14ac:dyDescent="0.3">
      <c r="I24665" s="82"/>
      <c r="M24665" s="85"/>
    </row>
    <row r="24666" spans="9:13" x14ac:dyDescent="0.3">
      <c r="I24666" s="82"/>
      <c r="M24666" s="85"/>
    </row>
    <row r="24667" spans="9:13" x14ac:dyDescent="0.3">
      <c r="I24667" s="82"/>
      <c r="M24667" s="85"/>
    </row>
    <row r="24668" spans="9:13" x14ac:dyDescent="0.3">
      <c r="I24668" s="82"/>
      <c r="M24668" s="85"/>
    </row>
    <row r="24669" spans="9:13" x14ac:dyDescent="0.3">
      <c r="I24669" s="82"/>
      <c r="M24669" s="85"/>
    </row>
    <row r="24670" spans="9:13" x14ac:dyDescent="0.3">
      <c r="I24670" s="82"/>
      <c r="M24670" s="85"/>
    </row>
    <row r="24671" spans="9:13" x14ac:dyDescent="0.3">
      <c r="I24671" s="82"/>
      <c r="M24671" s="85"/>
    </row>
    <row r="24672" spans="9:13" x14ac:dyDescent="0.3">
      <c r="I24672" s="82"/>
      <c r="M24672" s="85"/>
    </row>
    <row r="24673" spans="9:13" x14ac:dyDescent="0.3">
      <c r="I24673" s="82"/>
      <c r="M24673" s="85"/>
    </row>
    <row r="24674" spans="9:13" x14ac:dyDescent="0.3">
      <c r="I24674" s="82"/>
      <c r="M24674" s="85"/>
    </row>
    <row r="24675" spans="9:13" x14ac:dyDescent="0.3">
      <c r="I24675" s="82"/>
      <c r="M24675" s="85"/>
    </row>
    <row r="24676" spans="9:13" x14ac:dyDescent="0.3">
      <c r="I24676" s="82"/>
      <c r="M24676" s="85"/>
    </row>
    <row r="24677" spans="9:13" x14ac:dyDescent="0.3">
      <c r="I24677" s="82"/>
      <c r="M24677" s="85"/>
    </row>
    <row r="24678" spans="9:13" x14ac:dyDescent="0.3">
      <c r="I24678" s="82"/>
      <c r="M24678" s="85"/>
    </row>
    <row r="24679" spans="9:13" x14ac:dyDescent="0.3">
      <c r="I24679" s="82"/>
      <c r="M24679" s="85"/>
    </row>
    <row r="24680" spans="9:13" x14ac:dyDescent="0.3">
      <c r="I24680" s="82"/>
      <c r="M24680" s="85"/>
    </row>
    <row r="24681" spans="9:13" x14ac:dyDescent="0.3">
      <c r="I24681" s="82"/>
      <c r="M24681" s="85"/>
    </row>
    <row r="24682" spans="9:13" x14ac:dyDescent="0.3">
      <c r="I24682" s="82"/>
      <c r="M24682" s="85"/>
    </row>
    <row r="24683" spans="9:13" x14ac:dyDescent="0.3">
      <c r="I24683" s="82"/>
      <c r="M24683" s="85"/>
    </row>
    <row r="24684" spans="9:13" x14ac:dyDescent="0.3">
      <c r="I24684" s="82"/>
      <c r="M24684" s="85"/>
    </row>
    <row r="24685" spans="9:13" x14ac:dyDescent="0.3">
      <c r="I24685" s="82"/>
      <c r="M24685" s="85"/>
    </row>
    <row r="24686" spans="9:13" x14ac:dyDescent="0.3">
      <c r="I24686" s="82"/>
      <c r="M24686" s="85"/>
    </row>
    <row r="24687" spans="9:13" x14ac:dyDescent="0.3">
      <c r="I24687" s="82"/>
      <c r="M24687" s="85"/>
    </row>
    <row r="24688" spans="9:13" x14ac:dyDescent="0.3">
      <c r="I24688" s="82"/>
      <c r="M24688" s="85"/>
    </row>
    <row r="24689" spans="9:13" x14ac:dyDescent="0.3">
      <c r="I24689" s="82"/>
      <c r="M24689" s="85"/>
    </row>
    <row r="24690" spans="9:13" x14ac:dyDescent="0.3">
      <c r="I24690" s="82"/>
      <c r="M24690" s="85"/>
    </row>
    <row r="24691" spans="9:13" x14ac:dyDescent="0.3">
      <c r="I24691" s="82"/>
      <c r="M24691" s="85"/>
    </row>
    <row r="24692" spans="9:13" x14ac:dyDescent="0.3">
      <c r="I24692" s="82"/>
      <c r="M24692" s="85"/>
    </row>
    <row r="24693" spans="9:13" x14ac:dyDescent="0.3">
      <c r="I24693" s="82"/>
      <c r="M24693" s="85"/>
    </row>
    <row r="24694" spans="9:13" x14ac:dyDescent="0.3">
      <c r="I24694" s="82"/>
      <c r="M24694" s="85"/>
    </row>
    <row r="24695" spans="9:13" x14ac:dyDescent="0.3">
      <c r="I24695" s="82"/>
      <c r="M24695" s="85"/>
    </row>
    <row r="24696" spans="9:13" x14ac:dyDescent="0.3">
      <c r="I24696" s="82"/>
      <c r="M24696" s="85"/>
    </row>
    <row r="24697" spans="9:13" x14ac:dyDescent="0.3">
      <c r="I24697" s="82"/>
      <c r="M24697" s="85"/>
    </row>
    <row r="24698" spans="9:13" x14ac:dyDescent="0.3">
      <c r="I24698" s="82"/>
      <c r="M24698" s="85"/>
    </row>
    <row r="24699" spans="9:13" x14ac:dyDescent="0.3">
      <c r="I24699" s="82"/>
      <c r="M24699" s="85"/>
    </row>
    <row r="24700" spans="9:13" x14ac:dyDescent="0.3">
      <c r="I24700" s="82"/>
      <c r="M24700" s="85"/>
    </row>
    <row r="24701" spans="9:13" x14ac:dyDescent="0.3">
      <c r="I24701" s="82"/>
      <c r="M24701" s="85"/>
    </row>
    <row r="24702" spans="9:13" x14ac:dyDescent="0.3">
      <c r="I24702" s="82"/>
      <c r="M24702" s="85"/>
    </row>
    <row r="24703" spans="9:13" x14ac:dyDescent="0.3">
      <c r="I24703" s="82"/>
      <c r="M24703" s="85"/>
    </row>
    <row r="24704" spans="9:13" x14ac:dyDescent="0.3">
      <c r="I24704" s="82"/>
      <c r="M24704" s="85"/>
    </row>
    <row r="24705" spans="9:13" x14ac:dyDescent="0.3">
      <c r="I24705" s="82"/>
      <c r="M24705" s="85"/>
    </row>
    <row r="24706" spans="9:13" x14ac:dyDescent="0.3">
      <c r="I24706" s="82"/>
      <c r="M24706" s="85"/>
    </row>
    <row r="24707" spans="9:13" x14ac:dyDescent="0.3">
      <c r="I24707" s="82"/>
      <c r="M24707" s="85"/>
    </row>
    <row r="24708" spans="9:13" x14ac:dyDescent="0.3">
      <c r="I24708" s="82"/>
      <c r="M24708" s="85"/>
    </row>
    <row r="24709" spans="9:13" x14ac:dyDescent="0.3">
      <c r="I24709" s="82"/>
      <c r="M24709" s="85"/>
    </row>
    <row r="24710" spans="9:13" x14ac:dyDescent="0.3">
      <c r="I24710" s="82"/>
      <c r="M24710" s="85"/>
    </row>
    <row r="24711" spans="9:13" x14ac:dyDescent="0.3">
      <c r="I24711" s="82"/>
      <c r="M24711" s="85"/>
    </row>
    <row r="24712" spans="9:13" x14ac:dyDescent="0.3">
      <c r="I24712" s="82"/>
      <c r="M24712" s="85"/>
    </row>
    <row r="24713" spans="9:13" x14ac:dyDescent="0.3">
      <c r="I24713" s="82"/>
      <c r="M24713" s="85"/>
    </row>
    <row r="24714" spans="9:13" x14ac:dyDescent="0.3">
      <c r="I24714" s="82"/>
      <c r="M24714" s="85"/>
    </row>
    <row r="24715" spans="9:13" x14ac:dyDescent="0.3">
      <c r="I24715" s="82"/>
      <c r="M24715" s="85"/>
    </row>
    <row r="24716" spans="9:13" x14ac:dyDescent="0.3">
      <c r="I24716" s="82"/>
      <c r="M24716" s="85"/>
    </row>
    <row r="24717" spans="9:13" x14ac:dyDescent="0.3">
      <c r="I24717" s="82"/>
      <c r="M24717" s="85"/>
    </row>
    <row r="24718" spans="9:13" x14ac:dyDescent="0.3">
      <c r="I24718" s="82"/>
      <c r="M24718" s="85"/>
    </row>
    <row r="24719" spans="9:13" x14ac:dyDescent="0.3">
      <c r="I24719" s="82"/>
      <c r="M24719" s="85"/>
    </row>
    <row r="24720" spans="9:13" x14ac:dyDescent="0.3">
      <c r="I24720" s="82"/>
      <c r="M24720" s="85"/>
    </row>
    <row r="24721" spans="9:13" x14ac:dyDescent="0.3">
      <c r="I24721" s="82"/>
      <c r="M24721" s="85"/>
    </row>
    <row r="24722" spans="9:13" x14ac:dyDescent="0.3">
      <c r="I24722" s="82"/>
      <c r="M24722" s="85"/>
    </row>
    <row r="24723" spans="9:13" x14ac:dyDescent="0.3">
      <c r="I24723" s="82"/>
      <c r="M24723" s="85"/>
    </row>
    <row r="24724" spans="9:13" x14ac:dyDescent="0.3">
      <c r="I24724" s="82"/>
      <c r="M24724" s="85"/>
    </row>
    <row r="24725" spans="9:13" x14ac:dyDescent="0.3">
      <c r="I24725" s="82"/>
      <c r="M24725" s="85"/>
    </row>
    <row r="24726" spans="9:13" x14ac:dyDescent="0.3">
      <c r="I24726" s="82"/>
      <c r="M24726" s="85"/>
    </row>
    <row r="24727" spans="9:13" x14ac:dyDescent="0.3">
      <c r="I24727" s="82"/>
      <c r="M24727" s="85"/>
    </row>
    <row r="24728" spans="9:13" x14ac:dyDescent="0.3">
      <c r="I24728" s="82"/>
      <c r="M24728" s="85"/>
    </row>
    <row r="24729" spans="9:13" x14ac:dyDescent="0.3">
      <c r="I24729" s="82"/>
      <c r="M24729" s="85"/>
    </row>
    <row r="24730" spans="9:13" x14ac:dyDescent="0.3">
      <c r="I24730" s="82"/>
      <c r="M24730" s="85"/>
    </row>
    <row r="24731" spans="9:13" x14ac:dyDescent="0.3">
      <c r="I24731" s="82"/>
      <c r="M24731" s="85"/>
    </row>
    <row r="24732" spans="9:13" x14ac:dyDescent="0.3">
      <c r="I24732" s="82"/>
      <c r="M24732" s="85"/>
    </row>
    <row r="24733" spans="9:13" x14ac:dyDescent="0.3">
      <c r="I24733" s="82"/>
      <c r="M24733" s="85"/>
    </row>
    <row r="24734" spans="9:13" x14ac:dyDescent="0.3">
      <c r="I24734" s="82"/>
      <c r="M24734" s="85"/>
    </row>
    <row r="24735" spans="9:13" x14ac:dyDescent="0.3">
      <c r="I24735" s="82"/>
      <c r="M24735" s="85"/>
    </row>
    <row r="24736" spans="9:13" x14ac:dyDescent="0.3">
      <c r="I24736" s="82"/>
      <c r="M24736" s="85"/>
    </row>
    <row r="24737" spans="9:13" x14ac:dyDescent="0.3">
      <c r="I24737" s="82"/>
      <c r="M24737" s="85"/>
    </row>
    <row r="24738" spans="9:13" x14ac:dyDescent="0.3">
      <c r="I24738" s="82"/>
      <c r="M24738" s="85"/>
    </row>
    <row r="24739" spans="9:13" x14ac:dyDescent="0.3">
      <c r="I24739" s="82"/>
      <c r="M24739" s="85"/>
    </row>
    <row r="24740" spans="9:13" x14ac:dyDescent="0.3">
      <c r="I24740" s="82"/>
      <c r="M24740" s="85"/>
    </row>
    <row r="24741" spans="9:13" x14ac:dyDescent="0.3">
      <c r="I24741" s="82"/>
      <c r="M24741" s="85"/>
    </row>
    <row r="24742" spans="9:13" x14ac:dyDescent="0.3">
      <c r="I24742" s="82"/>
      <c r="M24742" s="85"/>
    </row>
    <row r="24743" spans="9:13" x14ac:dyDescent="0.3">
      <c r="I24743" s="82"/>
      <c r="M24743" s="85"/>
    </row>
    <row r="24744" spans="9:13" x14ac:dyDescent="0.3">
      <c r="I24744" s="82"/>
      <c r="M24744" s="85"/>
    </row>
    <row r="24745" spans="9:13" x14ac:dyDescent="0.3">
      <c r="I24745" s="82"/>
      <c r="M24745" s="85"/>
    </row>
    <row r="24746" spans="9:13" x14ac:dyDescent="0.3">
      <c r="I24746" s="82"/>
      <c r="M24746" s="85"/>
    </row>
    <row r="24747" spans="9:13" x14ac:dyDescent="0.3">
      <c r="I24747" s="82"/>
      <c r="M24747" s="85"/>
    </row>
    <row r="24748" spans="9:13" x14ac:dyDescent="0.3">
      <c r="I24748" s="82"/>
      <c r="M24748" s="85"/>
    </row>
    <row r="24749" spans="9:13" x14ac:dyDescent="0.3">
      <c r="I24749" s="82"/>
      <c r="M24749" s="85"/>
    </row>
    <row r="24750" spans="9:13" x14ac:dyDescent="0.3">
      <c r="I24750" s="82"/>
      <c r="M24750" s="85"/>
    </row>
    <row r="24751" spans="9:13" x14ac:dyDescent="0.3">
      <c r="I24751" s="82"/>
      <c r="M24751" s="85"/>
    </row>
    <row r="24752" spans="9:13" x14ac:dyDescent="0.3">
      <c r="I24752" s="82"/>
      <c r="M24752" s="85"/>
    </row>
    <row r="24753" spans="9:13" x14ac:dyDescent="0.3">
      <c r="I24753" s="82"/>
      <c r="M24753" s="85"/>
    </row>
    <row r="24754" spans="9:13" x14ac:dyDescent="0.3">
      <c r="I24754" s="82"/>
      <c r="M24754" s="85"/>
    </row>
    <row r="24755" spans="9:13" x14ac:dyDescent="0.3">
      <c r="I24755" s="82"/>
      <c r="M24755" s="85"/>
    </row>
    <row r="24756" spans="9:13" x14ac:dyDescent="0.3">
      <c r="I24756" s="82"/>
      <c r="M24756" s="85"/>
    </row>
    <row r="24757" spans="9:13" x14ac:dyDescent="0.3">
      <c r="I24757" s="82"/>
      <c r="M24757" s="85"/>
    </row>
    <row r="24758" spans="9:13" x14ac:dyDescent="0.3">
      <c r="I24758" s="82"/>
      <c r="M24758" s="85"/>
    </row>
    <row r="24759" spans="9:13" x14ac:dyDescent="0.3">
      <c r="I24759" s="82"/>
      <c r="M24759" s="85"/>
    </row>
    <row r="24760" spans="9:13" x14ac:dyDescent="0.3">
      <c r="I24760" s="82"/>
      <c r="M24760" s="85"/>
    </row>
    <row r="24761" spans="9:13" x14ac:dyDescent="0.3">
      <c r="I24761" s="82"/>
      <c r="M24761" s="85"/>
    </row>
    <row r="24762" spans="9:13" x14ac:dyDescent="0.3">
      <c r="I24762" s="82"/>
      <c r="M24762" s="85"/>
    </row>
    <row r="24763" spans="9:13" x14ac:dyDescent="0.3">
      <c r="I24763" s="82"/>
      <c r="M24763" s="85"/>
    </row>
    <row r="24764" spans="9:13" x14ac:dyDescent="0.3">
      <c r="I24764" s="82"/>
      <c r="M24764" s="85"/>
    </row>
    <row r="24765" spans="9:13" x14ac:dyDescent="0.3">
      <c r="I24765" s="82"/>
      <c r="M24765" s="85"/>
    </row>
    <row r="24766" spans="9:13" x14ac:dyDescent="0.3">
      <c r="I24766" s="82"/>
      <c r="M24766" s="85"/>
    </row>
    <row r="24767" spans="9:13" x14ac:dyDescent="0.3">
      <c r="I24767" s="82"/>
      <c r="M24767" s="85"/>
    </row>
    <row r="24768" spans="9:13" x14ac:dyDescent="0.3">
      <c r="I24768" s="82"/>
      <c r="M24768" s="85"/>
    </row>
    <row r="24769" spans="9:13" x14ac:dyDescent="0.3">
      <c r="I24769" s="82"/>
      <c r="M24769" s="85"/>
    </row>
    <row r="24770" spans="9:13" x14ac:dyDescent="0.3">
      <c r="I24770" s="82"/>
      <c r="M24770" s="85"/>
    </row>
    <row r="24771" spans="9:13" x14ac:dyDescent="0.3">
      <c r="I24771" s="82"/>
      <c r="M24771" s="85"/>
    </row>
    <row r="24772" spans="9:13" x14ac:dyDescent="0.3">
      <c r="I24772" s="82"/>
      <c r="M24772" s="85"/>
    </row>
    <row r="24773" spans="9:13" x14ac:dyDescent="0.3">
      <c r="I24773" s="82"/>
      <c r="M24773" s="85"/>
    </row>
    <row r="24774" spans="9:13" x14ac:dyDescent="0.3">
      <c r="I24774" s="82"/>
      <c r="M24774" s="85"/>
    </row>
    <row r="24775" spans="9:13" x14ac:dyDescent="0.3">
      <c r="I24775" s="82"/>
      <c r="M24775" s="85"/>
    </row>
    <row r="24776" spans="9:13" x14ac:dyDescent="0.3">
      <c r="I24776" s="82"/>
      <c r="M24776" s="85"/>
    </row>
    <row r="24777" spans="9:13" x14ac:dyDescent="0.3">
      <c r="I24777" s="82"/>
      <c r="M24777" s="85"/>
    </row>
    <row r="24778" spans="9:13" x14ac:dyDescent="0.3">
      <c r="I24778" s="82"/>
      <c r="M24778" s="85"/>
    </row>
    <row r="24779" spans="9:13" x14ac:dyDescent="0.3">
      <c r="I24779" s="82"/>
      <c r="M24779" s="85"/>
    </row>
    <row r="24780" spans="9:13" x14ac:dyDescent="0.3">
      <c r="I24780" s="82"/>
      <c r="M24780" s="85"/>
    </row>
    <row r="24781" spans="9:13" x14ac:dyDescent="0.3">
      <c r="I24781" s="82"/>
      <c r="M24781" s="85"/>
    </row>
    <row r="24782" spans="9:13" x14ac:dyDescent="0.3">
      <c r="I24782" s="82"/>
      <c r="M24782" s="85"/>
    </row>
    <row r="24783" spans="9:13" x14ac:dyDescent="0.3">
      <c r="I24783" s="82"/>
      <c r="M24783" s="85"/>
    </row>
    <row r="24784" spans="9:13" x14ac:dyDescent="0.3">
      <c r="I24784" s="82"/>
      <c r="M24784" s="85"/>
    </row>
    <row r="24785" spans="9:13" x14ac:dyDescent="0.3">
      <c r="I24785" s="82"/>
      <c r="M24785" s="85"/>
    </row>
    <row r="24786" spans="9:13" x14ac:dyDescent="0.3">
      <c r="I24786" s="82"/>
      <c r="M24786" s="85"/>
    </row>
    <row r="24787" spans="9:13" x14ac:dyDescent="0.3">
      <c r="I24787" s="82"/>
      <c r="M24787" s="85"/>
    </row>
    <row r="24788" spans="9:13" x14ac:dyDescent="0.3">
      <c r="I24788" s="82"/>
      <c r="M24788" s="85"/>
    </row>
    <row r="24789" spans="9:13" x14ac:dyDescent="0.3">
      <c r="I24789" s="82"/>
      <c r="M24789" s="85"/>
    </row>
    <row r="24790" spans="9:13" x14ac:dyDescent="0.3">
      <c r="I24790" s="82"/>
      <c r="M24790" s="85"/>
    </row>
    <row r="24791" spans="9:13" x14ac:dyDescent="0.3">
      <c r="I24791" s="82"/>
      <c r="M24791" s="85"/>
    </row>
    <row r="24792" spans="9:13" x14ac:dyDescent="0.3">
      <c r="I24792" s="82"/>
      <c r="M24792" s="85"/>
    </row>
    <row r="24793" spans="9:13" x14ac:dyDescent="0.3">
      <c r="I24793" s="82"/>
      <c r="M24793" s="85"/>
    </row>
    <row r="24794" spans="9:13" x14ac:dyDescent="0.3">
      <c r="I24794" s="82"/>
      <c r="M24794" s="85"/>
    </row>
    <row r="24795" spans="9:13" x14ac:dyDescent="0.3">
      <c r="I24795" s="82"/>
      <c r="M24795" s="85"/>
    </row>
    <row r="24796" spans="9:13" x14ac:dyDescent="0.3">
      <c r="I24796" s="82"/>
      <c r="M24796" s="85"/>
    </row>
    <row r="24797" spans="9:13" x14ac:dyDescent="0.3">
      <c r="I24797" s="82"/>
      <c r="M24797" s="85"/>
    </row>
    <row r="24798" spans="9:13" x14ac:dyDescent="0.3">
      <c r="I24798" s="82"/>
      <c r="M24798" s="85"/>
    </row>
    <row r="24799" spans="9:13" x14ac:dyDescent="0.3">
      <c r="I24799" s="82"/>
      <c r="M24799" s="85"/>
    </row>
    <row r="24800" spans="9:13" x14ac:dyDescent="0.3">
      <c r="I24800" s="82"/>
      <c r="M24800" s="85"/>
    </row>
    <row r="24801" spans="9:13" x14ac:dyDescent="0.3">
      <c r="I24801" s="82"/>
      <c r="M24801" s="85"/>
    </row>
    <row r="24802" spans="9:13" x14ac:dyDescent="0.3">
      <c r="I24802" s="82"/>
      <c r="M24802" s="85"/>
    </row>
    <row r="24803" spans="9:13" x14ac:dyDescent="0.3">
      <c r="I24803" s="82"/>
      <c r="M24803" s="85"/>
    </row>
    <row r="24804" spans="9:13" x14ac:dyDescent="0.3">
      <c r="I24804" s="82"/>
      <c r="M24804" s="85"/>
    </row>
    <row r="24805" spans="9:13" x14ac:dyDescent="0.3">
      <c r="I24805" s="82"/>
      <c r="M24805" s="85"/>
    </row>
    <row r="24806" spans="9:13" x14ac:dyDescent="0.3">
      <c r="I24806" s="82"/>
      <c r="M24806" s="85"/>
    </row>
    <row r="24807" spans="9:13" x14ac:dyDescent="0.3">
      <c r="I24807" s="82"/>
      <c r="M24807" s="85"/>
    </row>
    <row r="24808" spans="9:13" x14ac:dyDescent="0.3">
      <c r="I24808" s="82"/>
      <c r="M24808" s="85"/>
    </row>
    <row r="24809" spans="9:13" x14ac:dyDescent="0.3">
      <c r="I24809" s="82"/>
      <c r="M24809" s="85"/>
    </row>
    <row r="24810" spans="9:13" x14ac:dyDescent="0.3">
      <c r="I24810" s="82"/>
      <c r="M24810" s="85"/>
    </row>
    <row r="24811" spans="9:13" x14ac:dyDescent="0.3">
      <c r="I24811" s="82"/>
      <c r="M24811" s="85"/>
    </row>
    <row r="24812" spans="9:13" x14ac:dyDescent="0.3">
      <c r="I24812" s="82"/>
      <c r="M24812" s="85"/>
    </row>
    <row r="24813" spans="9:13" x14ac:dyDescent="0.3">
      <c r="I24813" s="82"/>
      <c r="M24813" s="85"/>
    </row>
    <row r="24814" spans="9:13" x14ac:dyDescent="0.3">
      <c r="I24814" s="82"/>
      <c r="M24814" s="85"/>
    </row>
    <row r="24815" spans="9:13" x14ac:dyDescent="0.3">
      <c r="I24815" s="82"/>
      <c r="M24815" s="85"/>
    </row>
    <row r="24816" spans="9:13" x14ac:dyDescent="0.3">
      <c r="I24816" s="82"/>
      <c r="M24816" s="85"/>
    </row>
    <row r="24817" spans="9:13" x14ac:dyDescent="0.3">
      <c r="I24817" s="82"/>
      <c r="M24817" s="85"/>
    </row>
    <row r="24818" spans="9:13" x14ac:dyDescent="0.3">
      <c r="I24818" s="82"/>
      <c r="M24818" s="85"/>
    </row>
    <row r="24819" spans="9:13" x14ac:dyDescent="0.3">
      <c r="I24819" s="82"/>
      <c r="M24819" s="85"/>
    </row>
    <row r="24820" spans="9:13" x14ac:dyDescent="0.3">
      <c r="I24820" s="82"/>
      <c r="M24820" s="85"/>
    </row>
    <row r="24821" spans="9:13" x14ac:dyDescent="0.3">
      <c r="I24821" s="82"/>
      <c r="M24821" s="85"/>
    </row>
    <row r="24822" spans="9:13" x14ac:dyDescent="0.3">
      <c r="I24822" s="82"/>
      <c r="M24822" s="85"/>
    </row>
    <row r="24823" spans="9:13" x14ac:dyDescent="0.3">
      <c r="I24823" s="82"/>
      <c r="M24823" s="85"/>
    </row>
    <row r="24824" spans="9:13" x14ac:dyDescent="0.3">
      <c r="I24824" s="82"/>
      <c r="M24824" s="85"/>
    </row>
    <row r="24825" spans="9:13" x14ac:dyDescent="0.3">
      <c r="I24825" s="82"/>
      <c r="M24825" s="85"/>
    </row>
    <row r="24826" spans="9:13" x14ac:dyDescent="0.3">
      <c r="I24826" s="82"/>
      <c r="M24826" s="85"/>
    </row>
    <row r="24827" spans="9:13" x14ac:dyDescent="0.3">
      <c r="I24827" s="82"/>
      <c r="M24827" s="85"/>
    </row>
    <row r="24828" spans="9:13" x14ac:dyDescent="0.3">
      <c r="I24828" s="82"/>
      <c r="M24828" s="85"/>
    </row>
    <row r="24829" spans="9:13" x14ac:dyDescent="0.3">
      <c r="I24829" s="82"/>
      <c r="M24829" s="85"/>
    </row>
    <row r="24830" spans="9:13" x14ac:dyDescent="0.3">
      <c r="I24830" s="82"/>
      <c r="M24830" s="85"/>
    </row>
    <row r="24831" spans="9:13" x14ac:dyDescent="0.3">
      <c r="I24831" s="82"/>
      <c r="M24831" s="85"/>
    </row>
    <row r="24832" spans="9:13" x14ac:dyDescent="0.3">
      <c r="I24832" s="82"/>
      <c r="M24832" s="85"/>
    </row>
    <row r="24833" spans="9:13" x14ac:dyDescent="0.3">
      <c r="I24833" s="82"/>
      <c r="M24833" s="85"/>
    </row>
    <row r="24834" spans="9:13" x14ac:dyDescent="0.3">
      <c r="I24834" s="82"/>
      <c r="M24834" s="85"/>
    </row>
    <row r="24835" spans="9:13" x14ac:dyDescent="0.3">
      <c r="I24835" s="82"/>
      <c r="M24835" s="85"/>
    </row>
    <row r="24836" spans="9:13" x14ac:dyDescent="0.3">
      <c r="I24836" s="82"/>
      <c r="M24836" s="85"/>
    </row>
    <row r="24837" spans="9:13" x14ac:dyDescent="0.3">
      <c r="I24837" s="82"/>
      <c r="M24837" s="85"/>
    </row>
    <row r="24838" spans="9:13" x14ac:dyDescent="0.3">
      <c r="I24838" s="82"/>
      <c r="M24838" s="85"/>
    </row>
    <row r="24839" spans="9:13" x14ac:dyDescent="0.3">
      <c r="I24839" s="82"/>
      <c r="M24839" s="85"/>
    </row>
    <row r="24840" spans="9:13" x14ac:dyDescent="0.3">
      <c r="I24840" s="82"/>
      <c r="M24840" s="85"/>
    </row>
    <row r="24841" spans="9:13" x14ac:dyDescent="0.3">
      <c r="I24841" s="82"/>
      <c r="M24841" s="85"/>
    </row>
    <row r="24842" spans="9:13" x14ac:dyDescent="0.3">
      <c r="I24842" s="82"/>
      <c r="M24842" s="85"/>
    </row>
    <row r="24843" spans="9:13" x14ac:dyDescent="0.3">
      <c r="I24843" s="82"/>
      <c r="M24843" s="85"/>
    </row>
    <row r="24844" spans="9:13" x14ac:dyDescent="0.3">
      <c r="I24844" s="82"/>
      <c r="M24844" s="85"/>
    </row>
    <row r="24845" spans="9:13" x14ac:dyDescent="0.3">
      <c r="I24845" s="82"/>
      <c r="M24845" s="85"/>
    </row>
    <row r="24846" spans="9:13" x14ac:dyDescent="0.3">
      <c r="I24846" s="82"/>
      <c r="M24846" s="85"/>
    </row>
    <row r="24847" spans="9:13" x14ac:dyDescent="0.3">
      <c r="I24847" s="82"/>
      <c r="M24847" s="85"/>
    </row>
    <row r="24848" spans="9:13" x14ac:dyDescent="0.3">
      <c r="I24848" s="82"/>
      <c r="M24848" s="85"/>
    </row>
    <row r="24849" spans="9:13" x14ac:dyDescent="0.3">
      <c r="I24849" s="82"/>
      <c r="M24849" s="85"/>
    </row>
    <row r="24850" spans="9:13" x14ac:dyDescent="0.3">
      <c r="I24850" s="82"/>
      <c r="M24850" s="85"/>
    </row>
    <row r="24851" spans="9:13" x14ac:dyDescent="0.3">
      <c r="I24851" s="82"/>
      <c r="M24851" s="85"/>
    </row>
    <row r="24852" spans="9:13" x14ac:dyDescent="0.3">
      <c r="I24852" s="82"/>
      <c r="M24852" s="85"/>
    </row>
    <row r="24853" spans="9:13" x14ac:dyDescent="0.3">
      <c r="I24853" s="82"/>
      <c r="M24853" s="85"/>
    </row>
    <row r="24854" spans="9:13" x14ac:dyDescent="0.3">
      <c r="I24854" s="82"/>
      <c r="M24854" s="85"/>
    </row>
    <row r="24855" spans="9:13" x14ac:dyDescent="0.3">
      <c r="I24855" s="82"/>
      <c r="M24855" s="85"/>
    </row>
    <row r="24856" spans="9:13" x14ac:dyDescent="0.3">
      <c r="I24856" s="82"/>
      <c r="M24856" s="85"/>
    </row>
    <row r="24857" spans="9:13" x14ac:dyDescent="0.3">
      <c r="I24857" s="82"/>
      <c r="M24857" s="85"/>
    </row>
    <row r="24858" spans="9:13" x14ac:dyDescent="0.3">
      <c r="I24858" s="82"/>
      <c r="M24858" s="85"/>
    </row>
    <row r="24859" spans="9:13" x14ac:dyDescent="0.3">
      <c r="I24859" s="82"/>
      <c r="M24859" s="85"/>
    </row>
    <row r="24860" spans="9:13" x14ac:dyDescent="0.3">
      <c r="I24860" s="82"/>
      <c r="M24860" s="85"/>
    </row>
    <row r="24861" spans="9:13" x14ac:dyDescent="0.3">
      <c r="I24861" s="82"/>
      <c r="M24861" s="85"/>
    </row>
    <row r="24862" spans="9:13" x14ac:dyDescent="0.3">
      <c r="I24862" s="82"/>
      <c r="M24862" s="85"/>
    </row>
    <row r="24863" spans="9:13" x14ac:dyDescent="0.3">
      <c r="I24863" s="82"/>
      <c r="M24863" s="85"/>
    </row>
    <row r="24864" spans="9:13" x14ac:dyDescent="0.3">
      <c r="I24864" s="82"/>
      <c r="M24864" s="85"/>
    </row>
    <row r="24865" spans="9:13" x14ac:dyDescent="0.3">
      <c r="I24865" s="82"/>
      <c r="M24865" s="85"/>
    </row>
    <row r="24866" spans="9:13" x14ac:dyDescent="0.3">
      <c r="I24866" s="82"/>
      <c r="M24866" s="85"/>
    </row>
    <row r="24867" spans="9:13" x14ac:dyDescent="0.3">
      <c r="I24867" s="82"/>
      <c r="M24867" s="85"/>
    </row>
    <row r="24868" spans="9:13" x14ac:dyDescent="0.3">
      <c r="I24868" s="82"/>
      <c r="M24868" s="85"/>
    </row>
    <row r="24869" spans="9:13" x14ac:dyDescent="0.3">
      <c r="I24869" s="82"/>
      <c r="M24869" s="85"/>
    </row>
    <row r="24870" spans="9:13" x14ac:dyDescent="0.3">
      <c r="I24870" s="82"/>
      <c r="M24870" s="85"/>
    </row>
    <row r="24871" spans="9:13" x14ac:dyDescent="0.3">
      <c r="I24871" s="82"/>
      <c r="M24871" s="85"/>
    </row>
    <row r="24872" spans="9:13" x14ac:dyDescent="0.3">
      <c r="I24872" s="82"/>
      <c r="M24872" s="85"/>
    </row>
    <row r="24873" spans="9:13" x14ac:dyDescent="0.3">
      <c r="I24873" s="82"/>
      <c r="M24873" s="85"/>
    </row>
    <row r="24874" spans="9:13" x14ac:dyDescent="0.3">
      <c r="I24874" s="82"/>
      <c r="M24874" s="85"/>
    </row>
    <row r="24875" spans="9:13" x14ac:dyDescent="0.3">
      <c r="I24875" s="82"/>
      <c r="M24875" s="85"/>
    </row>
    <row r="24876" spans="9:13" x14ac:dyDescent="0.3">
      <c r="I24876" s="82"/>
      <c r="M24876" s="85"/>
    </row>
    <row r="24877" spans="9:13" x14ac:dyDescent="0.3">
      <c r="I24877" s="82"/>
      <c r="M24877" s="85"/>
    </row>
    <row r="24878" spans="9:13" x14ac:dyDescent="0.3">
      <c r="I24878" s="82"/>
      <c r="M24878" s="85"/>
    </row>
    <row r="24879" spans="9:13" x14ac:dyDescent="0.3">
      <c r="I24879" s="82"/>
      <c r="M24879" s="85"/>
    </row>
    <row r="24880" spans="9:13" x14ac:dyDescent="0.3">
      <c r="I24880" s="82"/>
      <c r="M24880" s="85"/>
    </row>
    <row r="24881" spans="9:13" x14ac:dyDescent="0.3">
      <c r="I24881" s="82"/>
      <c r="M24881" s="85"/>
    </row>
    <row r="24882" spans="9:13" x14ac:dyDescent="0.3">
      <c r="I24882" s="82"/>
      <c r="M24882" s="85"/>
    </row>
    <row r="24883" spans="9:13" x14ac:dyDescent="0.3">
      <c r="I24883" s="82"/>
      <c r="M24883" s="85"/>
    </row>
    <row r="24884" spans="9:13" x14ac:dyDescent="0.3">
      <c r="I24884" s="82"/>
      <c r="M24884" s="85"/>
    </row>
    <row r="24885" spans="9:13" x14ac:dyDescent="0.3">
      <c r="I24885" s="82"/>
      <c r="M24885" s="85"/>
    </row>
    <row r="24886" spans="9:13" x14ac:dyDescent="0.3">
      <c r="I24886" s="82"/>
      <c r="M24886" s="85"/>
    </row>
    <row r="24887" spans="9:13" x14ac:dyDescent="0.3">
      <c r="I24887" s="82"/>
      <c r="M24887" s="85"/>
    </row>
    <row r="24888" spans="9:13" x14ac:dyDescent="0.3">
      <c r="I24888" s="82"/>
      <c r="M24888" s="85"/>
    </row>
    <row r="24889" spans="9:13" x14ac:dyDescent="0.3">
      <c r="I24889" s="82"/>
      <c r="M24889" s="85"/>
    </row>
    <row r="24890" spans="9:13" x14ac:dyDescent="0.3">
      <c r="I24890" s="82"/>
      <c r="M24890" s="85"/>
    </row>
    <row r="24891" spans="9:13" x14ac:dyDescent="0.3">
      <c r="I24891" s="82"/>
      <c r="M24891" s="85"/>
    </row>
    <row r="24892" spans="9:13" x14ac:dyDescent="0.3">
      <c r="I24892" s="82"/>
      <c r="M24892" s="85"/>
    </row>
    <row r="24893" spans="9:13" x14ac:dyDescent="0.3">
      <c r="I24893" s="82"/>
      <c r="M24893" s="85"/>
    </row>
    <row r="24894" spans="9:13" x14ac:dyDescent="0.3">
      <c r="I24894" s="82"/>
      <c r="M24894" s="85"/>
    </row>
    <row r="24895" spans="9:13" x14ac:dyDescent="0.3">
      <c r="I24895" s="82"/>
      <c r="M24895" s="85"/>
    </row>
    <row r="24896" spans="9:13" x14ac:dyDescent="0.3">
      <c r="I24896" s="82"/>
      <c r="M24896" s="85"/>
    </row>
    <row r="24897" spans="9:13" x14ac:dyDescent="0.3">
      <c r="I24897" s="82"/>
      <c r="M24897" s="85"/>
    </row>
    <row r="24898" spans="9:13" x14ac:dyDescent="0.3">
      <c r="I24898" s="82"/>
      <c r="M24898" s="85"/>
    </row>
    <row r="24899" spans="9:13" x14ac:dyDescent="0.3">
      <c r="I24899" s="82"/>
      <c r="M24899" s="85"/>
    </row>
    <row r="24900" spans="9:13" x14ac:dyDescent="0.3">
      <c r="I24900" s="82"/>
      <c r="M24900" s="85"/>
    </row>
    <row r="24901" spans="9:13" x14ac:dyDescent="0.3">
      <c r="I24901" s="82"/>
      <c r="M24901" s="85"/>
    </row>
    <row r="24902" spans="9:13" x14ac:dyDescent="0.3">
      <c r="I24902" s="82"/>
      <c r="M24902" s="85"/>
    </row>
    <row r="24903" spans="9:13" x14ac:dyDescent="0.3">
      <c r="I24903" s="82"/>
      <c r="M24903" s="85"/>
    </row>
    <row r="24904" spans="9:13" x14ac:dyDescent="0.3">
      <c r="I24904" s="82"/>
      <c r="M24904" s="85"/>
    </row>
    <row r="24905" spans="9:13" x14ac:dyDescent="0.3">
      <c r="I24905" s="82"/>
      <c r="M24905" s="85"/>
    </row>
    <row r="24906" spans="9:13" x14ac:dyDescent="0.3">
      <c r="I24906" s="82"/>
      <c r="M24906" s="85"/>
    </row>
    <row r="24907" spans="9:13" x14ac:dyDescent="0.3">
      <c r="I24907" s="82"/>
      <c r="M24907" s="85"/>
    </row>
    <row r="24908" spans="9:13" x14ac:dyDescent="0.3">
      <c r="I24908" s="82"/>
      <c r="M24908" s="85"/>
    </row>
    <row r="24909" spans="9:13" x14ac:dyDescent="0.3">
      <c r="I24909" s="82"/>
      <c r="M24909" s="85"/>
    </row>
    <row r="24910" spans="9:13" x14ac:dyDescent="0.3">
      <c r="I24910" s="82"/>
      <c r="M24910" s="85"/>
    </row>
    <row r="24911" spans="9:13" x14ac:dyDescent="0.3">
      <c r="I24911" s="82"/>
      <c r="M24911" s="85"/>
    </row>
    <row r="24912" spans="9:13" x14ac:dyDescent="0.3">
      <c r="I24912" s="82"/>
      <c r="M24912" s="85"/>
    </row>
    <row r="24913" spans="9:13" x14ac:dyDescent="0.3">
      <c r="I24913" s="82"/>
      <c r="M24913" s="85"/>
    </row>
    <row r="24914" spans="9:13" x14ac:dyDescent="0.3">
      <c r="I24914" s="82"/>
      <c r="M24914" s="85"/>
    </row>
    <row r="24915" spans="9:13" x14ac:dyDescent="0.3">
      <c r="I24915" s="82"/>
      <c r="M24915" s="85"/>
    </row>
    <row r="24916" spans="9:13" x14ac:dyDescent="0.3">
      <c r="I24916" s="82"/>
      <c r="M24916" s="85"/>
    </row>
    <row r="24917" spans="9:13" x14ac:dyDescent="0.3">
      <c r="I24917" s="82"/>
      <c r="M24917" s="85"/>
    </row>
    <row r="24918" spans="9:13" x14ac:dyDescent="0.3">
      <c r="I24918" s="82"/>
      <c r="M24918" s="85"/>
    </row>
    <row r="24919" spans="9:13" x14ac:dyDescent="0.3">
      <c r="I24919" s="82"/>
      <c r="M24919" s="85"/>
    </row>
    <row r="24920" spans="9:13" x14ac:dyDescent="0.3">
      <c r="I24920" s="82"/>
      <c r="M24920" s="85"/>
    </row>
    <row r="24921" spans="9:13" x14ac:dyDescent="0.3">
      <c r="I24921" s="82"/>
      <c r="M24921" s="85"/>
    </row>
    <row r="24922" spans="9:13" x14ac:dyDescent="0.3">
      <c r="I24922" s="82"/>
      <c r="M24922" s="85"/>
    </row>
    <row r="24923" spans="9:13" x14ac:dyDescent="0.3">
      <c r="I24923" s="82"/>
      <c r="M24923" s="85"/>
    </row>
    <row r="24924" spans="9:13" x14ac:dyDescent="0.3">
      <c r="I24924" s="82"/>
      <c r="M24924" s="85"/>
    </row>
    <row r="24925" spans="9:13" x14ac:dyDescent="0.3">
      <c r="I24925" s="82"/>
      <c r="M24925" s="85"/>
    </row>
    <row r="24926" spans="9:13" x14ac:dyDescent="0.3">
      <c r="I24926" s="82"/>
      <c r="M24926" s="85"/>
    </row>
    <row r="24927" spans="9:13" x14ac:dyDescent="0.3">
      <c r="I24927" s="82"/>
      <c r="M24927" s="85"/>
    </row>
    <row r="24928" spans="9:13" x14ac:dyDescent="0.3">
      <c r="I24928" s="82"/>
      <c r="M24928" s="85"/>
    </row>
    <row r="24929" spans="9:13" x14ac:dyDescent="0.3">
      <c r="I24929" s="82"/>
      <c r="M24929" s="85"/>
    </row>
    <row r="24930" spans="9:13" x14ac:dyDescent="0.3">
      <c r="I24930" s="82"/>
      <c r="M24930" s="85"/>
    </row>
    <row r="24931" spans="9:13" x14ac:dyDescent="0.3">
      <c r="I24931" s="82"/>
      <c r="M24931" s="85"/>
    </row>
    <row r="24932" spans="9:13" x14ac:dyDescent="0.3">
      <c r="I24932" s="82"/>
      <c r="M24932" s="85"/>
    </row>
    <row r="24933" spans="9:13" x14ac:dyDescent="0.3">
      <c r="I24933" s="82"/>
      <c r="M24933" s="85"/>
    </row>
    <row r="24934" spans="9:13" x14ac:dyDescent="0.3">
      <c r="I24934" s="82"/>
      <c r="M24934" s="85"/>
    </row>
    <row r="24935" spans="9:13" x14ac:dyDescent="0.3">
      <c r="I24935" s="82"/>
      <c r="M24935" s="85"/>
    </row>
    <row r="24936" spans="9:13" x14ac:dyDescent="0.3">
      <c r="I24936" s="82"/>
      <c r="M24936" s="85"/>
    </row>
    <row r="24937" spans="9:13" x14ac:dyDescent="0.3">
      <c r="I24937" s="82"/>
      <c r="M24937" s="85"/>
    </row>
    <row r="24938" spans="9:13" x14ac:dyDescent="0.3">
      <c r="I24938" s="82"/>
      <c r="M24938" s="85"/>
    </row>
    <row r="24939" spans="9:13" x14ac:dyDescent="0.3">
      <c r="I24939" s="82"/>
      <c r="M24939" s="85"/>
    </row>
    <row r="24940" spans="9:13" x14ac:dyDescent="0.3">
      <c r="I24940" s="82"/>
      <c r="M24940" s="85"/>
    </row>
    <row r="24941" spans="9:13" x14ac:dyDescent="0.3">
      <c r="I24941" s="82"/>
      <c r="M24941" s="85"/>
    </row>
    <row r="24942" spans="9:13" x14ac:dyDescent="0.3">
      <c r="I24942" s="82"/>
      <c r="M24942" s="85"/>
    </row>
    <row r="24943" spans="9:13" x14ac:dyDescent="0.3">
      <c r="I24943" s="82"/>
      <c r="M24943" s="85"/>
    </row>
    <row r="24944" spans="9:13" x14ac:dyDescent="0.3">
      <c r="I24944" s="82"/>
      <c r="M24944" s="85"/>
    </row>
    <row r="24945" spans="9:13" x14ac:dyDescent="0.3">
      <c r="I24945" s="82"/>
      <c r="M24945" s="85"/>
    </row>
    <row r="24946" spans="9:13" x14ac:dyDescent="0.3">
      <c r="I24946" s="82"/>
      <c r="M24946" s="85"/>
    </row>
    <row r="24947" spans="9:13" x14ac:dyDescent="0.3">
      <c r="I24947" s="82"/>
      <c r="M24947" s="85"/>
    </row>
    <row r="24948" spans="9:13" x14ac:dyDescent="0.3">
      <c r="I24948" s="82"/>
      <c r="M24948" s="85"/>
    </row>
    <row r="24949" spans="9:13" x14ac:dyDescent="0.3">
      <c r="I24949" s="82"/>
      <c r="M24949" s="85"/>
    </row>
    <row r="24950" spans="9:13" x14ac:dyDescent="0.3">
      <c r="I24950" s="82"/>
      <c r="M24950" s="85"/>
    </row>
    <row r="24951" spans="9:13" x14ac:dyDescent="0.3">
      <c r="I24951" s="82"/>
      <c r="M24951" s="85"/>
    </row>
    <row r="24952" spans="9:13" x14ac:dyDescent="0.3">
      <c r="I24952" s="82"/>
      <c r="M24952" s="85"/>
    </row>
    <row r="24953" spans="9:13" x14ac:dyDescent="0.3">
      <c r="I24953" s="82"/>
      <c r="M24953" s="85"/>
    </row>
    <row r="24954" spans="9:13" x14ac:dyDescent="0.3">
      <c r="I24954" s="82"/>
      <c r="M24954" s="85"/>
    </row>
    <row r="24955" spans="9:13" x14ac:dyDescent="0.3">
      <c r="I24955" s="82"/>
      <c r="M24955" s="85"/>
    </row>
    <row r="24956" spans="9:13" x14ac:dyDescent="0.3">
      <c r="I24956" s="82"/>
      <c r="M24956" s="85"/>
    </row>
    <row r="24957" spans="9:13" x14ac:dyDescent="0.3">
      <c r="I24957" s="82"/>
      <c r="M24957" s="85"/>
    </row>
    <row r="24958" spans="9:13" x14ac:dyDescent="0.3">
      <c r="I24958" s="82"/>
      <c r="M24958" s="85"/>
    </row>
    <row r="24959" spans="9:13" x14ac:dyDescent="0.3">
      <c r="I24959" s="82"/>
      <c r="M24959" s="85"/>
    </row>
    <row r="24960" spans="9:13" x14ac:dyDescent="0.3">
      <c r="I24960" s="82"/>
      <c r="M24960" s="85"/>
    </row>
    <row r="24961" spans="9:13" x14ac:dyDescent="0.3">
      <c r="I24961" s="82"/>
      <c r="M24961" s="85"/>
    </row>
    <row r="24962" spans="9:13" x14ac:dyDescent="0.3">
      <c r="I24962" s="82"/>
      <c r="M24962" s="85"/>
    </row>
    <row r="24963" spans="9:13" x14ac:dyDescent="0.3">
      <c r="I24963" s="82"/>
      <c r="M24963" s="85"/>
    </row>
    <row r="24964" spans="9:13" x14ac:dyDescent="0.3">
      <c r="I24964" s="82"/>
      <c r="M24964" s="85"/>
    </row>
    <row r="24965" spans="9:13" x14ac:dyDescent="0.3">
      <c r="I24965" s="82"/>
      <c r="M24965" s="85"/>
    </row>
    <row r="24966" spans="9:13" x14ac:dyDescent="0.3">
      <c r="I24966" s="82"/>
      <c r="M24966" s="85"/>
    </row>
    <row r="24967" spans="9:13" x14ac:dyDescent="0.3">
      <c r="I24967" s="82"/>
      <c r="M24967" s="85"/>
    </row>
    <row r="24968" spans="9:13" x14ac:dyDescent="0.3">
      <c r="I24968" s="82"/>
      <c r="M24968" s="85"/>
    </row>
    <row r="24969" spans="9:13" x14ac:dyDescent="0.3">
      <c r="I24969" s="82"/>
      <c r="M24969" s="85"/>
    </row>
    <row r="24970" spans="9:13" x14ac:dyDescent="0.3">
      <c r="I24970" s="82"/>
      <c r="M24970" s="85"/>
    </row>
    <row r="24971" spans="9:13" x14ac:dyDescent="0.3">
      <c r="I24971" s="82"/>
      <c r="M24971" s="85"/>
    </row>
    <row r="24972" spans="9:13" x14ac:dyDescent="0.3">
      <c r="I24972" s="82"/>
      <c r="M24972" s="85"/>
    </row>
    <row r="24973" spans="9:13" x14ac:dyDescent="0.3">
      <c r="I24973" s="82"/>
      <c r="M24973" s="85"/>
    </row>
    <row r="24974" spans="9:13" x14ac:dyDescent="0.3">
      <c r="I24974" s="82"/>
      <c r="M24974" s="85"/>
    </row>
    <row r="24975" spans="9:13" x14ac:dyDescent="0.3">
      <c r="I24975" s="82"/>
      <c r="M24975" s="85"/>
    </row>
    <row r="24976" spans="9:13" x14ac:dyDescent="0.3">
      <c r="I24976" s="82"/>
      <c r="M24976" s="85"/>
    </row>
    <row r="24977" spans="9:13" x14ac:dyDescent="0.3">
      <c r="I24977" s="82"/>
      <c r="M24977" s="85"/>
    </row>
    <row r="24978" spans="9:13" x14ac:dyDescent="0.3">
      <c r="I24978" s="82"/>
      <c r="M24978" s="85"/>
    </row>
    <row r="24979" spans="9:13" x14ac:dyDescent="0.3">
      <c r="I24979" s="82"/>
      <c r="M24979" s="85"/>
    </row>
    <row r="24980" spans="9:13" x14ac:dyDescent="0.3">
      <c r="I24980" s="82"/>
      <c r="M24980" s="85"/>
    </row>
    <row r="24981" spans="9:13" x14ac:dyDescent="0.3">
      <c r="I24981" s="82"/>
      <c r="M24981" s="85"/>
    </row>
    <row r="24982" spans="9:13" x14ac:dyDescent="0.3">
      <c r="I24982" s="82"/>
      <c r="M24982" s="85"/>
    </row>
    <row r="24983" spans="9:13" x14ac:dyDescent="0.3">
      <c r="I24983" s="82"/>
      <c r="M24983" s="85"/>
    </row>
    <row r="24984" spans="9:13" x14ac:dyDescent="0.3">
      <c r="I24984" s="82"/>
      <c r="M24984" s="85"/>
    </row>
    <row r="24985" spans="9:13" x14ac:dyDescent="0.3">
      <c r="I24985" s="82"/>
      <c r="M24985" s="85"/>
    </row>
    <row r="24986" spans="9:13" x14ac:dyDescent="0.3">
      <c r="I24986" s="82"/>
      <c r="M24986" s="85"/>
    </row>
    <row r="24987" spans="9:13" x14ac:dyDescent="0.3">
      <c r="I24987" s="82"/>
      <c r="M24987" s="85"/>
    </row>
    <row r="24988" spans="9:13" x14ac:dyDescent="0.3">
      <c r="I24988" s="82"/>
      <c r="M24988" s="85"/>
    </row>
    <row r="24989" spans="9:13" x14ac:dyDescent="0.3">
      <c r="I24989" s="82"/>
      <c r="M24989" s="85"/>
    </row>
    <row r="24990" spans="9:13" x14ac:dyDescent="0.3">
      <c r="I24990" s="82"/>
      <c r="M24990" s="85"/>
    </row>
    <row r="24991" spans="9:13" x14ac:dyDescent="0.3">
      <c r="I24991" s="82"/>
      <c r="M24991" s="85"/>
    </row>
    <row r="24992" spans="9:13" x14ac:dyDescent="0.3">
      <c r="I24992" s="82"/>
      <c r="M24992" s="85"/>
    </row>
    <row r="24993" spans="9:13" x14ac:dyDescent="0.3">
      <c r="I24993" s="82"/>
      <c r="M24993" s="85"/>
    </row>
    <row r="24994" spans="9:13" x14ac:dyDescent="0.3">
      <c r="I24994" s="82"/>
      <c r="M24994" s="85"/>
    </row>
    <row r="24995" spans="9:13" x14ac:dyDescent="0.3">
      <c r="I24995" s="82"/>
      <c r="M24995" s="85"/>
    </row>
    <row r="24996" spans="9:13" x14ac:dyDescent="0.3">
      <c r="I24996" s="82"/>
      <c r="M24996" s="85"/>
    </row>
    <row r="24997" spans="9:13" x14ac:dyDescent="0.3">
      <c r="I24997" s="82"/>
      <c r="M24997" s="85"/>
    </row>
    <row r="24998" spans="9:13" x14ac:dyDescent="0.3">
      <c r="I24998" s="82"/>
      <c r="M24998" s="85"/>
    </row>
    <row r="24999" spans="9:13" x14ac:dyDescent="0.3">
      <c r="I24999" s="82"/>
      <c r="M24999" s="85"/>
    </row>
    <row r="25000" spans="9:13" x14ac:dyDescent="0.3">
      <c r="I25000" s="82"/>
      <c r="M25000" s="85"/>
    </row>
    <row r="25001" spans="9:13" x14ac:dyDescent="0.3">
      <c r="I25001" s="82"/>
      <c r="M25001" s="85"/>
    </row>
    <row r="25002" spans="9:13" x14ac:dyDescent="0.3">
      <c r="I25002" s="82"/>
      <c r="M25002" s="85"/>
    </row>
    <row r="25003" spans="9:13" x14ac:dyDescent="0.3">
      <c r="I25003" s="82"/>
      <c r="M25003" s="85"/>
    </row>
    <row r="25004" spans="9:13" x14ac:dyDescent="0.3">
      <c r="I25004" s="82"/>
      <c r="M25004" s="85"/>
    </row>
    <row r="25005" spans="9:13" x14ac:dyDescent="0.3">
      <c r="I25005" s="82"/>
      <c r="M25005" s="85"/>
    </row>
    <row r="25006" spans="9:13" x14ac:dyDescent="0.3">
      <c r="I25006" s="82"/>
      <c r="M25006" s="85"/>
    </row>
    <row r="25007" spans="9:13" x14ac:dyDescent="0.3">
      <c r="I25007" s="82"/>
      <c r="M25007" s="85"/>
    </row>
    <row r="25008" spans="9:13" x14ac:dyDescent="0.3">
      <c r="I25008" s="82"/>
      <c r="M25008" s="85"/>
    </row>
    <row r="25009" spans="9:13" x14ac:dyDescent="0.3">
      <c r="I25009" s="82"/>
      <c r="M25009" s="85"/>
    </row>
    <row r="25010" spans="9:13" x14ac:dyDescent="0.3">
      <c r="I25010" s="82"/>
      <c r="M25010" s="85"/>
    </row>
    <row r="25011" spans="9:13" x14ac:dyDescent="0.3">
      <c r="I25011" s="82"/>
      <c r="M25011" s="85"/>
    </row>
    <row r="25012" spans="9:13" x14ac:dyDescent="0.3">
      <c r="I25012" s="82"/>
      <c r="M25012" s="85"/>
    </row>
    <row r="25013" spans="9:13" x14ac:dyDescent="0.3">
      <c r="I25013" s="82"/>
      <c r="M25013" s="85"/>
    </row>
    <row r="25014" spans="9:13" x14ac:dyDescent="0.3">
      <c r="I25014" s="82"/>
      <c r="M25014" s="85"/>
    </row>
    <row r="25015" spans="9:13" x14ac:dyDescent="0.3">
      <c r="I25015" s="82"/>
      <c r="M25015" s="85"/>
    </row>
    <row r="25016" spans="9:13" x14ac:dyDescent="0.3">
      <c r="I25016" s="82"/>
      <c r="M25016" s="85"/>
    </row>
    <row r="25017" spans="9:13" x14ac:dyDescent="0.3">
      <c r="I25017" s="82"/>
      <c r="M25017" s="85"/>
    </row>
    <row r="25018" spans="9:13" x14ac:dyDescent="0.3">
      <c r="I25018" s="82"/>
      <c r="M25018" s="85"/>
    </row>
    <row r="25019" spans="9:13" x14ac:dyDescent="0.3">
      <c r="I25019" s="82"/>
      <c r="M25019" s="85"/>
    </row>
    <row r="25020" spans="9:13" x14ac:dyDescent="0.3">
      <c r="I25020" s="82"/>
      <c r="M25020" s="85"/>
    </row>
    <row r="25021" spans="9:13" x14ac:dyDescent="0.3">
      <c r="I25021" s="82"/>
      <c r="M25021" s="85"/>
    </row>
    <row r="25022" spans="9:13" x14ac:dyDescent="0.3">
      <c r="I25022" s="82"/>
      <c r="M25022" s="85"/>
    </row>
    <row r="25023" spans="9:13" x14ac:dyDescent="0.3">
      <c r="I25023" s="82"/>
      <c r="M25023" s="85"/>
    </row>
    <row r="25024" spans="9:13" x14ac:dyDescent="0.3">
      <c r="I25024" s="82"/>
      <c r="M25024" s="85"/>
    </row>
    <row r="25025" spans="9:13" x14ac:dyDescent="0.3">
      <c r="I25025" s="82"/>
      <c r="M25025" s="85"/>
    </row>
    <row r="25026" spans="9:13" x14ac:dyDescent="0.3">
      <c r="I25026" s="82"/>
      <c r="M25026" s="85"/>
    </row>
    <row r="25027" spans="9:13" x14ac:dyDescent="0.3">
      <c r="I25027" s="82"/>
      <c r="M25027" s="85"/>
    </row>
    <row r="25028" spans="9:13" x14ac:dyDescent="0.3">
      <c r="I25028" s="82"/>
      <c r="M25028" s="85"/>
    </row>
    <row r="25029" spans="9:13" x14ac:dyDescent="0.3">
      <c r="I25029" s="82"/>
      <c r="M25029" s="85"/>
    </row>
    <row r="25030" spans="9:13" x14ac:dyDescent="0.3">
      <c r="I25030" s="82"/>
      <c r="M25030" s="85"/>
    </row>
    <row r="25031" spans="9:13" x14ac:dyDescent="0.3">
      <c r="I25031" s="82"/>
      <c r="M25031" s="85"/>
    </row>
    <row r="25032" spans="9:13" x14ac:dyDescent="0.3">
      <c r="I25032" s="82"/>
      <c r="M25032" s="85"/>
    </row>
    <row r="25033" spans="9:13" x14ac:dyDescent="0.3">
      <c r="I25033" s="82"/>
      <c r="M25033" s="85"/>
    </row>
    <row r="25034" spans="9:13" x14ac:dyDescent="0.3">
      <c r="I25034" s="82"/>
      <c r="M25034" s="85"/>
    </row>
    <row r="25035" spans="9:13" x14ac:dyDescent="0.3">
      <c r="I25035" s="82"/>
      <c r="M25035" s="85"/>
    </row>
    <row r="25036" spans="9:13" x14ac:dyDescent="0.3">
      <c r="I25036" s="82"/>
      <c r="M25036" s="85"/>
    </row>
    <row r="25037" spans="9:13" x14ac:dyDescent="0.3">
      <c r="I25037" s="82"/>
      <c r="M25037" s="85"/>
    </row>
    <row r="25038" spans="9:13" x14ac:dyDescent="0.3">
      <c r="I25038" s="82"/>
      <c r="M25038" s="85"/>
    </row>
    <row r="25039" spans="9:13" x14ac:dyDescent="0.3">
      <c r="I25039" s="82"/>
      <c r="M25039" s="85"/>
    </row>
    <row r="25040" spans="9:13" x14ac:dyDescent="0.3">
      <c r="I25040" s="82"/>
      <c r="M25040" s="85"/>
    </row>
    <row r="25041" spans="9:13" x14ac:dyDescent="0.3">
      <c r="I25041" s="82"/>
      <c r="M25041" s="85"/>
    </row>
    <row r="25042" spans="9:13" x14ac:dyDescent="0.3">
      <c r="I25042" s="82"/>
      <c r="M25042" s="85"/>
    </row>
    <row r="25043" spans="9:13" x14ac:dyDescent="0.3">
      <c r="I25043" s="82"/>
      <c r="M25043" s="85"/>
    </row>
    <row r="25044" spans="9:13" x14ac:dyDescent="0.3">
      <c r="I25044" s="82"/>
      <c r="M25044" s="85"/>
    </row>
    <row r="25045" spans="9:13" x14ac:dyDescent="0.3">
      <c r="I25045" s="82"/>
      <c r="M25045" s="85"/>
    </row>
    <row r="25046" spans="9:13" x14ac:dyDescent="0.3">
      <c r="I25046" s="82"/>
      <c r="M25046" s="85"/>
    </row>
    <row r="25047" spans="9:13" x14ac:dyDescent="0.3">
      <c r="I25047" s="82"/>
      <c r="M25047" s="85"/>
    </row>
    <row r="25048" spans="9:13" x14ac:dyDescent="0.3">
      <c r="I25048" s="82"/>
      <c r="M25048" s="85"/>
    </row>
    <row r="25049" spans="9:13" x14ac:dyDescent="0.3">
      <c r="I25049" s="82"/>
      <c r="M25049" s="85"/>
    </row>
    <row r="25050" spans="9:13" x14ac:dyDescent="0.3">
      <c r="I25050" s="82"/>
      <c r="M25050" s="85"/>
    </row>
    <row r="25051" spans="9:13" x14ac:dyDescent="0.3">
      <c r="I25051" s="82"/>
      <c r="M25051" s="85"/>
    </row>
    <row r="25052" spans="9:13" x14ac:dyDescent="0.3">
      <c r="I25052" s="82"/>
      <c r="M25052" s="85"/>
    </row>
    <row r="25053" spans="9:13" x14ac:dyDescent="0.3">
      <c r="I25053" s="82"/>
      <c r="M25053" s="85"/>
    </row>
    <row r="25054" spans="9:13" x14ac:dyDescent="0.3">
      <c r="I25054" s="82"/>
      <c r="M25054" s="85"/>
    </row>
    <row r="25055" spans="9:13" x14ac:dyDescent="0.3">
      <c r="I25055" s="82"/>
      <c r="M25055" s="85"/>
    </row>
    <row r="25056" spans="9:13" x14ac:dyDescent="0.3">
      <c r="I25056" s="82"/>
      <c r="M25056" s="85"/>
    </row>
    <row r="25057" spans="9:13" x14ac:dyDescent="0.3">
      <c r="I25057" s="82"/>
      <c r="M25057" s="85"/>
    </row>
    <row r="25058" spans="9:13" x14ac:dyDescent="0.3">
      <c r="I25058" s="82"/>
      <c r="M25058" s="85"/>
    </row>
    <row r="25059" spans="9:13" x14ac:dyDescent="0.3">
      <c r="I25059" s="82"/>
      <c r="M25059" s="85"/>
    </row>
    <row r="25060" spans="9:13" x14ac:dyDescent="0.3">
      <c r="I25060" s="82"/>
      <c r="M25060" s="85"/>
    </row>
    <row r="25061" spans="9:13" x14ac:dyDescent="0.3">
      <c r="I25061" s="82"/>
      <c r="M25061" s="85"/>
    </row>
    <row r="25062" spans="9:13" x14ac:dyDescent="0.3">
      <c r="I25062" s="82"/>
      <c r="M25062" s="85"/>
    </row>
    <row r="25063" spans="9:13" x14ac:dyDescent="0.3">
      <c r="I25063" s="82"/>
      <c r="M25063" s="85"/>
    </row>
    <row r="25064" spans="9:13" x14ac:dyDescent="0.3">
      <c r="I25064" s="82"/>
      <c r="M25064" s="85"/>
    </row>
    <row r="25065" spans="9:13" x14ac:dyDescent="0.3">
      <c r="I25065" s="82"/>
      <c r="M25065" s="85"/>
    </row>
    <row r="25066" spans="9:13" x14ac:dyDescent="0.3">
      <c r="I25066" s="82"/>
      <c r="M25066" s="85"/>
    </row>
    <row r="25067" spans="9:13" x14ac:dyDescent="0.3">
      <c r="I25067" s="82"/>
      <c r="M25067" s="85"/>
    </row>
    <row r="25068" spans="9:13" x14ac:dyDescent="0.3">
      <c r="I25068" s="82"/>
      <c r="M25068" s="85"/>
    </row>
    <row r="25069" spans="9:13" x14ac:dyDescent="0.3">
      <c r="I25069" s="82"/>
      <c r="M25069" s="85"/>
    </row>
    <row r="25070" spans="9:13" x14ac:dyDescent="0.3">
      <c r="I25070" s="82"/>
      <c r="M25070" s="85"/>
    </row>
    <row r="25071" spans="9:13" x14ac:dyDescent="0.3">
      <c r="I25071" s="82"/>
      <c r="M25071" s="85"/>
    </row>
    <row r="25072" spans="9:13" x14ac:dyDescent="0.3">
      <c r="I25072" s="82"/>
      <c r="M25072" s="85"/>
    </row>
    <row r="25073" spans="9:13" x14ac:dyDescent="0.3">
      <c r="I25073" s="82"/>
      <c r="M25073" s="85"/>
    </row>
    <row r="25074" spans="9:13" x14ac:dyDescent="0.3">
      <c r="I25074" s="82"/>
      <c r="M25074" s="85"/>
    </row>
    <row r="25075" spans="9:13" x14ac:dyDescent="0.3">
      <c r="I25075" s="82"/>
      <c r="M25075" s="85"/>
    </row>
    <row r="25076" spans="9:13" x14ac:dyDescent="0.3">
      <c r="I25076" s="82"/>
      <c r="M25076" s="85"/>
    </row>
    <row r="25077" spans="9:13" x14ac:dyDescent="0.3">
      <c r="I25077" s="82"/>
      <c r="M25077" s="85"/>
    </row>
    <row r="25078" spans="9:13" x14ac:dyDescent="0.3">
      <c r="I25078" s="82"/>
      <c r="M25078" s="85"/>
    </row>
    <row r="25079" spans="9:13" x14ac:dyDescent="0.3">
      <c r="I25079" s="82"/>
      <c r="M25079" s="85"/>
    </row>
    <row r="25080" spans="9:13" x14ac:dyDescent="0.3">
      <c r="I25080" s="82"/>
      <c r="M25080" s="85"/>
    </row>
    <row r="25081" spans="9:13" x14ac:dyDescent="0.3">
      <c r="I25081" s="82"/>
      <c r="M25081" s="85"/>
    </row>
    <row r="25082" spans="9:13" x14ac:dyDescent="0.3">
      <c r="I25082" s="82"/>
      <c r="M25082" s="85"/>
    </row>
    <row r="25083" spans="9:13" x14ac:dyDescent="0.3">
      <c r="I25083" s="82"/>
      <c r="M25083" s="85"/>
    </row>
    <row r="25084" spans="9:13" x14ac:dyDescent="0.3">
      <c r="I25084" s="82"/>
      <c r="M25084" s="85"/>
    </row>
    <row r="25085" spans="9:13" x14ac:dyDescent="0.3">
      <c r="I25085" s="82"/>
      <c r="M25085" s="85"/>
    </row>
    <row r="25086" spans="9:13" x14ac:dyDescent="0.3">
      <c r="I25086" s="82"/>
      <c r="M25086" s="85"/>
    </row>
    <row r="25087" spans="9:13" x14ac:dyDescent="0.3">
      <c r="I25087" s="82"/>
      <c r="M25087" s="85"/>
    </row>
    <row r="25088" spans="9:13" x14ac:dyDescent="0.3">
      <c r="I25088" s="82"/>
      <c r="M25088" s="85"/>
    </row>
    <row r="25089" spans="9:13" x14ac:dyDescent="0.3">
      <c r="I25089" s="82"/>
      <c r="M25089" s="85"/>
    </row>
    <row r="25090" spans="9:13" x14ac:dyDescent="0.3">
      <c r="I25090" s="82"/>
      <c r="M25090" s="85"/>
    </row>
    <row r="25091" spans="9:13" x14ac:dyDescent="0.3">
      <c r="I25091" s="82"/>
      <c r="M25091" s="85"/>
    </row>
    <row r="25092" spans="9:13" x14ac:dyDescent="0.3">
      <c r="I25092" s="82"/>
      <c r="M25092" s="85"/>
    </row>
    <row r="25093" spans="9:13" x14ac:dyDescent="0.3">
      <c r="I25093" s="82"/>
      <c r="M25093" s="85"/>
    </row>
    <row r="25094" spans="9:13" x14ac:dyDescent="0.3">
      <c r="I25094" s="82"/>
      <c r="M25094" s="85"/>
    </row>
    <row r="25095" spans="9:13" x14ac:dyDescent="0.3">
      <c r="I25095" s="82"/>
      <c r="M25095" s="85"/>
    </row>
    <row r="25096" spans="9:13" x14ac:dyDescent="0.3">
      <c r="I25096" s="82"/>
      <c r="M25096" s="85"/>
    </row>
    <row r="25097" spans="9:13" x14ac:dyDescent="0.3">
      <c r="I25097" s="82"/>
      <c r="M25097" s="85"/>
    </row>
    <row r="25098" spans="9:13" x14ac:dyDescent="0.3">
      <c r="I25098" s="82"/>
      <c r="M25098" s="85"/>
    </row>
    <row r="25099" spans="9:13" x14ac:dyDescent="0.3">
      <c r="I25099" s="82"/>
      <c r="M25099" s="85"/>
    </row>
    <row r="25100" spans="9:13" x14ac:dyDescent="0.3">
      <c r="I25100" s="82"/>
      <c r="M25100" s="85"/>
    </row>
    <row r="25101" spans="9:13" x14ac:dyDescent="0.3">
      <c r="I25101" s="82"/>
      <c r="M25101" s="85"/>
    </row>
    <row r="25102" spans="9:13" x14ac:dyDescent="0.3">
      <c r="I25102" s="82"/>
      <c r="M25102" s="85"/>
    </row>
    <row r="25103" spans="9:13" x14ac:dyDescent="0.3">
      <c r="I25103" s="82"/>
      <c r="M25103" s="85"/>
    </row>
    <row r="25104" spans="9:13" x14ac:dyDescent="0.3">
      <c r="I25104" s="82"/>
      <c r="M25104" s="85"/>
    </row>
    <row r="25105" spans="9:13" x14ac:dyDescent="0.3">
      <c r="I25105" s="82"/>
      <c r="M25105" s="85"/>
    </row>
    <row r="25106" spans="9:13" x14ac:dyDescent="0.3">
      <c r="I25106" s="82"/>
      <c r="M25106" s="85"/>
    </row>
    <row r="25107" spans="9:13" x14ac:dyDescent="0.3">
      <c r="I25107" s="82"/>
      <c r="M25107" s="85"/>
    </row>
    <row r="25108" spans="9:13" x14ac:dyDescent="0.3">
      <c r="I25108" s="82"/>
      <c r="M25108" s="85"/>
    </row>
    <row r="25109" spans="9:13" x14ac:dyDescent="0.3">
      <c r="I25109" s="82"/>
      <c r="M25109" s="85"/>
    </row>
    <row r="25110" spans="9:13" x14ac:dyDescent="0.3">
      <c r="I25110" s="82"/>
      <c r="M25110" s="85"/>
    </row>
    <row r="25111" spans="9:13" x14ac:dyDescent="0.3">
      <c r="I25111" s="82"/>
      <c r="M25111" s="85"/>
    </row>
    <row r="25112" spans="9:13" x14ac:dyDescent="0.3">
      <c r="I25112" s="82"/>
      <c r="M25112" s="85"/>
    </row>
    <row r="25113" spans="9:13" x14ac:dyDescent="0.3">
      <c r="I25113" s="82"/>
      <c r="M25113" s="85"/>
    </row>
    <row r="25114" spans="9:13" x14ac:dyDescent="0.3">
      <c r="I25114" s="82"/>
      <c r="M25114" s="85"/>
    </row>
    <row r="25115" spans="9:13" x14ac:dyDescent="0.3">
      <c r="I25115" s="82"/>
      <c r="M25115" s="85"/>
    </row>
    <row r="25116" spans="9:13" x14ac:dyDescent="0.3">
      <c r="I25116" s="82"/>
      <c r="M25116" s="85"/>
    </row>
    <row r="25117" spans="9:13" x14ac:dyDescent="0.3">
      <c r="I25117" s="82"/>
      <c r="M25117" s="85"/>
    </row>
    <row r="25118" spans="9:13" x14ac:dyDescent="0.3">
      <c r="I25118" s="82"/>
      <c r="M25118" s="85"/>
    </row>
    <row r="25119" spans="9:13" x14ac:dyDescent="0.3">
      <c r="I25119" s="82"/>
      <c r="M25119" s="85"/>
    </row>
    <row r="25120" spans="9:13" x14ac:dyDescent="0.3">
      <c r="I25120" s="82"/>
      <c r="M25120" s="85"/>
    </row>
    <row r="25121" spans="9:13" x14ac:dyDescent="0.3">
      <c r="I25121" s="82"/>
      <c r="M25121" s="85"/>
    </row>
    <row r="25122" spans="9:13" x14ac:dyDescent="0.3">
      <c r="I25122" s="82"/>
      <c r="M25122" s="85"/>
    </row>
    <row r="25123" spans="9:13" x14ac:dyDescent="0.3">
      <c r="I25123" s="82"/>
      <c r="M25123" s="85"/>
    </row>
    <row r="25124" spans="9:13" x14ac:dyDescent="0.3">
      <c r="I25124" s="82"/>
      <c r="M25124" s="85"/>
    </row>
    <row r="25125" spans="9:13" x14ac:dyDescent="0.3">
      <c r="I25125" s="82"/>
      <c r="M25125" s="85"/>
    </row>
    <row r="25126" spans="9:13" x14ac:dyDescent="0.3">
      <c r="I25126" s="82"/>
      <c r="M25126" s="85"/>
    </row>
    <row r="25127" spans="9:13" x14ac:dyDescent="0.3">
      <c r="I25127" s="82"/>
      <c r="M25127" s="85"/>
    </row>
    <row r="25128" spans="9:13" x14ac:dyDescent="0.3">
      <c r="I25128" s="82"/>
      <c r="M25128" s="85"/>
    </row>
    <row r="25129" spans="9:13" x14ac:dyDescent="0.3">
      <c r="I25129" s="82"/>
      <c r="M25129" s="85"/>
    </row>
    <row r="25130" spans="9:13" x14ac:dyDescent="0.3">
      <c r="I25130" s="82"/>
      <c r="M25130" s="85"/>
    </row>
    <row r="25131" spans="9:13" x14ac:dyDescent="0.3">
      <c r="I25131" s="82"/>
      <c r="M25131" s="85"/>
    </row>
    <row r="25132" spans="9:13" x14ac:dyDescent="0.3">
      <c r="I25132" s="82"/>
      <c r="M25132" s="85"/>
    </row>
    <row r="25133" spans="9:13" x14ac:dyDescent="0.3">
      <c r="I25133" s="82"/>
      <c r="M25133" s="85"/>
    </row>
    <row r="25134" spans="9:13" x14ac:dyDescent="0.3">
      <c r="I25134" s="82"/>
      <c r="M25134" s="85"/>
    </row>
    <row r="25135" spans="9:13" x14ac:dyDescent="0.3">
      <c r="I25135" s="82"/>
      <c r="M25135" s="85"/>
    </row>
    <row r="25136" spans="9:13" x14ac:dyDescent="0.3">
      <c r="I25136" s="82"/>
      <c r="M25136" s="85"/>
    </row>
    <row r="25137" spans="9:13" x14ac:dyDescent="0.3">
      <c r="I25137" s="82"/>
      <c r="M25137" s="85"/>
    </row>
    <row r="25138" spans="9:13" x14ac:dyDescent="0.3">
      <c r="I25138" s="82"/>
      <c r="M25138" s="85"/>
    </row>
    <row r="25139" spans="9:13" x14ac:dyDescent="0.3">
      <c r="I25139" s="82"/>
      <c r="M25139" s="85"/>
    </row>
    <row r="25140" spans="9:13" x14ac:dyDescent="0.3">
      <c r="I25140" s="82"/>
      <c r="M25140" s="85"/>
    </row>
    <row r="25141" spans="9:13" x14ac:dyDescent="0.3">
      <c r="I25141" s="82"/>
      <c r="M25141" s="85"/>
    </row>
    <row r="25142" spans="9:13" x14ac:dyDescent="0.3">
      <c r="I25142" s="82"/>
      <c r="M25142" s="85"/>
    </row>
    <row r="25143" spans="9:13" x14ac:dyDescent="0.3">
      <c r="I25143" s="82"/>
      <c r="M25143" s="85"/>
    </row>
    <row r="25144" spans="9:13" x14ac:dyDescent="0.3">
      <c r="I25144" s="82"/>
      <c r="M25144" s="85"/>
    </row>
    <row r="25145" spans="9:13" x14ac:dyDescent="0.3">
      <c r="I25145" s="82"/>
      <c r="M25145" s="85"/>
    </row>
    <row r="25146" spans="9:13" x14ac:dyDescent="0.3">
      <c r="I25146" s="82"/>
      <c r="M25146" s="85"/>
    </row>
    <row r="25147" spans="9:13" x14ac:dyDescent="0.3">
      <c r="I25147" s="82"/>
      <c r="M25147" s="85"/>
    </row>
    <row r="25148" spans="9:13" x14ac:dyDescent="0.3">
      <c r="I25148" s="82"/>
      <c r="M25148" s="85"/>
    </row>
    <row r="25149" spans="9:13" x14ac:dyDescent="0.3">
      <c r="I25149" s="82"/>
      <c r="M25149" s="85"/>
    </row>
    <row r="25150" spans="9:13" x14ac:dyDescent="0.3">
      <c r="I25150" s="82"/>
      <c r="M25150" s="85"/>
    </row>
    <row r="25151" spans="9:13" x14ac:dyDescent="0.3">
      <c r="I25151" s="82"/>
      <c r="M25151" s="85"/>
    </row>
    <row r="25152" spans="9:13" x14ac:dyDescent="0.3">
      <c r="I25152" s="82"/>
      <c r="M25152" s="85"/>
    </row>
    <row r="25153" spans="9:13" x14ac:dyDescent="0.3">
      <c r="I25153" s="82"/>
      <c r="M25153" s="85"/>
    </row>
    <row r="25154" spans="9:13" x14ac:dyDescent="0.3">
      <c r="I25154" s="82"/>
      <c r="M25154" s="85"/>
    </row>
    <row r="25155" spans="9:13" x14ac:dyDescent="0.3">
      <c r="I25155" s="82"/>
      <c r="M25155" s="85"/>
    </row>
    <row r="25156" spans="9:13" x14ac:dyDescent="0.3">
      <c r="I25156" s="82"/>
      <c r="M25156" s="85"/>
    </row>
    <row r="25157" spans="9:13" x14ac:dyDescent="0.3">
      <c r="I25157" s="82"/>
      <c r="M25157" s="85"/>
    </row>
    <row r="25158" spans="9:13" x14ac:dyDescent="0.3">
      <c r="I25158" s="82"/>
      <c r="M25158" s="85"/>
    </row>
    <row r="25159" spans="9:13" x14ac:dyDescent="0.3">
      <c r="I25159" s="82"/>
      <c r="M25159" s="85"/>
    </row>
    <row r="25160" spans="9:13" x14ac:dyDescent="0.3">
      <c r="I25160" s="82"/>
      <c r="M25160" s="85"/>
    </row>
    <row r="25161" spans="9:13" x14ac:dyDescent="0.3">
      <c r="I25161" s="82"/>
      <c r="M25161" s="85"/>
    </row>
    <row r="25162" spans="9:13" x14ac:dyDescent="0.3">
      <c r="I25162" s="82"/>
      <c r="M25162" s="85"/>
    </row>
    <row r="25163" spans="9:13" x14ac:dyDescent="0.3">
      <c r="I25163" s="82"/>
      <c r="M25163" s="85"/>
    </row>
    <row r="25164" spans="9:13" x14ac:dyDescent="0.3">
      <c r="I25164" s="82"/>
      <c r="M25164" s="85"/>
    </row>
    <row r="25165" spans="9:13" x14ac:dyDescent="0.3">
      <c r="I25165" s="82"/>
      <c r="M25165" s="85"/>
    </row>
    <row r="25166" spans="9:13" x14ac:dyDescent="0.3">
      <c r="I25166" s="82"/>
      <c r="M25166" s="85"/>
    </row>
    <row r="25167" spans="9:13" x14ac:dyDescent="0.3">
      <c r="I25167" s="82"/>
      <c r="M25167" s="85"/>
    </row>
    <row r="25168" spans="9:13" x14ac:dyDescent="0.3">
      <c r="I25168" s="82"/>
      <c r="M25168" s="85"/>
    </row>
    <row r="25169" spans="9:13" x14ac:dyDescent="0.3">
      <c r="I25169" s="82"/>
      <c r="M25169" s="85"/>
    </row>
    <row r="25170" spans="9:13" x14ac:dyDescent="0.3">
      <c r="I25170" s="82"/>
      <c r="M25170" s="85"/>
    </row>
    <row r="25171" spans="9:13" x14ac:dyDescent="0.3">
      <c r="I25171" s="82"/>
      <c r="M25171" s="85"/>
    </row>
    <row r="25172" spans="9:13" x14ac:dyDescent="0.3">
      <c r="I25172" s="82"/>
      <c r="M25172" s="85"/>
    </row>
    <row r="25173" spans="9:13" x14ac:dyDescent="0.3">
      <c r="I25173" s="82"/>
      <c r="M25173" s="85"/>
    </row>
    <row r="25174" spans="9:13" x14ac:dyDescent="0.3">
      <c r="I25174" s="82"/>
      <c r="M25174" s="85"/>
    </row>
    <row r="25175" spans="9:13" x14ac:dyDescent="0.3">
      <c r="I25175" s="82"/>
      <c r="M25175" s="85"/>
    </row>
    <row r="25176" spans="9:13" x14ac:dyDescent="0.3">
      <c r="I25176" s="82"/>
      <c r="M25176" s="85"/>
    </row>
    <row r="25177" spans="9:13" x14ac:dyDescent="0.3">
      <c r="I25177" s="82"/>
      <c r="M25177" s="85"/>
    </row>
    <row r="25178" spans="9:13" x14ac:dyDescent="0.3">
      <c r="I25178" s="82"/>
      <c r="M25178" s="85"/>
    </row>
    <row r="25179" spans="9:13" x14ac:dyDescent="0.3">
      <c r="I25179" s="82"/>
      <c r="M25179" s="85"/>
    </row>
    <row r="25180" spans="9:13" x14ac:dyDescent="0.3">
      <c r="I25180" s="82"/>
      <c r="M25180" s="85"/>
    </row>
    <row r="25181" spans="9:13" x14ac:dyDescent="0.3">
      <c r="I25181" s="82"/>
      <c r="M25181" s="85"/>
    </row>
    <row r="25182" spans="9:13" x14ac:dyDescent="0.3">
      <c r="I25182" s="82"/>
      <c r="M25182" s="85"/>
    </row>
    <row r="25183" spans="9:13" x14ac:dyDescent="0.3">
      <c r="I25183" s="82"/>
      <c r="M25183" s="85"/>
    </row>
    <row r="25184" spans="9:13" x14ac:dyDescent="0.3">
      <c r="I25184" s="82"/>
      <c r="M25184" s="85"/>
    </row>
    <row r="25185" spans="9:13" x14ac:dyDescent="0.3">
      <c r="I25185" s="82"/>
      <c r="M25185" s="85"/>
    </row>
    <row r="25186" spans="9:13" x14ac:dyDescent="0.3">
      <c r="I25186" s="82"/>
      <c r="M25186" s="85"/>
    </row>
    <row r="25187" spans="9:13" x14ac:dyDescent="0.3">
      <c r="I25187" s="82"/>
      <c r="M25187" s="85"/>
    </row>
    <row r="25188" spans="9:13" x14ac:dyDescent="0.3">
      <c r="I25188" s="82"/>
      <c r="M25188" s="85"/>
    </row>
    <row r="25189" spans="9:13" x14ac:dyDescent="0.3">
      <c r="I25189" s="82"/>
      <c r="M25189" s="85"/>
    </row>
    <row r="25190" spans="9:13" x14ac:dyDescent="0.3">
      <c r="I25190" s="82"/>
      <c r="M25190" s="85"/>
    </row>
    <row r="25191" spans="9:13" x14ac:dyDescent="0.3">
      <c r="I25191" s="82"/>
      <c r="M25191" s="85"/>
    </row>
    <row r="25192" spans="9:13" x14ac:dyDescent="0.3">
      <c r="I25192" s="82"/>
      <c r="M25192" s="85"/>
    </row>
    <row r="25193" spans="9:13" x14ac:dyDescent="0.3">
      <c r="I25193" s="82"/>
      <c r="M25193" s="85"/>
    </row>
    <row r="25194" spans="9:13" x14ac:dyDescent="0.3">
      <c r="I25194" s="82"/>
      <c r="M25194" s="85"/>
    </row>
    <row r="25195" spans="9:13" x14ac:dyDescent="0.3">
      <c r="I25195" s="82"/>
      <c r="M25195" s="85"/>
    </row>
    <row r="25196" spans="9:13" x14ac:dyDescent="0.3">
      <c r="I25196" s="82"/>
      <c r="M25196" s="85"/>
    </row>
    <row r="25197" spans="9:13" x14ac:dyDescent="0.3">
      <c r="I25197" s="82"/>
      <c r="M25197" s="85"/>
    </row>
    <row r="25198" spans="9:13" x14ac:dyDescent="0.3">
      <c r="I25198" s="82"/>
      <c r="M25198" s="85"/>
    </row>
    <row r="25199" spans="9:13" x14ac:dyDescent="0.3">
      <c r="I25199" s="82"/>
      <c r="M25199" s="85"/>
    </row>
    <row r="25200" spans="9:13" x14ac:dyDescent="0.3">
      <c r="I25200" s="82"/>
      <c r="M25200" s="85"/>
    </row>
    <row r="25201" spans="9:13" x14ac:dyDescent="0.3">
      <c r="I25201" s="82"/>
      <c r="M25201" s="85"/>
    </row>
    <row r="25202" spans="9:13" x14ac:dyDescent="0.3">
      <c r="I25202" s="82"/>
      <c r="M25202" s="85"/>
    </row>
    <row r="25203" spans="9:13" x14ac:dyDescent="0.3">
      <c r="I25203" s="82"/>
      <c r="M25203" s="85"/>
    </row>
    <row r="25204" spans="9:13" x14ac:dyDescent="0.3">
      <c r="I25204" s="82"/>
      <c r="M25204" s="85"/>
    </row>
    <row r="25205" spans="9:13" x14ac:dyDescent="0.3">
      <c r="I25205" s="82"/>
      <c r="M25205" s="85"/>
    </row>
    <row r="25206" spans="9:13" x14ac:dyDescent="0.3">
      <c r="I25206" s="82"/>
      <c r="M25206" s="85"/>
    </row>
    <row r="25207" spans="9:13" x14ac:dyDescent="0.3">
      <c r="I25207" s="82"/>
      <c r="M25207" s="85"/>
    </row>
    <row r="25208" spans="9:13" x14ac:dyDescent="0.3">
      <c r="I25208" s="82"/>
      <c r="M25208" s="85"/>
    </row>
    <row r="25209" spans="9:13" x14ac:dyDescent="0.3">
      <c r="I25209" s="82"/>
      <c r="M25209" s="85"/>
    </row>
    <row r="25210" spans="9:13" x14ac:dyDescent="0.3">
      <c r="I25210" s="82"/>
      <c r="M25210" s="85"/>
    </row>
    <row r="25211" spans="9:13" x14ac:dyDescent="0.3">
      <c r="I25211" s="82"/>
      <c r="M25211" s="85"/>
    </row>
    <row r="25212" spans="9:13" x14ac:dyDescent="0.3">
      <c r="I25212" s="82"/>
      <c r="M25212" s="85"/>
    </row>
    <row r="25213" spans="9:13" x14ac:dyDescent="0.3">
      <c r="I25213" s="82"/>
      <c r="M25213" s="85"/>
    </row>
    <row r="25214" spans="9:13" x14ac:dyDescent="0.3">
      <c r="I25214" s="82"/>
      <c r="M25214" s="85"/>
    </row>
    <row r="25215" spans="9:13" x14ac:dyDescent="0.3">
      <c r="I25215" s="82"/>
      <c r="M25215" s="85"/>
    </row>
    <row r="25216" spans="9:13" x14ac:dyDescent="0.3">
      <c r="I25216" s="82"/>
      <c r="M25216" s="85"/>
    </row>
    <row r="25217" spans="9:13" x14ac:dyDescent="0.3">
      <c r="I25217" s="82"/>
      <c r="M25217" s="85"/>
    </row>
    <row r="25218" spans="9:13" x14ac:dyDescent="0.3">
      <c r="I25218" s="82"/>
      <c r="M25218" s="85"/>
    </row>
    <row r="25219" spans="9:13" x14ac:dyDescent="0.3">
      <c r="I25219" s="82"/>
      <c r="M25219" s="85"/>
    </row>
    <row r="25220" spans="9:13" x14ac:dyDescent="0.3">
      <c r="I25220" s="82"/>
      <c r="M25220" s="85"/>
    </row>
    <row r="25221" spans="9:13" x14ac:dyDescent="0.3">
      <c r="I25221" s="82"/>
      <c r="M25221" s="85"/>
    </row>
    <row r="25222" spans="9:13" x14ac:dyDescent="0.3">
      <c r="I25222" s="82"/>
      <c r="M25222" s="85"/>
    </row>
    <row r="25223" spans="9:13" x14ac:dyDescent="0.3">
      <c r="I25223" s="82"/>
      <c r="M25223" s="85"/>
    </row>
    <row r="25224" spans="9:13" x14ac:dyDescent="0.3">
      <c r="I25224" s="82"/>
      <c r="M25224" s="85"/>
    </row>
    <row r="25225" spans="9:13" x14ac:dyDescent="0.3">
      <c r="I25225" s="82"/>
      <c r="M25225" s="85"/>
    </row>
    <row r="25226" spans="9:13" x14ac:dyDescent="0.3">
      <c r="I25226" s="82"/>
      <c r="M25226" s="85"/>
    </row>
    <row r="25227" spans="9:13" x14ac:dyDescent="0.3">
      <c r="I25227" s="82"/>
      <c r="M25227" s="85"/>
    </row>
    <row r="25228" spans="9:13" x14ac:dyDescent="0.3">
      <c r="I25228" s="82"/>
      <c r="M25228" s="85"/>
    </row>
    <row r="25229" spans="9:13" x14ac:dyDescent="0.3">
      <c r="I25229" s="82"/>
      <c r="M25229" s="85"/>
    </row>
    <row r="25230" spans="9:13" x14ac:dyDescent="0.3">
      <c r="I25230" s="82"/>
      <c r="M25230" s="85"/>
    </row>
    <row r="25231" spans="9:13" x14ac:dyDescent="0.3">
      <c r="I25231" s="82"/>
      <c r="M25231" s="85"/>
    </row>
    <row r="25232" spans="9:13" x14ac:dyDescent="0.3">
      <c r="I25232" s="82"/>
      <c r="M25232" s="85"/>
    </row>
    <row r="25233" spans="9:13" x14ac:dyDescent="0.3">
      <c r="I25233" s="82"/>
      <c r="M25233" s="85"/>
    </row>
    <row r="25234" spans="9:13" x14ac:dyDescent="0.3">
      <c r="I25234" s="82"/>
      <c r="M25234" s="85"/>
    </row>
    <row r="25235" spans="9:13" x14ac:dyDescent="0.3">
      <c r="I25235" s="82"/>
      <c r="M25235" s="85"/>
    </row>
    <row r="25236" spans="9:13" x14ac:dyDescent="0.3">
      <c r="I25236" s="82"/>
      <c r="M25236" s="85"/>
    </row>
    <row r="25237" spans="9:13" x14ac:dyDescent="0.3">
      <c r="I25237" s="82"/>
      <c r="M25237" s="85"/>
    </row>
    <row r="25238" spans="9:13" x14ac:dyDescent="0.3">
      <c r="I25238" s="82"/>
      <c r="M25238" s="85"/>
    </row>
    <row r="25239" spans="9:13" x14ac:dyDescent="0.3">
      <c r="I25239" s="82"/>
      <c r="M25239" s="85"/>
    </row>
    <row r="25240" spans="9:13" x14ac:dyDescent="0.3">
      <c r="I25240" s="82"/>
      <c r="M25240" s="85"/>
    </row>
    <row r="25241" spans="9:13" x14ac:dyDescent="0.3">
      <c r="I25241" s="82"/>
      <c r="M25241" s="85"/>
    </row>
    <row r="25242" spans="9:13" x14ac:dyDescent="0.3">
      <c r="I25242" s="82"/>
      <c r="M25242" s="85"/>
    </row>
    <row r="25243" spans="9:13" x14ac:dyDescent="0.3">
      <c r="I25243" s="82"/>
      <c r="M25243" s="85"/>
    </row>
    <row r="25244" spans="9:13" x14ac:dyDescent="0.3">
      <c r="I25244" s="82"/>
      <c r="M25244" s="85"/>
    </row>
    <row r="25245" spans="9:13" x14ac:dyDescent="0.3">
      <c r="I25245" s="82"/>
      <c r="M25245" s="85"/>
    </row>
    <row r="25246" spans="9:13" x14ac:dyDescent="0.3">
      <c r="I25246" s="82"/>
      <c r="M25246" s="85"/>
    </row>
    <row r="25247" spans="9:13" x14ac:dyDescent="0.3">
      <c r="I25247" s="82"/>
      <c r="M25247" s="85"/>
    </row>
    <row r="25248" spans="9:13" x14ac:dyDescent="0.3">
      <c r="I25248" s="82"/>
      <c r="M25248" s="85"/>
    </row>
    <row r="25249" spans="9:13" x14ac:dyDescent="0.3">
      <c r="I25249" s="82"/>
      <c r="M25249" s="85"/>
    </row>
    <row r="25250" spans="9:13" x14ac:dyDescent="0.3">
      <c r="I25250" s="82"/>
      <c r="M25250" s="85"/>
    </row>
    <row r="25251" spans="9:13" x14ac:dyDescent="0.3">
      <c r="I25251" s="82"/>
      <c r="M25251" s="85"/>
    </row>
    <row r="25252" spans="9:13" x14ac:dyDescent="0.3">
      <c r="I25252" s="82"/>
      <c r="M25252" s="85"/>
    </row>
    <row r="25253" spans="9:13" x14ac:dyDescent="0.3">
      <c r="I25253" s="82"/>
      <c r="M25253" s="85"/>
    </row>
    <row r="25254" spans="9:13" x14ac:dyDescent="0.3">
      <c r="I25254" s="82"/>
      <c r="M25254" s="85"/>
    </row>
    <row r="25255" spans="9:13" x14ac:dyDescent="0.3">
      <c r="I25255" s="82"/>
      <c r="M25255" s="85"/>
    </row>
    <row r="25256" spans="9:13" x14ac:dyDescent="0.3">
      <c r="I25256" s="82"/>
      <c r="M25256" s="85"/>
    </row>
    <row r="25257" spans="9:13" x14ac:dyDescent="0.3">
      <c r="I25257" s="82"/>
      <c r="M25257" s="85"/>
    </row>
    <row r="25258" spans="9:13" x14ac:dyDescent="0.3">
      <c r="I25258" s="82"/>
      <c r="M25258" s="85"/>
    </row>
    <row r="25259" spans="9:13" x14ac:dyDescent="0.3">
      <c r="I25259" s="82"/>
      <c r="M25259" s="85"/>
    </row>
    <row r="25260" spans="9:13" x14ac:dyDescent="0.3">
      <c r="I25260" s="82"/>
      <c r="M25260" s="85"/>
    </row>
    <row r="25261" spans="9:13" x14ac:dyDescent="0.3">
      <c r="I25261" s="82"/>
      <c r="M25261" s="85"/>
    </row>
    <row r="25262" spans="9:13" x14ac:dyDescent="0.3">
      <c r="I25262" s="82"/>
      <c r="M25262" s="85"/>
    </row>
    <row r="25263" spans="9:13" x14ac:dyDescent="0.3">
      <c r="I25263" s="82"/>
      <c r="M25263" s="85"/>
    </row>
    <row r="25264" spans="9:13" x14ac:dyDescent="0.3">
      <c r="I25264" s="82"/>
      <c r="M25264" s="85"/>
    </row>
    <row r="25265" spans="9:13" x14ac:dyDescent="0.3">
      <c r="I25265" s="82"/>
      <c r="M25265" s="85"/>
    </row>
    <row r="25266" spans="9:13" x14ac:dyDescent="0.3">
      <c r="I25266" s="82"/>
      <c r="M25266" s="85"/>
    </row>
    <row r="25267" spans="9:13" x14ac:dyDescent="0.3">
      <c r="I25267" s="82"/>
      <c r="M25267" s="85"/>
    </row>
    <row r="25268" spans="9:13" x14ac:dyDescent="0.3">
      <c r="I25268" s="82"/>
      <c r="M25268" s="85"/>
    </row>
    <row r="25269" spans="9:13" x14ac:dyDescent="0.3">
      <c r="I25269" s="82"/>
      <c r="M25269" s="85"/>
    </row>
    <row r="25270" spans="9:13" x14ac:dyDescent="0.3">
      <c r="I25270" s="82"/>
      <c r="M25270" s="85"/>
    </row>
    <row r="25271" spans="9:13" x14ac:dyDescent="0.3">
      <c r="I25271" s="82"/>
      <c r="M25271" s="85"/>
    </row>
    <row r="25272" spans="9:13" x14ac:dyDescent="0.3">
      <c r="I25272" s="82"/>
      <c r="M25272" s="85"/>
    </row>
    <row r="25273" spans="9:13" x14ac:dyDescent="0.3">
      <c r="I25273" s="82"/>
      <c r="M25273" s="85"/>
    </row>
    <row r="25274" spans="9:13" x14ac:dyDescent="0.3">
      <c r="I25274" s="82"/>
      <c r="M25274" s="85"/>
    </row>
    <row r="25275" spans="9:13" x14ac:dyDescent="0.3">
      <c r="I25275" s="82"/>
      <c r="M25275" s="85"/>
    </row>
    <row r="25276" spans="9:13" x14ac:dyDescent="0.3">
      <c r="I25276" s="82"/>
      <c r="M25276" s="85"/>
    </row>
    <row r="25277" spans="9:13" x14ac:dyDescent="0.3">
      <c r="I25277" s="82"/>
      <c r="M25277" s="85"/>
    </row>
    <row r="25278" spans="9:13" x14ac:dyDescent="0.3">
      <c r="I25278" s="82"/>
      <c r="M25278" s="85"/>
    </row>
    <row r="25279" spans="9:13" x14ac:dyDescent="0.3">
      <c r="I25279" s="82"/>
      <c r="M25279" s="85"/>
    </row>
    <row r="25280" spans="9:13" x14ac:dyDescent="0.3">
      <c r="I25280" s="82"/>
      <c r="M25280" s="85"/>
    </row>
    <row r="25281" spans="9:13" x14ac:dyDescent="0.3">
      <c r="I25281" s="82"/>
      <c r="M25281" s="85"/>
    </row>
    <row r="25282" spans="9:13" x14ac:dyDescent="0.3">
      <c r="I25282" s="82"/>
      <c r="M25282" s="85"/>
    </row>
    <row r="25283" spans="9:13" x14ac:dyDescent="0.3">
      <c r="I25283" s="82"/>
      <c r="M25283" s="85"/>
    </row>
    <row r="25284" spans="9:13" x14ac:dyDescent="0.3">
      <c r="I25284" s="82"/>
      <c r="M25284" s="85"/>
    </row>
    <row r="25285" spans="9:13" x14ac:dyDescent="0.3">
      <c r="I25285" s="82"/>
      <c r="M25285" s="85"/>
    </row>
    <row r="25286" spans="9:13" x14ac:dyDescent="0.3">
      <c r="I25286" s="82"/>
      <c r="M25286" s="85"/>
    </row>
    <row r="25287" spans="9:13" x14ac:dyDescent="0.3">
      <c r="I25287" s="82"/>
      <c r="M25287" s="85"/>
    </row>
    <row r="25288" spans="9:13" x14ac:dyDescent="0.3">
      <c r="I25288" s="82"/>
      <c r="M25288" s="85"/>
    </row>
    <row r="25289" spans="9:13" x14ac:dyDescent="0.3">
      <c r="I25289" s="82"/>
      <c r="M25289" s="85"/>
    </row>
    <row r="25290" spans="9:13" x14ac:dyDescent="0.3">
      <c r="I25290" s="82"/>
      <c r="M25290" s="85"/>
    </row>
    <row r="25291" spans="9:13" x14ac:dyDescent="0.3">
      <c r="I25291" s="82"/>
      <c r="M25291" s="85"/>
    </row>
    <row r="25292" spans="9:13" x14ac:dyDescent="0.3">
      <c r="I25292" s="82"/>
      <c r="M25292" s="85"/>
    </row>
    <row r="25293" spans="9:13" x14ac:dyDescent="0.3">
      <c r="I25293" s="82"/>
      <c r="M25293" s="85"/>
    </row>
    <row r="25294" spans="9:13" x14ac:dyDescent="0.3">
      <c r="I25294" s="82"/>
      <c r="M25294" s="85"/>
    </row>
    <row r="25295" spans="9:13" x14ac:dyDescent="0.3">
      <c r="I25295" s="82"/>
      <c r="M25295" s="85"/>
    </row>
    <row r="25296" spans="9:13" x14ac:dyDescent="0.3">
      <c r="I25296" s="82"/>
      <c r="M25296" s="85"/>
    </row>
    <row r="25297" spans="9:13" x14ac:dyDescent="0.3">
      <c r="I25297" s="82"/>
      <c r="M25297" s="85"/>
    </row>
    <row r="25298" spans="9:13" x14ac:dyDescent="0.3">
      <c r="I25298" s="82"/>
      <c r="M25298" s="85"/>
    </row>
    <row r="25299" spans="9:13" x14ac:dyDescent="0.3">
      <c r="I25299" s="82"/>
      <c r="M25299" s="85"/>
    </row>
    <row r="25300" spans="9:13" x14ac:dyDescent="0.3">
      <c r="I25300" s="82"/>
      <c r="M25300" s="85"/>
    </row>
    <row r="25301" spans="9:13" x14ac:dyDescent="0.3">
      <c r="I25301" s="82"/>
      <c r="M25301" s="85"/>
    </row>
    <row r="25302" spans="9:13" x14ac:dyDescent="0.3">
      <c r="I25302" s="82"/>
      <c r="M25302" s="85"/>
    </row>
    <row r="25303" spans="9:13" x14ac:dyDescent="0.3">
      <c r="I25303" s="82"/>
      <c r="M25303" s="85"/>
    </row>
    <row r="25304" spans="9:13" x14ac:dyDescent="0.3">
      <c r="I25304" s="82"/>
      <c r="M25304" s="85"/>
    </row>
    <row r="25305" spans="9:13" x14ac:dyDescent="0.3">
      <c r="I25305" s="82"/>
      <c r="M25305" s="85"/>
    </row>
    <row r="25306" spans="9:13" x14ac:dyDescent="0.3">
      <c r="I25306" s="82"/>
      <c r="M25306" s="85"/>
    </row>
    <row r="25307" spans="9:13" x14ac:dyDescent="0.3">
      <c r="I25307" s="82"/>
      <c r="M25307" s="85"/>
    </row>
    <row r="25308" spans="9:13" x14ac:dyDescent="0.3">
      <c r="I25308" s="82"/>
      <c r="M25308" s="85"/>
    </row>
    <row r="25309" spans="9:13" x14ac:dyDescent="0.3">
      <c r="I25309" s="82"/>
      <c r="M25309" s="85"/>
    </row>
    <row r="25310" spans="9:13" x14ac:dyDescent="0.3">
      <c r="I25310" s="82"/>
      <c r="M25310" s="85"/>
    </row>
    <row r="25311" spans="9:13" x14ac:dyDescent="0.3">
      <c r="I25311" s="82"/>
      <c r="M25311" s="85"/>
    </row>
    <row r="25312" spans="9:13" x14ac:dyDescent="0.3">
      <c r="I25312" s="82"/>
      <c r="M25312" s="85"/>
    </row>
    <row r="25313" spans="9:13" x14ac:dyDescent="0.3">
      <c r="I25313" s="82"/>
      <c r="M25313" s="85"/>
    </row>
    <row r="25314" spans="9:13" x14ac:dyDescent="0.3">
      <c r="I25314" s="82"/>
      <c r="M25314" s="85"/>
    </row>
    <row r="25315" spans="9:13" x14ac:dyDescent="0.3">
      <c r="I25315" s="82"/>
      <c r="M25315" s="85"/>
    </row>
    <row r="25316" spans="9:13" x14ac:dyDescent="0.3">
      <c r="I25316" s="82"/>
      <c r="M25316" s="85"/>
    </row>
    <row r="25317" spans="9:13" x14ac:dyDescent="0.3">
      <c r="I25317" s="82"/>
      <c r="M25317" s="85"/>
    </row>
    <row r="25318" spans="9:13" x14ac:dyDescent="0.3">
      <c r="I25318" s="82"/>
      <c r="M25318" s="85"/>
    </row>
    <row r="25319" spans="9:13" x14ac:dyDescent="0.3">
      <c r="I25319" s="82"/>
      <c r="M25319" s="85"/>
    </row>
    <row r="25320" spans="9:13" x14ac:dyDescent="0.3">
      <c r="I25320" s="82"/>
      <c r="M25320" s="85"/>
    </row>
    <row r="25321" spans="9:13" x14ac:dyDescent="0.3">
      <c r="I25321" s="82"/>
      <c r="M25321" s="85"/>
    </row>
    <row r="25322" spans="9:13" x14ac:dyDescent="0.3">
      <c r="I25322" s="82"/>
      <c r="M25322" s="85"/>
    </row>
    <row r="25323" spans="9:13" x14ac:dyDescent="0.3">
      <c r="I25323" s="82"/>
      <c r="M25323" s="85"/>
    </row>
    <row r="25324" spans="9:13" x14ac:dyDescent="0.3">
      <c r="I25324" s="82"/>
      <c r="M25324" s="85"/>
    </row>
    <row r="25325" spans="9:13" x14ac:dyDescent="0.3">
      <c r="I25325" s="82"/>
      <c r="M25325" s="85"/>
    </row>
    <row r="25326" spans="9:13" x14ac:dyDescent="0.3">
      <c r="I25326" s="82"/>
      <c r="M25326" s="85"/>
    </row>
    <row r="25327" spans="9:13" x14ac:dyDescent="0.3">
      <c r="I25327" s="82"/>
      <c r="M25327" s="85"/>
    </row>
    <row r="25328" spans="9:13" x14ac:dyDescent="0.3">
      <c r="I25328" s="82"/>
      <c r="M25328" s="85"/>
    </row>
    <row r="25329" spans="9:13" x14ac:dyDescent="0.3">
      <c r="I25329" s="82"/>
      <c r="M25329" s="85"/>
    </row>
    <row r="25330" spans="9:13" x14ac:dyDescent="0.3">
      <c r="I25330" s="82"/>
      <c r="M25330" s="85"/>
    </row>
    <row r="25331" spans="9:13" x14ac:dyDescent="0.3">
      <c r="I25331" s="82"/>
      <c r="M25331" s="85"/>
    </row>
    <row r="25332" spans="9:13" x14ac:dyDescent="0.3">
      <c r="I25332" s="82"/>
      <c r="M25332" s="85"/>
    </row>
    <row r="25333" spans="9:13" x14ac:dyDescent="0.3">
      <c r="I25333" s="82"/>
      <c r="M25333" s="85"/>
    </row>
    <row r="25334" spans="9:13" x14ac:dyDescent="0.3">
      <c r="I25334" s="82"/>
      <c r="M25334" s="85"/>
    </row>
    <row r="25335" spans="9:13" x14ac:dyDescent="0.3">
      <c r="I25335" s="82"/>
      <c r="M25335" s="85"/>
    </row>
    <row r="25336" spans="9:13" x14ac:dyDescent="0.3">
      <c r="I25336" s="82"/>
      <c r="M25336" s="85"/>
    </row>
    <row r="25337" spans="9:13" x14ac:dyDescent="0.3">
      <c r="I25337" s="82"/>
      <c r="M25337" s="85"/>
    </row>
    <row r="25338" spans="9:13" x14ac:dyDescent="0.3">
      <c r="I25338" s="82"/>
      <c r="M25338" s="85"/>
    </row>
    <row r="25339" spans="9:13" x14ac:dyDescent="0.3">
      <c r="I25339" s="82"/>
      <c r="M25339" s="85"/>
    </row>
    <row r="25340" spans="9:13" x14ac:dyDescent="0.3">
      <c r="I25340" s="82"/>
      <c r="M25340" s="85"/>
    </row>
    <row r="25341" spans="9:13" x14ac:dyDescent="0.3">
      <c r="I25341" s="82"/>
      <c r="M25341" s="85"/>
    </row>
    <row r="25342" spans="9:13" x14ac:dyDescent="0.3">
      <c r="I25342" s="82"/>
      <c r="M25342" s="85"/>
    </row>
    <row r="25343" spans="9:13" x14ac:dyDescent="0.3">
      <c r="I25343" s="82"/>
      <c r="M25343" s="85"/>
    </row>
    <row r="25344" spans="9:13" x14ac:dyDescent="0.3">
      <c r="I25344" s="82"/>
      <c r="M25344" s="85"/>
    </row>
    <row r="25345" spans="9:13" x14ac:dyDescent="0.3">
      <c r="I25345" s="82"/>
      <c r="M25345" s="85"/>
    </row>
    <row r="25346" spans="9:13" x14ac:dyDescent="0.3">
      <c r="I25346" s="82"/>
      <c r="M25346" s="85"/>
    </row>
    <row r="25347" spans="9:13" x14ac:dyDescent="0.3">
      <c r="I25347" s="82"/>
      <c r="M25347" s="85"/>
    </row>
    <row r="25348" spans="9:13" x14ac:dyDescent="0.3">
      <c r="I25348" s="82"/>
      <c r="M25348" s="85"/>
    </row>
    <row r="25349" spans="9:13" x14ac:dyDescent="0.3">
      <c r="I25349" s="82"/>
      <c r="M25349" s="85"/>
    </row>
    <row r="25350" spans="9:13" x14ac:dyDescent="0.3">
      <c r="I25350" s="82"/>
      <c r="M25350" s="85"/>
    </row>
    <row r="25351" spans="9:13" x14ac:dyDescent="0.3">
      <c r="I25351" s="82"/>
      <c r="M25351" s="85"/>
    </row>
    <row r="25352" spans="9:13" x14ac:dyDescent="0.3">
      <c r="I25352" s="82"/>
      <c r="M25352" s="85"/>
    </row>
    <row r="25353" spans="9:13" x14ac:dyDescent="0.3">
      <c r="I25353" s="82"/>
      <c r="M25353" s="85"/>
    </row>
    <row r="25354" spans="9:13" x14ac:dyDescent="0.3">
      <c r="I25354" s="82"/>
      <c r="M25354" s="85"/>
    </row>
    <row r="25355" spans="9:13" x14ac:dyDescent="0.3">
      <c r="I25355" s="82"/>
      <c r="M25355" s="85"/>
    </row>
    <row r="25356" spans="9:13" x14ac:dyDescent="0.3">
      <c r="I25356" s="82"/>
      <c r="M25356" s="85"/>
    </row>
    <row r="25357" spans="9:13" x14ac:dyDescent="0.3">
      <c r="I25357" s="82"/>
      <c r="M25357" s="85"/>
    </row>
    <row r="25358" spans="9:13" x14ac:dyDescent="0.3">
      <c r="I25358" s="82"/>
      <c r="M25358" s="85"/>
    </row>
    <row r="25359" spans="9:13" x14ac:dyDescent="0.3">
      <c r="I25359" s="82"/>
      <c r="M25359" s="85"/>
    </row>
    <row r="25360" spans="9:13" x14ac:dyDescent="0.3">
      <c r="I25360" s="82"/>
      <c r="M25360" s="85"/>
    </row>
    <row r="25361" spans="9:13" x14ac:dyDescent="0.3">
      <c r="I25361" s="82"/>
      <c r="M25361" s="85"/>
    </row>
    <row r="25362" spans="9:13" x14ac:dyDescent="0.3">
      <c r="I25362" s="82"/>
      <c r="M25362" s="85"/>
    </row>
    <row r="25363" spans="9:13" x14ac:dyDescent="0.3">
      <c r="I25363" s="82"/>
      <c r="M25363" s="85"/>
    </row>
    <row r="25364" spans="9:13" x14ac:dyDescent="0.3">
      <c r="I25364" s="82"/>
      <c r="M25364" s="85"/>
    </row>
    <row r="25365" spans="9:13" x14ac:dyDescent="0.3">
      <c r="I25365" s="82"/>
      <c r="M25365" s="85"/>
    </row>
    <row r="25366" spans="9:13" x14ac:dyDescent="0.3">
      <c r="I25366" s="82"/>
      <c r="M25366" s="85"/>
    </row>
    <row r="25367" spans="9:13" x14ac:dyDescent="0.3">
      <c r="I25367" s="82"/>
      <c r="M25367" s="85"/>
    </row>
    <row r="25368" spans="9:13" x14ac:dyDescent="0.3">
      <c r="I25368" s="82"/>
      <c r="M25368" s="85"/>
    </row>
    <row r="25369" spans="9:13" x14ac:dyDescent="0.3">
      <c r="I25369" s="82"/>
      <c r="M25369" s="85"/>
    </row>
    <row r="25370" spans="9:13" x14ac:dyDescent="0.3">
      <c r="I25370" s="82"/>
      <c r="M25370" s="85"/>
    </row>
    <row r="25371" spans="9:13" x14ac:dyDescent="0.3">
      <c r="I25371" s="82"/>
      <c r="M25371" s="85"/>
    </row>
    <row r="25372" spans="9:13" x14ac:dyDescent="0.3">
      <c r="I25372" s="82"/>
      <c r="M25372" s="85"/>
    </row>
    <row r="25373" spans="9:13" x14ac:dyDescent="0.3">
      <c r="I25373" s="82"/>
      <c r="M25373" s="85"/>
    </row>
    <row r="25374" spans="9:13" x14ac:dyDescent="0.3">
      <c r="I25374" s="82"/>
      <c r="M25374" s="85"/>
    </row>
    <row r="25375" spans="9:13" x14ac:dyDescent="0.3">
      <c r="I25375" s="82"/>
      <c r="M25375" s="85"/>
    </row>
    <row r="25376" spans="9:13" x14ac:dyDescent="0.3">
      <c r="I25376" s="82"/>
      <c r="M25376" s="85"/>
    </row>
    <row r="25377" spans="9:13" x14ac:dyDescent="0.3">
      <c r="I25377" s="82"/>
      <c r="M25377" s="85"/>
    </row>
    <row r="25378" spans="9:13" x14ac:dyDescent="0.3">
      <c r="I25378" s="82"/>
      <c r="M25378" s="85"/>
    </row>
    <row r="25379" spans="9:13" x14ac:dyDescent="0.3">
      <c r="I25379" s="82"/>
      <c r="M25379" s="85"/>
    </row>
    <row r="25380" spans="9:13" x14ac:dyDescent="0.3">
      <c r="I25380" s="82"/>
      <c r="M25380" s="85"/>
    </row>
    <row r="25381" spans="9:13" x14ac:dyDescent="0.3">
      <c r="I25381" s="82"/>
      <c r="M25381" s="85"/>
    </row>
    <row r="25382" spans="9:13" x14ac:dyDescent="0.3">
      <c r="I25382" s="82"/>
      <c r="M25382" s="85"/>
    </row>
    <row r="25383" spans="9:13" x14ac:dyDescent="0.3">
      <c r="I25383" s="82"/>
      <c r="M25383" s="85"/>
    </row>
    <row r="25384" spans="9:13" x14ac:dyDescent="0.3">
      <c r="I25384" s="82"/>
      <c r="M25384" s="85"/>
    </row>
    <row r="25385" spans="9:13" x14ac:dyDescent="0.3">
      <c r="I25385" s="82"/>
      <c r="M25385" s="85"/>
    </row>
    <row r="25386" spans="9:13" x14ac:dyDescent="0.3">
      <c r="I25386" s="82"/>
      <c r="M25386" s="85"/>
    </row>
    <row r="25387" spans="9:13" x14ac:dyDescent="0.3">
      <c r="I25387" s="82"/>
      <c r="M25387" s="85"/>
    </row>
    <row r="25388" spans="9:13" x14ac:dyDescent="0.3">
      <c r="I25388" s="82"/>
      <c r="M25388" s="85"/>
    </row>
    <row r="25389" spans="9:13" x14ac:dyDescent="0.3">
      <c r="I25389" s="82"/>
      <c r="M25389" s="85"/>
    </row>
    <row r="25390" spans="9:13" x14ac:dyDescent="0.3">
      <c r="I25390" s="82"/>
      <c r="M25390" s="85"/>
    </row>
    <row r="25391" spans="9:13" x14ac:dyDescent="0.3">
      <c r="I25391" s="82"/>
      <c r="M25391" s="85"/>
    </row>
    <row r="25392" spans="9:13" x14ac:dyDescent="0.3">
      <c r="I25392" s="82"/>
      <c r="M25392" s="85"/>
    </row>
    <row r="25393" spans="9:13" x14ac:dyDescent="0.3">
      <c r="I25393" s="82"/>
      <c r="M25393" s="85"/>
    </row>
    <row r="25394" spans="9:13" x14ac:dyDescent="0.3">
      <c r="I25394" s="82"/>
      <c r="M25394" s="85"/>
    </row>
    <row r="25395" spans="9:13" x14ac:dyDescent="0.3">
      <c r="I25395" s="82"/>
      <c r="M25395" s="85"/>
    </row>
    <row r="25396" spans="9:13" x14ac:dyDescent="0.3">
      <c r="I25396" s="82"/>
      <c r="M25396" s="85"/>
    </row>
    <row r="25397" spans="9:13" x14ac:dyDescent="0.3">
      <c r="I25397" s="82"/>
      <c r="M25397" s="85"/>
    </row>
    <row r="25398" spans="9:13" x14ac:dyDescent="0.3">
      <c r="I25398" s="82"/>
      <c r="M25398" s="85"/>
    </row>
    <row r="25399" spans="9:13" x14ac:dyDescent="0.3">
      <c r="I25399" s="82"/>
      <c r="M25399" s="85"/>
    </row>
    <row r="25400" spans="9:13" x14ac:dyDescent="0.3">
      <c r="I25400" s="82"/>
      <c r="M25400" s="85"/>
    </row>
    <row r="25401" spans="9:13" x14ac:dyDescent="0.3">
      <c r="I25401" s="82"/>
      <c r="M25401" s="85"/>
    </row>
    <row r="25402" spans="9:13" x14ac:dyDescent="0.3">
      <c r="I25402" s="82"/>
      <c r="M25402" s="85"/>
    </row>
    <row r="25403" spans="9:13" x14ac:dyDescent="0.3">
      <c r="I25403" s="82"/>
      <c r="M25403" s="85"/>
    </row>
    <row r="25404" spans="9:13" x14ac:dyDescent="0.3">
      <c r="I25404" s="82"/>
      <c r="M25404" s="85"/>
    </row>
    <row r="25405" spans="9:13" x14ac:dyDescent="0.3">
      <c r="I25405" s="82"/>
      <c r="M25405" s="85"/>
    </row>
    <row r="25406" spans="9:13" x14ac:dyDescent="0.3">
      <c r="I25406" s="82"/>
      <c r="M25406" s="85"/>
    </row>
    <row r="25407" spans="9:13" x14ac:dyDescent="0.3">
      <c r="I25407" s="82"/>
      <c r="M25407" s="85"/>
    </row>
    <row r="25408" spans="9:13" x14ac:dyDescent="0.3">
      <c r="I25408" s="82"/>
      <c r="M25408" s="85"/>
    </row>
    <row r="25409" spans="9:13" x14ac:dyDescent="0.3">
      <c r="I25409" s="82"/>
      <c r="M25409" s="85"/>
    </row>
    <row r="25410" spans="9:13" x14ac:dyDescent="0.3">
      <c r="I25410" s="82"/>
      <c r="M25410" s="85"/>
    </row>
    <row r="25411" spans="9:13" x14ac:dyDescent="0.3">
      <c r="I25411" s="82"/>
      <c r="M25411" s="85"/>
    </row>
    <row r="25412" spans="9:13" x14ac:dyDescent="0.3">
      <c r="I25412" s="82"/>
      <c r="M25412" s="85"/>
    </row>
    <row r="25413" spans="9:13" x14ac:dyDescent="0.3">
      <c r="I25413" s="82"/>
      <c r="M25413" s="85"/>
    </row>
    <row r="25414" spans="9:13" x14ac:dyDescent="0.3">
      <c r="I25414" s="82"/>
      <c r="M25414" s="85"/>
    </row>
    <row r="25415" spans="9:13" x14ac:dyDescent="0.3">
      <c r="I25415" s="82"/>
      <c r="M25415" s="85"/>
    </row>
    <row r="25416" spans="9:13" x14ac:dyDescent="0.3">
      <c r="I25416" s="82"/>
      <c r="M25416" s="85"/>
    </row>
    <row r="25417" spans="9:13" x14ac:dyDescent="0.3">
      <c r="I25417" s="82"/>
      <c r="M25417" s="85"/>
    </row>
    <row r="25418" spans="9:13" x14ac:dyDescent="0.3">
      <c r="I25418" s="82"/>
      <c r="M25418" s="85"/>
    </row>
    <row r="25419" spans="9:13" x14ac:dyDescent="0.3">
      <c r="I25419" s="82"/>
      <c r="M25419" s="85"/>
    </row>
    <row r="25420" spans="9:13" x14ac:dyDescent="0.3">
      <c r="I25420" s="82"/>
      <c r="M25420" s="85"/>
    </row>
    <row r="25421" spans="9:13" x14ac:dyDescent="0.3">
      <c r="I25421" s="82"/>
      <c r="M25421" s="85"/>
    </row>
    <row r="25422" spans="9:13" x14ac:dyDescent="0.3">
      <c r="I25422" s="82"/>
      <c r="M25422" s="85"/>
    </row>
    <row r="25423" spans="9:13" x14ac:dyDescent="0.3">
      <c r="I25423" s="82"/>
      <c r="M25423" s="85"/>
    </row>
    <row r="25424" spans="9:13" x14ac:dyDescent="0.3">
      <c r="I25424" s="82"/>
      <c r="M25424" s="85"/>
    </row>
    <row r="25425" spans="9:13" x14ac:dyDescent="0.3">
      <c r="I25425" s="82"/>
      <c r="M25425" s="85"/>
    </row>
    <row r="25426" spans="9:13" x14ac:dyDescent="0.3">
      <c r="I25426" s="82"/>
      <c r="M25426" s="85"/>
    </row>
    <row r="25427" spans="9:13" x14ac:dyDescent="0.3">
      <c r="I25427" s="82"/>
      <c r="M25427" s="85"/>
    </row>
    <row r="25428" spans="9:13" x14ac:dyDescent="0.3">
      <c r="I25428" s="82"/>
      <c r="M25428" s="85"/>
    </row>
    <row r="25429" spans="9:13" x14ac:dyDescent="0.3">
      <c r="I25429" s="82"/>
      <c r="M25429" s="85"/>
    </row>
    <row r="25430" spans="9:13" x14ac:dyDescent="0.3">
      <c r="I25430" s="82"/>
      <c r="M25430" s="85"/>
    </row>
    <row r="25431" spans="9:13" x14ac:dyDescent="0.3">
      <c r="I25431" s="82"/>
      <c r="M25431" s="85"/>
    </row>
    <row r="25432" spans="9:13" x14ac:dyDescent="0.3">
      <c r="I25432" s="82"/>
      <c r="M25432" s="85"/>
    </row>
    <row r="25433" spans="9:13" x14ac:dyDescent="0.3">
      <c r="I25433" s="82"/>
      <c r="M25433" s="85"/>
    </row>
    <row r="25434" spans="9:13" x14ac:dyDescent="0.3">
      <c r="I25434" s="82"/>
      <c r="M25434" s="85"/>
    </row>
    <row r="25435" spans="9:13" x14ac:dyDescent="0.3">
      <c r="I25435" s="82"/>
      <c r="M25435" s="85"/>
    </row>
    <row r="25436" spans="9:13" x14ac:dyDescent="0.3">
      <c r="I25436" s="82"/>
      <c r="M25436" s="85"/>
    </row>
    <row r="25437" spans="9:13" x14ac:dyDescent="0.3">
      <c r="I25437" s="82"/>
      <c r="M25437" s="85"/>
    </row>
    <row r="25438" spans="9:13" x14ac:dyDescent="0.3">
      <c r="I25438" s="82"/>
      <c r="M25438" s="85"/>
    </row>
    <row r="25439" spans="9:13" x14ac:dyDescent="0.3">
      <c r="I25439" s="82"/>
      <c r="M25439" s="85"/>
    </row>
    <row r="25440" spans="9:13" x14ac:dyDescent="0.3">
      <c r="I25440" s="82"/>
      <c r="M25440" s="85"/>
    </row>
    <row r="25441" spans="9:13" x14ac:dyDescent="0.3">
      <c r="I25441" s="82"/>
      <c r="M25441" s="85"/>
    </row>
    <row r="25442" spans="9:13" x14ac:dyDescent="0.3">
      <c r="I25442" s="82"/>
      <c r="M25442" s="85"/>
    </row>
    <row r="25443" spans="9:13" x14ac:dyDescent="0.3">
      <c r="I25443" s="82"/>
      <c r="M25443" s="85"/>
    </row>
    <row r="25444" spans="9:13" x14ac:dyDescent="0.3">
      <c r="I25444" s="82"/>
      <c r="M25444" s="85"/>
    </row>
    <row r="25445" spans="9:13" x14ac:dyDescent="0.3">
      <c r="I25445" s="82"/>
      <c r="M25445" s="85"/>
    </row>
    <row r="25446" spans="9:13" x14ac:dyDescent="0.3">
      <c r="I25446" s="82"/>
      <c r="M25446" s="85"/>
    </row>
    <row r="25447" spans="9:13" x14ac:dyDescent="0.3">
      <c r="I25447" s="82"/>
      <c r="M25447" s="85"/>
    </row>
    <row r="25448" spans="9:13" x14ac:dyDescent="0.3">
      <c r="I25448" s="82"/>
      <c r="M25448" s="85"/>
    </row>
    <row r="25449" spans="9:13" x14ac:dyDescent="0.3">
      <c r="I25449" s="82"/>
      <c r="M25449" s="85"/>
    </row>
    <row r="25450" spans="9:13" x14ac:dyDescent="0.3">
      <c r="I25450" s="82"/>
      <c r="M25450" s="85"/>
    </row>
    <row r="25451" spans="9:13" x14ac:dyDescent="0.3">
      <c r="I25451" s="82"/>
      <c r="M25451" s="85"/>
    </row>
    <row r="25452" spans="9:13" x14ac:dyDescent="0.3">
      <c r="I25452" s="82"/>
      <c r="M25452" s="85"/>
    </row>
    <row r="25453" spans="9:13" x14ac:dyDescent="0.3">
      <c r="I25453" s="82"/>
      <c r="M25453" s="85"/>
    </row>
    <row r="25454" spans="9:13" x14ac:dyDescent="0.3">
      <c r="I25454" s="82"/>
      <c r="M25454" s="85"/>
    </row>
    <row r="25455" spans="9:13" x14ac:dyDescent="0.3">
      <c r="I25455" s="82"/>
      <c r="M25455" s="85"/>
    </row>
    <row r="25456" spans="9:13" x14ac:dyDescent="0.3">
      <c r="I25456" s="82"/>
      <c r="M25456" s="85"/>
    </row>
    <row r="25457" spans="9:13" x14ac:dyDescent="0.3">
      <c r="I25457" s="82"/>
      <c r="M25457" s="85"/>
    </row>
    <row r="25458" spans="9:13" x14ac:dyDescent="0.3">
      <c r="I25458" s="82"/>
      <c r="M25458" s="85"/>
    </row>
    <row r="25459" spans="9:13" x14ac:dyDescent="0.3">
      <c r="I25459" s="82"/>
      <c r="M25459" s="85"/>
    </row>
    <row r="25460" spans="9:13" x14ac:dyDescent="0.3">
      <c r="I25460" s="82"/>
      <c r="M25460" s="85"/>
    </row>
    <row r="25461" spans="9:13" x14ac:dyDescent="0.3">
      <c r="I25461" s="82"/>
      <c r="M25461" s="85"/>
    </row>
    <row r="25462" spans="9:13" x14ac:dyDescent="0.3">
      <c r="I25462" s="82"/>
      <c r="M25462" s="85"/>
    </row>
    <row r="25463" spans="9:13" x14ac:dyDescent="0.3">
      <c r="I25463" s="82"/>
      <c r="M25463" s="85"/>
    </row>
    <row r="25464" spans="9:13" x14ac:dyDescent="0.3">
      <c r="I25464" s="82"/>
      <c r="M25464" s="85"/>
    </row>
    <row r="25465" spans="9:13" x14ac:dyDescent="0.3">
      <c r="I25465" s="82"/>
      <c r="M25465" s="85"/>
    </row>
    <row r="25466" spans="9:13" x14ac:dyDescent="0.3">
      <c r="I25466" s="82"/>
      <c r="M25466" s="85"/>
    </row>
    <row r="25467" spans="9:13" x14ac:dyDescent="0.3">
      <c r="I25467" s="82"/>
      <c r="M25467" s="85"/>
    </row>
    <row r="25468" spans="9:13" x14ac:dyDescent="0.3">
      <c r="I25468" s="82"/>
      <c r="M25468" s="85"/>
    </row>
    <row r="25469" spans="9:13" x14ac:dyDescent="0.3">
      <c r="I25469" s="82"/>
      <c r="M25469" s="85"/>
    </row>
    <row r="25470" spans="9:13" x14ac:dyDescent="0.3">
      <c r="I25470" s="82"/>
      <c r="M25470" s="85"/>
    </row>
    <row r="25471" spans="9:13" x14ac:dyDescent="0.3">
      <c r="I25471" s="82"/>
      <c r="M25471" s="85"/>
    </row>
    <row r="25472" spans="9:13" x14ac:dyDescent="0.3">
      <c r="I25472" s="82"/>
      <c r="M25472" s="85"/>
    </row>
    <row r="25473" spans="9:13" x14ac:dyDescent="0.3">
      <c r="I25473" s="82"/>
      <c r="M25473" s="85"/>
    </row>
    <row r="25474" spans="9:13" x14ac:dyDescent="0.3">
      <c r="I25474" s="82"/>
      <c r="M25474" s="85"/>
    </row>
    <row r="25475" spans="9:13" x14ac:dyDescent="0.3">
      <c r="I25475" s="82"/>
      <c r="M25475" s="85"/>
    </row>
    <row r="25476" spans="9:13" x14ac:dyDescent="0.3">
      <c r="I25476" s="82"/>
      <c r="M25476" s="85"/>
    </row>
    <row r="25477" spans="9:13" x14ac:dyDescent="0.3">
      <c r="I25477" s="82"/>
      <c r="M25477" s="85"/>
    </row>
    <row r="25478" spans="9:13" x14ac:dyDescent="0.3">
      <c r="I25478" s="82"/>
      <c r="M25478" s="85"/>
    </row>
    <row r="25479" spans="9:13" x14ac:dyDescent="0.3">
      <c r="I25479" s="82"/>
      <c r="M25479" s="85"/>
    </row>
    <row r="25480" spans="9:13" x14ac:dyDescent="0.3">
      <c r="I25480" s="82"/>
      <c r="M25480" s="85"/>
    </row>
    <row r="25481" spans="9:13" x14ac:dyDescent="0.3">
      <c r="I25481" s="82"/>
      <c r="M25481" s="85"/>
    </row>
    <row r="25482" spans="9:13" x14ac:dyDescent="0.3">
      <c r="I25482" s="82"/>
      <c r="M25482" s="85"/>
    </row>
    <row r="25483" spans="9:13" x14ac:dyDescent="0.3">
      <c r="I25483" s="82"/>
      <c r="M25483" s="85"/>
    </row>
    <row r="25484" spans="9:13" x14ac:dyDescent="0.3">
      <c r="I25484" s="82"/>
      <c r="M25484" s="85"/>
    </row>
    <row r="25485" spans="9:13" x14ac:dyDescent="0.3">
      <c r="I25485" s="82"/>
      <c r="M25485" s="85"/>
    </row>
    <row r="25486" spans="9:13" x14ac:dyDescent="0.3">
      <c r="I25486" s="82"/>
      <c r="M25486" s="85"/>
    </row>
    <row r="25487" spans="9:13" x14ac:dyDescent="0.3">
      <c r="I25487" s="82"/>
      <c r="M25487" s="85"/>
    </row>
    <row r="25488" spans="9:13" x14ac:dyDescent="0.3">
      <c r="I25488" s="82"/>
      <c r="M25488" s="85"/>
    </row>
    <row r="25489" spans="9:13" x14ac:dyDescent="0.3">
      <c r="I25489" s="82"/>
      <c r="M25489" s="85"/>
    </row>
    <row r="25490" spans="9:13" x14ac:dyDescent="0.3">
      <c r="I25490" s="82"/>
      <c r="M25490" s="85"/>
    </row>
    <row r="25491" spans="9:13" x14ac:dyDescent="0.3">
      <c r="I25491" s="82"/>
      <c r="M25491" s="85"/>
    </row>
    <row r="25492" spans="9:13" x14ac:dyDescent="0.3">
      <c r="I25492" s="82"/>
      <c r="M25492" s="85"/>
    </row>
    <row r="25493" spans="9:13" x14ac:dyDescent="0.3">
      <c r="I25493" s="82"/>
      <c r="M25493" s="85"/>
    </row>
    <row r="25494" spans="9:13" x14ac:dyDescent="0.3">
      <c r="I25494" s="82"/>
      <c r="M25494" s="85"/>
    </row>
    <row r="25495" spans="9:13" x14ac:dyDescent="0.3">
      <c r="I25495" s="82"/>
      <c r="M25495" s="85"/>
    </row>
    <row r="25496" spans="9:13" x14ac:dyDescent="0.3">
      <c r="I25496" s="82"/>
      <c r="M25496" s="85"/>
    </row>
    <row r="25497" spans="9:13" x14ac:dyDescent="0.3">
      <c r="I25497" s="82"/>
      <c r="M25497" s="85"/>
    </row>
    <row r="25498" spans="9:13" x14ac:dyDescent="0.3">
      <c r="I25498" s="82"/>
      <c r="M25498" s="85"/>
    </row>
    <row r="25499" spans="9:13" x14ac:dyDescent="0.3">
      <c r="I25499" s="82"/>
      <c r="M25499" s="85"/>
    </row>
    <row r="25500" spans="9:13" x14ac:dyDescent="0.3">
      <c r="I25500" s="82"/>
      <c r="M25500" s="85"/>
    </row>
    <row r="25501" spans="9:13" x14ac:dyDescent="0.3">
      <c r="I25501" s="82"/>
      <c r="M25501" s="85"/>
    </row>
    <row r="25502" spans="9:13" x14ac:dyDescent="0.3">
      <c r="I25502" s="82"/>
      <c r="M25502" s="85"/>
    </row>
    <row r="25503" spans="9:13" x14ac:dyDescent="0.3">
      <c r="I25503" s="82"/>
      <c r="M25503" s="85"/>
    </row>
    <row r="25504" spans="9:13" x14ac:dyDescent="0.3">
      <c r="I25504" s="82"/>
      <c r="M25504" s="85"/>
    </row>
    <row r="25505" spans="9:13" x14ac:dyDescent="0.3">
      <c r="I25505" s="82"/>
      <c r="M25505" s="85"/>
    </row>
    <row r="25506" spans="9:13" x14ac:dyDescent="0.3">
      <c r="I25506" s="82"/>
      <c r="M25506" s="85"/>
    </row>
    <row r="25507" spans="9:13" x14ac:dyDescent="0.3">
      <c r="I25507" s="82"/>
      <c r="M25507" s="85"/>
    </row>
    <row r="25508" spans="9:13" x14ac:dyDescent="0.3">
      <c r="I25508" s="82"/>
      <c r="M25508" s="85"/>
    </row>
    <row r="25509" spans="9:13" x14ac:dyDescent="0.3">
      <c r="I25509" s="82"/>
      <c r="M25509" s="85"/>
    </row>
    <row r="25510" spans="9:13" x14ac:dyDescent="0.3">
      <c r="I25510" s="82"/>
      <c r="M25510" s="85"/>
    </row>
    <row r="25511" spans="9:13" x14ac:dyDescent="0.3">
      <c r="I25511" s="82"/>
      <c r="M25511" s="85"/>
    </row>
    <row r="25512" spans="9:13" x14ac:dyDescent="0.3">
      <c r="I25512" s="82"/>
      <c r="M25512" s="85"/>
    </row>
    <row r="25513" spans="9:13" x14ac:dyDescent="0.3">
      <c r="I25513" s="82"/>
      <c r="M25513" s="85"/>
    </row>
    <row r="25514" spans="9:13" x14ac:dyDescent="0.3">
      <c r="I25514" s="82"/>
      <c r="M25514" s="85"/>
    </row>
    <row r="25515" spans="9:13" x14ac:dyDescent="0.3">
      <c r="I25515" s="82"/>
      <c r="M25515" s="85"/>
    </row>
    <row r="25516" spans="9:13" x14ac:dyDescent="0.3">
      <c r="I25516" s="82"/>
      <c r="M25516" s="85"/>
    </row>
    <row r="25517" spans="9:13" x14ac:dyDescent="0.3">
      <c r="I25517" s="82"/>
      <c r="M25517" s="85"/>
    </row>
    <row r="25518" spans="9:13" x14ac:dyDescent="0.3">
      <c r="I25518" s="82"/>
      <c r="M25518" s="85"/>
    </row>
    <row r="25519" spans="9:13" x14ac:dyDescent="0.3">
      <c r="I25519" s="82"/>
      <c r="M25519" s="85"/>
    </row>
    <row r="25520" spans="9:13" x14ac:dyDescent="0.3">
      <c r="I25520" s="82"/>
      <c r="M25520" s="85"/>
    </row>
    <row r="25521" spans="9:13" x14ac:dyDescent="0.3">
      <c r="I25521" s="82"/>
      <c r="M25521" s="85"/>
    </row>
    <row r="25522" spans="9:13" x14ac:dyDescent="0.3">
      <c r="I25522" s="82"/>
      <c r="M25522" s="85"/>
    </row>
    <row r="25523" spans="9:13" x14ac:dyDescent="0.3">
      <c r="I25523" s="82"/>
      <c r="M25523" s="85"/>
    </row>
    <row r="25524" spans="9:13" x14ac:dyDescent="0.3">
      <c r="I25524" s="82"/>
      <c r="M25524" s="85"/>
    </row>
    <row r="25525" spans="9:13" x14ac:dyDescent="0.3">
      <c r="I25525" s="82"/>
      <c r="M25525" s="85"/>
    </row>
    <row r="25526" spans="9:13" x14ac:dyDescent="0.3">
      <c r="I25526" s="82"/>
      <c r="M25526" s="85"/>
    </row>
    <row r="25527" spans="9:13" x14ac:dyDescent="0.3">
      <c r="I25527" s="82"/>
      <c r="M25527" s="85"/>
    </row>
    <row r="25528" spans="9:13" x14ac:dyDescent="0.3">
      <c r="I25528" s="82"/>
      <c r="M25528" s="85"/>
    </row>
    <row r="25529" spans="9:13" x14ac:dyDescent="0.3">
      <c r="I25529" s="82"/>
      <c r="M25529" s="85"/>
    </row>
    <row r="25530" spans="9:13" x14ac:dyDescent="0.3">
      <c r="I25530" s="82"/>
      <c r="M25530" s="85"/>
    </row>
    <row r="25531" spans="9:13" x14ac:dyDescent="0.3">
      <c r="I25531" s="82"/>
      <c r="M25531" s="85"/>
    </row>
    <row r="25532" spans="9:13" x14ac:dyDescent="0.3">
      <c r="I25532" s="82"/>
      <c r="M25532" s="85"/>
    </row>
    <row r="25533" spans="9:13" x14ac:dyDescent="0.3">
      <c r="I25533" s="82"/>
      <c r="M25533" s="85"/>
    </row>
    <row r="25534" spans="9:13" x14ac:dyDescent="0.3">
      <c r="I25534" s="82"/>
      <c r="M25534" s="85"/>
    </row>
    <row r="25535" spans="9:13" x14ac:dyDescent="0.3">
      <c r="I25535" s="82"/>
      <c r="M25535" s="85"/>
    </row>
    <row r="25536" spans="9:13" x14ac:dyDescent="0.3">
      <c r="I25536" s="82"/>
      <c r="M25536" s="85"/>
    </row>
    <row r="25537" spans="9:13" x14ac:dyDescent="0.3">
      <c r="I25537" s="82"/>
      <c r="M25537" s="85"/>
    </row>
    <row r="25538" spans="9:13" x14ac:dyDescent="0.3">
      <c r="I25538" s="82"/>
      <c r="M25538" s="85"/>
    </row>
    <row r="25539" spans="9:13" x14ac:dyDescent="0.3">
      <c r="I25539" s="82"/>
      <c r="M25539" s="85"/>
    </row>
    <row r="25540" spans="9:13" x14ac:dyDescent="0.3">
      <c r="I25540" s="82"/>
      <c r="M25540" s="85"/>
    </row>
    <row r="25541" spans="9:13" x14ac:dyDescent="0.3">
      <c r="I25541" s="82"/>
      <c r="M25541" s="85"/>
    </row>
    <row r="25542" spans="9:13" x14ac:dyDescent="0.3">
      <c r="I25542" s="82"/>
      <c r="M25542" s="85"/>
    </row>
    <row r="25543" spans="9:13" x14ac:dyDescent="0.3">
      <c r="I25543" s="82"/>
      <c r="M25543" s="85"/>
    </row>
    <row r="25544" spans="9:13" x14ac:dyDescent="0.3">
      <c r="I25544" s="82"/>
      <c r="M25544" s="85"/>
    </row>
    <row r="25545" spans="9:13" x14ac:dyDescent="0.3">
      <c r="I25545" s="82"/>
      <c r="M25545" s="85"/>
    </row>
    <row r="25546" spans="9:13" x14ac:dyDescent="0.3">
      <c r="I25546" s="82"/>
      <c r="M25546" s="85"/>
    </row>
    <row r="25547" spans="9:13" x14ac:dyDescent="0.3">
      <c r="I25547" s="82"/>
      <c r="M25547" s="85"/>
    </row>
    <row r="25548" spans="9:13" x14ac:dyDescent="0.3">
      <c r="I25548" s="82"/>
      <c r="M25548" s="85"/>
    </row>
    <row r="25549" spans="9:13" x14ac:dyDescent="0.3">
      <c r="I25549" s="82"/>
      <c r="M25549" s="85"/>
    </row>
    <row r="25550" spans="9:13" x14ac:dyDescent="0.3">
      <c r="I25550" s="82"/>
      <c r="M25550" s="85"/>
    </row>
    <row r="25551" spans="9:13" x14ac:dyDescent="0.3">
      <c r="I25551" s="82"/>
      <c r="M25551" s="85"/>
    </row>
    <row r="25552" spans="9:13" x14ac:dyDescent="0.3">
      <c r="I25552" s="82"/>
      <c r="M25552" s="85"/>
    </row>
    <row r="25553" spans="9:13" x14ac:dyDescent="0.3">
      <c r="I25553" s="82"/>
      <c r="M25553" s="85"/>
    </row>
    <row r="25554" spans="9:13" x14ac:dyDescent="0.3">
      <c r="I25554" s="82"/>
      <c r="M25554" s="85"/>
    </row>
    <row r="25555" spans="9:13" x14ac:dyDescent="0.3">
      <c r="I25555" s="82"/>
      <c r="M25555" s="85"/>
    </row>
    <row r="25556" spans="9:13" x14ac:dyDescent="0.3">
      <c r="I25556" s="82"/>
      <c r="M25556" s="85"/>
    </row>
    <row r="25557" spans="9:13" x14ac:dyDescent="0.3">
      <c r="I25557" s="82"/>
      <c r="M25557" s="85"/>
    </row>
    <row r="25558" spans="9:13" x14ac:dyDescent="0.3">
      <c r="I25558" s="82"/>
      <c r="M25558" s="85"/>
    </row>
    <row r="25559" spans="9:13" x14ac:dyDescent="0.3">
      <c r="I25559" s="82"/>
      <c r="M25559" s="85"/>
    </row>
    <row r="25560" spans="9:13" x14ac:dyDescent="0.3">
      <c r="I25560" s="82"/>
      <c r="M25560" s="85"/>
    </row>
    <row r="25561" spans="9:13" x14ac:dyDescent="0.3">
      <c r="I25561" s="82"/>
      <c r="M25561" s="85"/>
    </row>
    <row r="25562" spans="9:13" x14ac:dyDescent="0.3">
      <c r="I25562" s="82"/>
      <c r="M25562" s="85"/>
    </row>
    <row r="25563" spans="9:13" x14ac:dyDescent="0.3">
      <c r="I25563" s="82"/>
      <c r="M25563" s="85"/>
    </row>
    <row r="25564" spans="9:13" x14ac:dyDescent="0.3">
      <c r="I25564" s="82"/>
      <c r="M25564" s="85"/>
    </row>
    <row r="25565" spans="9:13" x14ac:dyDescent="0.3">
      <c r="I25565" s="82"/>
      <c r="M25565" s="85"/>
    </row>
    <row r="25566" spans="9:13" x14ac:dyDescent="0.3">
      <c r="I25566" s="82"/>
      <c r="M25566" s="85"/>
    </row>
    <row r="25567" spans="9:13" x14ac:dyDescent="0.3">
      <c r="I25567" s="82"/>
      <c r="M25567" s="85"/>
    </row>
    <row r="25568" spans="9:13" x14ac:dyDescent="0.3">
      <c r="I25568" s="82"/>
      <c r="M25568" s="85"/>
    </row>
    <row r="25569" spans="9:13" x14ac:dyDescent="0.3">
      <c r="I25569" s="82"/>
      <c r="M25569" s="85"/>
    </row>
    <row r="25570" spans="9:13" x14ac:dyDescent="0.3">
      <c r="I25570" s="82"/>
      <c r="M25570" s="85"/>
    </row>
    <row r="25571" spans="9:13" x14ac:dyDescent="0.3">
      <c r="I25571" s="82"/>
      <c r="M25571" s="85"/>
    </row>
    <row r="25572" spans="9:13" x14ac:dyDescent="0.3">
      <c r="I25572" s="82"/>
      <c r="M25572" s="85"/>
    </row>
    <row r="25573" spans="9:13" x14ac:dyDescent="0.3">
      <c r="I25573" s="82"/>
      <c r="M25573" s="85"/>
    </row>
    <row r="25574" spans="9:13" x14ac:dyDescent="0.3">
      <c r="I25574" s="82"/>
      <c r="M25574" s="85"/>
    </row>
    <row r="25575" spans="9:13" x14ac:dyDescent="0.3">
      <c r="I25575" s="82"/>
      <c r="M25575" s="85"/>
    </row>
    <row r="25576" spans="9:13" x14ac:dyDescent="0.3">
      <c r="I25576" s="82"/>
      <c r="M25576" s="85"/>
    </row>
    <row r="25577" spans="9:13" x14ac:dyDescent="0.3">
      <c r="I25577" s="82"/>
      <c r="M25577" s="85"/>
    </row>
    <row r="25578" spans="9:13" x14ac:dyDescent="0.3">
      <c r="I25578" s="82"/>
      <c r="M25578" s="85"/>
    </row>
    <row r="25579" spans="9:13" x14ac:dyDescent="0.3">
      <c r="I25579" s="82"/>
      <c r="M25579" s="85"/>
    </row>
    <row r="25580" spans="9:13" x14ac:dyDescent="0.3">
      <c r="I25580" s="82"/>
      <c r="M25580" s="85"/>
    </row>
    <row r="25581" spans="9:13" x14ac:dyDescent="0.3">
      <c r="I25581" s="82"/>
      <c r="M25581" s="85"/>
    </row>
    <row r="25582" spans="9:13" x14ac:dyDescent="0.3">
      <c r="I25582" s="82"/>
      <c r="M25582" s="85"/>
    </row>
    <row r="25583" spans="9:13" x14ac:dyDescent="0.3">
      <c r="I25583" s="82"/>
      <c r="M25583" s="85"/>
    </row>
    <row r="25584" spans="9:13" x14ac:dyDescent="0.3">
      <c r="I25584" s="82"/>
      <c r="M25584" s="85"/>
    </row>
    <row r="25585" spans="9:13" x14ac:dyDescent="0.3">
      <c r="I25585" s="82"/>
      <c r="M25585" s="85"/>
    </row>
    <row r="25586" spans="9:13" x14ac:dyDescent="0.3">
      <c r="I25586" s="82"/>
      <c r="M25586" s="85"/>
    </row>
    <row r="25587" spans="9:13" x14ac:dyDescent="0.3">
      <c r="I25587" s="82"/>
      <c r="M25587" s="85"/>
    </row>
    <row r="25588" spans="9:13" x14ac:dyDescent="0.3">
      <c r="I25588" s="82"/>
      <c r="M25588" s="85"/>
    </row>
    <row r="25589" spans="9:13" x14ac:dyDescent="0.3">
      <c r="I25589" s="82"/>
      <c r="M25589" s="85"/>
    </row>
    <row r="25590" spans="9:13" x14ac:dyDescent="0.3">
      <c r="I25590" s="82"/>
      <c r="M25590" s="85"/>
    </row>
    <row r="25591" spans="9:13" x14ac:dyDescent="0.3">
      <c r="I25591" s="82"/>
      <c r="M25591" s="85"/>
    </row>
    <row r="25592" spans="9:13" x14ac:dyDescent="0.3">
      <c r="I25592" s="82"/>
      <c r="M25592" s="85"/>
    </row>
    <row r="25593" spans="9:13" x14ac:dyDescent="0.3">
      <c r="I25593" s="82"/>
      <c r="M25593" s="85"/>
    </row>
    <row r="25594" spans="9:13" x14ac:dyDescent="0.3">
      <c r="I25594" s="82"/>
      <c r="M25594" s="85"/>
    </row>
    <row r="25595" spans="9:13" x14ac:dyDescent="0.3">
      <c r="I25595" s="82"/>
      <c r="M25595" s="85"/>
    </row>
    <row r="25596" spans="9:13" x14ac:dyDescent="0.3">
      <c r="I25596" s="82"/>
      <c r="M25596" s="85"/>
    </row>
    <row r="25597" spans="9:13" x14ac:dyDescent="0.3">
      <c r="I25597" s="82"/>
      <c r="M25597" s="85"/>
    </row>
    <row r="25598" spans="9:13" x14ac:dyDescent="0.3">
      <c r="I25598" s="82"/>
      <c r="M25598" s="85"/>
    </row>
    <row r="25599" spans="9:13" x14ac:dyDescent="0.3">
      <c r="I25599" s="82"/>
      <c r="M25599" s="85"/>
    </row>
    <row r="25600" spans="9:13" x14ac:dyDescent="0.3">
      <c r="I25600" s="82"/>
      <c r="M25600" s="85"/>
    </row>
    <row r="25601" spans="9:13" x14ac:dyDescent="0.3">
      <c r="I25601" s="82"/>
      <c r="M25601" s="85"/>
    </row>
    <row r="25602" spans="9:13" x14ac:dyDescent="0.3">
      <c r="I25602" s="82"/>
      <c r="M25602" s="85"/>
    </row>
    <row r="25603" spans="9:13" x14ac:dyDescent="0.3">
      <c r="I25603" s="82"/>
      <c r="M25603" s="85"/>
    </row>
    <row r="25604" spans="9:13" x14ac:dyDescent="0.3">
      <c r="I25604" s="82"/>
      <c r="M25604" s="85"/>
    </row>
    <row r="25605" spans="9:13" x14ac:dyDescent="0.3">
      <c r="I25605" s="82"/>
      <c r="M25605" s="85"/>
    </row>
    <row r="25606" spans="9:13" x14ac:dyDescent="0.3">
      <c r="I25606" s="82"/>
      <c r="M25606" s="85"/>
    </row>
    <row r="25607" spans="9:13" x14ac:dyDescent="0.3">
      <c r="I25607" s="82"/>
      <c r="M25607" s="85"/>
    </row>
    <row r="25608" spans="9:13" x14ac:dyDescent="0.3">
      <c r="I25608" s="82"/>
      <c r="M25608" s="85"/>
    </row>
    <row r="25609" spans="9:13" x14ac:dyDescent="0.3">
      <c r="I25609" s="82"/>
      <c r="M25609" s="85"/>
    </row>
    <row r="25610" spans="9:13" x14ac:dyDescent="0.3">
      <c r="I25610" s="82"/>
      <c r="M25610" s="85"/>
    </row>
    <row r="25611" spans="9:13" x14ac:dyDescent="0.3">
      <c r="I25611" s="82"/>
      <c r="M25611" s="85"/>
    </row>
    <row r="25612" spans="9:13" x14ac:dyDescent="0.3">
      <c r="I25612" s="82"/>
      <c r="M25612" s="85"/>
    </row>
    <row r="25613" spans="9:13" x14ac:dyDescent="0.3">
      <c r="I25613" s="82"/>
      <c r="M25613" s="85"/>
    </row>
    <row r="25614" spans="9:13" x14ac:dyDescent="0.3">
      <c r="I25614" s="82"/>
      <c r="M25614" s="85"/>
    </row>
    <row r="25615" spans="9:13" x14ac:dyDescent="0.3">
      <c r="I25615" s="82"/>
      <c r="M25615" s="85"/>
    </row>
    <row r="25616" spans="9:13" x14ac:dyDescent="0.3">
      <c r="I25616" s="82"/>
      <c r="M25616" s="85"/>
    </row>
    <row r="25617" spans="9:13" x14ac:dyDescent="0.3">
      <c r="I25617" s="82"/>
      <c r="M25617" s="85"/>
    </row>
    <row r="25618" spans="9:13" x14ac:dyDescent="0.3">
      <c r="I25618" s="82"/>
      <c r="M25618" s="85"/>
    </row>
    <row r="25619" spans="9:13" x14ac:dyDescent="0.3">
      <c r="I25619" s="82"/>
      <c r="M25619" s="85"/>
    </row>
    <row r="25620" spans="9:13" x14ac:dyDescent="0.3">
      <c r="I25620" s="82"/>
      <c r="M25620" s="85"/>
    </row>
    <row r="25621" spans="9:13" x14ac:dyDescent="0.3">
      <c r="I25621" s="82"/>
      <c r="M25621" s="85"/>
    </row>
    <row r="25622" spans="9:13" x14ac:dyDescent="0.3">
      <c r="I25622" s="82"/>
      <c r="M25622" s="85"/>
    </row>
    <row r="25623" spans="9:13" x14ac:dyDescent="0.3">
      <c r="I25623" s="82"/>
      <c r="M25623" s="85"/>
    </row>
    <row r="25624" spans="9:13" x14ac:dyDescent="0.3">
      <c r="I25624" s="82"/>
      <c r="M25624" s="85"/>
    </row>
    <row r="25625" spans="9:13" x14ac:dyDescent="0.3">
      <c r="I25625" s="82"/>
      <c r="M25625" s="85"/>
    </row>
    <row r="25626" spans="9:13" x14ac:dyDescent="0.3">
      <c r="I25626" s="82"/>
      <c r="M25626" s="85"/>
    </row>
    <row r="25627" spans="9:13" x14ac:dyDescent="0.3">
      <c r="I25627" s="82"/>
      <c r="M25627" s="85"/>
    </row>
    <row r="25628" spans="9:13" x14ac:dyDescent="0.3">
      <c r="I25628" s="82"/>
      <c r="M25628" s="85"/>
    </row>
    <row r="25629" spans="9:13" x14ac:dyDescent="0.3">
      <c r="I25629" s="82"/>
      <c r="M25629" s="85"/>
    </row>
    <row r="25630" spans="9:13" x14ac:dyDescent="0.3">
      <c r="I25630" s="82"/>
      <c r="M25630" s="85"/>
    </row>
    <row r="25631" spans="9:13" x14ac:dyDescent="0.3">
      <c r="I25631" s="82"/>
      <c r="M25631" s="85"/>
    </row>
    <row r="25632" spans="9:13" x14ac:dyDescent="0.3">
      <c r="I25632" s="82"/>
      <c r="M25632" s="85"/>
    </row>
    <row r="25633" spans="9:13" x14ac:dyDescent="0.3">
      <c r="I25633" s="82"/>
      <c r="M25633" s="85"/>
    </row>
    <row r="25634" spans="9:13" x14ac:dyDescent="0.3">
      <c r="I25634" s="82"/>
      <c r="M25634" s="85"/>
    </row>
    <row r="25635" spans="9:13" x14ac:dyDescent="0.3">
      <c r="I25635" s="82"/>
      <c r="M25635" s="85"/>
    </row>
    <row r="25636" spans="9:13" x14ac:dyDescent="0.3">
      <c r="I25636" s="82"/>
      <c r="M25636" s="85"/>
    </row>
    <row r="25637" spans="9:13" x14ac:dyDescent="0.3">
      <c r="I25637" s="82"/>
      <c r="M25637" s="85"/>
    </row>
    <row r="25638" spans="9:13" x14ac:dyDescent="0.3">
      <c r="I25638" s="82"/>
      <c r="M25638" s="85"/>
    </row>
    <row r="25639" spans="9:13" x14ac:dyDescent="0.3">
      <c r="I25639" s="82"/>
      <c r="M25639" s="85"/>
    </row>
    <row r="25640" spans="9:13" x14ac:dyDescent="0.3">
      <c r="I25640" s="82"/>
      <c r="M25640" s="85"/>
    </row>
    <row r="25641" spans="9:13" x14ac:dyDescent="0.3">
      <c r="I25641" s="82"/>
      <c r="M25641" s="85"/>
    </row>
    <row r="25642" spans="9:13" x14ac:dyDescent="0.3">
      <c r="I25642" s="82"/>
      <c r="M25642" s="85"/>
    </row>
    <row r="25643" spans="9:13" x14ac:dyDescent="0.3">
      <c r="I25643" s="82"/>
      <c r="M25643" s="85"/>
    </row>
    <row r="25644" spans="9:13" x14ac:dyDescent="0.3">
      <c r="I25644" s="82"/>
      <c r="M25644" s="85"/>
    </row>
    <row r="25645" spans="9:13" x14ac:dyDescent="0.3">
      <c r="I25645" s="82"/>
      <c r="M25645" s="85"/>
    </row>
    <row r="25646" spans="9:13" x14ac:dyDescent="0.3">
      <c r="I25646" s="82"/>
      <c r="M25646" s="85"/>
    </row>
    <row r="25647" spans="9:13" x14ac:dyDescent="0.3">
      <c r="I25647" s="82"/>
      <c r="M25647" s="85"/>
    </row>
    <row r="25648" spans="9:13" x14ac:dyDescent="0.3">
      <c r="I25648" s="82"/>
      <c r="M25648" s="85"/>
    </row>
    <row r="25649" spans="9:13" x14ac:dyDescent="0.3">
      <c r="I25649" s="82"/>
      <c r="M25649" s="85"/>
    </row>
    <row r="25650" spans="9:13" x14ac:dyDescent="0.3">
      <c r="I25650" s="82"/>
      <c r="M25650" s="85"/>
    </row>
    <row r="25651" spans="9:13" x14ac:dyDescent="0.3">
      <c r="I25651" s="82"/>
      <c r="M25651" s="85"/>
    </row>
    <row r="25652" spans="9:13" x14ac:dyDescent="0.3">
      <c r="I25652" s="82"/>
      <c r="M25652" s="85"/>
    </row>
    <row r="25653" spans="9:13" x14ac:dyDescent="0.3">
      <c r="I25653" s="82"/>
      <c r="M25653" s="85"/>
    </row>
    <row r="25654" spans="9:13" x14ac:dyDescent="0.3">
      <c r="I25654" s="82"/>
      <c r="M25654" s="85"/>
    </row>
    <row r="25655" spans="9:13" x14ac:dyDescent="0.3">
      <c r="I25655" s="82"/>
      <c r="M25655" s="85"/>
    </row>
    <row r="25656" spans="9:13" x14ac:dyDescent="0.3">
      <c r="I25656" s="82"/>
      <c r="M25656" s="85"/>
    </row>
    <row r="25657" spans="9:13" x14ac:dyDescent="0.3">
      <c r="I25657" s="82"/>
      <c r="M25657" s="85"/>
    </row>
    <row r="25658" spans="9:13" x14ac:dyDescent="0.3">
      <c r="I25658" s="82"/>
      <c r="M25658" s="85"/>
    </row>
    <row r="25659" spans="9:13" x14ac:dyDescent="0.3">
      <c r="I25659" s="82"/>
      <c r="M25659" s="85"/>
    </row>
    <row r="25660" spans="9:13" x14ac:dyDescent="0.3">
      <c r="I25660" s="82"/>
      <c r="M25660" s="85"/>
    </row>
    <row r="25661" spans="9:13" x14ac:dyDescent="0.3">
      <c r="I25661" s="82"/>
      <c r="M25661" s="85"/>
    </row>
    <row r="25662" spans="9:13" x14ac:dyDescent="0.3">
      <c r="I25662" s="82"/>
      <c r="M25662" s="85"/>
    </row>
    <row r="25663" spans="9:13" x14ac:dyDescent="0.3">
      <c r="I25663" s="82"/>
      <c r="M25663" s="85"/>
    </row>
    <row r="25664" spans="9:13" x14ac:dyDescent="0.3">
      <c r="I25664" s="82"/>
      <c r="M25664" s="85"/>
    </row>
    <row r="25665" spans="9:13" x14ac:dyDescent="0.3">
      <c r="I25665" s="82"/>
      <c r="M25665" s="85"/>
    </row>
    <row r="25666" spans="9:13" x14ac:dyDescent="0.3">
      <c r="I25666" s="82"/>
      <c r="M25666" s="85"/>
    </row>
    <row r="25667" spans="9:13" x14ac:dyDescent="0.3">
      <c r="I25667" s="82"/>
      <c r="M25667" s="85"/>
    </row>
    <row r="25668" spans="9:13" x14ac:dyDescent="0.3">
      <c r="I25668" s="82"/>
      <c r="M25668" s="85"/>
    </row>
    <row r="25669" spans="9:13" x14ac:dyDescent="0.3">
      <c r="I25669" s="82"/>
      <c r="M25669" s="85"/>
    </row>
    <row r="25670" spans="9:13" x14ac:dyDescent="0.3">
      <c r="I25670" s="82"/>
      <c r="M25670" s="85"/>
    </row>
    <row r="25671" spans="9:13" x14ac:dyDescent="0.3">
      <c r="I25671" s="82"/>
      <c r="M25671" s="85"/>
    </row>
    <row r="25672" spans="9:13" x14ac:dyDescent="0.3">
      <c r="I25672" s="82"/>
      <c r="M25672" s="85"/>
    </row>
    <row r="25673" spans="9:13" x14ac:dyDescent="0.3">
      <c r="I25673" s="82"/>
      <c r="M25673" s="85"/>
    </row>
    <row r="25674" spans="9:13" x14ac:dyDescent="0.3">
      <c r="I25674" s="82"/>
      <c r="M25674" s="85"/>
    </row>
    <row r="25675" spans="9:13" x14ac:dyDescent="0.3">
      <c r="I25675" s="82"/>
      <c r="M25675" s="85"/>
    </row>
    <row r="25676" spans="9:13" x14ac:dyDescent="0.3">
      <c r="I25676" s="82"/>
      <c r="M25676" s="85"/>
    </row>
    <row r="25677" spans="9:13" x14ac:dyDescent="0.3">
      <c r="I25677" s="82"/>
      <c r="M25677" s="85"/>
    </row>
    <row r="25678" spans="9:13" x14ac:dyDescent="0.3">
      <c r="I25678" s="82"/>
      <c r="M25678" s="85"/>
    </row>
    <row r="25679" spans="9:13" x14ac:dyDescent="0.3">
      <c r="I25679" s="82"/>
      <c r="M25679" s="85"/>
    </row>
    <row r="25680" spans="9:13" x14ac:dyDescent="0.3">
      <c r="I25680" s="82"/>
      <c r="M25680" s="85"/>
    </row>
    <row r="25681" spans="9:13" x14ac:dyDescent="0.3">
      <c r="I25681" s="82"/>
      <c r="M25681" s="85"/>
    </row>
    <row r="25682" spans="9:13" x14ac:dyDescent="0.3">
      <c r="I25682" s="82"/>
      <c r="M25682" s="85"/>
    </row>
    <row r="25683" spans="9:13" x14ac:dyDescent="0.3">
      <c r="I25683" s="82"/>
      <c r="M25683" s="85"/>
    </row>
    <row r="25684" spans="9:13" x14ac:dyDescent="0.3">
      <c r="I25684" s="82"/>
      <c r="M25684" s="85"/>
    </row>
    <row r="25685" spans="9:13" x14ac:dyDescent="0.3">
      <c r="I25685" s="82"/>
      <c r="M25685" s="85"/>
    </row>
    <row r="25686" spans="9:13" x14ac:dyDescent="0.3">
      <c r="I25686" s="82"/>
      <c r="M25686" s="85"/>
    </row>
    <row r="25687" spans="9:13" x14ac:dyDescent="0.3">
      <c r="I25687" s="82"/>
      <c r="M25687" s="85"/>
    </row>
    <row r="25688" spans="9:13" x14ac:dyDescent="0.3">
      <c r="I25688" s="82"/>
      <c r="M25688" s="85"/>
    </row>
    <row r="25689" spans="9:13" x14ac:dyDescent="0.3">
      <c r="I25689" s="82"/>
      <c r="M25689" s="85"/>
    </row>
    <row r="25690" spans="9:13" x14ac:dyDescent="0.3">
      <c r="I25690" s="82"/>
      <c r="M25690" s="85"/>
    </row>
    <row r="25691" spans="9:13" x14ac:dyDescent="0.3">
      <c r="I25691" s="82"/>
      <c r="M25691" s="85"/>
    </row>
    <row r="25692" spans="9:13" x14ac:dyDescent="0.3">
      <c r="I25692" s="82"/>
      <c r="M25692" s="85"/>
    </row>
    <row r="25693" spans="9:13" x14ac:dyDescent="0.3">
      <c r="I25693" s="82"/>
      <c r="M25693" s="85"/>
    </row>
    <row r="25694" spans="9:13" x14ac:dyDescent="0.3">
      <c r="I25694" s="82"/>
      <c r="M25694" s="85"/>
    </row>
    <row r="25695" spans="9:13" x14ac:dyDescent="0.3">
      <c r="I25695" s="82"/>
      <c r="M25695" s="85"/>
    </row>
    <row r="25696" spans="9:13" x14ac:dyDescent="0.3">
      <c r="I25696" s="82"/>
      <c r="M25696" s="85"/>
    </row>
    <row r="25697" spans="9:13" x14ac:dyDescent="0.3">
      <c r="I25697" s="82"/>
      <c r="M25697" s="85"/>
    </row>
    <row r="25698" spans="9:13" x14ac:dyDescent="0.3">
      <c r="I25698" s="82"/>
      <c r="M25698" s="85"/>
    </row>
    <row r="25699" spans="9:13" x14ac:dyDescent="0.3">
      <c r="I25699" s="82"/>
      <c r="M25699" s="85"/>
    </row>
    <row r="25700" spans="9:13" x14ac:dyDescent="0.3">
      <c r="I25700" s="82"/>
      <c r="M25700" s="85"/>
    </row>
    <row r="25701" spans="9:13" x14ac:dyDescent="0.3">
      <c r="I25701" s="82"/>
      <c r="M25701" s="85"/>
    </row>
    <row r="25702" spans="9:13" x14ac:dyDescent="0.3">
      <c r="I25702" s="82"/>
      <c r="M25702" s="85"/>
    </row>
    <row r="25703" spans="9:13" x14ac:dyDescent="0.3">
      <c r="I25703" s="82"/>
      <c r="M25703" s="85"/>
    </row>
    <row r="25704" spans="9:13" x14ac:dyDescent="0.3">
      <c r="I25704" s="82"/>
      <c r="M25704" s="85"/>
    </row>
    <row r="25705" spans="9:13" x14ac:dyDescent="0.3">
      <c r="I25705" s="82"/>
      <c r="M25705" s="85"/>
    </row>
    <row r="25706" spans="9:13" x14ac:dyDescent="0.3">
      <c r="I25706" s="82"/>
      <c r="M25706" s="85"/>
    </row>
    <row r="25707" spans="9:13" x14ac:dyDescent="0.3">
      <c r="I25707" s="82"/>
      <c r="M25707" s="85"/>
    </row>
    <row r="25708" spans="9:13" x14ac:dyDescent="0.3">
      <c r="I25708" s="82"/>
      <c r="M25708" s="85"/>
    </row>
    <row r="25709" spans="9:13" x14ac:dyDescent="0.3">
      <c r="I25709" s="82"/>
      <c r="M25709" s="85"/>
    </row>
    <row r="25710" spans="9:13" x14ac:dyDescent="0.3">
      <c r="I25710" s="82"/>
      <c r="M25710" s="85"/>
    </row>
    <row r="25711" spans="9:13" x14ac:dyDescent="0.3">
      <c r="I25711" s="82"/>
      <c r="M25711" s="85"/>
    </row>
    <row r="25712" spans="9:13" x14ac:dyDescent="0.3">
      <c r="I25712" s="82"/>
      <c r="M25712" s="85"/>
    </row>
    <row r="25713" spans="9:13" x14ac:dyDescent="0.3">
      <c r="I25713" s="82"/>
      <c r="M25713" s="85"/>
    </row>
    <row r="25714" spans="9:13" x14ac:dyDescent="0.3">
      <c r="I25714" s="82"/>
      <c r="M25714" s="85"/>
    </row>
    <row r="25715" spans="9:13" x14ac:dyDescent="0.3">
      <c r="I25715" s="82"/>
      <c r="M25715" s="85"/>
    </row>
    <row r="25716" spans="9:13" x14ac:dyDescent="0.3">
      <c r="I25716" s="82"/>
      <c r="M25716" s="85"/>
    </row>
    <row r="25717" spans="9:13" x14ac:dyDescent="0.3">
      <c r="I25717" s="82"/>
      <c r="M25717" s="85"/>
    </row>
    <row r="25718" spans="9:13" x14ac:dyDescent="0.3">
      <c r="I25718" s="82"/>
      <c r="M25718" s="85"/>
    </row>
    <row r="25719" spans="9:13" x14ac:dyDescent="0.3">
      <c r="I25719" s="82"/>
      <c r="M25719" s="85"/>
    </row>
    <row r="25720" spans="9:13" x14ac:dyDescent="0.3">
      <c r="I25720" s="82"/>
      <c r="M25720" s="85"/>
    </row>
    <row r="25721" spans="9:13" x14ac:dyDescent="0.3">
      <c r="I25721" s="82"/>
      <c r="M25721" s="85"/>
    </row>
    <row r="25722" spans="9:13" x14ac:dyDescent="0.3">
      <c r="I25722" s="82"/>
      <c r="M25722" s="85"/>
    </row>
    <row r="25723" spans="9:13" x14ac:dyDescent="0.3">
      <c r="I25723" s="82"/>
      <c r="M25723" s="85"/>
    </row>
    <row r="25724" spans="9:13" x14ac:dyDescent="0.3">
      <c r="I25724" s="82"/>
      <c r="M25724" s="85"/>
    </row>
    <row r="25725" spans="9:13" x14ac:dyDescent="0.3">
      <c r="I25725" s="82"/>
      <c r="M25725" s="85"/>
    </row>
    <row r="25726" spans="9:13" x14ac:dyDescent="0.3">
      <c r="I25726" s="82"/>
      <c r="M25726" s="85"/>
    </row>
    <row r="25727" spans="9:13" x14ac:dyDescent="0.3">
      <c r="I25727" s="82"/>
      <c r="M25727" s="85"/>
    </row>
    <row r="25728" spans="9:13" x14ac:dyDescent="0.3">
      <c r="I25728" s="82"/>
      <c r="M25728" s="85"/>
    </row>
    <row r="25729" spans="9:13" x14ac:dyDescent="0.3">
      <c r="I25729" s="82"/>
      <c r="M25729" s="85"/>
    </row>
    <row r="25730" spans="9:13" x14ac:dyDescent="0.3">
      <c r="I25730" s="82"/>
      <c r="M25730" s="85"/>
    </row>
    <row r="25731" spans="9:13" x14ac:dyDescent="0.3">
      <c r="I25731" s="82"/>
      <c r="M25731" s="85"/>
    </row>
    <row r="25732" spans="9:13" x14ac:dyDescent="0.3">
      <c r="I25732" s="82"/>
      <c r="M25732" s="85"/>
    </row>
    <row r="25733" spans="9:13" x14ac:dyDescent="0.3">
      <c r="I25733" s="82"/>
      <c r="M25733" s="85"/>
    </row>
    <row r="25734" spans="9:13" x14ac:dyDescent="0.3">
      <c r="I25734" s="82"/>
      <c r="M25734" s="85"/>
    </row>
    <row r="25735" spans="9:13" x14ac:dyDescent="0.3">
      <c r="I25735" s="82"/>
      <c r="M25735" s="85"/>
    </row>
    <row r="25736" spans="9:13" x14ac:dyDescent="0.3">
      <c r="I25736" s="82"/>
      <c r="M25736" s="85"/>
    </row>
    <row r="25737" spans="9:13" x14ac:dyDescent="0.3">
      <c r="I25737" s="82"/>
      <c r="M25737" s="85"/>
    </row>
    <row r="25738" spans="9:13" x14ac:dyDescent="0.3">
      <c r="I25738" s="82"/>
      <c r="M25738" s="85"/>
    </row>
    <row r="25739" spans="9:13" x14ac:dyDescent="0.3">
      <c r="I25739" s="82"/>
      <c r="M25739" s="85"/>
    </row>
    <row r="25740" spans="9:13" x14ac:dyDescent="0.3">
      <c r="I25740" s="82"/>
      <c r="M25740" s="85"/>
    </row>
    <row r="25741" spans="9:13" x14ac:dyDescent="0.3">
      <c r="I25741" s="82"/>
      <c r="M25741" s="85"/>
    </row>
    <row r="25742" spans="9:13" x14ac:dyDescent="0.3">
      <c r="I25742" s="82"/>
      <c r="M25742" s="85"/>
    </row>
    <row r="25743" spans="9:13" x14ac:dyDescent="0.3">
      <c r="I25743" s="82"/>
      <c r="M25743" s="85"/>
    </row>
    <row r="25744" spans="9:13" x14ac:dyDescent="0.3">
      <c r="I25744" s="82"/>
      <c r="M25744" s="85"/>
    </row>
    <row r="25745" spans="9:13" x14ac:dyDescent="0.3">
      <c r="I25745" s="82"/>
      <c r="M25745" s="85"/>
    </row>
    <row r="25746" spans="9:13" x14ac:dyDescent="0.3">
      <c r="I25746" s="82"/>
      <c r="M25746" s="85"/>
    </row>
    <row r="25747" spans="9:13" x14ac:dyDescent="0.3">
      <c r="I25747" s="82"/>
      <c r="M25747" s="85"/>
    </row>
    <row r="25748" spans="9:13" x14ac:dyDescent="0.3">
      <c r="I25748" s="82"/>
      <c r="M25748" s="85"/>
    </row>
    <row r="25749" spans="9:13" x14ac:dyDescent="0.3">
      <c r="I25749" s="82"/>
      <c r="M25749" s="85"/>
    </row>
    <row r="25750" spans="9:13" x14ac:dyDescent="0.3">
      <c r="I25750" s="82"/>
      <c r="M25750" s="85"/>
    </row>
    <row r="25751" spans="9:13" x14ac:dyDescent="0.3">
      <c r="I25751" s="82"/>
      <c r="M25751" s="85"/>
    </row>
    <row r="25752" spans="9:13" x14ac:dyDescent="0.3">
      <c r="I25752" s="82"/>
      <c r="M25752" s="85"/>
    </row>
    <row r="25753" spans="9:13" x14ac:dyDescent="0.3">
      <c r="I25753" s="82"/>
      <c r="M25753" s="85"/>
    </row>
    <row r="25754" spans="9:13" x14ac:dyDescent="0.3">
      <c r="I25754" s="82"/>
      <c r="M25754" s="85"/>
    </row>
    <row r="25755" spans="9:13" x14ac:dyDescent="0.3">
      <c r="I25755" s="82"/>
      <c r="M25755" s="85"/>
    </row>
    <row r="25756" spans="9:13" x14ac:dyDescent="0.3">
      <c r="I25756" s="82"/>
      <c r="M25756" s="85"/>
    </row>
    <row r="25757" spans="9:13" x14ac:dyDescent="0.3">
      <c r="I25757" s="82"/>
      <c r="M25757" s="85"/>
    </row>
    <row r="25758" spans="9:13" x14ac:dyDescent="0.3">
      <c r="I25758" s="82"/>
      <c r="M25758" s="85"/>
    </row>
    <row r="25759" spans="9:13" x14ac:dyDescent="0.3">
      <c r="I25759" s="82"/>
      <c r="M25759" s="85"/>
    </row>
    <row r="25760" spans="9:13" x14ac:dyDescent="0.3">
      <c r="I25760" s="82"/>
      <c r="M25760" s="85"/>
    </row>
    <row r="25761" spans="9:13" x14ac:dyDescent="0.3">
      <c r="I25761" s="82"/>
      <c r="M25761" s="85"/>
    </row>
    <row r="25762" spans="9:13" x14ac:dyDescent="0.3">
      <c r="I25762" s="82"/>
      <c r="M25762" s="85"/>
    </row>
    <row r="25763" spans="9:13" x14ac:dyDescent="0.3">
      <c r="I25763" s="82"/>
      <c r="M25763" s="85"/>
    </row>
    <row r="25764" spans="9:13" x14ac:dyDescent="0.3">
      <c r="I25764" s="82"/>
      <c r="M25764" s="85"/>
    </row>
    <row r="25765" spans="9:13" x14ac:dyDescent="0.3">
      <c r="I25765" s="82"/>
      <c r="M25765" s="85"/>
    </row>
    <row r="25766" spans="9:13" x14ac:dyDescent="0.3">
      <c r="I25766" s="82"/>
      <c r="M25766" s="85"/>
    </row>
    <row r="25767" spans="9:13" x14ac:dyDescent="0.3">
      <c r="I25767" s="82"/>
      <c r="M25767" s="85"/>
    </row>
    <row r="25768" spans="9:13" x14ac:dyDescent="0.3">
      <c r="I25768" s="82"/>
      <c r="M25768" s="85"/>
    </row>
    <row r="25769" spans="9:13" x14ac:dyDescent="0.3">
      <c r="I25769" s="82"/>
      <c r="M25769" s="85"/>
    </row>
    <row r="25770" spans="9:13" x14ac:dyDescent="0.3">
      <c r="I25770" s="82"/>
      <c r="M25770" s="85"/>
    </row>
    <row r="25771" spans="9:13" x14ac:dyDescent="0.3">
      <c r="I25771" s="82"/>
      <c r="M25771" s="85"/>
    </row>
    <row r="25772" spans="9:13" x14ac:dyDescent="0.3">
      <c r="I25772" s="82"/>
      <c r="M25772" s="85"/>
    </row>
    <row r="25773" spans="9:13" x14ac:dyDescent="0.3">
      <c r="I25773" s="82"/>
      <c r="M25773" s="85"/>
    </row>
    <row r="25774" spans="9:13" x14ac:dyDescent="0.3">
      <c r="I25774" s="82"/>
      <c r="M25774" s="85"/>
    </row>
    <row r="25775" spans="9:13" x14ac:dyDescent="0.3">
      <c r="I25775" s="82"/>
      <c r="M25775" s="85"/>
    </row>
    <row r="25776" spans="9:13" x14ac:dyDescent="0.3">
      <c r="I25776" s="82"/>
      <c r="M25776" s="85"/>
    </row>
    <row r="25777" spans="9:13" x14ac:dyDescent="0.3">
      <c r="I25777" s="82"/>
      <c r="M25777" s="85"/>
    </row>
    <row r="25778" spans="9:13" x14ac:dyDescent="0.3">
      <c r="I25778" s="82"/>
      <c r="M25778" s="85"/>
    </row>
    <row r="25779" spans="9:13" x14ac:dyDescent="0.3">
      <c r="I25779" s="82"/>
      <c r="M25779" s="85"/>
    </row>
    <row r="25780" spans="9:13" x14ac:dyDescent="0.3">
      <c r="I25780" s="82"/>
      <c r="M25780" s="85"/>
    </row>
    <row r="25781" spans="9:13" x14ac:dyDescent="0.3">
      <c r="I25781" s="82"/>
      <c r="M25781" s="85"/>
    </row>
    <row r="25782" spans="9:13" x14ac:dyDescent="0.3">
      <c r="I25782" s="82"/>
      <c r="M25782" s="85"/>
    </row>
    <row r="25783" spans="9:13" x14ac:dyDescent="0.3">
      <c r="I25783" s="82"/>
      <c r="M25783" s="85"/>
    </row>
    <row r="25784" spans="9:13" x14ac:dyDescent="0.3">
      <c r="I25784" s="82"/>
      <c r="M25784" s="85"/>
    </row>
    <row r="25785" spans="9:13" x14ac:dyDescent="0.3">
      <c r="I25785" s="82"/>
      <c r="M25785" s="85"/>
    </row>
    <row r="25786" spans="9:13" x14ac:dyDescent="0.3">
      <c r="I25786" s="82"/>
      <c r="M25786" s="85"/>
    </row>
    <row r="25787" spans="9:13" x14ac:dyDescent="0.3">
      <c r="I25787" s="82"/>
      <c r="M25787" s="85"/>
    </row>
    <row r="25788" spans="9:13" x14ac:dyDescent="0.3">
      <c r="I25788" s="82"/>
      <c r="M25788" s="85"/>
    </row>
    <row r="25789" spans="9:13" x14ac:dyDescent="0.3">
      <c r="I25789" s="82"/>
      <c r="M25789" s="85"/>
    </row>
    <row r="25790" spans="9:13" x14ac:dyDescent="0.3">
      <c r="I25790" s="82"/>
      <c r="M25790" s="85"/>
    </row>
    <row r="25791" spans="9:13" x14ac:dyDescent="0.3">
      <c r="I25791" s="82"/>
      <c r="M25791" s="85"/>
    </row>
    <row r="25792" spans="9:13" x14ac:dyDescent="0.3">
      <c r="I25792" s="82"/>
      <c r="M25792" s="85"/>
    </row>
    <row r="25793" spans="9:13" x14ac:dyDescent="0.3">
      <c r="I25793" s="82"/>
      <c r="M25793" s="85"/>
    </row>
    <row r="25794" spans="9:13" x14ac:dyDescent="0.3">
      <c r="I25794" s="82"/>
      <c r="M25794" s="85"/>
    </row>
    <row r="25795" spans="9:13" x14ac:dyDescent="0.3">
      <c r="I25795" s="82"/>
      <c r="M25795" s="85"/>
    </row>
    <row r="25796" spans="9:13" x14ac:dyDescent="0.3">
      <c r="I25796" s="82"/>
      <c r="M25796" s="85"/>
    </row>
    <row r="25797" spans="9:13" x14ac:dyDescent="0.3">
      <c r="I25797" s="82"/>
      <c r="M25797" s="85"/>
    </row>
    <row r="25798" spans="9:13" x14ac:dyDescent="0.3">
      <c r="I25798" s="82"/>
      <c r="M25798" s="85"/>
    </row>
    <row r="25799" spans="9:13" x14ac:dyDescent="0.3">
      <c r="I25799" s="82"/>
      <c r="M25799" s="85"/>
    </row>
    <row r="25800" spans="9:13" x14ac:dyDescent="0.3">
      <c r="I25800" s="82"/>
      <c r="M25800" s="85"/>
    </row>
    <row r="25801" spans="9:13" x14ac:dyDescent="0.3">
      <c r="I25801" s="82"/>
      <c r="M25801" s="85"/>
    </row>
    <row r="25802" spans="9:13" x14ac:dyDescent="0.3">
      <c r="I25802" s="82"/>
      <c r="M25802" s="85"/>
    </row>
    <row r="25803" spans="9:13" x14ac:dyDescent="0.3">
      <c r="I25803" s="82"/>
      <c r="M25803" s="85"/>
    </row>
    <row r="25804" spans="9:13" x14ac:dyDescent="0.3">
      <c r="I25804" s="82"/>
      <c r="M25804" s="85"/>
    </row>
    <row r="25805" spans="9:13" x14ac:dyDescent="0.3">
      <c r="I25805" s="82"/>
      <c r="M25805" s="85"/>
    </row>
    <row r="25806" spans="9:13" x14ac:dyDescent="0.3">
      <c r="I25806" s="82"/>
      <c r="M25806" s="85"/>
    </row>
    <row r="25807" spans="9:13" x14ac:dyDescent="0.3">
      <c r="I25807" s="82"/>
      <c r="M25807" s="85"/>
    </row>
    <row r="25808" spans="9:13" x14ac:dyDescent="0.3">
      <c r="I25808" s="82"/>
      <c r="M25808" s="85"/>
    </row>
    <row r="25809" spans="9:13" x14ac:dyDescent="0.3">
      <c r="I25809" s="82"/>
      <c r="M25809" s="85"/>
    </row>
    <row r="25810" spans="9:13" x14ac:dyDescent="0.3">
      <c r="I25810" s="82"/>
      <c r="M25810" s="85"/>
    </row>
    <row r="25811" spans="9:13" x14ac:dyDescent="0.3">
      <c r="I25811" s="82"/>
      <c r="M25811" s="85"/>
    </row>
    <row r="25812" spans="9:13" x14ac:dyDescent="0.3">
      <c r="I25812" s="82"/>
      <c r="M25812" s="85"/>
    </row>
    <row r="25813" spans="9:13" x14ac:dyDescent="0.3">
      <c r="I25813" s="82"/>
      <c r="M25813" s="85"/>
    </row>
    <row r="25814" spans="9:13" x14ac:dyDescent="0.3">
      <c r="I25814" s="82"/>
      <c r="M25814" s="85"/>
    </row>
    <row r="25815" spans="9:13" x14ac:dyDescent="0.3">
      <c r="I25815" s="82"/>
      <c r="M25815" s="85"/>
    </row>
    <row r="25816" spans="9:13" x14ac:dyDescent="0.3">
      <c r="I25816" s="82"/>
      <c r="M25816" s="85"/>
    </row>
    <row r="25817" spans="9:13" x14ac:dyDescent="0.3">
      <c r="I25817" s="82"/>
      <c r="M25817" s="85"/>
    </row>
    <row r="25818" spans="9:13" x14ac:dyDescent="0.3">
      <c r="I25818" s="82"/>
      <c r="M25818" s="85"/>
    </row>
    <row r="25819" spans="9:13" x14ac:dyDescent="0.3">
      <c r="I25819" s="82"/>
      <c r="M25819" s="85"/>
    </row>
    <row r="25820" spans="9:13" x14ac:dyDescent="0.3">
      <c r="I25820" s="82"/>
      <c r="M25820" s="85"/>
    </row>
    <row r="25821" spans="9:13" x14ac:dyDescent="0.3">
      <c r="I25821" s="82"/>
      <c r="M25821" s="85"/>
    </row>
    <row r="25822" spans="9:13" x14ac:dyDescent="0.3">
      <c r="I25822" s="82"/>
      <c r="M25822" s="85"/>
    </row>
    <row r="25823" spans="9:13" x14ac:dyDescent="0.3">
      <c r="I25823" s="82"/>
      <c r="M25823" s="85"/>
    </row>
    <row r="25824" spans="9:13" x14ac:dyDescent="0.3">
      <c r="I25824" s="82"/>
      <c r="M25824" s="85"/>
    </row>
    <row r="25825" spans="9:13" x14ac:dyDescent="0.3">
      <c r="I25825" s="82"/>
      <c r="M25825" s="85"/>
    </row>
    <row r="25826" spans="9:13" x14ac:dyDescent="0.3">
      <c r="I25826" s="82"/>
      <c r="M25826" s="85"/>
    </row>
    <row r="25827" spans="9:13" x14ac:dyDescent="0.3">
      <c r="I25827" s="82"/>
      <c r="M25827" s="85"/>
    </row>
    <row r="25828" spans="9:13" x14ac:dyDescent="0.3">
      <c r="I25828" s="82"/>
      <c r="M25828" s="85"/>
    </row>
    <row r="25829" spans="9:13" x14ac:dyDescent="0.3">
      <c r="I25829" s="82"/>
      <c r="M25829" s="85"/>
    </row>
    <row r="25830" spans="9:13" x14ac:dyDescent="0.3">
      <c r="I25830" s="82"/>
      <c r="M25830" s="85"/>
    </row>
    <row r="25831" spans="9:13" x14ac:dyDescent="0.3">
      <c r="I25831" s="82"/>
      <c r="M25831" s="85"/>
    </row>
    <row r="25832" spans="9:13" x14ac:dyDescent="0.3">
      <c r="I25832" s="82"/>
      <c r="M25832" s="85"/>
    </row>
    <row r="25833" spans="9:13" x14ac:dyDescent="0.3">
      <c r="I25833" s="82"/>
      <c r="M25833" s="85"/>
    </row>
    <row r="25834" spans="9:13" x14ac:dyDescent="0.3">
      <c r="I25834" s="82"/>
      <c r="M25834" s="85"/>
    </row>
    <row r="25835" spans="9:13" x14ac:dyDescent="0.3">
      <c r="I25835" s="82"/>
      <c r="M25835" s="85"/>
    </row>
    <row r="25836" spans="9:13" x14ac:dyDescent="0.3">
      <c r="I25836" s="82"/>
      <c r="M25836" s="85"/>
    </row>
    <row r="25837" spans="9:13" x14ac:dyDescent="0.3">
      <c r="I25837" s="82"/>
      <c r="M25837" s="85"/>
    </row>
    <row r="25838" spans="9:13" x14ac:dyDescent="0.3">
      <c r="I25838" s="82"/>
      <c r="M25838" s="85"/>
    </row>
    <row r="25839" spans="9:13" x14ac:dyDescent="0.3">
      <c r="I25839" s="82"/>
      <c r="M25839" s="85"/>
    </row>
    <row r="25840" spans="9:13" x14ac:dyDescent="0.3">
      <c r="I25840" s="82"/>
      <c r="M25840" s="85"/>
    </row>
    <row r="25841" spans="9:13" x14ac:dyDescent="0.3">
      <c r="I25841" s="82"/>
      <c r="M25841" s="85"/>
    </row>
    <row r="25842" spans="9:13" x14ac:dyDescent="0.3">
      <c r="I25842" s="82"/>
      <c r="M25842" s="85"/>
    </row>
    <row r="25843" spans="9:13" x14ac:dyDescent="0.3">
      <c r="I25843" s="82"/>
      <c r="M25843" s="85"/>
    </row>
    <row r="25844" spans="9:13" x14ac:dyDescent="0.3">
      <c r="I25844" s="82"/>
      <c r="M25844" s="85"/>
    </row>
    <row r="25845" spans="9:13" x14ac:dyDescent="0.3">
      <c r="I25845" s="82"/>
      <c r="M25845" s="85"/>
    </row>
    <row r="25846" spans="9:13" x14ac:dyDescent="0.3">
      <c r="I25846" s="82"/>
      <c r="M25846" s="85"/>
    </row>
    <row r="25847" spans="9:13" x14ac:dyDescent="0.3">
      <c r="I25847" s="82"/>
      <c r="M25847" s="85"/>
    </row>
    <row r="25848" spans="9:13" x14ac:dyDescent="0.3">
      <c r="I25848" s="82"/>
      <c r="M25848" s="85"/>
    </row>
    <row r="25849" spans="9:13" x14ac:dyDescent="0.3">
      <c r="I25849" s="82"/>
      <c r="M25849" s="85"/>
    </row>
    <row r="25850" spans="9:13" x14ac:dyDescent="0.3">
      <c r="I25850" s="82"/>
      <c r="M25850" s="85"/>
    </row>
    <row r="25851" spans="9:13" x14ac:dyDescent="0.3">
      <c r="I25851" s="82"/>
      <c r="M25851" s="85"/>
    </row>
    <row r="25852" spans="9:13" x14ac:dyDescent="0.3">
      <c r="I25852" s="82"/>
      <c r="M25852" s="85"/>
    </row>
    <row r="25853" spans="9:13" x14ac:dyDescent="0.3">
      <c r="I25853" s="82"/>
      <c r="M25853" s="85"/>
    </row>
    <row r="25854" spans="9:13" x14ac:dyDescent="0.3">
      <c r="I25854" s="82"/>
      <c r="M25854" s="85"/>
    </row>
    <row r="25855" spans="9:13" x14ac:dyDescent="0.3">
      <c r="I25855" s="82"/>
      <c r="M25855" s="85"/>
    </row>
    <row r="25856" spans="9:13" x14ac:dyDescent="0.3">
      <c r="I25856" s="82"/>
      <c r="M25856" s="85"/>
    </row>
    <row r="25857" spans="9:13" x14ac:dyDescent="0.3">
      <c r="I25857" s="82"/>
      <c r="M25857" s="85"/>
    </row>
    <row r="25858" spans="9:13" x14ac:dyDescent="0.3">
      <c r="I25858" s="82"/>
      <c r="M25858" s="85"/>
    </row>
    <row r="25859" spans="9:13" x14ac:dyDescent="0.3">
      <c r="I25859" s="82"/>
      <c r="M25859" s="85"/>
    </row>
    <row r="25860" spans="9:13" x14ac:dyDescent="0.3">
      <c r="I25860" s="82"/>
      <c r="M25860" s="85"/>
    </row>
    <row r="25861" spans="9:13" x14ac:dyDescent="0.3">
      <c r="I25861" s="82"/>
      <c r="M25861" s="85"/>
    </row>
    <row r="25862" spans="9:13" x14ac:dyDescent="0.3">
      <c r="I25862" s="82"/>
      <c r="M25862" s="85"/>
    </row>
    <row r="25863" spans="9:13" x14ac:dyDescent="0.3">
      <c r="I25863" s="82"/>
      <c r="M25863" s="85"/>
    </row>
    <row r="25864" spans="9:13" x14ac:dyDescent="0.3">
      <c r="I25864" s="82"/>
      <c r="M25864" s="85"/>
    </row>
    <row r="25865" spans="9:13" x14ac:dyDescent="0.3">
      <c r="I25865" s="82"/>
      <c r="M25865" s="85"/>
    </row>
    <row r="25866" spans="9:13" x14ac:dyDescent="0.3">
      <c r="I25866" s="82"/>
      <c r="M25866" s="85"/>
    </row>
    <row r="25867" spans="9:13" x14ac:dyDescent="0.3">
      <c r="I25867" s="82"/>
      <c r="M25867" s="85"/>
    </row>
    <row r="25868" spans="9:13" x14ac:dyDescent="0.3">
      <c r="I25868" s="82"/>
      <c r="M25868" s="85"/>
    </row>
    <row r="25869" spans="9:13" x14ac:dyDescent="0.3">
      <c r="I25869" s="82"/>
      <c r="M25869" s="85"/>
    </row>
    <row r="25870" spans="9:13" x14ac:dyDescent="0.3">
      <c r="I25870" s="82"/>
      <c r="M25870" s="85"/>
    </row>
    <row r="25871" spans="9:13" x14ac:dyDescent="0.3">
      <c r="I25871" s="82"/>
      <c r="M25871" s="85"/>
    </row>
    <row r="25872" spans="9:13" x14ac:dyDescent="0.3">
      <c r="I25872" s="82"/>
      <c r="M25872" s="85"/>
    </row>
    <row r="25873" spans="9:13" x14ac:dyDescent="0.3">
      <c r="I25873" s="82"/>
      <c r="M25873" s="85"/>
    </row>
    <row r="25874" spans="9:13" x14ac:dyDescent="0.3">
      <c r="I25874" s="82"/>
      <c r="M25874" s="85"/>
    </row>
    <row r="25875" spans="9:13" x14ac:dyDescent="0.3">
      <c r="I25875" s="82"/>
      <c r="M25875" s="85"/>
    </row>
    <row r="25876" spans="9:13" x14ac:dyDescent="0.3">
      <c r="I25876" s="82"/>
      <c r="M25876" s="85"/>
    </row>
    <row r="25877" spans="9:13" x14ac:dyDescent="0.3">
      <c r="I25877" s="82"/>
      <c r="M25877" s="85"/>
    </row>
    <row r="25878" spans="9:13" x14ac:dyDescent="0.3">
      <c r="I25878" s="82"/>
      <c r="M25878" s="85"/>
    </row>
    <row r="25879" spans="9:13" x14ac:dyDescent="0.3">
      <c r="I25879" s="82"/>
      <c r="M25879" s="85"/>
    </row>
    <row r="25880" spans="9:13" x14ac:dyDescent="0.3">
      <c r="I25880" s="82"/>
      <c r="M25880" s="85"/>
    </row>
    <row r="25881" spans="9:13" x14ac:dyDescent="0.3">
      <c r="I25881" s="82"/>
      <c r="M25881" s="85"/>
    </row>
    <row r="25882" spans="9:13" x14ac:dyDescent="0.3">
      <c r="I25882" s="82"/>
      <c r="M25882" s="85"/>
    </row>
    <row r="25883" spans="9:13" x14ac:dyDescent="0.3">
      <c r="I25883" s="82"/>
      <c r="M25883" s="85"/>
    </row>
    <row r="25884" spans="9:13" x14ac:dyDescent="0.3">
      <c r="I25884" s="82"/>
      <c r="M25884" s="85"/>
    </row>
    <row r="25885" spans="9:13" x14ac:dyDescent="0.3">
      <c r="I25885" s="82"/>
      <c r="M25885" s="85"/>
    </row>
    <row r="25886" spans="9:13" x14ac:dyDescent="0.3">
      <c r="I25886" s="82"/>
      <c r="M25886" s="85"/>
    </row>
    <row r="25887" spans="9:13" x14ac:dyDescent="0.3">
      <c r="I25887" s="82"/>
      <c r="M25887" s="85"/>
    </row>
    <row r="25888" spans="9:13" x14ac:dyDescent="0.3">
      <c r="I25888" s="82"/>
      <c r="M25888" s="85"/>
    </row>
    <row r="25889" spans="9:13" x14ac:dyDescent="0.3">
      <c r="I25889" s="82"/>
      <c r="M25889" s="85"/>
    </row>
    <row r="25890" spans="9:13" x14ac:dyDescent="0.3">
      <c r="I25890" s="82"/>
      <c r="M25890" s="85"/>
    </row>
    <row r="25891" spans="9:13" x14ac:dyDescent="0.3">
      <c r="I25891" s="82"/>
      <c r="M25891" s="85"/>
    </row>
    <row r="25892" spans="9:13" x14ac:dyDescent="0.3">
      <c r="I25892" s="82"/>
      <c r="M25892" s="85"/>
    </row>
    <row r="25893" spans="9:13" x14ac:dyDescent="0.3">
      <c r="I25893" s="82"/>
      <c r="M25893" s="85"/>
    </row>
    <row r="25894" spans="9:13" x14ac:dyDescent="0.3">
      <c r="I25894" s="82"/>
      <c r="M25894" s="85"/>
    </row>
    <row r="25895" spans="9:13" x14ac:dyDescent="0.3">
      <c r="I25895" s="82"/>
      <c r="M25895" s="85"/>
    </row>
    <row r="25896" spans="9:13" x14ac:dyDescent="0.3">
      <c r="I25896" s="82"/>
      <c r="M25896" s="85"/>
    </row>
    <row r="25897" spans="9:13" x14ac:dyDescent="0.3">
      <c r="I25897" s="82"/>
      <c r="M25897" s="85"/>
    </row>
    <row r="25898" spans="9:13" x14ac:dyDescent="0.3">
      <c r="I25898" s="82"/>
      <c r="M25898" s="85"/>
    </row>
    <row r="25899" spans="9:13" x14ac:dyDescent="0.3">
      <c r="I25899" s="82"/>
      <c r="M25899" s="85"/>
    </row>
    <row r="25900" spans="9:13" x14ac:dyDescent="0.3">
      <c r="I25900" s="82"/>
      <c r="M25900" s="85"/>
    </row>
    <row r="25901" spans="9:13" x14ac:dyDescent="0.3">
      <c r="I25901" s="82"/>
      <c r="M25901" s="85"/>
    </row>
    <row r="25902" spans="9:13" x14ac:dyDescent="0.3">
      <c r="I25902" s="82"/>
      <c r="M25902" s="85"/>
    </row>
    <row r="25903" spans="9:13" x14ac:dyDescent="0.3">
      <c r="I25903" s="82"/>
      <c r="M25903" s="85"/>
    </row>
    <row r="25904" spans="9:13" x14ac:dyDescent="0.3">
      <c r="I25904" s="82"/>
      <c r="M25904" s="85"/>
    </row>
    <row r="25905" spans="9:13" x14ac:dyDescent="0.3">
      <c r="I25905" s="82"/>
      <c r="M25905" s="85"/>
    </row>
    <row r="25906" spans="9:13" x14ac:dyDescent="0.3">
      <c r="I25906" s="82"/>
      <c r="M25906" s="85"/>
    </row>
    <row r="25907" spans="9:13" x14ac:dyDescent="0.3">
      <c r="I25907" s="82"/>
      <c r="M25907" s="85"/>
    </row>
    <row r="25908" spans="9:13" x14ac:dyDescent="0.3">
      <c r="I25908" s="82"/>
      <c r="M25908" s="85"/>
    </row>
    <row r="25909" spans="9:13" x14ac:dyDescent="0.3">
      <c r="I25909" s="82"/>
      <c r="M25909" s="85"/>
    </row>
    <row r="25910" spans="9:13" x14ac:dyDescent="0.3">
      <c r="I25910" s="82"/>
      <c r="M25910" s="85"/>
    </row>
    <row r="25911" spans="9:13" x14ac:dyDescent="0.3">
      <c r="I25911" s="82"/>
      <c r="M25911" s="85"/>
    </row>
    <row r="25912" spans="9:13" x14ac:dyDescent="0.3">
      <c r="I25912" s="82"/>
      <c r="M25912" s="85"/>
    </row>
    <row r="25913" spans="9:13" x14ac:dyDescent="0.3">
      <c r="I25913" s="82"/>
      <c r="M25913" s="85"/>
    </row>
    <row r="25914" spans="9:13" x14ac:dyDescent="0.3">
      <c r="I25914" s="82"/>
      <c r="M25914" s="85"/>
    </row>
    <row r="25915" spans="9:13" x14ac:dyDescent="0.3">
      <c r="I25915" s="82"/>
      <c r="M25915" s="85"/>
    </row>
    <row r="25916" spans="9:13" x14ac:dyDescent="0.3">
      <c r="I25916" s="82"/>
      <c r="M25916" s="85"/>
    </row>
    <row r="25917" spans="9:13" x14ac:dyDescent="0.3">
      <c r="I25917" s="82"/>
      <c r="M25917" s="85"/>
    </row>
    <row r="25918" spans="9:13" x14ac:dyDescent="0.3">
      <c r="I25918" s="82"/>
      <c r="M25918" s="85"/>
    </row>
    <row r="25919" spans="9:13" x14ac:dyDescent="0.3">
      <c r="I25919" s="82"/>
      <c r="M25919" s="85"/>
    </row>
    <row r="25920" spans="9:13" x14ac:dyDescent="0.3">
      <c r="I25920" s="82"/>
      <c r="M25920" s="85"/>
    </row>
    <row r="25921" spans="9:13" x14ac:dyDescent="0.3">
      <c r="I25921" s="82"/>
      <c r="M25921" s="85"/>
    </row>
    <row r="25922" spans="9:13" x14ac:dyDescent="0.3">
      <c r="I25922" s="82"/>
      <c r="M25922" s="85"/>
    </row>
    <row r="25923" spans="9:13" x14ac:dyDescent="0.3">
      <c r="I25923" s="82"/>
      <c r="M25923" s="85"/>
    </row>
    <row r="25924" spans="9:13" x14ac:dyDescent="0.3">
      <c r="I25924" s="82"/>
      <c r="M25924" s="85"/>
    </row>
    <row r="25925" spans="9:13" x14ac:dyDescent="0.3">
      <c r="I25925" s="82"/>
      <c r="M25925" s="85"/>
    </row>
    <row r="25926" spans="9:13" x14ac:dyDescent="0.3">
      <c r="I25926" s="82"/>
      <c r="M25926" s="85"/>
    </row>
    <row r="25927" spans="9:13" x14ac:dyDescent="0.3">
      <c r="I25927" s="82"/>
      <c r="M25927" s="85"/>
    </row>
    <row r="25928" spans="9:13" x14ac:dyDescent="0.3">
      <c r="I25928" s="82"/>
      <c r="M25928" s="85"/>
    </row>
    <row r="25929" spans="9:13" x14ac:dyDescent="0.3">
      <c r="I25929" s="82"/>
      <c r="M25929" s="85"/>
    </row>
    <row r="25930" spans="9:13" x14ac:dyDescent="0.3">
      <c r="I25930" s="82"/>
      <c r="M25930" s="85"/>
    </row>
    <row r="25931" spans="9:13" x14ac:dyDescent="0.3">
      <c r="I25931" s="82"/>
      <c r="M25931" s="85"/>
    </row>
    <row r="25932" spans="9:13" x14ac:dyDescent="0.3">
      <c r="I25932" s="82"/>
      <c r="M25932" s="85"/>
    </row>
    <row r="25933" spans="9:13" x14ac:dyDescent="0.3">
      <c r="I25933" s="82"/>
      <c r="M25933" s="85"/>
    </row>
    <row r="25934" spans="9:13" x14ac:dyDescent="0.3">
      <c r="I25934" s="82"/>
      <c r="M25934" s="85"/>
    </row>
    <row r="25935" spans="9:13" x14ac:dyDescent="0.3">
      <c r="I25935" s="82"/>
      <c r="M25935" s="85"/>
    </row>
    <row r="25936" spans="9:13" x14ac:dyDescent="0.3">
      <c r="I25936" s="82"/>
      <c r="M25936" s="85"/>
    </row>
    <row r="25937" spans="9:13" x14ac:dyDescent="0.3">
      <c r="I25937" s="82"/>
      <c r="M25937" s="85"/>
    </row>
    <row r="25938" spans="9:13" x14ac:dyDescent="0.3">
      <c r="I25938" s="82"/>
      <c r="M25938" s="85"/>
    </row>
    <row r="25939" spans="9:13" x14ac:dyDescent="0.3">
      <c r="I25939" s="82"/>
      <c r="M25939" s="85"/>
    </row>
    <row r="25940" spans="9:13" x14ac:dyDescent="0.3">
      <c r="I25940" s="82"/>
      <c r="M25940" s="85"/>
    </row>
    <row r="25941" spans="9:13" x14ac:dyDescent="0.3">
      <c r="I25941" s="82"/>
      <c r="M25941" s="85"/>
    </row>
    <row r="25942" spans="9:13" x14ac:dyDescent="0.3">
      <c r="I25942" s="82"/>
      <c r="M25942" s="85"/>
    </row>
    <row r="25943" spans="9:13" x14ac:dyDescent="0.3">
      <c r="I25943" s="82"/>
      <c r="M25943" s="85"/>
    </row>
    <row r="25944" spans="9:13" x14ac:dyDescent="0.3">
      <c r="I25944" s="82"/>
      <c r="M25944" s="85"/>
    </row>
    <row r="25945" spans="9:13" x14ac:dyDescent="0.3">
      <c r="I25945" s="82"/>
      <c r="M25945" s="85"/>
    </row>
    <row r="25946" spans="9:13" x14ac:dyDescent="0.3">
      <c r="I25946" s="82"/>
      <c r="M25946" s="85"/>
    </row>
    <row r="25947" spans="9:13" x14ac:dyDescent="0.3">
      <c r="I25947" s="82"/>
      <c r="M25947" s="85"/>
    </row>
    <row r="25948" spans="9:13" x14ac:dyDescent="0.3">
      <c r="I25948" s="82"/>
      <c r="M25948" s="85"/>
    </row>
    <row r="25949" spans="9:13" x14ac:dyDescent="0.3">
      <c r="I25949" s="82"/>
      <c r="M25949" s="85"/>
    </row>
    <row r="25950" spans="9:13" x14ac:dyDescent="0.3">
      <c r="I25950" s="82"/>
      <c r="M25950" s="85"/>
    </row>
    <row r="25951" spans="9:13" x14ac:dyDescent="0.3">
      <c r="I25951" s="82"/>
      <c r="M25951" s="85"/>
    </row>
    <row r="25952" spans="9:13" x14ac:dyDescent="0.3">
      <c r="I25952" s="82"/>
      <c r="M25952" s="85"/>
    </row>
    <row r="25953" spans="9:13" x14ac:dyDescent="0.3">
      <c r="I25953" s="82"/>
      <c r="M25953" s="85"/>
    </row>
    <row r="25954" spans="9:13" x14ac:dyDescent="0.3">
      <c r="I25954" s="82"/>
      <c r="M25954" s="85"/>
    </row>
    <row r="25955" spans="9:13" x14ac:dyDescent="0.3">
      <c r="I25955" s="82"/>
      <c r="M25955" s="85"/>
    </row>
    <row r="25956" spans="9:13" x14ac:dyDescent="0.3">
      <c r="I25956" s="82"/>
      <c r="M25956" s="85"/>
    </row>
    <row r="25957" spans="9:13" x14ac:dyDescent="0.3">
      <c r="I25957" s="82"/>
      <c r="M25957" s="85"/>
    </row>
    <row r="25958" spans="9:13" x14ac:dyDescent="0.3">
      <c r="I25958" s="82"/>
      <c r="M25958" s="85"/>
    </row>
    <row r="25959" spans="9:13" x14ac:dyDescent="0.3">
      <c r="I25959" s="82"/>
      <c r="M25959" s="85"/>
    </row>
    <row r="25960" spans="9:13" x14ac:dyDescent="0.3">
      <c r="I25960" s="82"/>
      <c r="M25960" s="85"/>
    </row>
    <row r="25961" spans="9:13" x14ac:dyDescent="0.3">
      <c r="I25961" s="82"/>
      <c r="M25961" s="85"/>
    </row>
    <row r="25962" spans="9:13" x14ac:dyDescent="0.3">
      <c r="I25962" s="82"/>
      <c r="M25962" s="85"/>
    </row>
    <row r="25963" spans="9:13" x14ac:dyDescent="0.3">
      <c r="I25963" s="82"/>
      <c r="M25963" s="85"/>
    </row>
    <row r="25964" spans="9:13" x14ac:dyDescent="0.3">
      <c r="I25964" s="82"/>
      <c r="M25964" s="85"/>
    </row>
    <row r="25965" spans="9:13" x14ac:dyDescent="0.3">
      <c r="I25965" s="82"/>
      <c r="M25965" s="85"/>
    </row>
    <row r="25966" spans="9:13" x14ac:dyDescent="0.3">
      <c r="I25966" s="82"/>
      <c r="M25966" s="85"/>
    </row>
    <row r="25967" spans="9:13" x14ac:dyDescent="0.3">
      <c r="I25967" s="82"/>
      <c r="M25967" s="85"/>
    </row>
    <row r="25968" spans="9:13" x14ac:dyDescent="0.3">
      <c r="I25968" s="82"/>
      <c r="M25968" s="85"/>
    </row>
    <row r="25969" spans="9:13" x14ac:dyDescent="0.3">
      <c r="I25969" s="82"/>
      <c r="M25969" s="85"/>
    </row>
    <row r="25970" spans="9:13" x14ac:dyDescent="0.3">
      <c r="I25970" s="82"/>
      <c r="M25970" s="85"/>
    </row>
    <row r="25971" spans="9:13" x14ac:dyDescent="0.3">
      <c r="I25971" s="82"/>
      <c r="M25971" s="85"/>
    </row>
    <row r="25972" spans="9:13" x14ac:dyDescent="0.3">
      <c r="I25972" s="82"/>
      <c r="M25972" s="85"/>
    </row>
    <row r="25973" spans="9:13" x14ac:dyDescent="0.3">
      <c r="I25973" s="82"/>
      <c r="M25973" s="85"/>
    </row>
    <row r="25974" spans="9:13" x14ac:dyDescent="0.3">
      <c r="I25974" s="82"/>
      <c r="M25974" s="85"/>
    </row>
    <row r="25975" spans="9:13" x14ac:dyDescent="0.3">
      <c r="I25975" s="82"/>
      <c r="M25975" s="85"/>
    </row>
    <row r="25976" spans="9:13" x14ac:dyDescent="0.3">
      <c r="I25976" s="82"/>
      <c r="M25976" s="85"/>
    </row>
    <row r="25977" spans="9:13" x14ac:dyDescent="0.3">
      <c r="I25977" s="82"/>
      <c r="M25977" s="85"/>
    </row>
    <row r="25978" spans="9:13" x14ac:dyDescent="0.3">
      <c r="I25978" s="82"/>
      <c r="M25978" s="85"/>
    </row>
    <row r="25979" spans="9:13" x14ac:dyDescent="0.3">
      <c r="I25979" s="82"/>
      <c r="M25979" s="85"/>
    </row>
    <row r="25980" spans="9:13" x14ac:dyDescent="0.3">
      <c r="I25980" s="82"/>
      <c r="M25980" s="85"/>
    </row>
    <row r="25981" spans="9:13" x14ac:dyDescent="0.3">
      <c r="I25981" s="82"/>
      <c r="M25981" s="85"/>
    </row>
    <row r="25982" spans="9:13" x14ac:dyDescent="0.3">
      <c r="I25982" s="82"/>
      <c r="M25982" s="85"/>
    </row>
    <row r="25983" spans="9:13" x14ac:dyDescent="0.3">
      <c r="I25983" s="82"/>
      <c r="M25983" s="85"/>
    </row>
    <row r="25984" spans="9:13" x14ac:dyDescent="0.3">
      <c r="I25984" s="82"/>
      <c r="M25984" s="85"/>
    </row>
    <row r="25985" spans="9:13" x14ac:dyDescent="0.3">
      <c r="I25985" s="82"/>
      <c r="M25985" s="85"/>
    </row>
    <row r="25986" spans="9:13" x14ac:dyDescent="0.3">
      <c r="I25986" s="82"/>
      <c r="M25986" s="85"/>
    </row>
    <row r="25987" spans="9:13" x14ac:dyDescent="0.3">
      <c r="I25987" s="82"/>
      <c r="M25987" s="85"/>
    </row>
    <row r="25988" spans="9:13" x14ac:dyDescent="0.3">
      <c r="I25988" s="82"/>
      <c r="M25988" s="85"/>
    </row>
    <row r="25989" spans="9:13" x14ac:dyDescent="0.3">
      <c r="I25989" s="82"/>
      <c r="M25989" s="85"/>
    </row>
    <row r="25990" spans="9:13" x14ac:dyDescent="0.3">
      <c r="I25990" s="82"/>
      <c r="M25990" s="85"/>
    </row>
    <row r="25991" spans="9:13" x14ac:dyDescent="0.3">
      <c r="I25991" s="82"/>
      <c r="M25991" s="85"/>
    </row>
    <row r="25992" spans="9:13" x14ac:dyDescent="0.3">
      <c r="I25992" s="82"/>
      <c r="M25992" s="85"/>
    </row>
    <row r="25993" spans="9:13" x14ac:dyDescent="0.3">
      <c r="I25993" s="82"/>
      <c r="M25993" s="85"/>
    </row>
    <row r="25994" spans="9:13" x14ac:dyDescent="0.3">
      <c r="I25994" s="82"/>
      <c r="M25994" s="85"/>
    </row>
    <row r="25995" spans="9:13" x14ac:dyDescent="0.3">
      <c r="I25995" s="82"/>
      <c r="M25995" s="85"/>
    </row>
    <row r="25996" spans="9:13" x14ac:dyDescent="0.3">
      <c r="I25996" s="82"/>
      <c r="M25996" s="85"/>
    </row>
    <row r="25997" spans="9:13" x14ac:dyDescent="0.3">
      <c r="I25997" s="82"/>
      <c r="M25997" s="85"/>
    </row>
    <row r="25998" spans="9:13" x14ac:dyDescent="0.3">
      <c r="I25998" s="82"/>
      <c r="M25998" s="85"/>
    </row>
    <row r="25999" spans="9:13" x14ac:dyDescent="0.3">
      <c r="I25999" s="82"/>
      <c r="M25999" s="85"/>
    </row>
    <row r="26000" spans="9:13" x14ac:dyDescent="0.3">
      <c r="I26000" s="82"/>
      <c r="M26000" s="85"/>
    </row>
    <row r="26001" spans="9:13" x14ac:dyDescent="0.3">
      <c r="I26001" s="82"/>
      <c r="M26001" s="85"/>
    </row>
    <row r="26002" spans="9:13" x14ac:dyDescent="0.3">
      <c r="I26002" s="82"/>
      <c r="M26002" s="85"/>
    </row>
    <row r="26003" spans="9:13" x14ac:dyDescent="0.3">
      <c r="I26003" s="82"/>
      <c r="M26003" s="85"/>
    </row>
    <row r="26004" spans="9:13" x14ac:dyDescent="0.3">
      <c r="I26004" s="82"/>
      <c r="M26004" s="85"/>
    </row>
    <row r="26005" spans="9:13" x14ac:dyDescent="0.3">
      <c r="I26005" s="82"/>
      <c r="M26005" s="85"/>
    </row>
    <row r="26006" spans="9:13" x14ac:dyDescent="0.3">
      <c r="I26006" s="82"/>
      <c r="M26006" s="85"/>
    </row>
    <row r="26007" spans="9:13" x14ac:dyDescent="0.3">
      <c r="I26007" s="82"/>
      <c r="M26007" s="85"/>
    </row>
    <row r="26008" spans="9:13" x14ac:dyDescent="0.3">
      <c r="I26008" s="82"/>
      <c r="M26008" s="85"/>
    </row>
    <row r="26009" spans="9:13" x14ac:dyDescent="0.3">
      <c r="I26009" s="82"/>
      <c r="M26009" s="85"/>
    </row>
    <row r="26010" spans="9:13" x14ac:dyDescent="0.3">
      <c r="I26010" s="82"/>
      <c r="M26010" s="85"/>
    </row>
    <row r="26011" spans="9:13" x14ac:dyDescent="0.3">
      <c r="I26011" s="82"/>
      <c r="M26011" s="85"/>
    </row>
    <row r="26012" spans="9:13" x14ac:dyDescent="0.3">
      <c r="I26012" s="82"/>
      <c r="M26012" s="85"/>
    </row>
    <row r="26013" spans="9:13" x14ac:dyDescent="0.3">
      <c r="I26013" s="82"/>
      <c r="M26013" s="85"/>
    </row>
    <row r="26014" spans="9:13" x14ac:dyDescent="0.3">
      <c r="I26014" s="82"/>
      <c r="M26014" s="85"/>
    </row>
    <row r="26015" spans="9:13" x14ac:dyDescent="0.3">
      <c r="I26015" s="82"/>
      <c r="M26015" s="85"/>
    </row>
    <row r="26016" spans="9:13" x14ac:dyDescent="0.3">
      <c r="I26016" s="82"/>
      <c r="M26016" s="85"/>
    </row>
    <row r="26017" spans="9:13" x14ac:dyDescent="0.3">
      <c r="I26017" s="82"/>
      <c r="M26017" s="85"/>
    </row>
    <row r="26018" spans="9:13" x14ac:dyDescent="0.3">
      <c r="I26018" s="82"/>
      <c r="M26018" s="85"/>
    </row>
    <row r="26019" spans="9:13" x14ac:dyDescent="0.3">
      <c r="I26019" s="82"/>
      <c r="M26019" s="85"/>
    </row>
    <row r="26020" spans="9:13" x14ac:dyDescent="0.3">
      <c r="I26020" s="82"/>
      <c r="M26020" s="85"/>
    </row>
    <row r="26021" spans="9:13" x14ac:dyDescent="0.3">
      <c r="I26021" s="82"/>
      <c r="M26021" s="85"/>
    </row>
    <row r="26022" spans="9:13" x14ac:dyDescent="0.3">
      <c r="I26022" s="82"/>
      <c r="M26022" s="85"/>
    </row>
    <row r="26023" spans="9:13" x14ac:dyDescent="0.3">
      <c r="I26023" s="82"/>
      <c r="M26023" s="85"/>
    </row>
    <row r="26024" spans="9:13" x14ac:dyDescent="0.3">
      <c r="I26024" s="82"/>
      <c r="M26024" s="85"/>
    </row>
    <row r="26025" spans="9:13" x14ac:dyDescent="0.3">
      <c r="I26025" s="82"/>
      <c r="M26025" s="85"/>
    </row>
    <row r="26026" spans="9:13" x14ac:dyDescent="0.3">
      <c r="I26026" s="82"/>
      <c r="M26026" s="85"/>
    </row>
    <row r="26027" spans="9:13" x14ac:dyDescent="0.3">
      <c r="I26027" s="82"/>
      <c r="M26027" s="85"/>
    </row>
    <row r="26028" spans="9:13" x14ac:dyDescent="0.3">
      <c r="I26028" s="82"/>
      <c r="M26028" s="85"/>
    </row>
    <row r="26029" spans="9:13" x14ac:dyDescent="0.3">
      <c r="I26029" s="82"/>
      <c r="M26029" s="85"/>
    </row>
    <row r="26030" spans="9:13" x14ac:dyDescent="0.3">
      <c r="I26030" s="82"/>
      <c r="M26030" s="85"/>
    </row>
    <row r="26031" spans="9:13" x14ac:dyDescent="0.3">
      <c r="I26031" s="82"/>
      <c r="M26031" s="85"/>
    </row>
    <row r="26032" spans="9:13" x14ac:dyDescent="0.3">
      <c r="I26032" s="82"/>
      <c r="M26032" s="85"/>
    </row>
    <row r="26033" spans="9:13" x14ac:dyDescent="0.3">
      <c r="I26033" s="82"/>
      <c r="M26033" s="85"/>
    </row>
    <row r="26034" spans="9:13" x14ac:dyDescent="0.3">
      <c r="I26034" s="82"/>
      <c r="M26034" s="85"/>
    </row>
    <row r="26035" spans="9:13" x14ac:dyDescent="0.3">
      <c r="I26035" s="82"/>
      <c r="M26035" s="85"/>
    </row>
    <row r="26036" spans="9:13" x14ac:dyDescent="0.3">
      <c r="I26036" s="82"/>
      <c r="M26036" s="85"/>
    </row>
    <row r="26037" spans="9:13" x14ac:dyDescent="0.3">
      <c r="I26037" s="82"/>
      <c r="M26037" s="85"/>
    </row>
    <row r="26038" spans="9:13" x14ac:dyDescent="0.3">
      <c r="I26038" s="82"/>
      <c r="M26038" s="85"/>
    </row>
    <row r="26039" spans="9:13" x14ac:dyDescent="0.3">
      <c r="I26039" s="82"/>
      <c r="M26039" s="85"/>
    </row>
    <row r="26040" spans="9:13" x14ac:dyDescent="0.3">
      <c r="I26040" s="82"/>
      <c r="M26040" s="85"/>
    </row>
    <row r="26041" spans="9:13" x14ac:dyDescent="0.3">
      <c r="I26041" s="82"/>
      <c r="M26041" s="85"/>
    </row>
    <row r="26042" spans="9:13" x14ac:dyDescent="0.3">
      <c r="I26042" s="82"/>
      <c r="M26042" s="85"/>
    </row>
    <row r="26043" spans="9:13" x14ac:dyDescent="0.3">
      <c r="I26043" s="82"/>
      <c r="M26043" s="85"/>
    </row>
    <row r="26044" spans="9:13" x14ac:dyDescent="0.3">
      <c r="I26044" s="82"/>
      <c r="M26044" s="85"/>
    </row>
    <row r="26045" spans="9:13" x14ac:dyDescent="0.3">
      <c r="I26045" s="82"/>
      <c r="M26045" s="85"/>
    </row>
    <row r="26046" spans="9:13" x14ac:dyDescent="0.3">
      <c r="I26046" s="82"/>
      <c r="M26046" s="85"/>
    </row>
    <row r="26047" spans="9:13" x14ac:dyDescent="0.3">
      <c r="I26047" s="82"/>
      <c r="M26047" s="85"/>
    </row>
    <row r="26048" spans="9:13" x14ac:dyDescent="0.3">
      <c r="I26048" s="82"/>
      <c r="M26048" s="85"/>
    </row>
    <row r="26049" spans="9:13" x14ac:dyDescent="0.3">
      <c r="I26049" s="82"/>
      <c r="M26049" s="85"/>
    </row>
    <row r="26050" spans="9:13" x14ac:dyDescent="0.3">
      <c r="I26050" s="82"/>
      <c r="M26050" s="85"/>
    </row>
    <row r="26051" spans="9:13" x14ac:dyDescent="0.3">
      <c r="I26051" s="82"/>
      <c r="M26051" s="85"/>
    </row>
    <row r="26052" spans="9:13" x14ac:dyDescent="0.3">
      <c r="I26052" s="82"/>
      <c r="M26052" s="85"/>
    </row>
    <row r="26053" spans="9:13" x14ac:dyDescent="0.3">
      <c r="I26053" s="82"/>
      <c r="M26053" s="85"/>
    </row>
    <row r="26054" spans="9:13" x14ac:dyDescent="0.3">
      <c r="I26054" s="82"/>
      <c r="M26054" s="85"/>
    </row>
    <row r="26055" spans="9:13" x14ac:dyDescent="0.3">
      <c r="I26055" s="82"/>
      <c r="M26055" s="85"/>
    </row>
    <row r="26056" spans="9:13" x14ac:dyDescent="0.3">
      <c r="I26056" s="82"/>
      <c r="M26056" s="85"/>
    </row>
    <row r="26057" spans="9:13" x14ac:dyDescent="0.3">
      <c r="I26057" s="82"/>
      <c r="M26057" s="85"/>
    </row>
    <row r="26058" spans="9:13" x14ac:dyDescent="0.3">
      <c r="I26058" s="82"/>
      <c r="M26058" s="85"/>
    </row>
    <row r="26059" spans="9:13" x14ac:dyDescent="0.3">
      <c r="I26059" s="82"/>
      <c r="M26059" s="85"/>
    </row>
    <row r="26060" spans="9:13" x14ac:dyDescent="0.3">
      <c r="I26060" s="82"/>
      <c r="M26060" s="85"/>
    </row>
    <row r="26061" spans="9:13" x14ac:dyDescent="0.3">
      <c r="I26061" s="82"/>
      <c r="M26061" s="85"/>
    </row>
    <row r="26062" spans="9:13" x14ac:dyDescent="0.3">
      <c r="I26062" s="82"/>
      <c r="M26062" s="85"/>
    </row>
    <row r="26063" spans="9:13" x14ac:dyDescent="0.3">
      <c r="I26063" s="82"/>
      <c r="M26063" s="85"/>
    </row>
    <row r="26064" spans="9:13" x14ac:dyDescent="0.3">
      <c r="I26064" s="82"/>
      <c r="M26064" s="85"/>
    </row>
    <row r="26065" spans="9:13" x14ac:dyDescent="0.3">
      <c r="I26065" s="82"/>
      <c r="M26065" s="85"/>
    </row>
    <row r="26066" spans="9:13" x14ac:dyDescent="0.3">
      <c r="I26066" s="82"/>
      <c r="M26066" s="85"/>
    </row>
    <row r="26067" spans="9:13" x14ac:dyDescent="0.3">
      <c r="I26067" s="82"/>
      <c r="M26067" s="85"/>
    </row>
    <row r="26068" spans="9:13" x14ac:dyDescent="0.3">
      <c r="I26068" s="82"/>
      <c r="M26068" s="85"/>
    </row>
    <row r="26069" spans="9:13" x14ac:dyDescent="0.3">
      <c r="I26069" s="82"/>
      <c r="M26069" s="85"/>
    </row>
    <row r="26070" spans="9:13" x14ac:dyDescent="0.3">
      <c r="I26070" s="82"/>
      <c r="M26070" s="85"/>
    </row>
    <row r="26071" spans="9:13" x14ac:dyDescent="0.3">
      <c r="I26071" s="82"/>
      <c r="M26071" s="85"/>
    </row>
    <row r="26072" spans="9:13" x14ac:dyDescent="0.3">
      <c r="I26072" s="82"/>
      <c r="M26072" s="85"/>
    </row>
    <row r="26073" spans="9:13" x14ac:dyDescent="0.3">
      <c r="I26073" s="82"/>
      <c r="M26073" s="85"/>
    </row>
    <row r="26074" spans="9:13" x14ac:dyDescent="0.3">
      <c r="I26074" s="82"/>
      <c r="M26074" s="85"/>
    </row>
    <row r="26075" spans="9:13" x14ac:dyDescent="0.3">
      <c r="I26075" s="82"/>
      <c r="M26075" s="85"/>
    </row>
    <row r="26076" spans="9:13" x14ac:dyDescent="0.3">
      <c r="I26076" s="82"/>
      <c r="M26076" s="85"/>
    </row>
    <row r="26077" spans="9:13" x14ac:dyDescent="0.3">
      <c r="I26077" s="82"/>
      <c r="M26077" s="85"/>
    </row>
    <row r="26078" spans="9:13" x14ac:dyDescent="0.3">
      <c r="I26078" s="82"/>
      <c r="M26078" s="85"/>
    </row>
    <row r="26079" spans="9:13" x14ac:dyDescent="0.3">
      <c r="I26079" s="82"/>
      <c r="M26079" s="85"/>
    </row>
    <row r="26080" spans="9:13" x14ac:dyDescent="0.3">
      <c r="I26080" s="82"/>
      <c r="M26080" s="85"/>
    </row>
    <row r="26081" spans="9:13" x14ac:dyDescent="0.3">
      <c r="I26081" s="82"/>
      <c r="M26081" s="85"/>
    </row>
    <row r="26082" spans="9:13" x14ac:dyDescent="0.3">
      <c r="I26082" s="82"/>
      <c r="M26082" s="85"/>
    </row>
    <row r="26083" spans="9:13" x14ac:dyDescent="0.3">
      <c r="I26083" s="82"/>
      <c r="M26083" s="85"/>
    </row>
    <row r="26084" spans="9:13" x14ac:dyDescent="0.3">
      <c r="I26084" s="82"/>
      <c r="M26084" s="85"/>
    </row>
    <row r="26085" spans="9:13" x14ac:dyDescent="0.3">
      <c r="I26085" s="82"/>
      <c r="M26085" s="85"/>
    </row>
    <row r="26086" spans="9:13" x14ac:dyDescent="0.3">
      <c r="I26086" s="82"/>
      <c r="M26086" s="85"/>
    </row>
    <row r="26087" spans="9:13" x14ac:dyDescent="0.3">
      <c r="I26087" s="82"/>
      <c r="M26087" s="85"/>
    </row>
    <row r="26088" spans="9:13" x14ac:dyDescent="0.3">
      <c r="I26088" s="82"/>
      <c r="M26088" s="85"/>
    </row>
    <row r="26089" spans="9:13" x14ac:dyDescent="0.3">
      <c r="I26089" s="82"/>
      <c r="M26089" s="85"/>
    </row>
    <row r="26090" spans="9:13" x14ac:dyDescent="0.3">
      <c r="I26090" s="82"/>
      <c r="M26090" s="85"/>
    </row>
    <row r="26091" spans="9:13" x14ac:dyDescent="0.3">
      <c r="I26091" s="82"/>
      <c r="M26091" s="85"/>
    </row>
    <row r="26092" spans="9:13" x14ac:dyDescent="0.3">
      <c r="I26092" s="82"/>
      <c r="M26092" s="85"/>
    </row>
    <row r="26093" spans="9:13" x14ac:dyDescent="0.3">
      <c r="I26093" s="82"/>
      <c r="M26093" s="85"/>
    </row>
    <row r="26094" spans="9:13" x14ac:dyDescent="0.3">
      <c r="I26094" s="82"/>
      <c r="M26094" s="85"/>
    </row>
    <row r="26095" spans="9:13" x14ac:dyDescent="0.3">
      <c r="I26095" s="82"/>
      <c r="M26095" s="85"/>
    </row>
    <row r="26096" spans="9:13" x14ac:dyDescent="0.3">
      <c r="I26096" s="82"/>
      <c r="M26096" s="85"/>
    </row>
    <row r="26097" spans="9:13" x14ac:dyDescent="0.3">
      <c r="I26097" s="82"/>
      <c r="M26097" s="85"/>
    </row>
    <row r="26098" spans="9:13" x14ac:dyDescent="0.3">
      <c r="I26098" s="82"/>
      <c r="M26098" s="85"/>
    </row>
    <row r="26099" spans="9:13" x14ac:dyDescent="0.3">
      <c r="I26099" s="82"/>
      <c r="M26099" s="85"/>
    </row>
    <row r="26100" spans="9:13" x14ac:dyDescent="0.3">
      <c r="I26100" s="82"/>
      <c r="M26100" s="85"/>
    </row>
    <row r="26101" spans="9:13" x14ac:dyDescent="0.3">
      <c r="I26101" s="82"/>
      <c r="M26101" s="85"/>
    </row>
    <row r="26102" spans="9:13" x14ac:dyDescent="0.3">
      <c r="I26102" s="82"/>
      <c r="M26102" s="85"/>
    </row>
    <row r="26103" spans="9:13" x14ac:dyDescent="0.3">
      <c r="I26103" s="82"/>
      <c r="M26103" s="85"/>
    </row>
    <row r="26104" spans="9:13" x14ac:dyDescent="0.3">
      <c r="I26104" s="82"/>
      <c r="M26104" s="85"/>
    </row>
    <row r="26105" spans="9:13" x14ac:dyDescent="0.3">
      <c r="I26105" s="82"/>
      <c r="M26105" s="85"/>
    </row>
    <row r="26106" spans="9:13" x14ac:dyDescent="0.3">
      <c r="I26106" s="82"/>
      <c r="M26106" s="85"/>
    </row>
    <row r="26107" spans="9:13" x14ac:dyDescent="0.3">
      <c r="I26107" s="82"/>
      <c r="M26107" s="85"/>
    </row>
    <row r="26108" spans="9:13" x14ac:dyDescent="0.3">
      <c r="I26108" s="82"/>
      <c r="M26108" s="85"/>
    </row>
    <row r="26109" spans="9:13" x14ac:dyDescent="0.3">
      <c r="I26109" s="82"/>
      <c r="M26109" s="85"/>
    </row>
    <row r="26110" spans="9:13" x14ac:dyDescent="0.3">
      <c r="I26110" s="82"/>
      <c r="M26110" s="85"/>
    </row>
    <row r="26111" spans="9:13" x14ac:dyDescent="0.3">
      <c r="I26111" s="82"/>
      <c r="M26111" s="85"/>
    </row>
    <row r="26112" spans="9:13" x14ac:dyDescent="0.3">
      <c r="I26112" s="82"/>
      <c r="M26112" s="85"/>
    </row>
    <row r="26113" spans="9:13" x14ac:dyDescent="0.3">
      <c r="I26113" s="82"/>
      <c r="M26113" s="85"/>
    </row>
    <row r="26114" spans="9:13" x14ac:dyDescent="0.3">
      <c r="I26114" s="82"/>
      <c r="M26114" s="85"/>
    </row>
    <row r="26115" spans="9:13" x14ac:dyDescent="0.3">
      <c r="I26115" s="82"/>
      <c r="M26115" s="85"/>
    </row>
    <row r="26116" spans="9:13" x14ac:dyDescent="0.3">
      <c r="I26116" s="82"/>
      <c r="M26116" s="85"/>
    </row>
    <row r="26117" spans="9:13" x14ac:dyDescent="0.3">
      <c r="I26117" s="82"/>
      <c r="M26117" s="85"/>
    </row>
    <row r="26118" spans="9:13" x14ac:dyDescent="0.3">
      <c r="I26118" s="82"/>
      <c r="M26118" s="85"/>
    </row>
    <row r="26119" spans="9:13" x14ac:dyDescent="0.3">
      <c r="I26119" s="82"/>
      <c r="M26119" s="85"/>
    </row>
    <row r="26120" spans="9:13" x14ac:dyDescent="0.3">
      <c r="I26120" s="82"/>
      <c r="M26120" s="85"/>
    </row>
    <row r="26121" spans="9:13" x14ac:dyDescent="0.3">
      <c r="I26121" s="82"/>
      <c r="M26121" s="85"/>
    </row>
    <row r="26122" spans="9:13" x14ac:dyDescent="0.3">
      <c r="I26122" s="82"/>
      <c r="M26122" s="85"/>
    </row>
    <row r="26123" spans="9:13" x14ac:dyDescent="0.3">
      <c r="I26123" s="82"/>
      <c r="M26123" s="85"/>
    </row>
    <row r="26124" spans="9:13" x14ac:dyDescent="0.3">
      <c r="I26124" s="82"/>
      <c r="M26124" s="85"/>
    </row>
    <row r="26125" spans="9:13" x14ac:dyDescent="0.3">
      <c r="I26125" s="82"/>
      <c r="M26125" s="85"/>
    </row>
    <row r="26126" spans="9:13" x14ac:dyDescent="0.3">
      <c r="I26126" s="82"/>
      <c r="M26126" s="85"/>
    </row>
    <row r="26127" spans="9:13" x14ac:dyDescent="0.3">
      <c r="I26127" s="82"/>
      <c r="M26127" s="85"/>
    </row>
    <row r="26128" spans="9:13" x14ac:dyDescent="0.3">
      <c r="I26128" s="82"/>
      <c r="M26128" s="85"/>
    </row>
    <row r="26129" spans="9:13" x14ac:dyDescent="0.3">
      <c r="I26129" s="82"/>
      <c r="M26129" s="85"/>
    </row>
    <row r="26130" spans="9:13" x14ac:dyDescent="0.3">
      <c r="I26130" s="82"/>
      <c r="M26130" s="85"/>
    </row>
    <row r="26131" spans="9:13" x14ac:dyDescent="0.3">
      <c r="I26131" s="82"/>
      <c r="M26131" s="85"/>
    </row>
    <row r="26132" spans="9:13" x14ac:dyDescent="0.3">
      <c r="I26132" s="82"/>
      <c r="M26132" s="85"/>
    </row>
    <row r="26133" spans="9:13" x14ac:dyDescent="0.3">
      <c r="I26133" s="82"/>
      <c r="M26133" s="85"/>
    </row>
    <row r="26134" spans="9:13" x14ac:dyDescent="0.3">
      <c r="I26134" s="82"/>
      <c r="M26134" s="85"/>
    </row>
    <row r="26135" spans="9:13" x14ac:dyDescent="0.3">
      <c r="I26135" s="82"/>
      <c r="M26135" s="85"/>
    </row>
    <row r="26136" spans="9:13" x14ac:dyDescent="0.3">
      <c r="I26136" s="82"/>
      <c r="M26136" s="85"/>
    </row>
    <row r="26137" spans="9:13" x14ac:dyDescent="0.3">
      <c r="I26137" s="82"/>
      <c r="M26137" s="85"/>
    </row>
    <row r="26138" spans="9:13" x14ac:dyDescent="0.3">
      <c r="I26138" s="82"/>
      <c r="M26138" s="85"/>
    </row>
    <row r="26139" spans="9:13" x14ac:dyDescent="0.3">
      <c r="I26139" s="82"/>
      <c r="M26139" s="85"/>
    </row>
    <row r="26140" spans="9:13" x14ac:dyDescent="0.3">
      <c r="I26140" s="82"/>
      <c r="M26140" s="85"/>
    </row>
    <row r="26141" spans="9:13" x14ac:dyDescent="0.3">
      <c r="I26141" s="82"/>
      <c r="M26141" s="85"/>
    </row>
    <row r="26142" spans="9:13" x14ac:dyDescent="0.3">
      <c r="I26142" s="82"/>
      <c r="M26142" s="85"/>
    </row>
    <row r="26143" spans="9:13" x14ac:dyDescent="0.3">
      <c r="I26143" s="82"/>
      <c r="M26143" s="85"/>
    </row>
    <row r="26144" spans="9:13" x14ac:dyDescent="0.3">
      <c r="I26144" s="82"/>
      <c r="M26144" s="85"/>
    </row>
    <row r="26145" spans="9:13" x14ac:dyDescent="0.3">
      <c r="I26145" s="82"/>
      <c r="M26145" s="85"/>
    </row>
    <row r="26146" spans="9:13" x14ac:dyDescent="0.3">
      <c r="I26146" s="82"/>
      <c r="M26146" s="85"/>
    </row>
    <row r="26147" spans="9:13" x14ac:dyDescent="0.3">
      <c r="I26147" s="82"/>
      <c r="M26147" s="85"/>
    </row>
    <row r="26148" spans="9:13" x14ac:dyDescent="0.3">
      <c r="I26148" s="82"/>
      <c r="M26148" s="85"/>
    </row>
    <row r="26149" spans="9:13" x14ac:dyDescent="0.3">
      <c r="I26149" s="82"/>
      <c r="M26149" s="85"/>
    </row>
    <row r="26150" spans="9:13" x14ac:dyDescent="0.3">
      <c r="I26150" s="82"/>
      <c r="M26150" s="85"/>
    </row>
    <row r="26151" spans="9:13" x14ac:dyDescent="0.3">
      <c r="I26151" s="82"/>
      <c r="M26151" s="85"/>
    </row>
    <row r="26152" spans="9:13" x14ac:dyDescent="0.3">
      <c r="I26152" s="82"/>
      <c r="M26152" s="85"/>
    </row>
    <row r="26153" spans="9:13" x14ac:dyDescent="0.3">
      <c r="I26153" s="82"/>
      <c r="M26153" s="85"/>
    </row>
    <row r="26154" spans="9:13" x14ac:dyDescent="0.3">
      <c r="I26154" s="82"/>
      <c r="M26154" s="85"/>
    </row>
    <row r="26155" spans="9:13" x14ac:dyDescent="0.3">
      <c r="I26155" s="82"/>
      <c r="M26155" s="85"/>
    </row>
    <row r="26156" spans="9:13" x14ac:dyDescent="0.3">
      <c r="I26156" s="82"/>
      <c r="M26156" s="85"/>
    </row>
    <row r="26157" spans="9:13" x14ac:dyDescent="0.3">
      <c r="I26157" s="82"/>
      <c r="M26157" s="85"/>
    </row>
    <row r="26158" spans="9:13" x14ac:dyDescent="0.3">
      <c r="I26158" s="82"/>
      <c r="M26158" s="85"/>
    </row>
    <row r="26159" spans="9:13" x14ac:dyDescent="0.3">
      <c r="I26159" s="82"/>
      <c r="M26159" s="85"/>
    </row>
    <row r="26160" spans="9:13" x14ac:dyDescent="0.3">
      <c r="I26160" s="82"/>
      <c r="M26160" s="85"/>
    </row>
    <row r="26161" spans="9:13" x14ac:dyDescent="0.3">
      <c r="I26161" s="82"/>
      <c r="M26161" s="85"/>
    </row>
    <row r="26162" spans="9:13" x14ac:dyDescent="0.3">
      <c r="I26162" s="82"/>
      <c r="M26162" s="85"/>
    </row>
    <row r="26163" spans="9:13" x14ac:dyDescent="0.3">
      <c r="I26163" s="82"/>
      <c r="M26163" s="85"/>
    </row>
    <row r="26164" spans="9:13" x14ac:dyDescent="0.3">
      <c r="I26164" s="82"/>
      <c r="M26164" s="85"/>
    </row>
    <row r="26165" spans="9:13" x14ac:dyDescent="0.3">
      <c r="I26165" s="82"/>
      <c r="M26165" s="85"/>
    </row>
    <row r="26166" spans="9:13" x14ac:dyDescent="0.3">
      <c r="I26166" s="82"/>
      <c r="M26166" s="85"/>
    </row>
    <row r="26167" spans="9:13" x14ac:dyDescent="0.3">
      <c r="I26167" s="82"/>
      <c r="M26167" s="85"/>
    </row>
    <row r="26168" spans="9:13" x14ac:dyDescent="0.3">
      <c r="I26168" s="82"/>
      <c r="M26168" s="85"/>
    </row>
    <row r="26169" spans="9:13" x14ac:dyDescent="0.3">
      <c r="I26169" s="82"/>
      <c r="M26169" s="85"/>
    </row>
    <row r="26170" spans="9:13" x14ac:dyDescent="0.3">
      <c r="I26170" s="82"/>
      <c r="M26170" s="85"/>
    </row>
    <row r="26171" spans="9:13" x14ac:dyDescent="0.3">
      <c r="I26171" s="82"/>
      <c r="M26171" s="85"/>
    </row>
    <row r="26172" spans="9:13" x14ac:dyDescent="0.3">
      <c r="I26172" s="82"/>
      <c r="M26172" s="85"/>
    </row>
    <row r="26173" spans="9:13" x14ac:dyDescent="0.3">
      <c r="I26173" s="82"/>
      <c r="M26173" s="85"/>
    </row>
    <row r="26174" spans="9:13" x14ac:dyDescent="0.3">
      <c r="I26174" s="82"/>
      <c r="M26174" s="85"/>
    </row>
    <row r="26175" spans="9:13" x14ac:dyDescent="0.3">
      <c r="I26175" s="82"/>
      <c r="M26175" s="85"/>
    </row>
    <row r="26176" spans="9:13" x14ac:dyDescent="0.3">
      <c r="I26176" s="82"/>
      <c r="M26176" s="85"/>
    </row>
    <row r="26177" spans="9:13" x14ac:dyDescent="0.3">
      <c r="I26177" s="82"/>
      <c r="M26177" s="85"/>
    </row>
    <row r="26178" spans="9:13" x14ac:dyDescent="0.3">
      <c r="I26178" s="82"/>
      <c r="M26178" s="85"/>
    </row>
    <row r="26179" spans="9:13" x14ac:dyDescent="0.3">
      <c r="I26179" s="82"/>
      <c r="M26179" s="85"/>
    </row>
    <row r="26180" spans="9:13" x14ac:dyDescent="0.3">
      <c r="I26180" s="82"/>
      <c r="M26180" s="85"/>
    </row>
    <row r="26181" spans="9:13" x14ac:dyDescent="0.3">
      <c r="I26181" s="82"/>
      <c r="M26181" s="85"/>
    </row>
    <row r="26182" spans="9:13" x14ac:dyDescent="0.3">
      <c r="I26182" s="82"/>
      <c r="M26182" s="85"/>
    </row>
    <row r="26183" spans="9:13" x14ac:dyDescent="0.3">
      <c r="I26183" s="82"/>
      <c r="M26183" s="85"/>
    </row>
    <row r="26184" spans="9:13" x14ac:dyDescent="0.3">
      <c r="I26184" s="82"/>
      <c r="M26184" s="85"/>
    </row>
    <row r="26185" spans="9:13" x14ac:dyDescent="0.3">
      <c r="I26185" s="82"/>
      <c r="M26185" s="85"/>
    </row>
    <row r="26186" spans="9:13" x14ac:dyDescent="0.3">
      <c r="I26186" s="82"/>
      <c r="M26186" s="85"/>
    </row>
    <row r="26187" spans="9:13" x14ac:dyDescent="0.3">
      <c r="I26187" s="82"/>
      <c r="M26187" s="85"/>
    </row>
    <row r="26188" spans="9:13" x14ac:dyDescent="0.3">
      <c r="I26188" s="82"/>
      <c r="M26188" s="85"/>
    </row>
    <row r="26189" spans="9:13" x14ac:dyDescent="0.3">
      <c r="I26189" s="82"/>
      <c r="M26189" s="85"/>
    </row>
    <row r="26190" spans="9:13" x14ac:dyDescent="0.3">
      <c r="I26190" s="82"/>
      <c r="M26190" s="85"/>
    </row>
    <row r="26191" spans="9:13" x14ac:dyDescent="0.3">
      <c r="I26191" s="82"/>
      <c r="M26191" s="85"/>
    </row>
    <row r="26192" spans="9:13" x14ac:dyDescent="0.3">
      <c r="I26192" s="82"/>
      <c r="M26192" s="85"/>
    </row>
    <row r="26193" spans="9:13" x14ac:dyDescent="0.3">
      <c r="I26193" s="82"/>
      <c r="M26193" s="85"/>
    </row>
    <row r="26194" spans="9:13" x14ac:dyDescent="0.3">
      <c r="I26194" s="82"/>
      <c r="M26194" s="85"/>
    </row>
    <row r="26195" spans="9:13" x14ac:dyDescent="0.3">
      <c r="I26195" s="82"/>
      <c r="M26195" s="85"/>
    </row>
    <row r="26196" spans="9:13" x14ac:dyDescent="0.3">
      <c r="I26196" s="82"/>
      <c r="M26196" s="85"/>
    </row>
    <row r="26197" spans="9:13" x14ac:dyDescent="0.3">
      <c r="I26197" s="82"/>
      <c r="M26197" s="85"/>
    </row>
    <row r="26198" spans="9:13" x14ac:dyDescent="0.3">
      <c r="I26198" s="82"/>
      <c r="M26198" s="85"/>
    </row>
    <row r="26199" spans="9:13" x14ac:dyDescent="0.3">
      <c r="I26199" s="82"/>
      <c r="M26199" s="85"/>
    </row>
    <row r="26200" spans="9:13" x14ac:dyDescent="0.3">
      <c r="I26200" s="82"/>
      <c r="M26200" s="85"/>
    </row>
    <row r="26201" spans="9:13" x14ac:dyDescent="0.3">
      <c r="I26201" s="82"/>
      <c r="M26201" s="85"/>
    </row>
    <row r="26202" spans="9:13" x14ac:dyDescent="0.3">
      <c r="I26202" s="82"/>
      <c r="M26202" s="85"/>
    </row>
    <row r="26203" spans="9:13" x14ac:dyDescent="0.3">
      <c r="I26203" s="82"/>
      <c r="M26203" s="85"/>
    </row>
    <row r="26204" spans="9:13" x14ac:dyDescent="0.3">
      <c r="I26204" s="82"/>
      <c r="M26204" s="85"/>
    </row>
    <row r="26205" spans="9:13" x14ac:dyDescent="0.3">
      <c r="I26205" s="82"/>
      <c r="M26205" s="85"/>
    </row>
    <row r="26206" spans="9:13" x14ac:dyDescent="0.3">
      <c r="I26206" s="82"/>
      <c r="M26206" s="85"/>
    </row>
    <row r="26207" spans="9:13" x14ac:dyDescent="0.3">
      <c r="I26207" s="82"/>
      <c r="M26207" s="85"/>
    </row>
    <row r="26208" spans="9:13" x14ac:dyDescent="0.3">
      <c r="I26208" s="82"/>
      <c r="M26208" s="85"/>
    </row>
    <row r="26209" spans="9:13" x14ac:dyDescent="0.3">
      <c r="I26209" s="82"/>
      <c r="M26209" s="85"/>
    </row>
    <row r="26210" spans="9:13" x14ac:dyDescent="0.3">
      <c r="I26210" s="82"/>
      <c r="M26210" s="85"/>
    </row>
    <row r="26211" spans="9:13" x14ac:dyDescent="0.3">
      <c r="I26211" s="82"/>
      <c r="M26211" s="85"/>
    </row>
    <row r="26212" spans="9:13" x14ac:dyDescent="0.3">
      <c r="I26212" s="82"/>
      <c r="M26212" s="85"/>
    </row>
    <row r="26213" spans="9:13" x14ac:dyDescent="0.3">
      <c r="I26213" s="82"/>
      <c r="M26213" s="85"/>
    </row>
    <row r="26214" spans="9:13" x14ac:dyDescent="0.3">
      <c r="I26214" s="82"/>
      <c r="M26214" s="85"/>
    </row>
    <row r="26215" spans="9:13" x14ac:dyDescent="0.3">
      <c r="I26215" s="82"/>
      <c r="M26215" s="85"/>
    </row>
    <row r="26216" spans="9:13" x14ac:dyDescent="0.3">
      <c r="I26216" s="82"/>
      <c r="M26216" s="85"/>
    </row>
    <row r="26217" spans="9:13" x14ac:dyDescent="0.3">
      <c r="I26217" s="82"/>
      <c r="M26217" s="85"/>
    </row>
    <row r="26218" spans="9:13" x14ac:dyDescent="0.3">
      <c r="I26218" s="82"/>
      <c r="M26218" s="85"/>
    </row>
    <row r="26219" spans="9:13" x14ac:dyDescent="0.3">
      <c r="I26219" s="82"/>
      <c r="M26219" s="85"/>
    </row>
    <row r="26220" spans="9:13" x14ac:dyDescent="0.3">
      <c r="I26220" s="82"/>
      <c r="M26220" s="85"/>
    </row>
    <row r="26221" spans="9:13" x14ac:dyDescent="0.3">
      <c r="I26221" s="82"/>
      <c r="M26221" s="85"/>
    </row>
    <row r="26222" spans="9:13" x14ac:dyDescent="0.3">
      <c r="I26222" s="82"/>
      <c r="M26222" s="85"/>
    </row>
    <row r="26223" spans="9:13" x14ac:dyDescent="0.3">
      <c r="I26223" s="82"/>
      <c r="M26223" s="85"/>
    </row>
    <row r="26224" spans="9:13" x14ac:dyDescent="0.3">
      <c r="I26224" s="82"/>
      <c r="M26224" s="85"/>
    </row>
    <row r="26225" spans="9:13" x14ac:dyDescent="0.3">
      <c r="I26225" s="82"/>
      <c r="M26225" s="85"/>
    </row>
    <row r="26226" spans="9:13" x14ac:dyDescent="0.3">
      <c r="I26226" s="82"/>
      <c r="M26226" s="85"/>
    </row>
    <row r="26227" spans="9:13" x14ac:dyDescent="0.3">
      <c r="I26227" s="82"/>
      <c r="M26227" s="85"/>
    </row>
    <row r="26228" spans="9:13" x14ac:dyDescent="0.3">
      <c r="I26228" s="82"/>
      <c r="M26228" s="85"/>
    </row>
    <row r="26229" spans="9:13" x14ac:dyDescent="0.3">
      <c r="I26229" s="82"/>
      <c r="M26229" s="85"/>
    </row>
    <row r="26230" spans="9:13" x14ac:dyDescent="0.3">
      <c r="I26230" s="82"/>
      <c r="M26230" s="85"/>
    </row>
    <row r="26231" spans="9:13" x14ac:dyDescent="0.3">
      <c r="I26231" s="82"/>
      <c r="M26231" s="85"/>
    </row>
    <row r="26232" spans="9:13" x14ac:dyDescent="0.3">
      <c r="I26232" s="82"/>
      <c r="M26232" s="85"/>
    </row>
    <row r="26233" spans="9:13" x14ac:dyDescent="0.3">
      <c r="I26233" s="82"/>
      <c r="M26233" s="85"/>
    </row>
    <row r="26234" spans="9:13" x14ac:dyDescent="0.3">
      <c r="I26234" s="82"/>
      <c r="M26234" s="85"/>
    </row>
    <row r="26235" spans="9:13" x14ac:dyDescent="0.3">
      <c r="I26235" s="82"/>
      <c r="M26235" s="85"/>
    </row>
    <row r="26236" spans="9:13" x14ac:dyDescent="0.3">
      <c r="I26236" s="82"/>
      <c r="M26236" s="85"/>
    </row>
    <row r="26237" spans="9:13" x14ac:dyDescent="0.3">
      <c r="I26237" s="82"/>
      <c r="M26237" s="85"/>
    </row>
    <row r="26238" spans="9:13" x14ac:dyDescent="0.3">
      <c r="I26238" s="82"/>
      <c r="M26238" s="85"/>
    </row>
    <row r="26239" spans="9:13" x14ac:dyDescent="0.3">
      <c r="I26239" s="82"/>
      <c r="M26239" s="85"/>
    </row>
    <row r="26240" spans="9:13" x14ac:dyDescent="0.3">
      <c r="I26240" s="82"/>
      <c r="M26240" s="85"/>
    </row>
    <row r="26241" spans="9:13" x14ac:dyDescent="0.3">
      <c r="I26241" s="82"/>
      <c r="M26241" s="85"/>
    </row>
    <row r="26242" spans="9:13" x14ac:dyDescent="0.3">
      <c r="I26242" s="82"/>
      <c r="M26242" s="85"/>
    </row>
    <row r="26243" spans="9:13" x14ac:dyDescent="0.3">
      <c r="I26243" s="82"/>
      <c r="M26243" s="85"/>
    </row>
    <row r="26244" spans="9:13" x14ac:dyDescent="0.3">
      <c r="I26244" s="82"/>
      <c r="M26244" s="85"/>
    </row>
    <row r="26245" spans="9:13" x14ac:dyDescent="0.3">
      <c r="I26245" s="82"/>
      <c r="M26245" s="85"/>
    </row>
    <row r="26246" spans="9:13" x14ac:dyDescent="0.3">
      <c r="I26246" s="82"/>
      <c r="M26246" s="85"/>
    </row>
    <row r="26247" spans="9:13" x14ac:dyDescent="0.3">
      <c r="I26247" s="82"/>
      <c r="M26247" s="85"/>
    </row>
    <row r="26248" spans="9:13" x14ac:dyDescent="0.3">
      <c r="I26248" s="82"/>
      <c r="M26248" s="85"/>
    </row>
    <row r="26249" spans="9:13" x14ac:dyDescent="0.3">
      <c r="I26249" s="82"/>
      <c r="M26249" s="85"/>
    </row>
    <row r="26250" spans="9:13" x14ac:dyDescent="0.3">
      <c r="I26250" s="82"/>
      <c r="M26250" s="85"/>
    </row>
    <row r="26251" spans="9:13" x14ac:dyDescent="0.3">
      <c r="I26251" s="82"/>
      <c r="M26251" s="85"/>
    </row>
    <row r="26252" spans="9:13" x14ac:dyDescent="0.3">
      <c r="I26252" s="82"/>
      <c r="M26252" s="85"/>
    </row>
    <row r="26253" spans="9:13" x14ac:dyDescent="0.3">
      <c r="I26253" s="82"/>
      <c r="M26253" s="85"/>
    </row>
    <row r="26254" spans="9:13" x14ac:dyDescent="0.3">
      <c r="I26254" s="82"/>
      <c r="M26254" s="85"/>
    </row>
    <row r="26255" spans="9:13" x14ac:dyDescent="0.3">
      <c r="I26255" s="82"/>
      <c r="M26255" s="85"/>
    </row>
    <row r="26256" spans="9:13" x14ac:dyDescent="0.3">
      <c r="I26256" s="82"/>
      <c r="M26256" s="85"/>
    </row>
    <row r="26257" spans="9:13" x14ac:dyDescent="0.3">
      <c r="I26257" s="82"/>
      <c r="M26257" s="85"/>
    </row>
    <row r="26258" spans="9:13" x14ac:dyDescent="0.3">
      <c r="I26258" s="82"/>
      <c r="M26258" s="85"/>
    </row>
    <row r="26259" spans="9:13" x14ac:dyDescent="0.3">
      <c r="I26259" s="82"/>
      <c r="M26259" s="85"/>
    </row>
    <row r="26260" spans="9:13" x14ac:dyDescent="0.3">
      <c r="I26260" s="82"/>
      <c r="M26260" s="85"/>
    </row>
    <row r="26261" spans="9:13" x14ac:dyDescent="0.3">
      <c r="I26261" s="82"/>
      <c r="M26261" s="85"/>
    </row>
    <row r="26262" spans="9:13" x14ac:dyDescent="0.3">
      <c r="I26262" s="82"/>
      <c r="M26262" s="85"/>
    </row>
    <row r="26263" spans="9:13" x14ac:dyDescent="0.3">
      <c r="I26263" s="82"/>
      <c r="M26263" s="85"/>
    </row>
    <row r="26264" spans="9:13" x14ac:dyDescent="0.3">
      <c r="I26264" s="82"/>
      <c r="M26264" s="85"/>
    </row>
    <row r="26265" spans="9:13" x14ac:dyDescent="0.3">
      <c r="I26265" s="82"/>
      <c r="M26265" s="85"/>
    </row>
    <row r="26266" spans="9:13" x14ac:dyDescent="0.3">
      <c r="I26266" s="82"/>
      <c r="M26266" s="85"/>
    </row>
    <row r="26267" spans="9:13" x14ac:dyDescent="0.3">
      <c r="I26267" s="82"/>
      <c r="M26267" s="85"/>
    </row>
    <row r="26268" spans="9:13" x14ac:dyDescent="0.3">
      <c r="I26268" s="82"/>
      <c r="M26268" s="85"/>
    </row>
    <row r="26269" spans="9:13" x14ac:dyDescent="0.3">
      <c r="I26269" s="82"/>
      <c r="M26269" s="85"/>
    </row>
    <row r="26270" spans="9:13" x14ac:dyDescent="0.3">
      <c r="I26270" s="82"/>
      <c r="M26270" s="85"/>
    </row>
    <row r="26271" spans="9:13" x14ac:dyDescent="0.3">
      <c r="I26271" s="82"/>
      <c r="M26271" s="85"/>
    </row>
    <row r="26272" spans="9:13" x14ac:dyDescent="0.3">
      <c r="I26272" s="82"/>
      <c r="M26272" s="85"/>
    </row>
    <row r="26273" spans="9:13" x14ac:dyDescent="0.3">
      <c r="I26273" s="82"/>
      <c r="M26273" s="85"/>
    </row>
    <row r="26274" spans="9:13" x14ac:dyDescent="0.3">
      <c r="I26274" s="82"/>
      <c r="M26274" s="85"/>
    </row>
    <row r="26275" spans="9:13" x14ac:dyDescent="0.3">
      <c r="I26275" s="82"/>
      <c r="M26275" s="85"/>
    </row>
    <row r="26276" spans="9:13" x14ac:dyDescent="0.3">
      <c r="I26276" s="82"/>
      <c r="M26276" s="85"/>
    </row>
    <row r="26277" spans="9:13" x14ac:dyDescent="0.3">
      <c r="I26277" s="82"/>
      <c r="M26277" s="85"/>
    </row>
    <row r="26278" spans="9:13" x14ac:dyDescent="0.3">
      <c r="I26278" s="82"/>
      <c r="M26278" s="85"/>
    </row>
    <row r="26279" spans="9:13" x14ac:dyDescent="0.3">
      <c r="I26279" s="82"/>
      <c r="M26279" s="85"/>
    </row>
    <row r="26280" spans="9:13" x14ac:dyDescent="0.3">
      <c r="I26280" s="82"/>
      <c r="M26280" s="85"/>
    </row>
    <row r="26281" spans="9:13" x14ac:dyDescent="0.3">
      <c r="I26281" s="82"/>
      <c r="M26281" s="85"/>
    </row>
    <row r="26282" spans="9:13" x14ac:dyDescent="0.3">
      <c r="I26282" s="82"/>
      <c r="M26282" s="85"/>
    </row>
    <row r="26283" spans="9:13" x14ac:dyDescent="0.3">
      <c r="I26283" s="82"/>
      <c r="M26283" s="85"/>
    </row>
    <row r="26284" spans="9:13" x14ac:dyDescent="0.3">
      <c r="I26284" s="82"/>
      <c r="M26284" s="85"/>
    </row>
    <row r="26285" spans="9:13" x14ac:dyDescent="0.3">
      <c r="I26285" s="82"/>
      <c r="M26285" s="85"/>
    </row>
    <row r="26286" spans="9:13" x14ac:dyDescent="0.3">
      <c r="I26286" s="82"/>
      <c r="M26286" s="85"/>
    </row>
    <row r="26287" spans="9:13" x14ac:dyDescent="0.3">
      <c r="I26287" s="82"/>
      <c r="M26287" s="85"/>
    </row>
    <row r="26288" spans="9:13" x14ac:dyDescent="0.3">
      <c r="I26288" s="82"/>
      <c r="M26288" s="85"/>
    </row>
    <row r="26289" spans="9:13" x14ac:dyDescent="0.3">
      <c r="I26289" s="82"/>
      <c r="M26289" s="85"/>
    </row>
    <row r="26290" spans="9:13" x14ac:dyDescent="0.3">
      <c r="I26290" s="82"/>
      <c r="M26290" s="85"/>
    </row>
    <row r="26291" spans="9:13" x14ac:dyDescent="0.3">
      <c r="I26291" s="82"/>
      <c r="M26291" s="85"/>
    </row>
    <row r="26292" spans="9:13" x14ac:dyDescent="0.3">
      <c r="I26292" s="82"/>
      <c r="M26292" s="85"/>
    </row>
    <row r="26293" spans="9:13" x14ac:dyDescent="0.3">
      <c r="I26293" s="82"/>
      <c r="M26293" s="85"/>
    </row>
    <row r="26294" spans="9:13" x14ac:dyDescent="0.3">
      <c r="I26294" s="82"/>
      <c r="M26294" s="85"/>
    </row>
    <row r="26295" spans="9:13" x14ac:dyDescent="0.3">
      <c r="I26295" s="82"/>
      <c r="M26295" s="85"/>
    </row>
    <row r="26296" spans="9:13" x14ac:dyDescent="0.3">
      <c r="I26296" s="82"/>
      <c r="M26296" s="85"/>
    </row>
    <row r="26297" spans="9:13" x14ac:dyDescent="0.3">
      <c r="I26297" s="82"/>
      <c r="M26297" s="85"/>
    </row>
    <row r="26298" spans="9:13" x14ac:dyDescent="0.3">
      <c r="I26298" s="82"/>
      <c r="M26298" s="85"/>
    </row>
    <row r="26299" spans="9:13" x14ac:dyDescent="0.3">
      <c r="I26299" s="82"/>
      <c r="M26299" s="85"/>
    </row>
    <row r="26300" spans="9:13" x14ac:dyDescent="0.3">
      <c r="I26300" s="82"/>
      <c r="M26300" s="85"/>
    </row>
    <row r="26301" spans="9:13" x14ac:dyDescent="0.3">
      <c r="I26301" s="82"/>
      <c r="M26301" s="85"/>
    </row>
    <row r="26302" spans="9:13" x14ac:dyDescent="0.3">
      <c r="I26302" s="82"/>
      <c r="M26302" s="85"/>
    </row>
    <row r="26303" spans="9:13" x14ac:dyDescent="0.3">
      <c r="I26303" s="82"/>
      <c r="M26303" s="85"/>
    </row>
    <row r="26304" spans="9:13" x14ac:dyDescent="0.3">
      <c r="I26304" s="82"/>
      <c r="M26304" s="85"/>
    </row>
    <row r="26305" spans="9:13" x14ac:dyDescent="0.3">
      <c r="I26305" s="82"/>
      <c r="M26305" s="85"/>
    </row>
    <row r="26306" spans="9:13" x14ac:dyDescent="0.3">
      <c r="I26306" s="82"/>
      <c r="M26306" s="85"/>
    </row>
    <row r="26307" spans="9:13" x14ac:dyDescent="0.3">
      <c r="I26307" s="82"/>
      <c r="M26307" s="85"/>
    </row>
    <row r="26308" spans="9:13" x14ac:dyDescent="0.3">
      <c r="I26308" s="82"/>
      <c r="M26308" s="85"/>
    </row>
    <row r="26309" spans="9:13" x14ac:dyDescent="0.3">
      <c r="I26309" s="82"/>
      <c r="M26309" s="85"/>
    </row>
    <row r="26310" spans="9:13" x14ac:dyDescent="0.3">
      <c r="I26310" s="82"/>
      <c r="M26310" s="85"/>
    </row>
    <row r="26311" spans="9:13" x14ac:dyDescent="0.3">
      <c r="I26311" s="82"/>
      <c r="M26311" s="85"/>
    </row>
    <row r="26312" spans="9:13" x14ac:dyDescent="0.3">
      <c r="I26312" s="82"/>
      <c r="M26312" s="85"/>
    </row>
    <row r="26313" spans="9:13" x14ac:dyDescent="0.3">
      <c r="I26313" s="82"/>
      <c r="M26313" s="85"/>
    </row>
    <row r="26314" spans="9:13" x14ac:dyDescent="0.3">
      <c r="I26314" s="82"/>
      <c r="M26314" s="85"/>
    </row>
    <row r="26315" spans="9:13" x14ac:dyDescent="0.3">
      <c r="I26315" s="82"/>
      <c r="M26315" s="85"/>
    </row>
    <row r="26316" spans="9:13" x14ac:dyDescent="0.3">
      <c r="I26316" s="82"/>
      <c r="M26316" s="85"/>
    </row>
    <row r="26317" spans="9:13" x14ac:dyDescent="0.3">
      <c r="I26317" s="82"/>
      <c r="M26317" s="85"/>
    </row>
    <row r="26318" spans="9:13" x14ac:dyDescent="0.3">
      <c r="I26318" s="82"/>
      <c r="M26318" s="85"/>
    </row>
    <row r="26319" spans="9:13" x14ac:dyDescent="0.3">
      <c r="I26319" s="82"/>
      <c r="M26319" s="85"/>
    </row>
    <row r="26320" spans="9:13" x14ac:dyDescent="0.3">
      <c r="I26320" s="82"/>
      <c r="M26320" s="85"/>
    </row>
    <row r="26321" spans="9:13" x14ac:dyDescent="0.3">
      <c r="I26321" s="82"/>
      <c r="M26321" s="85"/>
    </row>
    <row r="26322" spans="9:13" x14ac:dyDescent="0.3">
      <c r="I26322" s="82"/>
      <c r="M26322" s="85"/>
    </row>
    <row r="26323" spans="9:13" x14ac:dyDescent="0.3">
      <c r="I26323" s="82"/>
      <c r="M26323" s="85"/>
    </row>
    <row r="26324" spans="9:13" x14ac:dyDescent="0.3">
      <c r="I26324" s="82"/>
      <c r="M26324" s="85"/>
    </row>
    <row r="26325" spans="9:13" x14ac:dyDescent="0.3">
      <c r="I26325" s="82"/>
      <c r="M26325" s="85"/>
    </row>
    <row r="26326" spans="9:13" x14ac:dyDescent="0.3">
      <c r="I26326" s="82"/>
      <c r="M26326" s="85"/>
    </row>
    <row r="26327" spans="9:13" x14ac:dyDescent="0.3">
      <c r="I26327" s="82"/>
      <c r="M26327" s="85"/>
    </row>
    <row r="26328" spans="9:13" x14ac:dyDescent="0.3">
      <c r="I26328" s="82"/>
      <c r="M26328" s="85"/>
    </row>
    <row r="26329" spans="9:13" x14ac:dyDescent="0.3">
      <c r="I26329" s="82"/>
      <c r="M26329" s="85"/>
    </row>
    <row r="26330" spans="9:13" x14ac:dyDescent="0.3">
      <c r="I26330" s="82"/>
      <c r="M26330" s="85"/>
    </row>
    <row r="26331" spans="9:13" x14ac:dyDescent="0.3">
      <c r="I26331" s="82"/>
      <c r="M26331" s="85"/>
    </row>
    <row r="26332" spans="9:13" x14ac:dyDescent="0.3">
      <c r="I26332" s="82"/>
      <c r="M26332" s="85"/>
    </row>
    <row r="26333" spans="9:13" x14ac:dyDescent="0.3">
      <c r="I26333" s="82"/>
      <c r="M26333" s="85"/>
    </row>
    <row r="26334" spans="9:13" x14ac:dyDescent="0.3">
      <c r="I26334" s="82"/>
      <c r="M26334" s="85"/>
    </row>
    <row r="26335" spans="9:13" x14ac:dyDescent="0.3">
      <c r="I26335" s="82"/>
      <c r="M26335" s="85"/>
    </row>
    <row r="26336" spans="9:13" x14ac:dyDescent="0.3">
      <c r="I26336" s="82"/>
      <c r="M26336" s="85"/>
    </row>
    <row r="26337" spans="9:13" x14ac:dyDescent="0.3">
      <c r="I26337" s="82"/>
      <c r="M26337" s="85"/>
    </row>
    <row r="26338" spans="9:13" x14ac:dyDescent="0.3">
      <c r="I26338" s="82"/>
      <c r="M26338" s="85"/>
    </row>
    <row r="26339" spans="9:13" x14ac:dyDescent="0.3">
      <c r="I26339" s="82"/>
      <c r="M26339" s="85"/>
    </row>
    <row r="26340" spans="9:13" x14ac:dyDescent="0.3">
      <c r="I26340" s="82"/>
      <c r="M26340" s="85"/>
    </row>
    <row r="26341" spans="9:13" x14ac:dyDescent="0.3">
      <c r="I26341" s="82"/>
      <c r="M26341" s="85"/>
    </row>
    <row r="26342" spans="9:13" x14ac:dyDescent="0.3">
      <c r="I26342" s="82"/>
      <c r="M26342" s="85"/>
    </row>
    <row r="26343" spans="9:13" x14ac:dyDescent="0.3">
      <c r="I26343" s="82"/>
      <c r="M26343" s="85"/>
    </row>
    <row r="26344" spans="9:13" x14ac:dyDescent="0.3">
      <c r="I26344" s="82"/>
      <c r="M26344" s="85"/>
    </row>
    <row r="26345" spans="9:13" x14ac:dyDescent="0.3">
      <c r="I26345" s="82"/>
      <c r="M26345" s="85"/>
    </row>
    <row r="26346" spans="9:13" x14ac:dyDescent="0.3">
      <c r="I26346" s="82"/>
      <c r="M26346" s="85"/>
    </row>
    <row r="26347" spans="9:13" x14ac:dyDescent="0.3">
      <c r="I26347" s="82"/>
      <c r="M26347" s="85"/>
    </row>
    <row r="26348" spans="9:13" x14ac:dyDescent="0.3">
      <c r="I26348" s="82"/>
      <c r="M26348" s="85"/>
    </row>
    <row r="26349" spans="9:13" x14ac:dyDescent="0.3">
      <c r="I26349" s="82"/>
      <c r="M26349" s="85"/>
    </row>
    <row r="26350" spans="9:13" x14ac:dyDescent="0.3">
      <c r="I26350" s="82"/>
      <c r="M26350" s="85"/>
    </row>
    <row r="26351" spans="9:13" x14ac:dyDescent="0.3">
      <c r="I26351" s="82"/>
      <c r="M26351" s="85"/>
    </row>
    <row r="26352" spans="9:13" x14ac:dyDescent="0.3">
      <c r="I26352" s="82"/>
      <c r="M26352" s="85"/>
    </row>
    <row r="26353" spans="9:13" x14ac:dyDescent="0.3">
      <c r="I26353" s="82"/>
      <c r="M26353" s="85"/>
    </row>
    <row r="26354" spans="9:13" x14ac:dyDescent="0.3">
      <c r="I26354" s="82"/>
      <c r="M26354" s="85"/>
    </row>
    <row r="26355" spans="9:13" x14ac:dyDescent="0.3">
      <c r="I26355" s="82"/>
      <c r="M26355" s="85"/>
    </row>
    <row r="26356" spans="9:13" x14ac:dyDescent="0.3">
      <c r="I26356" s="82"/>
      <c r="M26356" s="85"/>
    </row>
    <row r="26357" spans="9:13" x14ac:dyDescent="0.3">
      <c r="I26357" s="82"/>
      <c r="M26357" s="85"/>
    </row>
    <row r="26358" spans="9:13" x14ac:dyDescent="0.3">
      <c r="I26358" s="82"/>
      <c r="M26358" s="85"/>
    </row>
    <row r="26359" spans="9:13" x14ac:dyDescent="0.3">
      <c r="I26359" s="82"/>
      <c r="M26359" s="85"/>
    </row>
    <row r="26360" spans="9:13" x14ac:dyDescent="0.3">
      <c r="I26360" s="82"/>
      <c r="M26360" s="85"/>
    </row>
    <row r="26361" spans="9:13" x14ac:dyDescent="0.3">
      <c r="I26361" s="82"/>
      <c r="M26361" s="85"/>
    </row>
    <row r="26362" spans="9:13" x14ac:dyDescent="0.3">
      <c r="I26362" s="82"/>
      <c r="M26362" s="85"/>
    </row>
    <row r="26363" spans="9:13" x14ac:dyDescent="0.3">
      <c r="I26363" s="82"/>
      <c r="M26363" s="85"/>
    </row>
    <row r="26364" spans="9:13" x14ac:dyDescent="0.3">
      <c r="I26364" s="82"/>
      <c r="M26364" s="85"/>
    </row>
    <row r="26365" spans="9:13" x14ac:dyDescent="0.3">
      <c r="I26365" s="82"/>
      <c r="M26365" s="85"/>
    </row>
    <row r="26366" spans="9:13" x14ac:dyDescent="0.3">
      <c r="I26366" s="82"/>
      <c r="M26366" s="85"/>
    </row>
    <row r="26367" spans="9:13" x14ac:dyDescent="0.3">
      <c r="I26367" s="82"/>
      <c r="M26367" s="85"/>
    </row>
    <row r="26368" spans="9:13" x14ac:dyDescent="0.3">
      <c r="I26368" s="82"/>
      <c r="M26368" s="85"/>
    </row>
    <row r="26369" spans="9:13" x14ac:dyDescent="0.3">
      <c r="I26369" s="82"/>
      <c r="M26369" s="85"/>
    </row>
    <row r="26370" spans="9:13" x14ac:dyDescent="0.3">
      <c r="I26370" s="82"/>
      <c r="M26370" s="85"/>
    </row>
    <row r="26371" spans="9:13" x14ac:dyDescent="0.3">
      <c r="I26371" s="82"/>
      <c r="M26371" s="85"/>
    </row>
    <row r="26372" spans="9:13" x14ac:dyDescent="0.3">
      <c r="I26372" s="82"/>
      <c r="M26372" s="85"/>
    </row>
    <row r="26373" spans="9:13" x14ac:dyDescent="0.3">
      <c r="I26373" s="82"/>
      <c r="M26373" s="85"/>
    </row>
    <row r="26374" spans="9:13" x14ac:dyDescent="0.3">
      <c r="I26374" s="82"/>
      <c r="M26374" s="85"/>
    </row>
    <row r="26375" spans="9:13" x14ac:dyDescent="0.3">
      <c r="I26375" s="82"/>
      <c r="M26375" s="85"/>
    </row>
    <row r="26376" spans="9:13" x14ac:dyDescent="0.3">
      <c r="I26376" s="82"/>
      <c r="M26376" s="85"/>
    </row>
    <row r="26377" spans="9:13" x14ac:dyDescent="0.3">
      <c r="I26377" s="82"/>
      <c r="M26377" s="85"/>
    </row>
    <row r="26378" spans="9:13" x14ac:dyDescent="0.3">
      <c r="I26378" s="82"/>
      <c r="M26378" s="85"/>
    </row>
    <row r="26379" spans="9:13" x14ac:dyDescent="0.3">
      <c r="I26379" s="82"/>
      <c r="M26379" s="85"/>
    </row>
    <row r="26380" spans="9:13" x14ac:dyDescent="0.3">
      <c r="I26380" s="82"/>
      <c r="M26380" s="85"/>
    </row>
    <row r="26381" spans="9:13" x14ac:dyDescent="0.3">
      <c r="I26381" s="82"/>
      <c r="M26381" s="85"/>
    </row>
    <row r="26382" spans="9:13" x14ac:dyDescent="0.3">
      <c r="I26382" s="82"/>
      <c r="M26382" s="85"/>
    </row>
    <row r="26383" spans="9:13" x14ac:dyDescent="0.3">
      <c r="I26383" s="82"/>
      <c r="M26383" s="85"/>
    </row>
    <row r="26384" spans="9:13" x14ac:dyDescent="0.3">
      <c r="I26384" s="82"/>
      <c r="M26384" s="85"/>
    </row>
    <row r="26385" spans="9:13" x14ac:dyDescent="0.3">
      <c r="I26385" s="82"/>
      <c r="M26385" s="85"/>
    </row>
    <row r="26386" spans="9:13" x14ac:dyDescent="0.3">
      <c r="I26386" s="82"/>
      <c r="M26386" s="85"/>
    </row>
    <row r="26387" spans="9:13" x14ac:dyDescent="0.3">
      <c r="I26387" s="82"/>
      <c r="M26387" s="85"/>
    </row>
    <row r="26388" spans="9:13" x14ac:dyDescent="0.3">
      <c r="I26388" s="82"/>
      <c r="M26388" s="85"/>
    </row>
    <row r="26389" spans="9:13" x14ac:dyDescent="0.3">
      <c r="I26389" s="82"/>
      <c r="M26389" s="85"/>
    </row>
    <row r="26390" spans="9:13" x14ac:dyDescent="0.3">
      <c r="I26390" s="82"/>
      <c r="M26390" s="85"/>
    </row>
    <row r="26391" spans="9:13" x14ac:dyDescent="0.3">
      <c r="I26391" s="82"/>
      <c r="M26391" s="85"/>
    </row>
    <row r="26392" spans="9:13" x14ac:dyDescent="0.3">
      <c r="I26392" s="82"/>
      <c r="M26392" s="85"/>
    </row>
    <row r="26393" spans="9:13" x14ac:dyDescent="0.3">
      <c r="I26393" s="82"/>
      <c r="M26393" s="85"/>
    </row>
    <row r="26394" spans="9:13" x14ac:dyDescent="0.3">
      <c r="I26394" s="82"/>
      <c r="M26394" s="85"/>
    </row>
    <row r="26395" spans="9:13" x14ac:dyDescent="0.3">
      <c r="I26395" s="82"/>
      <c r="M26395" s="85"/>
    </row>
    <row r="26396" spans="9:13" x14ac:dyDescent="0.3">
      <c r="I26396" s="82"/>
      <c r="M26396" s="85"/>
    </row>
    <row r="26397" spans="9:13" x14ac:dyDescent="0.3">
      <c r="I26397" s="82"/>
      <c r="M26397" s="85"/>
    </row>
    <row r="26398" spans="9:13" x14ac:dyDescent="0.3">
      <c r="I26398" s="82"/>
      <c r="M26398" s="85"/>
    </row>
    <row r="26399" spans="9:13" x14ac:dyDescent="0.3">
      <c r="I26399" s="82"/>
      <c r="M26399" s="85"/>
    </row>
    <row r="26400" spans="9:13" x14ac:dyDescent="0.3">
      <c r="I26400" s="82"/>
      <c r="M26400" s="85"/>
    </row>
    <row r="26401" spans="9:13" x14ac:dyDescent="0.3">
      <c r="I26401" s="82"/>
      <c r="M26401" s="85"/>
    </row>
    <row r="26402" spans="9:13" x14ac:dyDescent="0.3">
      <c r="I26402" s="82"/>
      <c r="M26402" s="85"/>
    </row>
    <row r="26403" spans="9:13" x14ac:dyDescent="0.3">
      <c r="I26403" s="82"/>
      <c r="M26403" s="85"/>
    </row>
    <row r="26404" spans="9:13" x14ac:dyDescent="0.3">
      <c r="I26404" s="82"/>
      <c r="M26404" s="85"/>
    </row>
    <row r="26405" spans="9:13" x14ac:dyDescent="0.3">
      <c r="I26405" s="82"/>
      <c r="M26405" s="85"/>
    </row>
    <row r="26406" spans="9:13" x14ac:dyDescent="0.3">
      <c r="I26406" s="82"/>
      <c r="M26406" s="85"/>
    </row>
    <row r="26407" spans="9:13" x14ac:dyDescent="0.3">
      <c r="I26407" s="82"/>
      <c r="M26407" s="85"/>
    </row>
    <row r="26408" spans="9:13" x14ac:dyDescent="0.3">
      <c r="I26408" s="82"/>
      <c r="M26408" s="85"/>
    </row>
    <row r="26409" spans="9:13" x14ac:dyDescent="0.3">
      <c r="I26409" s="82"/>
      <c r="M26409" s="85"/>
    </row>
    <row r="26410" spans="9:13" x14ac:dyDescent="0.3">
      <c r="I26410" s="82"/>
      <c r="M26410" s="85"/>
    </row>
    <row r="26411" spans="9:13" x14ac:dyDescent="0.3">
      <c r="I26411" s="82"/>
      <c r="M26411" s="85"/>
    </row>
    <row r="26412" spans="9:13" x14ac:dyDescent="0.3">
      <c r="I26412" s="82"/>
      <c r="M26412" s="85"/>
    </row>
    <row r="26413" spans="9:13" x14ac:dyDescent="0.3">
      <c r="I26413" s="82"/>
      <c r="M26413" s="85"/>
    </row>
    <row r="26414" spans="9:13" x14ac:dyDescent="0.3">
      <c r="I26414" s="82"/>
      <c r="M26414" s="85"/>
    </row>
    <row r="26415" spans="9:13" x14ac:dyDescent="0.3">
      <c r="I26415" s="82"/>
      <c r="M26415" s="85"/>
    </row>
    <row r="26416" spans="9:13" x14ac:dyDescent="0.3">
      <c r="I26416" s="82"/>
      <c r="M26416" s="85"/>
    </row>
    <row r="26417" spans="9:13" x14ac:dyDescent="0.3">
      <c r="I26417" s="82"/>
      <c r="M26417" s="85"/>
    </row>
    <row r="26418" spans="9:13" x14ac:dyDescent="0.3">
      <c r="I26418" s="82"/>
      <c r="M26418" s="85"/>
    </row>
    <row r="26419" spans="9:13" x14ac:dyDescent="0.3">
      <c r="I26419" s="82"/>
      <c r="M26419" s="85"/>
    </row>
    <row r="26420" spans="9:13" x14ac:dyDescent="0.3">
      <c r="I26420" s="82"/>
      <c r="M26420" s="85"/>
    </row>
    <row r="26421" spans="9:13" x14ac:dyDescent="0.3">
      <c r="I26421" s="82"/>
      <c r="M26421" s="85"/>
    </row>
    <row r="26422" spans="9:13" x14ac:dyDescent="0.3">
      <c r="I26422" s="82"/>
      <c r="M26422" s="85"/>
    </row>
    <row r="26423" spans="9:13" x14ac:dyDescent="0.3">
      <c r="I26423" s="82"/>
      <c r="M26423" s="85"/>
    </row>
    <row r="26424" spans="9:13" x14ac:dyDescent="0.3">
      <c r="I26424" s="82"/>
      <c r="M26424" s="85"/>
    </row>
    <row r="26425" spans="9:13" x14ac:dyDescent="0.3">
      <c r="I26425" s="82"/>
      <c r="M26425" s="85"/>
    </row>
    <row r="26426" spans="9:13" x14ac:dyDescent="0.3">
      <c r="I26426" s="82"/>
      <c r="M26426" s="85"/>
    </row>
    <row r="26427" spans="9:13" x14ac:dyDescent="0.3">
      <c r="I26427" s="82"/>
      <c r="M26427" s="85"/>
    </row>
    <row r="26428" spans="9:13" x14ac:dyDescent="0.3">
      <c r="I26428" s="82"/>
      <c r="M26428" s="85"/>
    </row>
    <row r="26429" spans="9:13" x14ac:dyDescent="0.3">
      <c r="I26429" s="82"/>
      <c r="M26429" s="85"/>
    </row>
    <row r="26430" spans="9:13" x14ac:dyDescent="0.3">
      <c r="I26430" s="82"/>
      <c r="M26430" s="85"/>
    </row>
    <row r="26431" spans="9:13" x14ac:dyDescent="0.3">
      <c r="I26431" s="82"/>
      <c r="M26431" s="85"/>
    </row>
    <row r="26432" spans="9:13" x14ac:dyDescent="0.3">
      <c r="I26432" s="82"/>
      <c r="M26432" s="85"/>
    </row>
    <row r="26433" spans="9:13" x14ac:dyDescent="0.3">
      <c r="I26433" s="82"/>
      <c r="M26433" s="85"/>
    </row>
    <row r="26434" spans="9:13" x14ac:dyDescent="0.3">
      <c r="I26434" s="82"/>
      <c r="M26434" s="85"/>
    </row>
    <row r="26435" spans="9:13" x14ac:dyDescent="0.3">
      <c r="I26435" s="82"/>
      <c r="M26435" s="85"/>
    </row>
    <row r="26436" spans="9:13" x14ac:dyDescent="0.3">
      <c r="I26436" s="82"/>
      <c r="M26436" s="85"/>
    </row>
    <row r="26437" spans="9:13" x14ac:dyDescent="0.3">
      <c r="I26437" s="82"/>
      <c r="M26437" s="85"/>
    </row>
    <row r="26438" spans="9:13" x14ac:dyDescent="0.3">
      <c r="I26438" s="82"/>
      <c r="M26438" s="85"/>
    </row>
    <row r="26439" spans="9:13" x14ac:dyDescent="0.3">
      <c r="I26439" s="82"/>
      <c r="M26439" s="85"/>
    </row>
    <row r="26440" spans="9:13" x14ac:dyDescent="0.3">
      <c r="I26440" s="82"/>
      <c r="M26440" s="85"/>
    </row>
    <row r="26441" spans="9:13" x14ac:dyDescent="0.3">
      <c r="I26441" s="82"/>
      <c r="M26441" s="85"/>
    </row>
    <row r="26442" spans="9:13" x14ac:dyDescent="0.3">
      <c r="I26442" s="82"/>
      <c r="M26442" s="85"/>
    </row>
    <row r="26443" spans="9:13" x14ac:dyDescent="0.3">
      <c r="I26443" s="82"/>
      <c r="M26443" s="85"/>
    </row>
    <row r="26444" spans="9:13" x14ac:dyDescent="0.3">
      <c r="I26444" s="82"/>
      <c r="M26444" s="85"/>
    </row>
    <row r="26445" spans="9:13" x14ac:dyDescent="0.3">
      <c r="I26445" s="82"/>
      <c r="M26445" s="85"/>
    </row>
    <row r="26446" spans="9:13" x14ac:dyDescent="0.3">
      <c r="I26446" s="82"/>
      <c r="M26446" s="85"/>
    </row>
    <row r="26447" spans="9:13" x14ac:dyDescent="0.3">
      <c r="I26447" s="82"/>
      <c r="M26447" s="85"/>
    </row>
    <row r="26448" spans="9:13" x14ac:dyDescent="0.3">
      <c r="I26448" s="82"/>
      <c r="M26448" s="85"/>
    </row>
    <row r="26449" spans="9:13" x14ac:dyDescent="0.3">
      <c r="I26449" s="82"/>
      <c r="M26449" s="85"/>
    </row>
    <row r="26450" spans="9:13" x14ac:dyDescent="0.3">
      <c r="I26450" s="82"/>
      <c r="M26450" s="85"/>
    </row>
    <row r="26451" spans="9:13" x14ac:dyDescent="0.3">
      <c r="I26451" s="82"/>
      <c r="M26451" s="85"/>
    </row>
    <row r="26452" spans="9:13" x14ac:dyDescent="0.3">
      <c r="I26452" s="82"/>
      <c r="M26452" s="85"/>
    </row>
    <row r="26453" spans="9:13" x14ac:dyDescent="0.3">
      <c r="I26453" s="82"/>
      <c r="M26453" s="85"/>
    </row>
    <row r="26454" spans="9:13" x14ac:dyDescent="0.3">
      <c r="I26454" s="82"/>
      <c r="M26454" s="85"/>
    </row>
    <row r="26455" spans="9:13" x14ac:dyDescent="0.3">
      <c r="I26455" s="82"/>
      <c r="M26455" s="85"/>
    </row>
    <row r="26456" spans="9:13" x14ac:dyDescent="0.3">
      <c r="I26456" s="82"/>
      <c r="M26456" s="85"/>
    </row>
    <row r="26457" spans="9:13" x14ac:dyDescent="0.3">
      <c r="I26457" s="82"/>
      <c r="M26457" s="85"/>
    </row>
    <row r="26458" spans="9:13" x14ac:dyDescent="0.3">
      <c r="I26458" s="82"/>
      <c r="M26458" s="85"/>
    </row>
    <row r="26459" spans="9:13" x14ac:dyDescent="0.3">
      <c r="I26459" s="82"/>
      <c r="M26459" s="85"/>
    </row>
    <row r="26460" spans="9:13" x14ac:dyDescent="0.3">
      <c r="I26460" s="82"/>
      <c r="M26460" s="85"/>
    </row>
    <row r="26461" spans="9:13" x14ac:dyDescent="0.3">
      <c r="I26461" s="82"/>
      <c r="M26461" s="85"/>
    </row>
    <row r="26462" spans="9:13" x14ac:dyDescent="0.3">
      <c r="I26462" s="82"/>
      <c r="M26462" s="85"/>
    </row>
    <row r="26463" spans="9:13" x14ac:dyDescent="0.3">
      <c r="I26463" s="82"/>
      <c r="M26463" s="85"/>
    </row>
    <row r="26464" spans="9:13" x14ac:dyDescent="0.3">
      <c r="I26464" s="82"/>
      <c r="M26464" s="85"/>
    </row>
    <row r="26465" spans="9:13" x14ac:dyDescent="0.3">
      <c r="I26465" s="82"/>
      <c r="M26465" s="85"/>
    </row>
    <row r="26466" spans="9:13" x14ac:dyDescent="0.3">
      <c r="I26466" s="82"/>
      <c r="M26466" s="85"/>
    </row>
    <row r="26467" spans="9:13" x14ac:dyDescent="0.3">
      <c r="I26467" s="82"/>
      <c r="M26467" s="85"/>
    </row>
    <row r="26468" spans="9:13" x14ac:dyDescent="0.3">
      <c r="I26468" s="82"/>
      <c r="M26468" s="85"/>
    </row>
    <row r="26469" spans="9:13" x14ac:dyDescent="0.3">
      <c r="I26469" s="82"/>
      <c r="M26469" s="85"/>
    </row>
    <row r="26470" spans="9:13" x14ac:dyDescent="0.3">
      <c r="I26470" s="82"/>
      <c r="M26470" s="85"/>
    </row>
    <row r="26471" spans="9:13" x14ac:dyDescent="0.3">
      <c r="I26471" s="82"/>
      <c r="M26471" s="85"/>
    </row>
    <row r="26472" spans="9:13" x14ac:dyDescent="0.3">
      <c r="I26472" s="82"/>
      <c r="M26472" s="85"/>
    </row>
    <row r="26473" spans="9:13" x14ac:dyDescent="0.3">
      <c r="I26473" s="82"/>
      <c r="M26473" s="85"/>
    </row>
    <row r="26474" spans="9:13" x14ac:dyDescent="0.3">
      <c r="I26474" s="82"/>
      <c r="M26474" s="85"/>
    </row>
    <row r="26475" spans="9:13" x14ac:dyDescent="0.3">
      <c r="I26475" s="82"/>
      <c r="M26475" s="85"/>
    </row>
    <row r="26476" spans="9:13" x14ac:dyDescent="0.3">
      <c r="I26476" s="82"/>
      <c r="M26476" s="85"/>
    </row>
    <row r="26477" spans="9:13" x14ac:dyDescent="0.3">
      <c r="I26477" s="82"/>
      <c r="M26477" s="85"/>
    </row>
    <row r="26478" spans="9:13" x14ac:dyDescent="0.3">
      <c r="I26478" s="82"/>
      <c r="M26478" s="85"/>
    </row>
    <row r="26479" spans="9:13" x14ac:dyDescent="0.3">
      <c r="I26479" s="82"/>
      <c r="M26479" s="85"/>
    </row>
    <row r="26480" spans="9:13" x14ac:dyDescent="0.3">
      <c r="I26480" s="82"/>
      <c r="M26480" s="85"/>
    </row>
    <row r="26481" spans="9:13" x14ac:dyDescent="0.3">
      <c r="I26481" s="82"/>
      <c r="M26481" s="85"/>
    </row>
    <row r="26482" spans="9:13" x14ac:dyDescent="0.3">
      <c r="I26482" s="82"/>
      <c r="M26482" s="85"/>
    </row>
    <row r="26483" spans="9:13" x14ac:dyDescent="0.3">
      <c r="I26483" s="82"/>
      <c r="M26483" s="85"/>
    </row>
    <row r="26484" spans="9:13" x14ac:dyDescent="0.3">
      <c r="I26484" s="82"/>
      <c r="M26484" s="85"/>
    </row>
    <row r="26485" spans="9:13" x14ac:dyDescent="0.3">
      <c r="I26485" s="82"/>
      <c r="M26485" s="85"/>
    </row>
    <row r="26486" spans="9:13" x14ac:dyDescent="0.3">
      <c r="I26486" s="82"/>
      <c r="M26486" s="85"/>
    </row>
    <row r="26487" spans="9:13" x14ac:dyDescent="0.3">
      <c r="I26487" s="82"/>
      <c r="M26487" s="85"/>
    </row>
    <row r="26488" spans="9:13" x14ac:dyDescent="0.3">
      <c r="I26488" s="82"/>
      <c r="M26488" s="85"/>
    </row>
    <row r="26489" spans="9:13" x14ac:dyDescent="0.3">
      <c r="I26489" s="82"/>
      <c r="M26489" s="85"/>
    </row>
    <row r="26490" spans="9:13" x14ac:dyDescent="0.3">
      <c r="I26490" s="82"/>
      <c r="M26490" s="85"/>
    </row>
    <row r="26491" spans="9:13" x14ac:dyDescent="0.3">
      <c r="I26491" s="82"/>
      <c r="M26491" s="85"/>
    </row>
    <row r="26492" spans="9:13" x14ac:dyDescent="0.3">
      <c r="I26492" s="82"/>
      <c r="M26492" s="85"/>
    </row>
    <row r="26493" spans="9:13" x14ac:dyDescent="0.3">
      <c r="I26493" s="82"/>
      <c r="M26493" s="85"/>
    </row>
    <row r="26494" spans="9:13" x14ac:dyDescent="0.3">
      <c r="I26494" s="82"/>
      <c r="M26494" s="85"/>
    </row>
    <row r="26495" spans="9:13" x14ac:dyDescent="0.3">
      <c r="I26495" s="82"/>
      <c r="M26495" s="85"/>
    </row>
    <row r="26496" spans="9:13" x14ac:dyDescent="0.3">
      <c r="I26496" s="82"/>
      <c r="M26496" s="85"/>
    </row>
    <row r="26497" spans="9:13" x14ac:dyDescent="0.3">
      <c r="I26497" s="82"/>
      <c r="M26497" s="85"/>
    </row>
    <row r="26498" spans="9:13" x14ac:dyDescent="0.3">
      <c r="I26498" s="82"/>
      <c r="M26498" s="85"/>
    </row>
    <row r="26499" spans="9:13" x14ac:dyDescent="0.3">
      <c r="I26499" s="82"/>
      <c r="M26499" s="85"/>
    </row>
    <row r="26500" spans="9:13" x14ac:dyDescent="0.3">
      <c r="I26500" s="82"/>
      <c r="M26500" s="85"/>
    </row>
    <row r="26501" spans="9:13" x14ac:dyDescent="0.3">
      <c r="I26501" s="82"/>
      <c r="M26501" s="85"/>
    </row>
    <row r="26502" spans="9:13" x14ac:dyDescent="0.3">
      <c r="I26502" s="82"/>
      <c r="M26502" s="85"/>
    </row>
    <row r="26503" spans="9:13" x14ac:dyDescent="0.3">
      <c r="I26503" s="82"/>
      <c r="M26503" s="85"/>
    </row>
    <row r="26504" spans="9:13" x14ac:dyDescent="0.3">
      <c r="I26504" s="82"/>
      <c r="M26504" s="85"/>
    </row>
    <row r="26505" spans="9:13" x14ac:dyDescent="0.3">
      <c r="I26505" s="82"/>
      <c r="M26505" s="85"/>
    </row>
    <row r="26506" spans="9:13" x14ac:dyDescent="0.3">
      <c r="I26506" s="82"/>
      <c r="M26506" s="85"/>
    </row>
    <row r="26507" spans="9:13" x14ac:dyDescent="0.3">
      <c r="I26507" s="82"/>
      <c r="M26507" s="85"/>
    </row>
    <row r="26508" spans="9:13" x14ac:dyDescent="0.3">
      <c r="I26508" s="82"/>
      <c r="M26508" s="85"/>
    </row>
    <row r="26509" spans="9:13" x14ac:dyDescent="0.3">
      <c r="I26509" s="82"/>
      <c r="M26509" s="85"/>
    </row>
    <row r="26510" spans="9:13" x14ac:dyDescent="0.3">
      <c r="I26510" s="82"/>
      <c r="M26510" s="85"/>
    </row>
    <row r="26511" spans="9:13" x14ac:dyDescent="0.3">
      <c r="I26511" s="82"/>
      <c r="M26511" s="85"/>
    </row>
    <row r="26512" spans="9:13" x14ac:dyDescent="0.3">
      <c r="I26512" s="82"/>
      <c r="M26512" s="85"/>
    </row>
    <row r="26513" spans="9:13" x14ac:dyDescent="0.3">
      <c r="I26513" s="82"/>
      <c r="M26513" s="85"/>
    </row>
    <row r="26514" spans="9:13" x14ac:dyDescent="0.3">
      <c r="I26514" s="82"/>
      <c r="M26514" s="85"/>
    </row>
    <row r="26515" spans="9:13" x14ac:dyDescent="0.3">
      <c r="I26515" s="82"/>
      <c r="M26515" s="85"/>
    </row>
    <row r="26516" spans="9:13" x14ac:dyDescent="0.3">
      <c r="I26516" s="82"/>
      <c r="M26516" s="85"/>
    </row>
    <row r="26517" spans="9:13" x14ac:dyDescent="0.3">
      <c r="I26517" s="82"/>
      <c r="M26517" s="85"/>
    </row>
    <row r="26518" spans="9:13" x14ac:dyDescent="0.3">
      <c r="I26518" s="82"/>
      <c r="M26518" s="85"/>
    </row>
    <row r="26519" spans="9:13" x14ac:dyDescent="0.3">
      <c r="I26519" s="82"/>
      <c r="M26519" s="85"/>
    </row>
    <row r="26520" spans="9:13" x14ac:dyDescent="0.3">
      <c r="I26520" s="82"/>
      <c r="M26520" s="85"/>
    </row>
    <row r="26521" spans="9:13" x14ac:dyDescent="0.3">
      <c r="I26521" s="82"/>
      <c r="M26521" s="85"/>
    </row>
    <row r="26522" spans="9:13" x14ac:dyDescent="0.3">
      <c r="I26522" s="82"/>
      <c r="M26522" s="85"/>
    </row>
    <row r="26523" spans="9:13" x14ac:dyDescent="0.3">
      <c r="I26523" s="82"/>
      <c r="M26523" s="85"/>
    </row>
    <row r="26524" spans="9:13" x14ac:dyDescent="0.3">
      <c r="I26524" s="82"/>
      <c r="M26524" s="85"/>
    </row>
    <row r="26525" spans="9:13" x14ac:dyDescent="0.3">
      <c r="I26525" s="82"/>
      <c r="M26525" s="85"/>
    </row>
    <row r="26526" spans="9:13" x14ac:dyDescent="0.3">
      <c r="I26526" s="82"/>
      <c r="M26526" s="85"/>
    </row>
    <row r="26527" spans="9:13" x14ac:dyDescent="0.3">
      <c r="I26527" s="82"/>
      <c r="M26527" s="85"/>
    </row>
    <row r="26528" spans="9:13" x14ac:dyDescent="0.3">
      <c r="I26528" s="82"/>
      <c r="M26528" s="85"/>
    </row>
    <row r="26529" spans="9:13" x14ac:dyDescent="0.3">
      <c r="I26529" s="82"/>
      <c r="M26529" s="85"/>
    </row>
    <row r="26530" spans="9:13" x14ac:dyDescent="0.3">
      <c r="I26530" s="82"/>
      <c r="M26530" s="85"/>
    </row>
    <row r="26531" spans="9:13" x14ac:dyDescent="0.3">
      <c r="I26531" s="82"/>
      <c r="M26531" s="85"/>
    </row>
    <row r="26532" spans="9:13" x14ac:dyDescent="0.3">
      <c r="I26532" s="82"/>
      <c r="M26532" s="85"/>
    </row>
    <row r="26533" spans="9:13" x14ac:dyDescent="0.3">
      <c r="I26533" s="82"/>
      <c r="M26533" s="85"/>
    </row>
    <row r="26534" spans="9:13" x14ac:dyDescent="0.3">
      <c r="I26534" s="82"/>
      <c r="M26534" s="85"/>
    </row>
    <row r="26535" spans="9:13" x14ac:dyDescent="0.3">
      <c r="I26535" s="82"/>
      <c r="M26535" s="85"/>
    </row>
    <row r="26536" spans="9:13" x14ac:dyDescent="0.3">
      <c r="I26536" s="82"/>
      <c r="M26536" s="85"/>
    </row>
    <row r="26537" spans="9:13" x14ac:dyDescent="0.3">
      <c r="I26537" s="82"/>
      <c r="M26537" s="85"/>
    </row>
    <row r="26538" spans="9:13" x14ac:dyDescent="0.3">
      <c r="I26538" s="82"/>
      <c r="M26538" s="85"/>
    </row>
    <row r="26539" spans="9:13" x14ac:dyDescent="0.3">
      <c r="I26539" s="82"/>
      <c r="M26539" s="85"/>
    </row>
    <row r="26540" spans="9:13" x14ac:dyDescent="0.3">
      <c r="I26540" s="82"/>
      <c r="M26540" s="85"/>
    </row>
    <row r="26541" spans="9:13" x14ac:dyDescent="0.3">
      <c r="I26541" s="82"/>
      <c r="M26541" s="85"/>
    </row>
    <row r="26542" spans="9:13" x14ac:dyDescent="0.3">
      <c r="I26542" s="82"/>
      <c r="M26542" s="85"/>
    </row>
    <row r="26543" spans="9:13" x14ac:dyDescent="0.3">
      <c r="I26543" s="82"/>
      <c r="M26543" s="85"/>
    </row>
    <row r="26544" spans="9:13" x14ac:dyDescent="0.3">
      <c r="I26544" s="82"/>
      <c r="M26544" s="85"/>
    </row>
    <row r="26545" spans="9:13" x14ac:dyDescent="0.3">
      <c r="I26545" s="82"/>
      <c r="M26545" s="85"/>
    </row>
    <row r="26546" spans="9:13" x14ac:dyDescent="0.3">
      <c r="I26546" s="82"/>
      <c r="M26546" s="85"/>
    </row>
    <row r="26547" spans="9:13" x14ac:dyDescent="0.3">
      <c r="I26547" s="82"/>
      <c r="M26547" s="85"/>
    </row>
    <row r="26548" spans="9:13" x14ac:dyDescent="0.3">
      <c r="I26548" s="82"/>
      <c r="M26548" s="85"/>
    </row>
    <row r="26549" spans="9:13" x14ac:dyDescent="0.3">
      <c r="I26549" s="82"/>
      <c r="M26549" s="85"/>
    </row>
    <row r="26550" spans="9:13" x14ac:dyDescent="0.3">
      <c r="I26550" s="82"/>
      <c r="M26550" s="85"/>
    </row>
    <row r="26551" spans="9:13" x14ac:dyDescent="0.3">
      <c r="I26551" s="82"/>
      <c r="M26551" s="85"/>
    </row>
    <row r="26552" spans="9:13" x14ac:dyDescent="0.3">
      <c r="I26552" s="82"/>
      <c r="M26552" s="85"/>
    </row>
    <row r="26553" spans="9:13" x14ac:dyDescent="0.3">
      <c r="I26553" s="82"/>
      <c r="M26553" s="85"/>
    </row>
    <row r="26554" spans="9:13" x14ac:dyDescent="0.3">
      <c r="I26554" s="82"/>
      <c r="M26554" s="85"/>
    </row>
    <row r="26555" spans="9:13" x14ac:dyDescent="0.3">
      <c r="I26555" s="82"/>
      <c r="M26555" s="85"/>
    </row>
    <row r="26556" spans="9:13" x14ac:dyDescent="0.3">
      <c r="I26556" s="82"/>
      <c r="M26556" s="85"/>
    </row>
    <row r="26557" spans="9:13" x14ac:dyDescent="0.3">
      <c r="I26557" s="82"/>
      <c r="M26557" s="85"/>
    </row>
    <row r="26558" spans="9:13" x14ac:dyDescent="0.3">
      <c r="I26558" s="82"/>
      <c r="M26558" s="85"/>
    </row>
    <row r="26559" spans="9:13" x14ac:dyDescent="0.3">
      <c r="I26559" s="82"/>
      <c r="M26559" s="85"/>
    </row>
    <row r="26560" spans="9:13" x14ac:dyDescent="0.3">
      <c r="I26560" s="82"/>
      <c r="M26560" s="85"/>
    </row>
    <row r="26561" spans="9:13" x14ac:dyDescent="0.3">
      <c r="I26561" s="82"/>
      <c r="M26561" s="85"/>
    </row>
    <row r="26562" spans="9:13" x14ac:dyDescent="0.3">
      <c r="I26562" s="82"/>
      <c r="M26562" s="85"/>
    </row>
    <row r="26563" spans="9:13" x14ac:dyDescent="0.3">
      <c r="I26563" s="82"/>
      <c r="M26563" s="85"/>
    </row>
    <row r="26564" spans="9:13" x14ac:dyDescent="0.3">
      <c r="I26564" s="82"/>
      <c r="M26564" s="85"/>
    </row>
    <row r="26565" spans="9:13" x14ac:dyDescent="0.3">
      <c r="I26565" s="82"/>
      <c r="M26565" s="85"/>
    </row>
    <row r="26566" spans="9:13" x14ac:dyDescent="0.3">
      <c r="I26566" s="82"/>
      <c r="M26566" s="85"/>
    </row>
    <row r="26567" spans="9:13" x14ac:dyDescent="0.3">
      <c r="I26567" s="82"/>
      <c r="M26567" s="85"/>
    </row>
    <row r="26568" spans="9:13" x14ac:dyDescent="0.3">
      <c r="I26568" s="82"/>
      <c r="M26568" s="85"/>
    </row>
    <row r="26569" spans="9:13" x14ac:dyDescent="0.3">
      <c r="I26569" s="82"/>
      <c r="M26569" s="85"/>
    </row>
    <row r="26570" spans="9:13" x14ac:dyDescent="0.3">
      <c r="I26570" s="82"/>
      <c r="M26570" s="85"/>
    </row>
    <row r="26571" spans="9:13" x14ac:dyDescent="0.3">
      <c r="I26571" s="82"/>
      <c r="M26571" s="85"/>
    </row>
    <row r="26572" spans="9:13" x14ac:dyDescent="0.3">
      <c r="I26572" s="82"/>
      <c r="M26572" s="85"/>
    </row>
    <row r="26573" spans="9:13" x14ac:dyDescent="0.3">
      <c r="I26573" s="82"/>
      <c r="M26573" s="85"/>
    </row>
    <row r="26574" spans="9:13" x14ac:dyDescent="0.3">
      <c r="I26574" s="82"/>
      <c r="M26574" s="85"/>
    </row>
    <row r="26575" spans="9:13" x14ac:dyDescent="0.3">
      <c r="I26575" s="82"/>
      <c r="M26575" s="85"/>
    </row>
    <row r="26576" spans="9:13" x14ac:dyDescent="0.3">
      <c r="I26576" s="82"/>
      <c r="M26576" s="85"/>
    </row>
    <row r="26577" spans="9:13" x14ac:dyDescent="0.3">
      <c r="I26577" s="82"/>
      <c r="M26577" s="85"/>
    </row>
    <row r="26578" spans="9:13" x14ac:dyDescent="0.3">
      <c r="I26578" s="82"/>
      <c r="M26578" s="85"/>
    </row>
    <row r="26579" spans="9:13" x14ac:dyDescent="0.3">
      <c r="I26579" s="82"/>
      <c r="M26579" s="85"/>
    </row>
    <row r="26580" spans="9:13" x14ac:dyDescent="0.3">
      <c r="I26580" s="82"/>
      <c r="M26580" s="85"/>
    </row>
    <row r="26581" spans="9:13" x14ac:dyDescent="0.3">
      <c r="I26581" s="82"/>
      <c r="M26581" s="85"/>
    </row>
    <row r="26582" spans="9:13" x14ac:dyDescent="0.3">
      <c r="I26582" s="82"/>
      <c r="M26582" s="85"/>
    </row>
    <row r="26583" spans="9:13" x14ac:dyDescent="0.3">
      <c r="I26583" s="82"/>
      <c r="M26583" s="85"/>
    </row>
    <row r="26584" spans="9:13" x14ac:dyDescent="0.3">
      <c r="I26584" s="82"/>
      <c r="M26584" s="85"/>
    </row>
    <row r="26585" spans="9:13" x14ac:dyDescent="0.3">
      <c r="I26585" s="82"/>
      <c r="M26585" s="85"/>
    </row>
    <row r="26586" spans="9:13" x14ac:dyDescent="0.3">
      <c r="I26586" s="82"/>
      <c r="M26586" s="85"/>
    </row>
    <row r="26587" spans="9:13" x14ac:dyDescent="0.3">
      <c r="I26587" s="82"/>
      <c r="M26587" s="85"/>
    </row>
    <row r="26588" spans="9:13" x14ac:dyDescent="0.3">
      <c r="I26588" s="82"/>
      <c r="M26588" s="85"/>
    </row>
    <row r="26589" spans="9:13" x14ac:dyDescent="0.3">
      <c r="I26589" s="82"/>
      <c r="M26589" s="85"/>
    </row>
    <row r="26590" spans="9:13" x14ac:dyDescent="0.3">
      <c r="I26590" s="82"/>
      <c r="M26590" s="85"/>
    </row>
    <row r="26591" spans="9:13" x14ac:dyDescent="0.3">
      <c r="I26591" s="82"/>
      <c r="M26591" s="85"/>
    </row>
    <row r="26592" spans="9:13" x14ac:dyDescent="0.3">
      <c r="I26592" s="82"/>
      <c r="M26592" s="85"/>
    </row>
    <row r="26593" spans="9:13" x14ac:dyDescent="0.3">
      <c r="I26593" s="82"/>
      <c r="M26593" s="85"/>
    </row>
    <row r="26594" spans="9:13" x14ac:dyDescent="0.3">
      <c r="I26594" s="82"/>
      <c r="M26594" s="85"/>
    </row>
    <row r="26595" spans="9:13" x14ac:dyDescent="0.3">
      <c r="I26595" s="82"/>
      <c r="M26595" s="85"/>
    </row>
    <row r="26596" spans="9:13" x14ac:dyDescent="0.3">
      <c r="I26596" s="82"/>
      <c r="M26596" s="85"/>
    </row>
    <row r="26597" spans="9:13" x14ac:dyDescent="0.3">
      <c r="I26597" s="82"/>
      <c r="M26597" s="85"/>
    </row>
    <row r="26598" spans="9:13" x14ac:dyDescent="0.3">
      <c r="I26598" s="82"/>
      <c r="M26598" s="85"/>
    </row>
    <row r="26599" spans="9:13" x14ac:dyDescent="0.3">
      <c r="I26599" s="82"/>
      <c r="M26599" s="85"/>
    </row>
    <row r="26600" spans="9:13" x14ac:dyDescent="0.3">
      <c r="I26600" s="82"/>
      <c r="M26600" s="85"/>
    </row>
    <row r="26601" spans="9:13" x14ac:dyDescent="0.3">
      <c r="I26601" s="82"/>
      <c r="M26601" s="85"/>
    </row>
    <row r="26602" spans="9:13" x14ac:dyDescent="0.3">
      <c r="I26602" s="82"/>
      <c r="M26602" s="85"/>
    </row>
    <row r="26603" spans="9:13" x14ac:dyDescent="0.3">
      <c r="I26603" s="82"/>
      <c r="M26603" s="85"/>
    </row>
    <row r="26604" spans="9:13" x14ac:dyDescent="0.3">
      <c r="I26604" s="82"/>
      <c r="M26604" s="85"/>
    </row>
    <row r="26605" spans="9:13" x14ac:dyDescent="0.3">
      <c r="I26605" s="82"/>
      <c r="M26605" s="85"/>
    </row>
    <row r="26606" spans="9:13" x14ac:dyDescent="0.3">
      <c r="I26606" s="82"/>
      <c r="M26606" s="85"/>
    </row>
    <row r="26607" spans="9:13" x14ac:dyDescent="0.3">
      <c r="I26607" s="82"/>
      <c r="M26607" s="85"/>
    </row>
    <row r="26608" spans="9:13" x14ac:dyDescent="0.3">
      <c r="I26608" s="82"/>
      <c r="M26608" s="85"/>
    </row>
    <row r="26609" spans="9:13" x14ac:dyDescent="0.3">
      <c r="I26609" s="82"/>
      <c r="M26609" s="85"/>
    </row>
    <row r="26610" spans="9:13" x14ac:dyDescent="0.3">
      <c r="I26610" s="82"/>
      <c r="M26610" s="85"/>
    </row>
    <row r="26611" spans="9:13" x14ac:dyDescent="0.3">
      <c r="I26611" s="82"/>
      <c r="M26611" s="85"/>
    </row>
    <row r="26612" spans="9:13" x14ac:dyDescent="0.3">
      <c r="I26612" s="82"/>
      <c r="M26612" s="85"/>
    </row>
    <row r="26613" spans="9:13" x14ac:dyDescent="0.3">
      <c r="I26613" s="82"/>
      <c r="M26613" s="85"/>
    </row>
    <row r="26614" spans="9:13" x14ac:dyDescent="0.3">
      <c r="I26614" s="82"/>
      <c r="M26614" s="85"/>
    </row>
    <row r="26615" spans="9:13" x14ac:dyDescent="0.3">
      <c r="I26615" s="82"/>
      <c r="M26615" s="85"/>
    </row>
    <row r="26616" spans="9:13" x14ac:dyDescent="0.3">
      <c r="I26616" s="82"/>
      <c r="M26616" s="85"/>
    </row>
    <row r="26617" spans="9:13" x14ac:dyDescent="0.3">
      <c r="I26617" s="82"/>
      <c r="M26617" s="85"/>
    </row>
    <row r="26618" spans="9:13" x14ac:dyDescent="0.3">
      <c r="I26618" s="82"/>
      <c r="M26618" s="85"/>
    </row>
    <row r="26619" spans="9:13" x14ac:dyDescent="0.3">
      <c r="I26619" s="82"/>
      <c r="M26619" s="85"/>
    </row>
    <row r="26620" spans="9:13" x14ac:dyDescent="0.3">
      <c r="I26620" s="82"/>
      <c r="M26620" s="85"/>
    </row>
    <row r="26621" spans="9:13" x14ac:dyDescent="0.3">
      <c r="I26621" s="82"/>
      <c r="M26621" s="85"/>
    </row>
    <row r="26622" spans="9:13" x14ac:dyDescent="0.3">
      <c r="I26622" s="82"/>
      <c r="M26622" s="85"/>
    </row>
    <row r="26623" spans="9:13" x14ac:dyDescent="0.3">
      <c r="I26623" s="82"/>
      <c r="M26623" s="85"/>
    </row>
    <row r="26624" spans="9:13" x14ac:dyDescent="0.3">
      <c r="I26624" s="82"/>
      <c r="M26624" s="85"/>
    </row>
    <row r="26625" spans="9:13" x14ac:dyDescent="0.3">
      <c r="I26625" s="82"/>
      <c r="M26625" s="85"/>
    </row>
    <row r="26626" spans="9:13" x14ac:dyDescent="0.3">
      <c r="I26626" s="82"/>
      <c r="M26626" s="85"/>
    </row>
    <row r="26627" spans="9:13" x14ac:dyDescent="0.3">
      <c r="I26627" s="82"/>
      <c r="M26627" s="85"/>
    </row>
    <row r="26628" spans="9:13" x14ac:dyDescent="0.3">
      <c r="I26628" s="82"/>
      <c r="M26628" s="85"/>
    </row>
    <row r="26629" spans="9:13" x14ac:dyDescent="0.3">
      <c r="I26629" s="82"/>
      <c r="M26629" s="85"/>
    </row>
    <row r="26630" spans="9:13" x14ac:dyDescent="0.3">
      <c r="I26630" s="82"/>
      <c r="M26630" s="85"/>
    </row>
    <row r="26631" spans="9:13" x14ac:dyDescent="0.3">
      <c r="I26631" s="82"/>
      <c r="M26631" s="85"/>
    </row>
    <row r="26632" spans="9:13" x14ac:dyDescent="0.3">
      <c r="I26632" s="82"/>
      <c r="M26632" s="85"/>
    </row>
    <row r="26633" spans="9:13" x14ac:dyDescent="0.3">
      <c r="I26633" s="82"/>
      <c r="M26633" s="85"/>
    </row>
    <row r="26634" spans="9:13" x14ac:dyDescent="0.3">
      <c r="I26634" s="82"/>
      <c r="M26634" s="85"/>
    </row>
    <row r="26635" spans="9:13" x14ac:dyDescent="0.3">
      <c r="I26635" s="82"/>
      <c r="M26635" s="85"/>
    </row>
    <row r="26636" spans="9:13" x14ac:dyDescent="0.3">
      <c r="I26636" s="82"/>
      <c r="M26636" s="85"/>
    </row>
    <row r="26637" spans="9:13" x14ac:dyDescent="0.3">
      <c r="I26637" s="82"/>
      <c r="M26637" s="85"/>
    </row>
    <row r="26638" spans="9:13" x14ac:dyDescent="0.3">
      <c r="I26638" s="82"/>
      <c r="M26638" s="85"/>
    </row>
    <row r="26639" spans="9:13" x14ac:dyDescent="0.3">
      <c r="I26639" s="82"/>
      <c r="M26639" s="85"/>
    </row>
    <row r="26640" spans="9:13" x14ac:dyDescent="0.3">
      <c r="I26640" s="82"/>
      <c r="M26640" s="85"/>
    </row>
    <row r="26641" spans="9:13" x14ac:dyDescent="0.3">
      <c r="I26641" s="82"/>
      <c r="M26641" s="85"/>
    </row>
    <row r="26642" spans="9:13" x14ac:dyDescent="0.3">
      <c r="I26642" s="82"/>
      <c r="M26642" s="85"/>
    </row>
    <row r="26643" spans="9:13" x14ac:dyDescent="0.3">
      <c r="I26643" s="82"/>
      <c r="M26643" s="85"/>
    </row>
    <row r="26644" spans="9:13" x14ac:dyDescent="0.3">
      <c r="I26644" s="82"/>
      <c r="M26644" s="85"/>
    </row>
    <row r="26645" spans="9:13" x14ac:dyDescent="0.3">
      <c r="I26645" s="82"/>
      <c r="M26645" s="85"/>
    </row>
    <row r="26646" spans="9:13" x14ac:dyDescent="0.3">
      <c r="I26646" s="82"/>
      <c r="M26646" s="85"/>
    </row>
    <row r="26647" spans="9:13" x14ac:dyDescent="0.3">
      <c r="I26647" s="82"/>
      <c r="M26647" s="85"/>
    </row>
    <row r="26648" spans="9:13" x14ac:dyDescent="0.3">
      <c r="I26648" s="82"/>
      <c r="M26648" s="85"/>
    </row>
    <row r="26649" spans="9:13" x14ac:dyDescent="0.3">
      <c r="I26649" s="82"/>
      <c r="M26649" s="85"/>
    </row>
    <row r="26650" spans="9:13" x14ac:dyDescent="0.3">
      <c r="I26650" s="82"/>
      <c r="M26650" s="85"/>
    </row>
    <row r="26651" spans="9:13" x14ac:dyDescent="0.3">
      <c r="I26651" s="82"/>
      <c r="M26651" s="85"/>
    </row>
    <row r="26652" spans="9:13" x14ac:dyDescent="0.3">
      <c r="I26652" s="82"/>
      <c r="M26652" s="85"/>
    </row>
    <row r="26653" spans="9:13" x14ac:dyDescent="0.3">
      <c r="I26653" s="82"/>
      <c r="M26653" s="85"/>
    </row>
    <row r="26654" spans="9:13" x14ac:dyDescent="0.3">
      <c r="I26654" s="82"/>
      <c r="M26654" s="85"/>
    </row>
    <row r="26655" spans="9:13" x14ac:dyDescent="0.3">
      <c r="I26655" s="82"/>
      <c r="M26655" s="85"/>
    </row>
    <row r="26656" spans="9:13" x14ac:dyDescent="0.3">
      <c r="I26656" s="82"/>
      <c r="M26656" s="85"/>
    </row>
    <row r="26657" spans="9:13" x14ac:dyDescent="0.3">
      <c r="I26657" s="82"/>
      <c r="M26657" s="85"/>
    </row>
    <row r="26658" spans="9:13" x14ac:dyDescent="0.3">
      <c r="I26658" s="82"/>
      <c r="M26658" s="85"/>
    </row>
    <row r="26659" spans="9:13" x14ac:dyDescent="0.3">
      <c r="I26659" s="82"/>
      <c r="M26659" s="85"/>
    </row>
    <row r="26660" spans="9:13" x14ac:dyDescent="0.3">
      <c r="I26660" s="82"/>
      <c r="M26660" s="85"/>
    </row>
    <row r="26661" spans="9:13" x14ac:dyDescent="0.3">
      <c r="I26661" s="82"/>
      <c r="M26661" s="85"/>
    </row>
    <row r="26662" spans="9:13" x14ac:dyDescent="0.3">
      <c r="I26662" s="82"/>
      <c r="M26662" s="85"/>
    </row>
    <row r="26663" spans="9:13" x14ac:dyDescent="0.3">
      <c r="I26663" s="82"/>
      <c r="M26663" s="85"/>
    </row>
    <row r="26664" spans="9:13" x14ac:dyDescent="0.3">
      <c r="I26664" s="82"/>
      <c r="M26664" s="85"/>
    </row>
    <row r="26665" spans="9:13" x14ac:dyDescent="0.3">
      <c r="I26665" s="82"/>
      <c r="M26665" s="85"/>
    </row>
    <row r="26666" spans="9:13" x14ac:dyDescent="0.3">
      <c r="I26666" s="82"/>
      <c r="M26666" s="85"/>
    </row>
    <row r="26667" spans="9:13" x14ac:dyDescent="0.3">
      <c r="I26667" s="82"/>
      <c r="M26667" s="85"/>
    </row>
    <row r="26668" spans="9:13" x14ac:dyDescent="0.3">
      <c r="I26668" s="82"/>
      <c r="M26668" s="85"/>
    </row>
    <row r="26669" spans="9:13" x14ac:dyDescent="0.3">
      <c r="I26669" s="82"/>
      <c r="M26669" s="85"/>
    </row>
    <row r="26670" spans="9:13" x14ac:dyDescent="0.3">
      <c r="I26670" s="82"/>
      <c r="M26670" s="85"/>
    </row>
    <row r="26671" spans="9:13" x14ac:dyDescent="0.3">
      <c r="I26671" s="82"/>
      <c r="M26671" s="85"/>
    </row>
    <row r="26672" spans="9:13" x14ac:dyDescent="0.3">
      <c r="I26672" s="82"/>
      <c r="M26672" s="85"/>
    </row>
    <row r="26673" spans="9:13" x14ac:dyDescent="0.3">
      <c r="I26673" s="82"/>
      <c r="M26673" s="85"/>
    </row>
    <row r="26674" spans="9:13" x14ac:dyDescent="0.3">
      <c r="I26674" s="82"/>
      <c r="M26674" s="85"/>
    </row>
    <row r="26675" spans="9:13" x14ac:dyDescent="0.3">
      <c r="I26675" s="82"/>
      <c r="M26675" s="85"/>
    </row>
    <row r="26676" spans="9:13" x14ac:dyDescent="0.3">
      <c r="I26676" s="82"/>
      <c r="M26676" s="85"/>
    </row>
    <row r="26677" spans="9:13" x14ac:dyDescent="0.3">
      <c r="I26677" s="82"/>
      <c r="M26677" s="85"/>
    </row>
    <row r="26678" spans="9:13" x14ac:dyDescent="0.3">
      <c r="I26678" s="82"/>
      <c r="M26678" s="85"/>
    </row>
    <row r="26679" spans="9:13" x14ac:dyDescent="0.3">
      <c r="I26679" s="82"/>
      <c r="M26679" s="85"/>
    </row>
    <row r="26680" spans="9:13" x14ac:dyDescent="0.3">
      <c r="I26680" s="82"/>
      <c r="M26680" s="85"/>
    </row>
    <row r="26681" spans="9:13" x14ac:dyDescent="0.3">
      <c r="I26681" s="82"/>
      <c r="M26681" s="85"/>
    </row>
    <row r="26682" spans="9:13" x14ac:dyDescent="0.3">
      <c r="I26682" s="82"/>
      <c r="M26682" s="85"/>
    </row>
    <row r="26683" spans="9:13" x14ac:dyDescent="0.3">
      <c r="I26683" s="82"/>
      <c r="M26683" s="85"/>
    </row>
    <row r="26684" spans="9:13" x14ac:dyDescent="0.3">
      <c r="I26684" s="82"/>
      <c r="M26684" s="85"/>
    </row>
    <row r="26685" spans="9:13" x14ac:dyDescent="0.3">
      <c r="I26685" s="82"/>
      <c r="M26685" s="85"/>
    </row>
    <row r="26686" spans="9:13" x14ac:dyDescent="0.3">
      <c r="I26686" s="82"/>
      <c r="M26686" s="85"/>
    </row>
    <row r="26687" spans="9:13" x14ac:dyDescent="0.3">
      <c r="I26687" s="82"/>
      <c r="M26687" s="85"/>
    </row>
    <row r="26688" spans="9:13" x14ac:dyDescent="0.3">
      <c r="I26688" s="82"/>
      <c r="M26688" s="85"/>
    </row>
    <row r="26689" spans="9:13" x14ac:dyDescent="0.3">
      <c r="I26689" s="82"/>
      <c r="M26689" s="85"/>
    </row>
    <row r="26690" spans="9:13" x14ac:dyDescent="0.3">
      <c r="I26690" s="82"/>
      <c r="M26690" s="85"/>
    </row>
    <row r="26691" spans="9:13" x14ac:dyDescent="0.3">
      <c r="I26691" s="82"/>
      <c r="M26691" s="85"/>
    </row>
    <row r="26692" spans="9:13" x14ac:dyDescent="0.3">
      <c r="I26692" s="82"/>
      <c r="M26692" s="85"/>
    </row>
    <row r="26693" spans="9:13" x14ac:dyDescent="0.3">
      <c r="I26693" s="82"/>
      <c r="M26693" s="85"/>
    </row>
    <row r="26694" spans="9:13" x14ac:dyDescent="0.3">
      <c r="I26694" s="82"/>
      <c r="M26694" s="85"/>
    </row>
    <row r="26695" spans="9:13" x14ac:dyDescent="0.3">
      <c r="I26695" s="82"/>
      <c r="M26695" s="85"/>
    </row>
    <row r="26696" spans="9:13" x14ac:dyDescent="0.3">
      <c r="I26696" s="82"/>
      <c r="M26696" s="85"/>
    </row>
    <row r="26697" spans="9:13" x14ac:dyDescent="0.3">
      <c r="I26697" s="82"/>
      <c r="M26697" s="85"/>
    </row>
    <row r="26698" spans="9:13" x14ac:dyDescent="0.3">
      <c r="I26698" s="82"/>
      <c r="M26698" s="85"/>
    </row>
    <row r="26699" spans="9:13" x14ac:dyDescent="0.3">
      <c r="I26699" s="82"/>
      <c r="M26699" s="85"/>
    </row>
    <row r="26700" spans="9:13" x14ac:dyDescent="0.3">
      <c r="I26700" s="82"/>
      <c r="M26700" s="85"/>
    </row>
    <row r="26701" spans="9:13" x14ac:dyDescent="0.3">
      <c r="I26701" s="82"/>
      <c r="M26701" s="85"/>
    </row>
    <row r="26702" spans="9:13" x14ac:dyDescent="0.3">
      <c r="I26702" s="82"/>
      <c r="M26702" s="85"/>
    </row>
    <row r="26703" spans="9:13" x14ac:dyDescent="0.3">
      <c r="I26703" s="82"/>
      <c r="M26703" s="85"/>
    </row>
    <row r="26704" spans="9:13" x14ac:dyDescent="0.3">
      <c r="I26704" s="82"/>
      <c r="M26704" s="85"/>
    </row>
    <row r="26705" spans="9:13" x14ac:dyDescent="0.3">
      <c r="I26705" s="82"/>
      <c r="M26705" s="85"/>
    </row>
    <row r="26706" spans="9:13" x14ac:dyDescent="0.3">
      <c r="I26706" s="82"/>
      <c r="M26706" s="85"/>
    </row>
    <row r="26707" spans="9:13" x14ac:dyDescent="0.3">
      <c r="I26707" s="82"/>
      <c r="M26707" s="85"/>
    </row>
    <row r="26708" spans="9:13" x14ac:dyDescent="0.3">
      <c r="I26708" s="82"/>
      <c r="M26708" s="85"/>
    </row>
    <row r="26709" spans="9:13" x14ac:dyDescent="0.3">
      <c r="I26709" s="82"/>
      <c r="M26709" s="85"/>
    </row>
    <row r="26710" spans="9:13" x14ac:dyDescent="0.3">
      <c r="I26710" s="82"/>
      <c r="M26710" s="85"/>
    </row>
    <row r="26711" spans="9:13" x14ac:dyDescent="0.3">
      <c r="I26711" s="82"/>
      <c r="M26711" s="85"/>
    </row>
    <row r="26712" spans="9:13" x14ac:dyDescent="0.3">
      <c r="I26712" s="82"/>
      <c r="M26712" s="85"/>
    </row>
    <row r="26713" spans="9:13" x14ac:dyDescent="0.3">
      <c r="I26713" s="82"/>
      <c r="M26713" s="85"/>
    </row>
    <row r="26714" spans="9:13" x14ac:dyDescent="0.3">
      <c r="I26714" s="82"/>
      <c r="M26714" s="85"/>
    </row>
    <row r="26715" spans="9:13" x14ac:dyDescent="0.3">
      <c r="I26715" s="82"/>
      <c r="M26715" s="85"/>
    </row>
    <row r="26716" spans="9:13" x14ac:dyDescent="0.3">
      <c r="I26716" s="82"/>
      <c r="M26716" s="85"/>
    </row>
    <row r="26717" spans="9:13" x14ac:dyDescent="0.3">
      <c r="I26717" s="82"/>
      <c r="M26717" s="85"/>
    </row>
    <row r="26718" spans="9:13" x14ac:dyDescent="0.3">
      <c r="I26718" s="82"/>
      <c r="M26718" s="85"/>
    </row>
    <row r="26719" spans="9:13" x14ac:dyDescent="0.3">
      <c r="I26719" s="82"/>
      <c r="M26719" s="85"/>
    </row>
    <row r="26720" spans="9:13" x14ac:dyDescent="0.3">
      <c r="I26720" s="82"/>
      <c r="M26720" s="85"/>
    </row>
    <row r="26721" spans="9:13" x14ac:dyDescent="0.3">
      <c r="I26721" s="82"/>
      <c r="M26721" s="85"/>
    </row>
    <row r="26722" spans="9:13" x14ac:dyDescent="0.3">
      <c r="I26722" s="82"/>
      <c r="M26722" s="85"/>
    </row>
    <row r="26723" spans="9:13" x14ac:dyDescent="0.3">
      <c r="I26723" s="82"/>
      <c r="M26723" s="85"/>
    </row>
    <row r="26724" spans="9:13" x14ac:dyDescent="0.3">
      <c r="I26724" s="82"/>
      <c r="M26724" s="85"/>
    </row>
    <row r="26725" spans="9:13" x14ac:dyDescent="0.3">
      <c r="I26725" s="82"/>
      <c r="M26725" s="85"/>
    </row>
    <row r="26726" spans="9:13" x14ac:dyDescent="0.3">
      <c r="I26726" s="82"/>
      <c r="M26726" s="85"/>
    </row>
    <row r="26727" spans="9:13" x14ac:dyDescent="0.3">
      <c r="I26727" s="82"/>
      <c r="M26727" s="85"/>
    </row>
    <row r="26728" spans="9:13" x14ac:dyDescent="0.3">
      <c r="I26728" s="82"/>
      <c r="M26728" s="85"/>
    </row>
    <row r="26729" spans="9:13" x14ac:dyDescent="0.3">
      <c r="I26729" s="82"/>
      <c r="M26729" s="85"/>
    </row>
    <row r="26730" spans="9:13" x14ac:dyDescent="0.3">
      <c r="I26730" s="82"/>
      <c r="M26730" s="85"/>
    </row>
    <row r="26731" spans="9:13" x14ac:dyDescent="0.3">
      <c r="I26731" s="82"/>
      <c r="M26731" s="85"/>
    </row>
    <row r="26732" spans="9:13" x14ac:dyDescent="0.3">
      <c r="I26732" s="82"/>
      <c r="M26732" s="85"/>
    </row>
    <row r="26733" spans="9:13" x14ac:dyDescent="0.3">
      <c r="I26733" s="82"/>
      <c r="M26733" s="85"/>
    </row>
    <row r="26734" spans="9:13" x14ac:dyDescent="0.3">
      <c r="I26734" s="82"/>
      <c r="M26734" s="85"/>
    </row>
    <row r="26735" spans="9:13" x14ac:dyDescent="0.3">
      <c r="I26735" s="82"/>
      <c r="M26735" s="85"/>
    </row>
    <row r="26736" spans="9:13" x14ac:dyDescent="0.3">
      <c r="I26736" s="82"/>
      <c r="M26736" s="85"/>
    </row>
    <row r="26737" spans="9:13" x14ac:dyDescent="0.3">
      <c r="I26737" s="82"/>
      <c r="M26737" s="85"/>
    </row>
    <row r="26738" spans="9:13" x14ac:dyDescent="0.3">
      <c r="I26738" s="82"/>
      <c r="M26738" s="85"/>
    </row>
    <row r="26739" spans="9:13" x14ac:dyDescent="0.3">
      <c r="I26739" s="82"/>
      <c r="M26739" s="85"/>
    </row>
    <row r="26740" spans="9:13" x14ac:dyDescent="0.3">
      <c r="I26740" s="82"/>
      <c r="M26740" s="85"/>
    </row>
    <row r="26741" spans="9:13" x14ac:dyDescent="0.3">
      <c r="I26741" s="82"/>
      <c r="M26741" s="85"/>
    </row>
    <row r="26742" spans="9:13" x14ac:dyDescent="0.3">
      <c r="I26742" s="82"/>
      <c r="M26742" s="85"/>
    </row>
    <row r="26743" spans="9:13" x14ac:dyDescent="0.3">
      <c r="I26743" s="82"/>
      <c r="M26743" s="85"/>
    </row>
    <row r="26744" spans="9:13" x14ac:dyDescent="0.3">
      <c r="I26744" s="82"/>
      <c r="M26744" s="85"/>
    </row>
    <row r="26745" spans="9:13" x14ac:dyDescent="0.3">
      <c r="I26745" s="82"/>
      <c r="M26745" s="85"/>
    </row>
    <row r="26746" spans="9:13" x14ac:dyDescent="0.3">
      <c r="I26746" s="82"/>
      <c r="M26746" s="85"/>
    </row>
    <row r="26747" spans="9:13" x14ac:dyDescent="0.3">
      <c r="I26747" s="82"/>
      <c r="M26747" s="85"/>
    </row>
    <row r="26748" spans="9:13" x14ac:dyDescent="0.3">
      <c r="I26748" s="82"/>
      <c r="M26748" s="85"/>
    </row>
    <row r="26749" spans="9:13" x14ac:dyDescent="0.3">
      <c r="I26749" s="82"/>
      <c r="M26749" s="85"/>
    </row>
    <row r="26750" spans="9:13" x14ac:dyDescent="0.3">
      <c r="I26750" s="82"/>
      <c r="M26750" s="85"/>
    </row>
    <row r="26751" spans="9:13" x14ac:dyDescent="0.3">
      <c r="I26751" s="82"/>
      <c r="M26751" s="85"/>
    </row>
    <row r="26752" spans="9:13" x14ac:dyDescent="0.3">
      <c r="I26752" s="82"/>
      <c r="M26752" s="85"/>
    </row>
    <row r="26753" spans="9:13" x14ac:dyDescent="0.3">
      <c r="I26753" s="82"/>
      <c r="M26753" s="85"/>
    </row>
    <row r="26754" spans="9:13" x14ac:dyDescent="0.3">
      <c r="I26754" s="82"/>
      <c r="M26754" s="85"/>
    </row>
    <row r="26755" spans="9:13" x14ac:dyDescent="0.3">
      <c r="I26755" s="82"/>
      <c r="M26755" s="85"/>
    </row>
    <row r="26756" spans="9:13" x14ac:dyDescent="0.3">
      <c r="I26756" s="82"/>
      <c r="M26756" s="85"/>
    </row>
    <row r="26757" spans="9:13" x14ac:dyDescent="0.3">
      <c r="I26757" s="82"/>
      <c r="M26757" s="85"/>
    </row>
    <row r="26758" spans="9:13" x14ac:dyDescent="0.3">
      <c r="I26758" s="82"/>
      <c r="M26758" s="85"/>
    </row>
    <row r="26759" spans="9:13" x14ac:dyDescent="0.3">
      <c r="I26759" s="82"/>
      <c r="M26759" s="85"/>
    </row>
    <row r="26760" spans="9:13" x14ac:dyDescent="0.3">
      <c r="I26760" s="82"/>
      <c r="M26760" s="85"/>
    </row>
    <row r="26761" spans="9:13" x14ac:dyDescent="0.3">
      <c r="I26761" s="82"/>
      <c r="M26761" s="85"/>
    </row>
    <row r="26762" spans="9:13" x14ac:dyDescent="0.3">
      <c r="I26762" s="82"/>
      <c r="M26762" s="85"/>
    </row>
    <row r="26763" spans="9:13" x14ac:dyDescent="0.3">
      <c r="I26763" s="82"/>
      <c r="M26763" s="85"/>
    </row>
    <row r="26764" spans="9:13" x14ac:dyDescent="0.3">
      <c r="I26764" s="82"/>
      <c r="M26764" s="85"/>
    </row>
    <row r="26765" spans="9:13" x14ac:dyDescent="0.3">
      <c r="I26765" s="82"/>
      <c r="M26765" s="85"/>
    </row>
    <row r="26766" spans="9:13" x14ac:dyDescent="0.3">
      <c r="I26766" s="82"/>
      <c r="M26766" s="85"/>
    </row>
    <row r="26767" spans="9:13" x14ac:dyDescent="0.3">
      <c r="I26767" s="82"/>
      <c r="M26767" s="85"/>
    </row>
    <row r="26768" spans="9:13" x14ac:dyDescent="0.3">
      <c r="I26768" s="82"/>
      <c r="M26768" s="85"/>
    </row>
    <row r="26769" spans="9:13" x14ac:dyDescent="0.3">
      <c r="I26769" s="82"/>
      <c r="M26769" s="85"/>
    </row>
    <row r="26770" spans="9:13" x14ac:dyDescent="0.3">
      <c r="I26770" s="82"/>
      <c r="M26770" s="85"/>
    </row>
    <row r="26771" spans="9:13" x14ac:dyDescent="0.3">
      <c r="I26771" s="82"/>
      <c r="M26771" s="85"/>
    </row>
    <row r="26772" spans="9:13" x14ac:dyDescent="0.3">
      <c r="I26772" s="82"/>
      <c r="M26772" s="85"/>
    </row>
    <row r="26773" spans="9:13" x14ac:dyDescent="0.3">
      <c r="I26773" s="82"/>
      <c r="M26773" s="85"/>
    </row>
    <row r="26774" spans="9:13" x14ac:dyDescent="0.3">
      <c r="I26774" s="82"/>
      <c r="M26774" s="85"/>
    </row>
    <row r="26775" spans="9:13" x14ac:dyDescent="0.3">
      <c r="I26775" s="82"/>
      <c r="M26775" s="85"/>
    </row>
    <row r="26776" spans="9:13" x14ac:dyDescent="0.3">
      <c r="I26776" s="82"/>
      <c r="M26776" s="85"/>
    </row>
    <row r="26777" spans="9:13" x14ac:dyDescent="0.3">
      <c r="I26777" s="82"/>
      <c r="M26777" s="85"/>
    </row>
    <row r="26778" spans="9:13" x14ac:dyDescent="0.3">
      <c r="I26778" s="82"/>
      <c r="M26778" s="85"/>
    </row>
    <row r="26779" spans="9:13" x14ac:dyDescent="0.3">
      <c r="I26779" s="82"/>
      <c r="M26779" s="85"/>
    </row>
    <row r="26780" spans="9:13" x14ac:dyDescent="0.3">
      <c r="I26780" s="82"/>
      <c r="M26780" s="85"/>
    </row>
    <row r="26781" spans="9:13" x14ac:dyDescent="0.3">
      <c r="I26781" s="82"/>
      <c r="M26781" s="85"/>
    </row>
    <row r="26782" spans="9:13" x14ac:dyDescent="0.3">
      <c r="I26782" s="82"/>
      <c r="M26782" s="85"/>
    </row>
    <row r="26783" spans="9:13" x14ac:dyDescent="0.3">
      <c r="I26783" s="82"/>
      <c r="M26783" s="85"/>
    </row>
    <row r="26784" spans="9:13" x14ac:dyDescent="0.3">
      <c r="I26784" s="82"/>
      <c r="M26784" s="85"/>
    </row>
    <row r="26785" spans="9:13" x14ac:dyDescent="0.3">
      <c r="I26785" s="82"/>
      <c r="M26785" s="85"/>
    </row>
    <row r="26786" spans="9:13" x14ac:dyDescent="0.3">
      <c r="I26786" s="82"/>
      <c r="M26786" s="85"/>
    </row>
    <row r="26787" spans="9:13" x14ac:dyDescent="0.3">
      <c r="I26787" s="82"/>
      <c r="M26787" s="85"/>
    </row>
    <row r="26788" spans="9:13" x14ac:dyDescent="0.3">
      <c r="I26788" s="82"/>
      <c r="M26788" s="85"/>
    </row>
    <row r="26789" spans="9:13" x14ac:dyDescent="0.3">
      <c r="I26789" s="82"/>
      <c r="M26789" s="85"/>
    </row>
    <row r="26790" spans="9:13" x14ac:dyDescent="0.3">
      <c r="I26790" s="82"/>
      <c r="M26790" s="85"/>
    </row>
    <row r="26791" spans="9:13" x14ac:dyDescent="0.3">
      <c r="I26791" s="82"/>
      <c r="M26791" s="85"/>
    </row>
    <row r="26792" spans="9:13" x14ac:dyDescent="0.3">
      <c r="I26792" s="82"/>
      <c r="M26792" s="85"/>
    </row>
    <row r="26793" spans="9:13" x14ac:dyDescent="0.3">
      <c r="I26793" s="82"/>
      <c r="M26793" s="85"/>
    </row>
    <row r="26794" spans="9:13" x14ac:dyDescent="0.3">
      <c r="I26794" s="82"/>
      <c r="M26794" s="85"/>
    </row>
    <row r="26795" spans="9:13" x14ac:dyDescent="0.3">
      <c r="I26795" s="82"/>
      <c r="M26795" s="85"/>
    </row>
    <row r="26796" spans="9:13" x14ac:dyDescent="0.3">
      <c r="I26796" s="82"/>
      <c r="M26796" s="85"/>
    </row>
    <row r="26797" spans="9:13" x14ac:dyDescent="0.3">
      <c r="I26797" s="82"/>
      <c r="M26797" s="85"/>
    </row>
    <row r="26798" spans="9:13" x14ac:dyDescent="0.3">
      <c r="I26798" s="82"/>
      <c r="M26798" s="85"/>
    </row>
    <row r="26799" spans="9:13" x14ac:dyDescent="0.3">
      <c r="I26799" s="82"/>
      <c r="M26799" s="85"/>
    </row>
    <row r="26800" spans="9:13" x14ac:dyDescent="0.3">
      <c r="I26800" s="82"/>
      <c r="M26800" s="85"/>
    </row>
    <row r="26801" spans="9:13" x14ac:dyDescent="0.3">
      <c r="I26801" s="82"/>
      <c r="M26801" s="85"/>
    </row>
    <row r="26802" spans="9:13" x14ac:dyDescent="0.3">
      <c r="I26802" s="82"/>
      <c r="M26802" s="85"/>
    </row>
    <row r="26803" spans="9:13" x14ac:dyDescent="0.3">
      <c r="I26803" s="82"/>
      <c r="M26803" s="85"/>
    </row>
    <row r="26804" spans="9:13" x14ac:dyDescent="0.3">
      <c r="I26804" s="82"/>
      <c r="M26804" s="85"/>
    </row>
    <row r="26805" spans="9:13" x14ac:dyDescent="0.3">
      <c r="I26805" s="82"/>
      <c r="M26805" s="85"/>
    </row>
    <row r="26806" spans="9:13" x14ac:dyDescent="0.3">
      <c r="I26806" s="82"/>
      <c r="M26806" s="85"/>
    </row>
    <row r="26807" spans="9:13" x14ac:dyDescent="0.3">
      <c r="I26807" s="82"/>
      <c r="M26807" s="85"/>
    </row>
    <row r="26808" spans="9:13" x14ac:dyDescent="0.3">
      <c r="I26808" s="82"/>
      <c r="M26808" s="85"/>
    </row>
    <row r="26809" spans="9:13" x14ac:dyDescent="0.3">
      <c r="I26809" s="82"/>
      <c r="M26809" s="85"/>
    </row>
    <row r="26810" spans="9:13" x14ac:dyDescent="0.3">
      <c r="I26810" s="82"/>
      <c r="M26810" s="85"/>
    </row>
    <row r="26811" spans="9:13" x14ac:dyDescent="0.3">
      <c r="I26811" s="82"/>
      <c r="M26811" s="85"/>
    </row>
    <row r="26812" spans="9:13" x14ac:dyDescent="0.3">
      <c r="I26812" s="82"/>
      <c r="M26812" s="85"/>
    </row>
    <row r="26813" spans="9:13" x14ac:dyDescent="0.3">
      <c r="I26813" s="82"/>
      <c r="M26813" s="85"/>
    </row>
    <row r="26814" spans="9:13" x14ac:dyDescent="0.3">
      <c r="I26814" s="82"/>
      <c r="M26814" s="85"/>
    </row>
    <row r="26815" spans="9:13" x14ac:dyDescent="0.3">
      <c r="I26815" s="82"/>
      <c r="M26815" s="85"/>
    </row>
    <row r="26816" spans="9:13" x14ac:dyDescent="0.3">
      <c r="I26816" s="82"/>
      <c r="M26816" s="85"/>
    </row>
    <row r="26817" spans="9:13" x14ac:dyDescent="0.3">
      <c r="I26817" s="82"/>
      <c r="M26817" s="85"/>
    </row>
    <row r="26818" spans="9:13" x14ac:dyDescent="0.3">
      <c r="I26818" s="82"/>
      <c r="M26818" s="85"/>
    </row>
    <row r="26819" spans="9:13" x14ac:dyDescent="0.3">
      <c r="I26819" s="82"/>
      <c r="M26819" s="85"/>
    </row>
    <row r="26820" spans="9:13" x14ac:dyDescent="0.3">
      <c r="I26820" s="82"/>
      <c r="M26820" s="85"/>
    </row>
    <row r="26821" spans="9:13" x14ac:dyDescent="0.3">
      <c r="I26821" s="82"/>
      <c r="M26821" s="85"/>
    </row>
    <row r="26822" spans="9:13" x14ac:dyDescent="0.3">
      <c r="I26822" s="82"/>
      <c r="M26822" s="85"/>
    </row>
    <row r="26823" spans="9:13" x14ac:dyDescent="0.3">
      <c r="I26823" s="82"/>
      <c r="M26823" s="85"/>
    </row>
    <row r="26824" spans="9:13" x14ac:dyDescent="0.3">
      <c r="I26824" s="82"/>
      <c r="M26824" s="85"/>
    </row>
    <row r="26825" spans="9:13" x14ac:dyDescent="0.3">
      <c r="I26825" s="82"/>
      <c r="M26825" s="85"/>
    </row>
    <row r="26826" spans="9:13" x14ac:dyDescent="0.3">
      <c r="I26826" s="82"/>
      <c r="M26826" s="85"/>
    </row>
    <row r="26827" spans="9:13" x14ac:dyDescent="0.3">
      <c r="I26827" s="82"/>
      <c r="M26827" s="85"/>
    </row>
    <row r="26828" spans="9:13" x14ac:dyDescent="0.3">
      <c r="I26828" s="82"/>
      <c r="M26828" s="85"/>
    </row>
    <row r="26829" spans="9:13" x14ac:dyDescent="0.3">
      <c r="I26829" s="82"/>
      <c r="M26829" s="85"/>
    </row>
    <row r="26830" spans="9:13" x14ac:dyDescent="0.3">
      <c r="I26830" s="82"/>
      <c r="M26830" s="85"/>
    </row>
    <row r="26831" spans="9:13" x14ac:dyDescent="0.3">
      <c r="I26831" s="82"/>
      <c r="M26831" s="85"/>
    </row>
    <row r="26832" spans="9:13" x14ac:dyDescent="0.3">
      <c r="I26832" s="82"/>
      <c r="M26832" s="85"/>
    </row>
    <row r="26833" spans="9:13" x14ac:dyDescent="0.3">
      <c r="I26833" s="82"/>
      <c r="M26833" s="85"/>
    </row>
    <row r="26834" spans="9:13" x14ac:dyDescent="0.3">
      <c r="I26834" s="82"/>
      <c r="M26834" s="85"/>
    </row>
    <row r="26835" spans="9:13" x14ac:dyDescent="0.3">
      <c r="I26835" s="82"/>
      <c r="M26835" s="85"/>
    </row>
    <row r="26836" spans="9:13" x14ac:dyDescent="0.3">
      <c r="I26836" s="82"/>
      <c r="M26836" s="85"/>
    </row>
    <row r="26837" spans="9:13" x14ac:dyDescent="0.3">
      <c r="I26837" s="82"/>
      <c r="M26837" s="85"/>
    </row>
    <row r="26838" spans="9:13" x14ac:dyDescent="0.3">
      <c r="I26838" s="82"/>
      <c r="M26838" s="85"/>
    </row>
    <row r="26839" spans="9:13" x14ac:dyDescent="0.3">
      <c r="I26839" s="82"/>
      <c r="M26839" s="85"/>
    </row>
    <row r="26840" spans="9:13" x14ac:dyDescent="0.3">
      <c r="I26840" s="82"/>
      <c r="M26840" s="85"/>
    </row>
    <row r="26841" spans="9:13" x14ac:dyDescent="0.3">
      <c r="I26841" s="82"/>
      <c r="M26841" s="85"/>
    </row>
    <row r="26842" spans="9:13" x14ac:dyDescent="0.3">
      <c r="I26842" s="82"/>
      <c r="M26842" s="85"/>
    </row>
    <row r="26843" spans="9:13" x14ac:dyDescent="0.3">
      <c r="I26843" s="82"/>
      <c r="M26843" s="85"/>
    </row>
    <row r="26844" spans="9:13" x14ac:dyDescent="0.3">
      <c r="I26844" s="82"/>
      <c r="M26844" s="85"/>
    </row>
    <row r="26845" spans="9:13" x14ac:dyDescent="0.3">
      <c r="I26845" s="82"/>
      <c r="M26845" s="85"/>
    </row>
    <row r="26846" spans="9:13" x14ac:dyDescent="0.3">
      <c r="I26846" s="82"/>
      <c r="M26846" s="85"/>
    </row>
    <row r="26847" spans="9:13" x14ac:dyDescent="0.3">
      <c r="I26847" s="82"/>
      <c r="M26847" s="85"/>
    </row>
    <row r="26848" spans="9:13" x14ac:dyDescent="0.3">
      <c r="I26848" s="82"/>
      <c r="M26848" s="85"/>
    </row>
    <row r="26849" spans="9:13" x14ac:dyDescent="0.3">
      <c r="I26849" s="82"/>
      <c r="M26849" s="85"/>
    </row>
    <row r="26850" spans="9:13" x14ac:dyDescent="0.3">
      <c r="I26850" s="82"/>
      <c r="M26850" s="85"/>
    </row>
    <row r="26851" spans="9:13" x14ac:dyDescent="0.3">
      <c r="I26851" s="82"/>
      <c r="M26851" s="85"/>
    </row>
    <row r="26852" spans="9:13" x14ac:dyDescent="0.3">
      <c r="I26852" s="82"/>
      <c r="M26852" s="85"/>
    </row>
    <row r="26853" spans="9:13" x14ac:dyDescent="0.3">
      <c r="I26853" s="82"/>
      <c r="M26853" s="85"/>
    </row>
    <row r="26854" spans="9:13" x14ac:dyDescent="0.3">
      <c r="I26854" s="82"/>
      <c r="M26854" s="85"/>
    </row>
    <row r="26855" spans="9:13" x14ac:dyDescent="0.3">
      <c r="I26855" s="82"/>
      <c r="M26855" s="85"/>
    </row>
    <row r="26856" spans="9:13" x14ac:dyDescent="0.3">
      <c r="I26856" s="82"/>
      <c r="M26856" s="85"/>
    </row>
    <row r="26857" spans="9:13" x14ac:dyDescent="0.3">
      <c r="I26857" s="82"/>
      <c r="M26857" s="85"/>
    </row>
    <row r="26858" spans="9:13" x14ac:dyDescent="0.3">
      <c r="I26858" s="82"/>
      <c r="M26858" s="85"/>
    </row>
    <row r="26859" spans="9:13" x14ac:dyDescent="0.3">
      <c r="I26859" s="82"/>
      <c r="M26859" s="85"/>
    </row>
    <row r="26860" spans="9:13" x14ac:dyDescent="0.3">
      <c r="I26860" s="82"/>
      <c r="M26860" s="85"/>
    </row>
    <row r="26861" spans="9:13" x14ac:dyDescent="0.3">
      <c r="I26861" s="82"/>
      <c r="M26861" s="85"/>
    </row>
    <row r="26862" spans="9:13" x14ac:dyDescent="0.3">
      <c r="I26862" s="82"/>
      <c r="M26862" s="85"/>
    </row>
    <row r="26863" spans="9:13" x14ac:dyDescent="0.3">
      <c r="I26863" s="82"/>
      <c r="M26863" s="85"/>
    </row>
    <row r="26864" spans="9:13" x14ac:dyDescent="0.3">
      <c r="I26864" s="82"/>
      <c r="M26864" s="85"/>
    </row>
    <row r="26865" spans="9:13" x14ac:dyDescent="0.3">
      <c r="I26865" s="82"/>
      <c r="M26865" s="85"/>
    </row>
    <row r="26866" spans="9:13" x14ac:dyDescent="0.3">
      <c r="I26866" s="82"/>
      <c r="M26866" s="85"/>
    </row>
    <row r="26867" spans="9:13" x14ac:dyDescent="0.3">
      <c r="I26867" s="82"/>
      <c r="M26867" s="85"/>
    </row>
    <row r="26868" spans="9:13" x14ac:dyDescent="0.3">
      <c r="I26868" s="82"/>
      <c r="M26868" s="85"/>
    </row>
    <row r="26869" spans="9:13" x14ac:dyDescent="0.3">
      <c r="I26869" s="82"/>
      <c r="M26869" s="85"/>
    </row>
    <row r="26870" spans="9:13" x14ac:dyDescent="0.3">
      <c r="I26870" s="82"/>
      <c r="M26870" s="85"/>
    </row>
    <row r="26871" spans="9:13" x14ac:dyDescent="0.3">
      <c r="I26871" s="82"/>
      <c r="M26871" s="85"/>
    </row>
    <row r="26872" spans="9:13" x14ac:dyDescent="0.3">
      <c r="I26872" s="82"/>
      <c r="M26872" s="85"/>
    </row>
    <row r="26873" spans="9:13" x14ac:dyDescent="0.3">
      <c r="I26873" s="82"/>
      <c r="M26873" s="85"/>
    </row>
    <row r="26874" spans="9:13" x14ac:dyDescent="0.3">
      <c r="I26874" s="82"/>
      <c r="M26874" s="85"/>
    </row>
    <row r="26875" spans="9:13" x14ac:dyDescent="0.3">
      <c r="I26875" s="82"/>
      <c r="M26875" s="85"/>
    </row>
    <row r="26876" spans="9:13" x14ac:dyDescent="0.3">
      <c r="I26876" s="82"/>
      <c r="M26876" s="85"/>
    </row>
    <row r="26877" spans="9:13" x14ac:dyDescent="0.3">
      <c r="I26877" s="82"/>
      <c r="M26877" s="85"/>
    </row>
    <row r="26878" spans="9:13" x14ac:dyDescent="0.3">
      <c r="I26878" s="82"/>
      <c r="M26878" s="85"/>
    </row>
    <row r="26879" spans="9:13" x14ac:dyDescent="0.3">
      <c r="I26879" s="82"/>
      <c r="M26879" s="85"/>
    </row>
    <row r="26880" spans="9:13" x14ac:dyDescent="0.3">
      <c r="I26880" s="82"/>
      <c r="M26880" s="85"/>
    </row>
    <row r="26881" spans="9:13" x14ac:dyDescent="0.3">
      <c r="I26881" s="82"/>
      <c r="M26881" s="85"/>
    </row>
    <row r="26882" spans="9:13" x14ac:dyDescent="0.3">
      <c r="I26882" s="82"/>
      <c r="M26882" s="85"/>
    </row>
    <row r="26883" spans="9:13" x14ac:dyDescent="0.3">
      <c r="I26883" s="82"/>
      <c r="M26883" s="85"/>
    </row>
    <row r="26884" spans="9:13" x14ac:dyDescent="0.3">
      <c r="I26884" s="82"/>
      <c r="M26884" s="85"/>
    </row>
    <row r="26885" spans="9:13" x14ac:dyDescent="0.3">
      <c r="I26885" s="82"/>
      <c r="M26885" s="85"/>
    </row>
    <row r="26886" spans="9:13" x14ac:dyDescent="0.3">
      <c r="I26886" s="82"/>
      <c r="M26886" s="85"/>
    </row>
    <row r="26887" spans="9:13" x14ac:dyDescent="0.3">
      <c r="I26887" s="82"/>
      <c r="M26887" s="85"/>
    </row>
    <row r="26888" spans="9:13" x14ac:dyDescent="0.3">
      <c r="I26888" s="82"/>
      <c r="M26888" s="85"/>
    </row>
    <row r="26889" spans="9:13" x14ac:dyDescent="0.3">
      <c r="I26889" s="82"/>
      <c r="M26889" s="85"/>
    </row>
    <row r="26890" spans="9:13" x14ac:dyDescent="0.3">
      <c r="I26890" s="82"/>
      <c r="M26890" s="85"/>
    </row>
    <row r="26891" spans="9:13" x14ac:dyDescent="0.3">
      <c r="I26891" s="82"/>
      <c r="M26891" s="85"/>
    </row>
    <row r="26892" spans="9:13" x14ac:dyDescent="0.3">
      <c r="I26892" s="82"/>
      <c r="M26892" s="85"/>
    </row>
    <row r="26893" spans="9:13" x14ac:dyDescent="0.3">
      <c r="I26893" s="82"/>
      <c r="M26893" s="85"/>
    </row>
    <row r="26894" spans="9:13" x14ac:dyDescent="0.3">
      <c r="I26894" s="82"/>
      <c r="M26894" s="85"/>
    </row>
    <row r="26895" spans="9:13" x14ac:dyDescent="0.3">
      <c r="I26895" s="82"/>
      <c r="M26895" s="85"/>
    </row>
    <row r="26896" spans="9:13" x14ac:dyDescent="0.3">
      <c r="I26896" s="82"/>
      <c r="M26896" s="85"/>
    </row>
    <row r="26897" spans="9:13" x14ac:dyDescent="0.3">
      <c r="I26897" s="82"/>
      <c r="M26897" s="85"/>
    </row>
    <row r="26898" spans="9:13" x14ac:dyDescent="0.3">
      <c r="I26898" s="82"/>
      <c r="M26898" s="85"/>
    </row>
    <row r="26899" spans="9:13" x14ac:dyDescent="0.3">
      <c r="I26899" s="82"/>
      <c r="M26899" s="85"/>
    </row>
    <row r="26900" spans="9:13" x14ac:dyDescent="0.3">
      <c r="I26900" s="82"/>
      <c r="M26900" s="85"/>
    </row>
    <row r="26901" spans="9:13" x14ac:dyDescent="0.3">
      <c r="I26901" s="82"/>
      <c r="M26901" s="85"/>
    </row>
    <row r="26902" spans="9:13" x14ac:dyDescent="0.3">
      <c r="I26902" s="82"/>
      <c r="M26902" s="85"/>
    </row>
    <row r="26903" spans="9:13" x14ac:dyDescent="0.3">
      <c r="I26903" s="82"/>
      <c r="M26903" s="85"/>
    </row>
    <row r="26904" spans="9:13" x14ac:dyDescent="0.3">
      <c r="I26904" s="82"/>
      <c r="M26904" s="85"/>
    </row>
    <row r="26905" spans="9:13" x14ac:dyDescent="0.3">
      <c r="I26905" s="82"/>
      <c r="M26905" s="85"/>
    </row>
    <row r="26906" spans="9:13" x14ac:dyDescent="0.3">
      <c r="I26906" s="82"/>
      <c r="M26906" s="85"/>
    </row>
    <row r="26907" spans="9:13" x14ac:dyDescent="0.3">
      <c r="I26907" s="82"/>
      <c r="M26907" s="85"/>
    </row>
    <row r="26908" spans="9:13" x14ac:dyDescent="0.3">
      <c r="I26908" s="82"/>
      <c r="M26908" s="85"/>
    </row>
    <row r="26909" spans="9:13" x14ac:dyDescent="0.3">
      <c r="I26909" s="82"/>
      <c r="M26909" s="85"/>
    </row>
    <row r="26910" spans="9:13" x14ac:dyDescent="0.3">
      <c r="I26910" s="82"/>
      <c r="M26910" s="85"/>
    </row>
    <row r="26911" spans="9:13" x14ac:dyDescent="0.3">
      <c r="I26911" s="82"/>
      <c r="M26911" s="85"/>
    </row>
    <row r="26912" spans="9:13" x14ac:dyDescent="0.3">
      <c r="I26912" s="82"/>
      <c r="M26912" s="85"/>
    </row>
    <row r="26913" spans="9:13" x14ac:dyDescent="0.3">
      <c r="I26913" s="82"/>
      <c r="M26913" s="85"/>
    </row>
    <row r="26914" spans="9:13" x14ac:dyDescent="0.3">
      <c r="I26914" s="82"/>
      <c r="M26914" s="85"/>
    </row>
    <row r="26915" spans="9:13" x14ac:dyDescent="0.3">
      <c r="I26915" s="82"/>
      <c r="M26915" s="85"/>
    </row>
    <row r="26916" spans="9:13" x14ac:dyDescent="0.3">
      <c r="I26916" s="82"/>
      <c r="M26916" s="85"/>
    </row>
    <row r="26917" spans="9:13" x14ac:dyDescent="0.3">
      <c r="I26917" s="82"/>
      <c r="M26917" s="85"/>
    </row>
    <row r="26918" spans="9:13" x14ac:dyDescent="0.3">
      <c r="I26918" s="82"/>
      <c r="M26918" s="85"/>
    </row>
    <row r="26919" spans="9:13" x14ac:dyDescent="0.3">
      <c r="I26919" s="82"/>
      <c r="M26919" s="85"/>
    </row>
    <row r="26920" spans="9:13" x14ac:dyDescent="0.3">
      <c r="I26920" s="82"/>
      <c r="M26920" s="85"/>
    </row>
    <row r="26921" spans="9:13" x14ac:dyDescent="0.3">
      <c r="I26921" s="82"/>
      <c r="M26921" s="85"/>
    </row>
    <row r="26922" spans="9:13" x14ac:dyDescent="0.3">
      <c r="I26922" s="82"/>
      <c r="M26922" s="85"/>
    </row>
    <row r="26923" spans="9:13" x14ac:dyDescent="0.3">
      <c r="I26923" s="82"/>
      <c r="M26923" s="85"/>
    </row>
    <row r="26924" spans="9:13" x14ac:dyDescent="0.3">
      <c r="I26924" s="82"/>
      <c r="M26924" s="85"/>
    </row>
    <row r="26925" spans="9:13" x14ac:dyDescent="0.3">
      <c r="I26925" s="82"/>
      <c r="M26925" s="85"/>
    </row>
    <row r="26926" spans="9:13" x14ac:dyDescent="0.3">
      <c r="I26926" s="82"/>
      <c r="M26926" s="85"/>
    </row>
    <row r="26927" spans="9:13" x14ac:dyDescent="0.3">
      <c r="I26927" s="82"/>
      <c r="M26927" s="85"/>
    </row>
    <row r="26928" spans="9:13" x14ac:dyDescent="0.3">
      <c r="I26928" s="82"/>
      <c r="M26928" s="85"/>
    </row>
    <row r="26929" spans="9:13" x14ac:dyDescent="0.3">
      <c r="I26929" s="82"/>
      <c r="M26929" s="85"/>
    </row>
    <row r="26930" spans="9:13" x14ac:dyDescent="0.3">
      <c r="I26930" s="82"/>
      <c r="M26930" s="85"/>
    </row>
    <row r="26931" spans="9:13" x14ac:dyDescent="0.3">
      <c r="I26931" s="82"/>
      <c r="M26931" s="85"/>
    </row>
    <row r="26932" spans="9:13" x14ac:dyDescent="0.3">
      <c r="I26932" s="82"/>
      <c r="M26932" s="85"/>
    </row>
    <row r="26933" spans="9:13" x14ac:dyDescent="0.3">
      <c r="I26933" s="82"/>
      <c r="M26933" s="85"/>
    </row>
    <row r="26934" spans="9:13" x14ac:dyDescent="0.3">
      <c r="I26934" s="82"/>
      <c r="M26934" s="85"/>
    </row>
    <row r="26935" spans="9:13" x14ac:dyDescent="0.3">
      <c r="I26935" s="82"/>
      <c r="M26935" s="85"/>
    </row>
    <row r="26936" spans="9:13" x14ac:dyDescent="0.3">
      <c r="I26936" s="82"/>
      <c r="M26936" s="85"/>
    </row>
    <row r="26937" spans="9:13" x14ac:dyDescent="0.3">
      <c r="I26937" s="82"/>
      <c r="M26937" s="85"/>
    </row>
    <row r="26938" spans="9:13" x14ac:dyDescent="0.3">
      <c r="I26938" s="82"/>
      <c r="M26938" s="85"/>
    </row>
    <row r="26939" spans="9:13" x14ac:dyDescent="0.3">
      <c r="I26939" s="82"/>
      <c r="M26939" s="85"/>
    </row>
    <row r="26940" spans="9:13" x14ac:dyDescent="0.3">
      <c r="I26940" s="82"/>
      <c r="M26940" s="85"/>
    </row>
    <row r="26941" spans="9:13" x14ac:dyDescent="0.3">
      <c r="I26941" s="82"/>
      <c r="M26941" s="85"/>
    </row>
    <row r="26942" spans="9:13" x14ac:dyDescent="0.3">
      <c r="I26942" s="82"/>
      <c r="M26942" s="85"/>
    </row>
    <row r="26943" spans="9:13" x14ac:dyDescent="0.3">
      <c r="I26943" s="82"/>
      <c r="M26943" s="85"/>
    </row>
    <row r="26944" spans="9:13" x14ac:dyDescent="0.3">
      <c r="I26944" s="82"/>
      <c r="M26944" s="85"/>
    </row>
    <row r="26945" spans="9:13" x14ac:dyDescent="0.3">
      <c r="I26945" s="82"/>
      <c r="M26945" s="85"/>
    </row>
    <row r="26946" spans="9:13" x14ac:dyDescent="0.3">
      <c r="I26946" s="82"/>
      <c r="M26946" s="85"/>
    </row>
    <row r="26947" spans="9:13" x14ac:dyDescent="0.3">
      <c r="I26947" s="82"/>
      <c r="M26947" s="85"/>
    </row>
    <row r="26948" spans="9:13" x14ac:dyDescent="0.3">
      <c r="I26948" s="82"/>
      <c r="M26948" s="85"/>
    </row>
    <row r="26949" spans="9:13" x14ac:dyDescent="0.3">
      <c r="I26949" s="82"/>
      <c r="M26949" s="85"/>
    </row>
    <row r="26950" spans="9:13" x14ac:dyDescent="0.3">
      <c r="I26950" s="82"/>
      <c r="M26950" s="85"/>
    </row>
    <row r="26951" spans="9:13" x14ac:dyDescent="0.3">
      <c r="I26951" s="82"/>
      <c r="M26951" s="85"/>
    </row>
    <row r="26952" spans="9:13" x14ac:dyDescent="0.3">
      <c r="I26952" s="82"/>
      <c r="M26952" s="85"/>
    </row>
    <row r="26953" spans="9:13" x14ac:dyDescent="0.3">
      <c r="I26953" s="82"/>
      <c r="M26953" s="85"/>
    </row>
    <row r="26954" spans="9:13" x14ac:dyDescent="0.3">
      <c r="I26954" s="82"/>
      <c r="M26954" s="85"/>
    </row>
    <row r="26955" spans="9:13" x14ac:dyDescent="0.3">
      <c r="I26955" s="82"/>
      <c r="M26955" s="85"/>
    </row>
    <row r="26956" spans="9:13" x14ac:dyDescent="0.3">
      <c r="I26956" s="82"/>
      <c r="M26956" s="85"/>
    </row>
    <row r="26957" spans="9:13" x14ac:dyDescent="0.3">
      <c r="I26957" s="82"/>
      <c r="M26957" s="85"/>
    </row>
    <row r="26958" spans="9:13" x14ac:dyDescent="0.3">
      <c r="I26958" s="82"/>
      <c r="M26958" s="85"/>
    </row>
    <row r="26959" spans="9:13" x14ac:dyDescent="0.3">
      <c r="I26959" s="82"/>
      <c r="M26959" s="85"/>
    </row>
    <row r="26960" spans="9:13" x14ac:dyDescent="0.3">
      <c r="I26960" s="82"/>
      <c r="M26960" s="85"/>
    </row>
    <row r="26961" spans="9:13" x14ac:dyDescent="0.3">
      <c r="I26961" s="82"/>
      <c r="M26961" s="85"/>
    </row>
    <row r="26962" spans="9:13" x14ac:dyDescent="0.3">
      <c r="I26962" s="82"/>
      <c r="M26962" s="85"/>
    </row>
    <row r="26963" spans="9:13" x14ac:dyDescent="0.3">
      <c r="I26963" s="82"/>
      <c r="M26963" s="85"/>
    </row>
    <row r="26964" spans="9:13" x14ac:dyDescent="0.3">
      <c r="I26964" s="82"/>
      <c r="M26964" s="85"/>
    </row>
    <row r="26965" spans="9:13" x14ac:dyDescent="0.3">
      <c r="I26965" s="82"/>
      <c r="M26965" s="85"/>
    </row>
    <row r="26966" spans="9:13" x14ac:dyDescent="0.3">
      <c r="I26966" s="82"/>
      <c r="M26966" s="85"/>
    </row>
    <row r="26967" spans="9:13" x14ac:dyDescent="0.3">
      <c r="I26967" s="82"/>
      <c r="M26967" s="85"/>
    </row>
    <row r="26968" spans="9:13" x14ac:dyDescent="0.3">
      <c r="I26968" s="82"/>
      <c r="M26968" s="85"/>
    </row>
    <row r="26969" spans="9:13" x14ac:dyDescent="0.3">
      <c r="I26969" s="82"/>
      <c r="M26969" s="85"/>
    </row>
    <row r="26970" spans="9:13" x14ac:dyDescent="0.3">
      <c r="I26970" s="82"/>
      <c r="M26970" s="85"/>
    </row>
    <row r="26971" spans="9:13" x14ac:dyDescent="0.3">
      <c r="I26971" s="82"/>
      <c r="M26971" s="85"/>
    </row>
    <row r="26972" spans="9:13" x14ac:dyDescent="0.3">
      <c r="I26972" s="82"/>
      <c r="M26972" s="85"/>
    </row>
    <row r="26973" spans="9:13" x14ac:dyDescent="0.3">
      <c r="I26973" s="82"/>
      <c r="M26973" s="85"/>
    </row>
    <row r="26974" spans="9:13" x14ac:dyDescent="0.3">
      <c r="I26974" s="82"/>
      <c r="M26974" s="85"/>
    </row>
    <row r="26975" spans="9:13" x14ac:dyDescent="0.3">
      <c r="I26975" s="82"/>
      <c r="M26975" s="85"/>
    </row>
    <row r="26976" spans="9:13" x14ac:dyDescent="0.3">
      <c r="I26976" s="82"/>
      <c r="M26976" s="85"/>
    </row>
    <row r="26977" spans="9:13" x14ac:dyDescent="0.3">
      <c r="I26977" s="82"/>
      <c r="M26977" s="85"/>
    </row>
    <row r="26978" spans="9:13" x14ac:dyDescent="0.3">
      <c r="I26978" s="82"/>
      <c r="M26978" s="85"/>
    </row>
    <row r="26979" spans="9:13" x14ac:dyDescent="0.3">
      <c r="I26979" s="82"/>
      <c r="M26979" s="85"/>
    </row>
    <row r="26980" spans="9:13" x14ac:dyDescent="0.3">
      <c r="I26980" s="82"/>
      <c r="M26980" s="85"/>
    </row>
    <row r="26981" spans="9:13" x14ac:dyDescent="0.3">
      <c r="I26981" s="82"/>
      <c r="M26981" s="85"/>
    </row>
    <row r="26982" spans="9:13" x14ac:dyDescent="0.3">
      <c r="I26982" s="82"/>
      <c r="M26982" s="85"/>
    </row>
    <row r="26983" spans="9:13" x14ac:dyDescent="0.3">
      <c r="I26983" s="82"/>
      <c r="M26983" s="85"/>
    </row>
    <row r="26984" spans="9:13" x14ac:dyDescent="0.3">
      <c r="I26984" s="82"/>
      <c r="M26984" s="85"/>
    </row>
    <row r="26985" spans="9:13" x14ac:dyDescent="0.3">
      <c r="I26985" s="82"/>
      <c r="M26985" s="85"/>
    </row>
    <row r="26986" spans="9:13" x14ac:dyDescent="0.3">
      <c r="I26986" s="82"/>
      <c r="M26986" s="85"/>
    </row>
    <row r="26987" spans="9:13" x14ac:dyDescent="0.3">
      <c r="I26987" s="82"/>
      <c r="M26987" s="85"/>
    </row>
    <row r="26988" spans="9:13" x14ac:dyDescent="0.3">
      <c r="I26988" s="82"/>
      <c r="M26988" s="85"/>
    </row>
    <row r="26989" spans="9:13" x14ac:dyDescent="0.3">
      <c r="I26989" s="82"/>
      <c r="M26989" s="85"/>
    </row>
    <row r="26990" spans="9:13" x14ac:dyDescent="0.3">
      <c r="I26990" s="82"/>
      <c r="M26990" s="85"/>
    </row>
    <row r="26991" spans="9:13" x14ac:dyDescent="0.3">
      <c r="I26991" s="82"/>
      <c r="M26991" s="85"/>
    </row>
    <row r="26992" spans="9:13" x14ac:dyDescent="0.3">
      <c r="I26992" s="82"/>
      <c r="M26992" s="85"/>
    </row>
    <row r="26993" spans="9:13" x14ac:dyDescent="0.3">
      <c r="I26993" s="82"/>
      <c r="M26993" s="85"/>
    </row>
    <row r="26994" spans="9:13" x14ac:dyDescent="0.3">
      <c r="I26994" s="82"/>
      <c r="M26994" s="85"/>
    </row>
    <row r="26995" spans="9:13" x14ac:dyDescent="0.3">
      <c r="I26995" s="82"/>
      <c r="M26995" s="85"/>
    </row>
    <row r="26996" spans="9:13" x14ac:dyDescent="0.3">
      <c r="I26996" s="82"/>
      <c r="M26996" s="85"/>
    </row>
    <row r="26997" spans="9:13" x14ac:dyDescent="0.3">
      <c r="I26997" s="82"/>
      <c r="M26997" s="85"/>
    </row>
    <row r="26998" spans="9:13" x14ac:dyDescent="0.3">
      <c r="I26998" s="82"/>
      <c r="M26998" s="85"/>
    </row>
    <row r="26999" spans="9:13" x14ac:dyDescent="0.3">
      <c r="I26999" s="82"/>
      <c r="M26999" s="85"/>
    </row>
    <row r="27000" spans="9:13" x14ac:dyDescent="0.3">
      <c r="I27000" s="82"/>
      <c r="M27000" s="85"/>
    </row>
    <row r="27001" spans="9:13" x14ac:dyDescent="0.3">
      <c r="I27001" s="82"/>
      <c r="M27001" s="85"/>
    </row>
    <row r="27002" spans="9:13" x14ac:dyDescent="0.3">
      <c r="I27002" s="82"/>
      <c r="M27002" s="85"/>
    </row>
    <row r="27003" spans="9:13" x14ac:dyDescent="0.3">
      <c r="I27003" s="82"/>
      <c r="M27003" s="85"/>
    </row>
    <row r="27004" spans="9:13" x14ac:dyDescent="0.3">
      <c r="I27004" s="82"/>
      <c r="M27004" s="85"/>
    </row>
    <row r="27005" spans="9:13" x14ac:dyDescent="0.3">
      <c r="I27005" s="82"/>
      <c r="M27005" s="85"/>
    </row>
    <row r="27006" spans="9:13" x14ac:dyDescent="0.3">
      <c r="I27006" s="82"/>
      <c r="M27006" s="85"/>
    </row>
    <row r="27007" spans="9:13" x14ac:dyDescent="0.3">
      <c r="I27007" s="82"/>
      <c r="M27007" s="85"/>
    </row>
    <row r="27008" spans="9:13" x14ac:dyDescent="0.3">
      <c r="I27008" s="82"/>
      <c r="M27008" s="85"/>
    </row>
    <row r="27009" spans="9:13" x14ac:dyDescent="0.3">
      <c r="I27009" s="82"/>
      <c r="M27009" s="85"/>
    </row>
    <row r="27010" spans="9:13" x14ac:dyDescent="0.3">
      <c r="I27010" s="82"/>
      <c r="M27010" s="85"/>
    </row>
    <row r="27011" spans="9:13" x14ac:dyDescent="0.3">
      <c r="I27011" s="82"/>
      <c r="M27011" s="85"/>
    </row>
    <row r="27012" spans="9:13" x14ac:dyDescent="0.3">
      <c r="I27012" s="82"/>
      <c r="M27012" s="85"/>
    </row>
    <row r="27013" spans="9:13" x14ac:dyDescent="0.3">
      <c r="I27013" s="82"/>
      <c r="M27013" s="85"/>
    </row>
    <row r="27014" spans="9:13" x14ac:dyDescent="0.3">
      <c r="I27014" s="82"/>
      <c r="M27014" s="85"/>
    </row>
    <row r="27015" spans="9:13" x14ac:dyDescent="0.3">
      <c r="I27015" s="82"/>
      <c r="M27015" s="85"/>
    </row>
    <row r="27016" spans="9:13" x14ac:dyDescent="0.3">
      <c r="I27016" s="82"/>
      <c r="M27016" s="85"/>
    </row>
    <row r="27017" spans="9:13" x14ac:dyDescent="0.3">
      <c r="I27017" s="82"/>
      <c r="M27017" s="85"/>
    </row>
    <row r="27018" spans="9:13" x14ac:dyDescent="0.3">
      <c r="I27018" s="82"/>
      <c r="M27018" s="85"/>
    </row>
    <row r="27019" spans="9:13" x14ac:dyDescent="0.3">
      <c r="I27019" s="82"/>
      <c r="M27019" s="85"/>
    </row>
    <row r="27020" spans="9:13" x14ac:dyDescent="0.3">
      <c r="I27020" s="82"/>
      <c r="M27020" s="85"/>
    </row>
    <row r="27021" spans="9:13" x14ac:dyDescent="0.3">
      <c r="I27021" s="82"/>
      <c r="M27021" s="85"/>
    </row>
    <row r="27022" spans="9:13" x14ac:dyDescent="0.3">
      <c r="I27022" s="82"/>
      <c r="M27022" s="85"/>
    </row>
    <row r="27023" spans="9:13" x14ac:dyDescent="0.3">
      <c r="I27023" s="82"/>
      <c r="M27023" s="85"/>
    </row>
    <row r="27024" spans="9:13" x14ac:dyDescent="0.3">
      <c r="I27024" s="82"/>
      <c r="M27024" s="85"/>
    </row>
    <row r="27025" spans="9:13" x14ac:dyDescent="0.3">
      <c r="I27025" s="82"/>
      <c r="M27025" s="85"/>
    </row>
    <row r="27026" spans="9:13" x14ac:dyDescent="0.3">
      <c r="I27026" s="82"/>
      <c r="M27026" s="85"/>
    </row>
    <row r="27027" spans="9:13" x14ac:dyDescent="0.3">
      <c r="I27027" s="82"/>
      <c r="M27027" s="85"/>
    </row>
    <row r="27028" spans="9:13" x14ac:dyDescent="0.3">
      <c r="I27028" s="82"/>
      <c r="M27028" s="85"/>
    </row>
    <row r="27029" spans="9:13" x14ac:dyDescent="0.3">
      <c r="I27029" s="82"/>
      <c r="M27029" s="85"/>
    </row>
    <row r="27030" spans="9:13" x14ac:dyDescent="0.3">
      <c r="I27030" s="82"/>
      <c r="M27030" s="85"/>
    </row>
    <row r="27031" spans="9:13" x14ac:dyDescent="0.3">
      <c r="I27031" s="82"/>
      <c r="M27031" s="85"/>
    </row>
    <row r="27032" spans="9:13" x14ac:dyDescent="0.3">
      <c r="I27032" s="82"/>
      <c r="M27032" s="85"/>
    </row>
    <row r="27033" spans="9:13" x14ac:dyDescent="0.3">
      <c r="I27033" s="82"/>
      <c r="M27033" s="85"/>
    </row>
    <row r="27034" spans="9:13" x14ac:dyDescent="0.3">
      <c r="I27034" s="82"/>
      <c r="M27034" s="85"/>
    </row>
    <row r="27035" spans="9:13" x14ac:dyDescent="0.3">
      <c r="I27035" s="82"/>
      <c r="M27035" s="85"/>
    </row>
    <row r="27036" spans="9:13" x14ac:dyDescent="0.3">
      <c r="I27036" s="82"/>
      <c r="M27036" s="85"/>
    </row>
    <row r="27037" spans="9:13" x14ac:dyDescent="0.3">
      <c r="I27037" s="82"/>
      <c r="M27037" s="85"/>
    </row>
    <row r="27038" spans="9:13" x14ac:dyDescent="0.3">
      <c r="I27038" s="82"/>
      <c r="M27038" s="85"/>
    </row>
    <row r="27039" spans="9:13" x14ac:dyDescent="0.3">
      <c r="I27039" s="82"/>
      <c r="M27039" s="85"/>
    </row>
    <row r="27040" spans="9:13" x14ac:dyDescent="0.3">
      <c r="I27040" s="82"/>
      <c r="M27040" s="85"/>
    </row>
    <row r="27041" spans="9:13" x14ac:dyDescent="0.3">
      <c r="I27041" s="82"/>
      <c r="M27041" s="85"/>
    </row>
    <row r="27042" spans="9:13" x14ac:dyDescent="0.3">
      <c r="I27042" s="82"/>
      <c r="M27042" s="85"/>
    </row>
    <row r="27043" spans="9:13" x14ac:dyDescent="0.3">
      <c r="I27043" s="82"/>
      <c r="M27043" s="85"/>
    </row>
    <row r="27044" spans="9:13" x14ac:dyDescent="0.3">
      <c r="I27044" s="82"/>
      <c r="M27044" s="85"/>
    </row>
    <row r="27045" spans="9:13" x14ac:dyDescent="0.3">
      <c r="I27045" s="82"/>
      <c r="M27045" s="85"/>
    </row>
    <row r="27046" spans="9:13" x14ac:dyDescent="0.3">
      <c r="I27046" s="82"/>
      <c r="M27046" s="85"/>
    </row>
    <row r="27047" spans="9:13" x14ac:dyDescent="0.3">
      <c r="I27047" s="82"/>
      <c r="M27047" s="85"/>
    </row>
    <row r="27048" spans="9:13" x14ac:dyDescent="0.3">
      <c r="I27048" s="82"/>
      <c r="M27048" s="85"/>
    </row>
    <row r="27049" spans="9:13" x14ac:dyDescent="0.3">
      <c r="I27049" s="82"/>
      <c r="M27049" s="85"/>
    </row>
    <row r="27050" spans="9:13" x14ac:dyDescent="0.3">
      <c r="I27050" s="82"/>
      <c r="M27050" s="85"/>
    </row>
    <row r="27051" spans="9:13" x14ac:dyDescent="0.3">
      <c r="I27051" s="82"/>
      <c r="M27051" s="85"/>
    </row>
    <row r="27052" spans="9:13" x14ac:dyDescent="0.3">
      <c r="I27052" s="82"/>
      <c r="M27052" s="85"/>
    </row>
    <row r="27053" spans="9:13" x14ac:dyDescent="0.3">
      <c r="I27053" s="82"/>
      <c r="M27053" s="85"/>
    </row>
    <row r="27054" spans="9:13" x14ac:dyDescent="0.3">
      <c r="I27054" s="82"/>
      <c r="M27054" s="85"/>
    </row>
    <row r="27055" spans="9:13" x14ac:dyDescent="0.3">
      <c r="I27055" s="82"/>
      <c r="M27055" s="85"/>
    </row>
    <row r="27056" spans="9:13" x14ac:dyDescent="0.3">
      <c r="I27056" s="82"/>
      <c r="M27056" s="85"/>
    </row>
    <row r="27057" spans="9:13" x14ac:dyDescent="0.3">
      <c r="I27057" s="82"/>
      <c r="M27057" s="85"/>
    </row>
    <row r="27058" spans="9:13" x14ac:dyDescent="0.3">
      <c r="I27058" s="82"/>
      <c r="M27058" s="85"/>
    </row>
    <row r="27059" spans="9:13" x14ac:dyDescent="0.3">
      <c r="I27059" s="82"/>
      <c r="M27059" s="85"/>
    </row>
    <row r="27060" spans="9:13" x14ac:dyDescent="0.3">
      <c r="I27060" s="82"/>
      <c r="M27060" s="85"/>
    </row>
    <row r="27061" spans="9:13" x14ac:dyDescent="0.3">
      <c r="I27061" s="82"/>
      <c r="M27061" s="85"/>
    </row>
    <row r="27062" spans="9:13" x14ac:dyDescent="0.3">
      <c r="I27062" s="82"/>
      <c r="M27062" s="85"/>
    </row>
    <row r="27063" spans="9:13" x14ac:dyDescent="0.3">
      <c r="I27063" s="82"/>
      <c r="M27063" s="85"/>
    </row>
    <row r="27064" spans="9:13" x14ac:dyDescent="0.3">
      <c r="I27064" s="82"/>
      <c r="M27064" s="85"/>
    </row>
    <row r="27065" spans="9:13" x14ac:dyDescent="0.3">
      <c r="I27065" s="82"/>
      <c r="M27065" s="85"/>
    </row>
    <row r="27066" spans="9:13" x14ac:dyDescent="0.3">
      <c r="I27066" s="82"/>
      <c r="M27066" s="85"/>
    </row>
    <row r="27067" spans="9:13" x14ac:dyDescent="0.3">
      <c r="I27067" s="82"/>
      <c r="M27067" s="85"/>
    </row>
    <row r="27068" spans="9:13" x14ac:dyDescent="0.3">
      <c r="I27068" s="82"/>
      <c r="M27068" s="85"/>
    </row>
    <row r="27069" spans="9:13" x14ac:dyDescent="0.3">
      <c r="I27069" s="82"/>
      <c r="M27069" s="85"/>
    </row>
    <row r="27070" spans="9:13" x14ac:dyDescent="0.3">
      <c r="I27070" s="82"/>
      <c r="M27070" s="85"/>
    </row>
    <row r="27071" spans="9:13" x14ac:dyDescent="0.3">
      <c r="I27071" s="82"/>
      <c r="M27071" s="85"/>
    </row>
    <row r="27072" spans="9:13" x14ac:dyDescent="0.3">
      <c r="I27072" s="82"/>
      <c r="M27072" s="85"/>
    </row>
    <row r="27073" spans="9:13" x14ac:dyDescent="0.3">
      <c r="I27073" s="82"/>
      <c r="M27073" s="85"/>
    </row>
    <row r="27074" spans="9:13" x14ac:dyDescent="0.3">
      <c r="I27074" s="82"/>
      <c r="M27074" s="85"/>
    </row>
    <row r="27075" spans="9:13" x14ac:dyDescent="0.3">
      <c r="I27075" s="82"/>
      <c r="M27075" s="85"/>
    </row>
    <row r="27076" spans="9:13" x14ac:dyDescent="0.3">
      <c r="I27076" s="82"/>
      <c r="M27076" s="85"/>
    </row>
    <row r="27077" spans="9:13" x14ac:dyDescent="0.3">
      <c r="I27077" s="82"/>
      <c r="M27077" s="85"/>
    </row>
    <row r="27078" spans="9:13" x14ac:dyDescent="0.3">
      <c r="I27078" s="82"/>
      <c r="M27078" s="85"/>
    </row>
    <row r="27079" spans="9:13" x14ac:dyDescent="0.3">
      <c r="I27079" s="82"/>
      <c r="M27079" s="85"/>
    </row>
    <row r="27080" spans="9:13" x14ac:dyDescent="0.3">
      <c r="I27080" s="82"/>
      <c r="M27080" s="85"/>
    </row>
    <row r="27081" spans="9:13" x14ac:dyDescent="0.3">
      <c r="I27081" s="82"/>
      <c r="M27081" s="85"/>
    </row>
    <row r="27082" spans="9:13" x14ac:dyDescent="0.3">
      <c r="I27082" s="82"/>
      <c r="M27082" s="85"/>
    </row>
    <row r="27083" spans="9:13" x14ac:dyDescent="0.3">
      <c r="I27083" s="82"/>
      <c r="M27083" s="85"/>
    </row>
    <row r="27084" spans="9:13" x14ac:dyDescent="0.3">
      <c r="I27084" s="82"/>
      <c r="M27084" s="85"/>
    </row>
    <row r="27085" spans="9:13" x14ac:dyDescent="0.3">
      <c r="I27085" s="82"/>
      <c r="M27085" s="85"/>
    </row>
    <row r="27086" spans="9:13" x14ac:dyDescent="0.3">
      <c r="I27086" s="82"/>
      <c r="M27086" s="85"/>
    </row>
    <row r="27087" spans="9:13" x14ac:dyDescent="0.3">
      <c r="I27087" s="82"/>
      <c r="M27087" s="85"/>
    </row>
    <row r="27088" spans="9:13" x14ac:dyDescent="0.3">
      <c r="I27088" s="82"/>
      <c r="M27088" s="85"/>
    </row>
    <row r="27089" spans="9:13" x14ac:dyDescent="0.3">
      <c r="I27089" s="82"/>
      <c r="M27089" s="85"/>
    </row>
    <row r="27090" spans="9:13" x14ac:dyDescent="0.3">
      <c r="I27090" s="82"/>
      <c r="M27090" s="85"/>
    </row>
    <row r="27091" spans="9:13" x14ac:dyDescent="0.3">
      <c r="I27091" s="82"/>
      <c r="M27091" s="85"/>
    </row>
    <row r="27092" spans="9:13" x14ac:dyDescent="0.3">
      <c r="I27092" s="82"/>
      <c r="M27092" s="85"/>
    </row>
    <row r="27093" spans="9:13" x14ac:dyDescent="0.3">
      <c r="I27093" s="82"/>
      <c r="M27093" s="85"/>
    </row>
    <row r="27094" spans="9:13" x14ac:dyDescent="0.3">
      <c r="I27094" s="82"/>
      <c r="M27094" s="85"/>
    </row>
    <row r="27095" spans="9:13" x14ac:dyDescent="0.3">
      <c r="I27095" s="82"/>
      <c r="M27095" s="85"/>
    </row>
    <row r="27096" spans="9:13" x14ac:dyDescent="0.3">
      <c r="I27096" s="82"/>
      <c r="M27096" s="85"/>
    </row>
    <row r="27097" spans="9:13" x14ac:dyDescent="0.3">
      <c r="I27097" s="82"/>
      <c r="M27097" s="85"/>
    </row>
    <row r="27098" spans="9:13" x14ac:dyDescent="0.3">
      <c r="I27098" s="82"/>
      <c r="M27098" s="85"/>
    </row>
    <row r="27099" spans="9:13" x14ac:dyDescent="0.3">
      <c r="I27099" s="82"/>
      <c r="M27099" s="85"/>
    </row>
    <row r="27100" spans="9:13" x14ac:dyDescent="0.3">
      <c r="I27100" s="82"/>
      <c r="M27100" s="85"/>
    </row>
    <row r="27101" spans="9:13" x14ac:dyDescent="0.3">
      <c r="I27101" s="82"/>
      <c r="M27101" s="85"/>
    </row>
    <row r="27102" spans="9:13" x14ac:dyDescent="0.3">
      <c r="I27102" s="82"/>
      <c r="M27102" s="85"/>
    </row>
    <row r="27103" spans="9:13" x14ac:dyDescent="0.3">
      <c r="I27103" s="82"/>
      <c r="M27103" s="85"/>
    </row>
    <row r="27104" spans="9:13" x14ac:dyDescent="0.3">
      <c r="I27104" s="82"/>
      <c r="M27104" s="85"/>
    </row>
    <row r="27105" spans="9:13" x14ac:dyDescent="0.3">
      <c r="I27105" s="82"/>
      <c r="M27105" s="85"/>
    </row>
    <row r="27106" spans="9:13" x14ac:dyDescent="0.3">
      <c r="I27106" s="82"/>
      <c r="M27106" s="85"/>
    </row>
    <row r="27107" spans="9:13" x14ac:dyDescent="0.3">
      <c r="I27107" s="82"/>
      <c r="M27107" s="85"/>
    </row>
    <row r="27108" spans="9:13" x14ac:dyDescent="0.3">
      <c r="I27108" s="82"/>
      <c r="M27108" s="85"/>
    </row>
    <row r="27109" spans="9:13" x14ac:dyDescent="0.3">
      <c r="I27109" s="82"/>
      <c r="M27109" s="85"/>
    </row>
    <row r="27110" spans="9:13" x14ac:dyDescent="0.3">
      <c r="I27110" s="82"/>
      <c r="M27110" s="85"/>
    </row>
    <row r="27111" spans="9:13" x14ac:dyDescent="0.3">
      <c r="I27111" s="82"/>
      <c r="M27111" s="85"/>
    </row>
    <row r="27112" spans="9:13" x14ac:dyDescent="0.3">
      <c r="I27112" s="82"/>
      <c r="M27112" s="85"/>
    </row>
    <row r="27113" spans="9:13" x14ac:dyDescent="0.3">
      <c r="I27113" s="82"/>
      <c r="M27113" s="85"/>
    </row>
    <row r="27114" spans="9:13" x14ac:dyDescent="0.3">
      <c r="I27114" s="82"/>
      <c r="M27114" s="85"/>
    </row>
    <row r="27115" spans="9:13" x14ac:dyDescent="0.3">
      <c r="I27115" s="82"/>
      <c r="M27115" s="85"/>
    </row>
    <row r="27116" spans="9:13" x14ac:dyDescent="0.3">
      <c r="I27116" s="82"/>
      <c r="M27116" s="85"/>
    </row>
    <row r="27117" spans="9:13" x14ac:dyDescent="0.3">
      <c r="I27117" s="82"/>
      <c r="M27117" s="85"/>
    </row>
    <row r="27118" spans="9:13" x14ac:dyDescent="0.3">
      <c r="I27118" s="82"/>
      <c r="M27118" s="85"/>
    </row>
    <row r="27119" spans="9:13" x14ac:dyDescent="0.3">
      <c r="I27119" s="82"/>
      <c r="M27119" s="85"/>
    </row>
    <row r="27120" spans="9:13" x14ac:dyDescent="0.3">
      <c r="I27120" s="82"/>
      <c r="M27120" s="85"/>
    </row>
    <row r="27121" spans="9:13" x14ac:dyDescent="0.3">
      <c r="I27121" s="82"/>
      <c r="M27121" s="85"/>
    </row>
    <row r="27122" spans="9:13" x14ac:dyDescent="0.3">
      <c r="I27122" s="82"/>
      <c r="M27122" s="85"/>
    </row>
    <row r="27123" spans="9:13" x14ac:dyDescent="0.3">
      <c r="I27123" s="82"/>
      <c r="M27123" s="85"/>
    </row>
    <row r="27124" spans="9:13" x14ac:dyDescent="0.3">
      <c r="I27124" s="82"/>
      <c r="M27124" s="85"/>
    </row>
    <row r="27125" spans="9:13" x14ac:dyDescent="0.3">
      <c r="I27125" s="82"/>
      <c r="M27125" s="85"/>
    </row>
    <row r="27126" spans="9:13" x14ac:dyDescent="0.3">
      <c r="I27126" s="82"/>
      <c r="M27126" s="85"/>
    </row>
    <row r="27127" spans="9:13" x14ac:dyDescent="0.3">
      <c r="I27127" s="82"/>
      <c r="M27127" s="85"/>
    </row>
    <row r="27128" spans="9:13" x14ac:dyDescent="0.3">
      <c r="I27128" s="82"/>
      <c r="M27128" s="85"/>
    </row>
    <row r="27129" spans="9:13" x14ac:dyDescent="0.3">
      <c r="I27129" s="82"/>
      <c r="M27129" s="85"/>
    </row>
    <row r="27130" spans="9:13" x14ac:dyDescent="0.3">
      <c r="I27130" s="82"/>
      <c r="M27130" s="85"/>
    </row>
    <row r="27131" spans="9:13" x14ac:dyDescent="0.3">
      <c r="I27131" s="82"/>
      <c r="M27131" s="85"/>
    </row>
    <row r="27132" spans="9:13" x14ac:dyDescent="0.3">
      <c r="I27132" s="82"/>
      <c r="M27132" s="85"/>
    </row>
    <row r="27133" spans="9:13" x14ac:dyDescent="0.3">
      <c r="I27133" s="82"/>
      <c r="M27133" s="85"/>
    </row>
    <row r="27134" spans="9:13" x14ac:dyDescent="0.3">
      <c r="I27134" s="82"/>
      <c r="M27134" s="85"/>
    </row>
    <row r="27135" spans="9:13" x14ac:dyDescent="0.3">
      <c r="I27135" s="82"/>
      <c r="M27135" s="85"/>
    </row>
    <row r="27136" spans="9:13" x14ac:dyDescent="0.3">
      <c r="I27136" s="82"/>
      <c r="M27136" s="85"/>
    </row>
    <row r="27137" spans="9:13" x14ac:dyDescent="0.3">
      <c r="I27137" s="82"/>
      <c r="M27137" s="85"/>
    </row>
    <row r="27138" spans="9:13" x14ac:dyDescent="0.3">
      <c r="I27138" s="82"/>
      <c r="M27138" s="85"/>
    </row>
    <row r="27139" spans="9:13" x14ac:dyDescent="0.3">
      <c r="I27139" s="82"/>
      <c r="M27139" s="85"/>
    </row>
    <row r="27140" spans="9:13" x14ac:dyDescent="0.3">
      <c r="I27140" s="82"/>
      <c r="M27140" s="85"/>
    </row>
    <row r="27141" spans="9:13" x14ac:dyDescent="0.3">
      <c r="I27141" s="82"/>
      <c r="M27141" s="85"/>
    </row>
    <row r="27142" spans="9:13" x14ac:dyDescent="0.3">
      <c r="I27142" s="82"/>
      <c r="M27142" s="85"/>
    </row>
    <row r="27143" spans="9:13" x14ac:dyDescent="0.3">
      <c r="I27143" s="82"/>
      <c r="M27143" s="85"/>
    </row>
    <row r="27144" spans="9:13" x14ac:dyDescent="0.3">
      <c r="I27144" s="82"/>
      <c r="M27144" s="85"/>
    </row>
    <row r="27145" spans="9:13" x14ac:dyDescent="0.3">
      <c r="I27145" s="82"/>
      <c r="M27145" s="85"/>
    </row>
    <row r="27146" spans="9:13" x14ac:dyDescent="0.3">
      <c r="I27146" s="82"/>
      <c r="M27146" s="85"/>
    </row>
    <row r="27147" spans="9:13" x14ac:dyDescent="0.3">
      <c r="I27147" s="82"/>
      <c r="M27147" s="85"/>
    </row>
    <row r="27148" spans="9:13" x14ac:dyDescent="0.3">
      <c r="I27148" s="82"/>
      <c r="M27148" s="85"/>
    </row>
    <row r="27149" spans="9:13" x14ac:dyDescent="0.3">
      <c r="I27149" s="82"/>
      <c r="M27149" s="85"/>
    </row>
    <row r="27150" spans="9:13" x14ac:dyDescent="0.3">
      <c r="I27150" s="82"/>
      <c r="M27150" s="85"/>
    </row>
    <row r="27151" spans="9:13" x14ac:dyDescent="0.3">
      <c r="I27151" s="82"/>
      <c r="M27151" s="85"/>
    </row>
    <row r="27152" spans="9:13" x14ac:dyDescent="0.3">
      <c r="I27152" s="82"/>
      <c r="M27152" s="85"/>
    </row>
    <row r="27153" spans="9:13" x14ac:dyDescent="0.3">
      <c r="I27153" s="82"/>
      <c r="M27153" s="85"/>
    </row>
    <row r="27154" spans="9:13" x14ac:dyDescent="0.3">
      <c r="I27154" s="82"/>
      <c r="M27154" s="85"/>
    </row>
    <row r="27155" spans="9:13" x14ac:dyDescent="0.3">
      <c r="I27155" s="82"/>
      <c r="M27155" s="85"/>
    </row>
    <row r="27156" spans="9:13" x14ac:dyDescent="0.3">
      <c r="I27156" s="82"/>
      <c r="M27156" s="85"/>
    </row>
    <row r="27157" spans="9:13" x14ac:dyDescent="0.3">
      <c r="I27157" s="82"/>
      <c r="M27157" s="85"/>
    </row>
    <row r="27158" spans="9:13" x14ac:dyDescent="0.3">
      <c r="I27158" s="82"/>
      <c r="M27158" s="85"/>
    </row>
    <row r="27159" spans="9:13" x14ac:dyDescent="0.3">
      <c r="I27159" s="82"/>
      <c r="M27159" s="85"/>
    </row>
    <row r="27160" spans="9:13" x14ac:dyDescent="0.3">
      <c r="I27160" s="82"/>
      <c r="M27160" s="85"/>
    </row>
    <row r="27161" spans="9:13" x14ac:dyDescent="0.3">
      <c r="I27161" s="82"/>
      <c r="M27161" s="85"/>
    </row>
    <row r="27162" spans="9:13" x14ac:dyDescent="0.3">
      <c r="I27162" s="82"/>
      <c r="M27162" s="85"/>
    </row>
    <row r="27163" spans="9:13" x14ac:dyDescent="0.3">
      <c r="I27163" s="82"/>
      <c r="M27163" s="85"/>
    </row>
    <row r="27164" spans="9:13" x14ac:dyDescent="0.3">
      <c r="I27164" s="82"/>
      <c r="M27164" s="85"/>
    </row>
    <row r="27165" spans="9:13" x14ac:dyDescent="0.3">
      <c r="I27165" s="82"/>
      <c r="M27165" s="85"/>
    </row>
    <row r="27166" spans="9:13" x14ac:dyDescent="0.3">
      <c r="I27166" s="82"/>
      <c r="M27166" s="85"/>
    </row>
    <row r="27167" spans="9:13" x14ac:dyDescent="0.3">
      <c r="I27167" s="82"/>
      <c r="M27167" s="85"/>
    </row>
    <row r="27168" spans="9:13" x14ac:dyDescent="0.3">
      <c r="I27168" s="82"/>
      <c r="M27168" s="85"/>
    </row>
    <row r="27169" spans="9:13" x14ac:dyDescent="0.3">
      <c r="I27169" s="82"/>
      <c r="M27169" s="85"/>
    </row>
    <row r="27170" spans="9:13" x14ac:dyDescent="0.3">
      <c r="I27170" s="82"/>
      <c r="M27170" s="85"/>
    </row>
    <row r="27171" spans="9:13" x14ac:dyDescent="0.3">
      <c r="I27171" s="82"/>
      <c r="M27171" s="85"/>
    </row>
    <row r="27172" spans="9:13" x14ac:dyDescent="0.3">
      <c r="I27172" s="82"/>
      <c r="M27172" s="85"/>
    </row>
    <row r="27173" spans="9:13" x14ac:dyDescent="0.3">
      <c r="I27173" s="82"/>
      <c r="M27173" s="85"/>
    </row>
    <row r="27174" spans="9:13" x14ac:dyDescent="0.3">
      <c r="I27174" s="82"/>
      <c r="M27174" s="85"/>
    </row>
    <row r="27175" spans="9:13" x14ac:dyDescent="0.3">
      <c r="I27175" s="82"/>
      <c r="M27175" s="85"/>
    </row>
    <row r="27176" spans="9:13" x14ac:dyDescent="0.3">
      <c r="I27176" s="82"/>
      <c r="M27176" s="85"/>
    </row>
    <row r="27177" spans="9:13" x14ac:dyDescent="0.3">
      <c r="I27177" s="82"/>
      <c r="M27177" s="85"/>
    </row>
    <row r="27178" spans="9:13" x14ac:dyDescent="0.3">
      <c r="I27178" s="82"/>
      <c r="M27178" s="85"/>
    </row>
    <row r="27179" spans="9:13" x14ac:dyDescent="0.3">
      <c r="I27179" s="82"/>
      <c r="M27179" s="85"/>
    </row>
    <row r="27180" spans="9:13" x14ac:dyDescent="0.3">
      <c r="I27180" s="82"/>
      <c r="M27180" s="85"/>
    </row>
    <row r="27181" spans="9:13" x14ac:dyDescent="0.3">
      <c r="I27181" s="82"/>
      <c r="M27181" s="85"/>
    </row>
    <row r="27182" spans="9:13" x14ac:dyDescent="0.3">
      <c r="I27182" s="82"/>
      <c r="M27182" s="85"/>
    </row>
    <row r="27183" spans="9:13" x14ac:dyDescent="0.3">
      <c r="I27183" s="82"/>
      <c r="M27183" s="85"/>
    </row>
    <row r="27184" spans="9:13" x14ac:dyDescent="0.3">
      <c r="I27184" s="82"/>
      <c r="M27184" s="85"/>
    </row>
    <row r="27185" spans="9:13" x14ac:dyDescent="0.3">
      <c r="I27185" s="82"/>
      <c r="M27185" s="85"/>
    </row>
    <row r="27186" spans="9:13" x14ac:dyDescent="0.3">
      <c r="I27186" s="82"/>
      <c r="M27186" s="85"/>
    </row>
    <row r="27187" spans="9:13" x14ac:dyDescent="0.3">
      <c r="I27187" s="82"/>
      <c r="M27187" s="85"/>
    </row>
    <row r="27188" spans="9:13" x14ac:dyDescent="0.3">
      <c r="I27188" s="82"/>
      <c r="M27188" s="85"/>
    </row>
    <row r="27189" spans="9:13" x14ac:dyDescent="0.3">
      <c r="I27189" s="82"/>
      <c r="M27189" s="85"/>
    </row>
    <row r="27190" spans="9:13" x14ac:dyDescent="0.3">
      <c r="I27190" s="82"/>
      <c r="M27190" s="85"/>
    </row>
    <row r="27191" spans="9:13" x14ac:dyDescent="0.3">
      <c r="I27191" s="82"/>
      <c r="M27191" s="85"/>
    </row>
    <row r="27192" spans="9:13" x14ac:dyDescent="0.3">
      <c r="I27192" s="82"/>
      <c r="M27192" s="85"/>
    </row>
    <row r="27193" spans="9:13" x14ac:dyDescent="0.3">
      <c r="I27193" s="82"/>
      <c r="M27193" s="85"/>
    </row>
    <row r="27194" spans="9:13" x14ac:dyDescent="0.3">
      <c r="I27194" s="82"/>
      <c r="M27194" s="85"/>
    </row>
    <row r="27195" spans="9:13" x14ac:dyDescent="0.3">
      <c r="I27195" s="82"/>
      <c r="M27195" s="85"/>
    </row>
    <row r="27196" spans="9:13" x14ac:dyDescent="0.3">
      <c r="I27196" s="82"/>
      <c r="M27196" s="85"/>
    </row>
    <row r="27197" spans="9:13" x14ac:dyDescent="0.3">
      <c r="I27197" s="82"/>
      <c r="M27197" s="85"/>
    </row>
    <row r="27198" spans="9:13" x14ac:dyDescent="0.3">
      <c r="I27198" s="82"/>
      <c r="M27198" s="85"/>
    </row>
    <row r="27199" spans="9:13" x14ac:dyDescent="0.3">
      <c r="I27199" s="82"/>
      <c r="M27199" s="85"/>
    </row>
    <row r="27200" spans="9:13" x14ac:dyDescent="0.3">
      <c r="I27200" s="82"/>
      <c r="M27200" s="85"/>
    </row>
    <row r="27201" spans="9:13" x14ac:dyDescent="0.3">
      <c r="I27201" s="82"/>
      <c r="M27201" s="85"/>
    </row>
    <row r="27202" spans="9:13" x14ac:dyDescent="0.3">
      <c r="I27202" s="82"/>
      <c r="M27202" s="85"/>
    </row>
    <row r="27203" spans="9:13" x14ac:dyDescent="0.3">
      <c r="I27203" s="82"/>
      <c r="M27203" s="85"/>
    </row>
    <row r="27204" spans="9:13" x14ac:dyDescent="0.3">
      <c r="I27204" s="82"/>
      <c r="M27204" s="85"/>
    </row>
    <row r="27205" spans="9:13" x14ac:dyDescent="0.3">
      <c r="I27205" s="82"/>
      <c r="M27205" s="85"/>
    </row>
    <row r="27206" spans="9:13" x14ac:dyDescent="0.3">
      <c r="I27206" s="82"/>
      <c r="M27206" s="85"/>
    </row>
    <row r="27207" spans="9:13" x14ac:dyDescent="0.3">
      <c r="I27207" s="82"/>
      <c r="M27207" s="85"/>
    </row>
    <row r="27208" spans="9:13" x14ac:dyDescent="0.3">
      <c r="I27208" s="82"/>
      <c r="M27208" s="85"/>
    </row>
    <row r="27209" spans="9:13" x14ac:dyDescent="0.3">
      <c r="I27209" s="82"/>
      <c r="M27209" s="85"/>
    </row>
    <row r="27210" spans="9:13" x14ac:dyDescent="0.3">
      <c r="I27210" s="82"/>
      <c r="M27210" s="85"/>
    </row>
    <row r="27211" spans="9:13" x14ac:dyDescent="0.3">
      <c r="I27211" s="82"/>
      <c r="M27211" s="85"/>
    </row>
    <row r="27212" spans="9:13" x14ac:dyDescent="0.3">
      <c r="I27212" s="82"/>
      <c r="M27212" s="85"/>
    </row>
    <row r="27213" spans="9:13" x14ac:dyDescent="0.3">
      <c r="I27213" s="82"/>
      <c r="M27213" s="85"/>
    </row>
    <row r="27214" spans="9:13" x14ac:dyDescent="0.3">
      <c r="I27214" s="82"/>
      <c r="M27214" s="85"/>
    </row>
    <row r="27215" spans="9:13" x14ac:dyDescent="0.3">
      <c r="I27215" s="82"/>
      <c r="M27215" s="85"/>
    </row>
    <row r="27216" spans="9:13" x14ac:dyDescent="0.3">
      <c r="I27216" s="82"/>
      <c r="M27216" s="85"/>
    </row>
    <row r="27217" spans="9:13" x14ac:dyDescent="0.3">
      <c r="I27217" s="82"/>
      <c r="M27217" s="85"/>
    </row>
    <row r="27218" spans="9:13" x14ac:dyDescent="0.3">
      <c r="I27218" s="82"/>
      <c r="M27218" s="85"/>
    </row>
    <row r="27219" spans="9:13" x14ac:dyDescent="0.3">
      <c r="I27219" s="82"/>
      <c r="M27219" s="85"/>
    </row>
    <row r="27220" spans="9:13" x14ac:dyDescent="0.3">
      <c r="I27220" s="82"/>
      <c r="M27220" s="85"/>
    </row>
    <row r="27221" spans="9:13" x14ac:dyDescent="0.3">
      <c r="I27221" s="82"/>
      <c r="M27221" s="85"/>
    </row>
    <row r="27222" spans="9:13" x14ac:dyDescent="0.3">
      <c r="I27222" s="82"/>
      <c r="M27222" s="85"/>
    </row>
    <row r="27223" spans="9:13" x14ac:dyDescent="0.3">
      <c r="I27223" s="82"/>
      <c r="M27223" s="85"/>
    </row>
    <row r="27224" spans="9:13" x14ac:dyDescent="0.3">
      <c r="I27224" s="82"/>
      <c r="M27224" s="85"/>
    </row>
    <row r="27225" spans="9:13" x14ac:dyDescent="0.3">
      <c r="I27225" s="82"/>
      <c r="M27225" s="85"/>
    </row>
    <row r="27226" spans="9:13" x14ac:dyDescent="0.3">
      <c r="I27226" s="82"/>
      <c r="M27226" s="85"/>
    </row>
    <row r="27227" spans="9:13" x14ac:dyDescent="0.3">
      <c r="I27227" s="82"/>
      <c r="M27227" s="85"/>
    </row>
    <row r="27228" spans="9:13" x14ac:dyDescent="0.3">
      <c r="I27228" s="82"/>
      <c r="M27228" s="85"/>
    </row>
    <row r="27229" spans="9:13" x14ac:dyDescent="0.3">
      <c r="I27229" s="82"/>
      <c r="M27229" s="85"/>
    </row>
    <row r="27230" spans="9:13" x14ac:dyDescent="0.3">
      <c r="I27230" s="82"/>
      <c r="M27230" s="85"/>
    </row>
    <row r="27231" spans="9:13" x14ac:dyDescent="0.3">
      <c r="I27231" s="82"/>
      <c r="M27231" s="85"/>
    </row>
    <row r="27232" spans="9:13" x14ac:dyDescent="0.3">
      <c r="I27232" s="82"/>
      <c r="M27232" s="85"/>
    </row>
    <row r="27233" spans="9:13" x14ac:dyDescent="0.3">
      <c r="I27233" s="82"/>
      <c r="M27233" s="85"/>
    </row>
    <row r="27234" spans="9:13" x14ac:dyDescent="0.3">
      <c r="I27234" s="82"/>
      <c r="M27234" s="85"/>
    </row>
    <row r="27235" spans="9:13" x14ac:dyDescent="0.3">
      <c r="I27235" s="82"/>
      <c r="M27235" s="85"/>
    </row>
    <row r="27236" spans="9:13" x14ac:dyDescent="0.3">
      <c r="I27236" s="82"/>
      <c r="M27236" s="85"/>
    </row>
    <row r="27237" spans="9:13" x14ac:dyDescent="0.3">
      <c r="I27237" s="82"/>
      <c r="M27237" s="85"/>
    </row>
    <row r="27238" spans="9:13" x14ac:dyDescent="0.3">
      <c r="I27238" s="82"/>
      <c r="M27238" s="85"/>
    </row>
    <row r="27239" spans="9:13" x14ac:dyDescent="0.3">
      <c r="I27239" s="82"/>
      <c r="M27239" s="85"/>
    </row>
    <row r="27240" spans="9:13" x14ac:dyDescent="0.3">
      <c r="I27240" s="82"/>
      <c r="M27240" s="85"/>
    </row>
    <row r="27241" spans="9:13" x14ac:dyDescent="0.3">
      <c r="I27241" s="82"/>
      <c r="M27241" s="85"/>
    </row>
    <row r="27242" spans="9:13" x14ac:dyDescent="0.3">
      <c r="I27242" s="82"/>
      <c r="M27242" s="85"/>
    </row>
    <row r="27243" spans="9:13" x14ac:dyDescent="0.3">
      <c r="I27243" s="82"/>
      <c r="M27243" s="85"/>
    </row>
    <row r="27244" spans="9:13" x14ac:dyDescent="0.3">
      <c r="I27244" s="82"/>
      <c r="M27244" s="85"/>
    </row>
    <row r="27245" spans="9:13" x14ac:dyDescent="0.3">
      <c r="I27245" s="82"/>
      <c r="M27245" s="85"/>
    </row>
    <row r="27246" spans="9:13" x14ac:dyDescent="0.3">
      <c r="I27246" s="82"/>
      <c r="M27246" s="85"/>
    </row>
    <row r="27247" spans="9:13" x14ac:dyDescent="0.3">
      <c r="I27247" s="82"/>
      <c r="M27247" s="85"/>
    </row>
    <row r="27248" spans="9:13" x14ac:dyDescent="0.3">
      <c r="I27248" s="82"/>
      <c r="M27248" s="85"/>
    </row>
    <row r="27249" spans="9:13" x14ac:dyDescent="0.3">
      <c r="I27249" s="82"/>
      <c r="M27249" s="85"/>
    </row>
    <row r="27250" spans="9:13" x14ac:dyDescent="0.3">
      <c r="I27250" s="82"/>
      <c r="M27250" s="85"/>
    </row>
    <row r="27251" spans="9:13" x14ac:dyDescent="0.3">
      <c r="I27251" s="82"/>
      <c r="M27251" s="85"/>
    </row>
    <row r="27252" spans="9:13" x14ac:dyDescent="0.3">
      <c r="I27252" s="82"/>
      <c r="M27252" s="85"/>
    </row>
    <row r="27253" spans="9:13" x14ac:dyDescent="0.3">
      <c r="I27253" s="82"/>
      <c r="M27253" s="85"/>
    </row>
    <row r="27254" spans="9:13" x14ac:dyDescent="0.3">
      <c r="I27254" s="82"/>
      <c r="M27254" s="85"/>
    </row>
    <row r="27255" spans="9:13" x14ac:dyDescent="0.3">
      <c r="I27255" s="82"/>
      <c r="M27255" s="85"/>
    </row>
    <row r="27256" spans="9:13" x14ac:dyDescent="0.3">
      <c r="I27256" s="82"/>
      <c r="M27256" s="85"/>
    </row>
    <row r="27257" spans="9:13" x14ac:dyDescent="0.3">
      <c r="I27257" s="82"/>
      <c r="M27257" s="85"/>
    </row>
    <row r="27258" spans="9:13" x14ac:dyDescent="0.3">
      <c r="I27258" s="82"/>
      <c r="M27258" s="85"/>
    </row>
    <row r="27259" spans="9:13" x14ac:dyDescent="0.3">
      <c r="I27259" s="82"/>
      <c r="M27259" s="85"/>
    </row>
    <row r="27260" spans="9:13" x14ac:dyDescent="0.3">
      <c r="I27260" s="82"/>
      <c r="M27260" s="85"/>
    </row>
    <row r="27261" spans="9:13" x14ac:dyDescent="0.3">
      <c r="I27261" s="82"/>
      <c r="M27261" s="85"/>
    </row>
    <row r="27262" spans="9:13" x14ac:dyDescent="0.3">
      <c r="I27262" s="82"/>
      <c r="M27262" s="85"/>
    </row>
    <row r="27263" spans="9:13" x14ac:dyDescent="0.3">
      <c r="I27263" s="82"/>
      <c r="M27263" s="85"/>
    </row>
    <row r="27264" spans="9:13" x14ac:dyDescent="0.3">
      <c r="I27264" s="82"/>
      <c r="M27264" s="85"/>
    </row>
    <row r="27265" spans="9:13" x14ac:dyDescent="0.3">
      <c r="I27265" s="82"/>
      <c r="M27265" s="85"/>
    </row>
    <row r="27266" spans="9:13" x14ac:dyDescent="0.3">
      <c r="I27266" s="82"/>
      <c r="M27266" s="85"/>
    </row>
    <row r="27267" spans="9:13" x14ac:dyDescent="0.3">
      <c r="I27267" s="82"/>
      <c r="M27267" s="85"/>
    </row>
    <row r="27268" spans="9:13" x14ac:dyDescent="0.3">
      <c r="I27268" s="82"/>
      <c r="M27268" s="85"/>
    </row>
    <row r="27269" spans="9:13" x14ac:dyDescent="0.3">
      <c r="I27269" s="82"/>
      <c r="M27269" s="85"/>
    </row>
    <row r="27270" spans="9:13" x14ac:dyDescent="0.3">
      <c r="I27270" s="82"/>
      <c r="M27270" s="85"/>
    </row>
    <row r="27271" spans="9:13" x14ac:dyDescent="0.3">
      <c r="I27271" s="82"/>
      <c r="M27271" s="85"/>
    </row>
    <row r="27272" spans="9:13" x14ac:dyDescent="0.3">
      <c r="I27272" s="82"/>
      <c r="M27272" s="85"/>
    </row>
    <row r="27273" spans="9:13" x14ac:dyDescent="0.3">
      <c r="I27273" s="82"/>
      <c r="M27273" s="85"/>
    </row>
    <row r="27274" spans="9:13" x14ac:dyDescent="0.3">
      <c r="I27274" s="82"/>
      <c r="M27274" s="85"/>
    </row>
    <row r="27275" spans="9:13" x14ac:dyDescent="0.3">
      <c r="I27275" s="82"/>
      <c r="M27275" s="85"/>
    </row>
    <row r="27276" spans="9:13" x14ac:dyDescent="0.3">
      <c r="I27276" s="82"/>
      <c r="M27276" s="85"/>
    </row>
    <row r="27277" spans="9:13" x14ac:dyDescent="0.3">
      <c r="I27277" s="82"/>
      <c r="M27277" s="85"/>
    </row>
    <row r="27278" spans="9:13" x14ac:dyDescent="0.3">
      <c r="I27278" s="82"/>
      <c r="M27278" s="85"/>
    </row>
    <row r="27279" spans="9:13" x14ac:dyDescent="0.3">
      <c r="I27279" s="82"/>
      <c r="M27279" s="85"/>
    </row>
    <row r="27280" spans="9:13" x14ac:dyDescent="0.3">
      <c r="I27280" s="82"/>
      <c r="M27280" s="85"/>
    </row>
    <row r="27281" spans="9:13" x14ac:dyDescent="0.3">
      <c r="I27281" s="82"/>
      <c r="M27281" s="85"/>
    </row>
    <row r="27282" spans="9:13" x14ac:dyDescent="0.3">
      <c r="I27282" s="82"/>
      <c r="M27282" s="85"/>
    </row>
    <row r="27283" spans="9:13" x14ac:dyDescent="0.3">
      <c r="I27283" s="82"/>
      <c r="M27283" s="85"/>
    </row>
    <row r="27284" spans="9:13" x14ac:dyDescent="0.3">
      <c r="I27284" s="82"/>
      <c r="M27284" s="85"/>
    </row>
    <row r="27285" spans="9:13" x14ac:dyDescent="0.3">
      <c r="I27285" s="82"/>
      <c r="M27285" s="85"/>
    </row>
    <row r="27286" spans="9:13" x14ac:dyDescent="0.3">
      <c r="I27286" s="82"/>
      <c r="M27286" s="85"/>
    </row>
    <row r="27287" spans="9:13" x14ac:dyDescent="0.3">
      <c r="I27287" s="82"/>
      <c r="M27287" s="85"/>
    </row>
    <row r="27288" spans="9:13" x14ac:dyDescent="0.3">
      <c r="I27288" s="82"/>
      <c r="M27288" s="85"/>
    </row>
    <row r="27289" spans="9:13" x14ac:dyDescent="0.3">
      <c r="I27289" s="82"/>
      <c r="M27289" s="85"/>
    </row>
    <row r="27290" spans="9:13" x14ac:dyDescent="0.3">
      <c r="I27290" s="82"/>
      <c r="M27290" s="85"/>
    </row>
    <row r="27291" spans="9:13" x14ac:dyDescent="0.3">
      <c r="I27291" s="82"/>
      <c r="M27291" s="85"/>
    </row>
    <row r="27292" spans="9:13" x14ac:dyDescent="0.3">
      <c r="I27292" s="82"/>
      <c r="M27292" s="85"/>
    </row>
    <row r="27293" spans="9:13" x14ac:dyDescent="0.3">
      <c r="I27293" s="82"/>
      <c r="M27293" s="85"/>
    </row>
    <row r="27294" spans="9:13" x14ac:dyDescent="0.3">
      <c r="I27294" s="82"/>
      <c r="M27294" s="85"/>
    </row>
    <row r="27295" spans="9:13" x14ac:dyDescent="0.3">
      <c r="I27295" s="82"/>
      <c r="M27295" s="85"/>
    </row>
    <row r="27296" spans="9:13" x14ac:dyDescent="0.3">
      <c r="I27296" s="82"/>
      <c r="M27296" s="85"/>
    </row>
    <row r="27297" spans="9:13" x14ac:dyDescent="0.3">
      <c r="I27297" s="82"/>
      <c r="M27297" s="85"/>
    </row>
    <row r="27298" spans="9:13" x14ac:dyDescent="0.3">
      <c r="I27298" s="82"/>
      <c r="M27298" s="85"/>
    </row>
    <row r="27299" spans="9:13" x14ac:dyDescent="0.3">
      <c r="I27299" s="82"/>
      <c r="M27299" s="85"/>
    </row>
    <row r="27300" spans="9:13" x14ac:dyDescent="0.3">
      <c r="I27300" s="82"/>
      <c r="M27300" s="85"/>
    </row>
    <row r="27301" spans="9:13" x14ac:dyDescent="0.3">
      <c r="I27301" s="82"/>
      <c r="M27301" s="85"/>
    </row>
    <row r="27302" spans="9:13" x14ac:dyDescent="0.3">
      <c r="I27302" s="82"/>
      <c r="M27302" s="85"/>
    </row>
    <row r="27303" spans="9:13" x14ac:dyDescent="0.3">
      <c r="I27303" s="82"/>
      <c r="M27303" s="85"/>
    </row>
    <row r="27304" spans="9:13" x14ac:dyDescent="0.3">
      <c r="I27304" s="82"/>
      <c r="M27304" s="85"/>
    </row>
    <row r="27305" spans="9:13" x14ac:dyDescent="0.3">
      <c r="I27305" s="82"/>
      <c r="M27305" s="85"/>
    </row>
    <row r="27306" spans="9:13" x14ac:dyDescent="0.3">
      <c r="I27306" s="82"/>
      <c r="M27306" s="85"/>
    </row>
    <row r="27307" spans="9:13" x14ac:dyDescent="0.3">
      <c r="I27307" s="82"/>
      <c r="M27307" s="85"/>
    </row>
    <row r="27308" spans="9:13" x14ac:dyDescent="0.3">
      <c r="I27308" s="82"/>
      <c r="M27308" s="85"/>
    </row>
    <row r="27309" spans="9:13" x14ac:dyDescent="0.3">
      <c r="I27309" s="82"/>
      <c r="M27309" s="85"/>
    </row>
    <row r="27310" spans="9:13" x14ac:dyDescent="0.3">
      <c r="I27310" s="82"/>
      <c r="M27310" s="85"/>
    </row>
    <row r="27311" spans="9:13" x14ac:dyDescent="0.3">
      <c r="I27311" s="82"/>
      <c r="M27311" s="85"/>
    </row>
    <row r="27312" spans="9:13" x14ac:dyDescent="0.3">
      <c r="I27312" s="82"/>
      <c r="M27312" s="85"/>
    </row>
    <row r="27313" spans="9:13" x14ac:dyDescent="0.3">
      <c r="I27313" s="82"/>
      <c r="M27313" s="85"/>
    </row>
    <row r="27314" spans="9:13" x14ac:dyDescent="0.3">
      <c r="I27314" s="82"/>
      <c r="M27314" s="85"/>
    </row>
    <row r="27315" spans="9:13" x14ac:dyDescent="0.3">
      <c r="I27315" s="82"/>
      <c r="M27315" s="85"/>
    </row>
    <row r="27316" spans="9:13" x14ac:dyDescent="0.3">
      <c r="I27316" s="82"/>
      <c r="M27316" s="85"/>
    </row>
    <row r="27317" spans="9:13" x14ac:dyDescent="0.3">
      <c r="I27317" s="82"/>
      <c r="M27317" s="85"/>
    </row>
    <row r="27318" spans="9:13" x14ac:dyDescent="0.3">
      <c r="I27318" s="82"/>
      <c r="M27318" s="85"/>
    </row>
    <row r="27319" spans="9:13" x14ac:dyDescent="0.3">
      <c r="I27319" s="82"/>
      <c r="M27319" s="85"/>
    </row>
    <row r="27320" spans="9:13" x14ac:dyDescent="0.3">
      <c r="I27320" s="82"/>
      <c r="M27320" s="85"/>
    </row>
    <row r="27321" spans="9:13" x14ac:dyDescent="0.3">
      <c r="I27321" s="82"/>
      <c r="M27321" s="85"/>
    </row>
    <row r="27322" spans="9:13" x14ac:dyDescent="0.3">
      <c r="I27322" s="82"/>
      <c r="M27322" s="85"/>
    </row>
    <row r="27323" spans="9:13" x14ac:dyDescent="0.3">
      <c r="I27323" s="82"/>
      <c r="M27323" s="85"/>
    </row>
    <row r="27324" spans="9:13" x14ac:dyDescent="0.3">
      <c r="I27324" s="82"/>
      <c r="M27324" s="85"/>
    </row>
    <row r="27325" spans="9:13" x14ac:dyDescent="0.3">
      <c r="I27325" s="82"/>
      <c r="M27325" s="85"/>
    </row>
    <row r="27326" spans="9:13" x14ac:dyDescent="0.3">
      <c r="I27326" s="82"/>
      <c r="M27326" s="85"/>
    </row>
    <row r="27327" spans="9:13" x14ac:dyDescent="0.3">
      <c r="I27327" s="82"/>
      <c r="M27327" s="85"/>
    </row>
    <row r="27328" spans="9:13" x14ac:dyDescent="0.3">
      <c r="I27328" s="82"/>
      <c r="M27328" s="85"/>
    </row>
    <row r="27329" spans="9:13" x14ac:dyDescent="0.3">
      <c r="I27329" s="82"/>
      <c r="M27329" s="85"/>
    </row>
    <row r="27330" spans="9:13" x14ac:dyDescent="0.3">
      <c r="I27330" s="82"/>
      <c r="M27330" s="85"/>
    </row>
    <row r="27331" spans="9:13" x14ac:dyDescent="0.3">
      <c r="I27331" s="82"/>
      <c r="M27331" s="85"/>
    </row>
    <row r="27332" spans="9:13" x14ac:dyDescent="0.3">
      <c r="I27332" s="82"/>
      <c r="M27332" s="85"/>
    </row>
    <row r="27333" spans="9:13" x14ac:dyDescent="0.3">
      <c r="I27333" s="82"/>
      <c r="M27333" s="85"/>
    </row>
    <row r="27334" spans="9:13" x14ac:dyDescent="0.3">
      <c r="I27334" s="82"/>
      <c r="M27334" s="85"/>
    </row>
    <row r="27335" spans="9:13" x14ac:dyDescent="0.3">
      <c r="I27335" s="82"/>
      <c r="M27335" s="85"/>
    </row>
    <row r="27336" spans="9:13" x14ac:dyDescent="0.3">
      <c r="I27336" s="82"/>
      <c r="M27336" s="85"/>
    </row>
    <row r="27337" spans="9:13" x14ac:dyDescent="0.3">
      <c r="I27337" s="82"/>
      <c r="M27337" s="85"/>
    </row>
    <row r="27338" spans="9:13" x14ac:dyDescent="0.3">
      <c r="I27338" s="82"/>
      <c r="M27338" s="85"/>
    </row>
    <row r="27339" spans="9:13" x14ac:dyDescent="0.3">
      <c r="I27339" s="82"/>
      <c r="M27339" s="85"/>
    </row>
    <row r="27340" spans="9:13" x14ac:dyDescent="0.3">
      <c r="I27340" s="82"/>
      <c r="M27340" s="85"/>
    </row>
    <row r="27341" spans="9:13" x14ac:dyDescent="0.3">
      <c r="I27341" s="82"/>
      <c r="M27341" s="85"/>
    </row>
    <row r="27342" spans="9:13" x14ac:dyDescent="0.3">
      <c r="I27342" s="82"/>
      <c r="M27342" s="85"/>
    </row>
    <row r="27343" spans="9:13" x14ac:dyDescent="0.3">
      <c r="I27343" s="82"/>
      <c r="M27343" s="85"/>
    </row>
    <row r="27344" spans="9:13" x14ac:dyDescent="0.3">
      <c r="I27344" s="82"/>
      <c r="M27344" s="85"/>
    </row>
    <row r="27345" spans="9:13" x14ac:dyDescent="0.3">
      <c r="I27345" s="82"/>
      <c r="M27345" s="85"/>
    </row>
    <row r="27346" spans="9:13" x14ac:dyDescent="0.3">
      <c r="I27346" s="82"/>
      <c r="M27346" s="85"/>
    </row>
    <row r="27347" spans="9:13" x14ac:dyDescent="0.3">
      <c r="I27347" s="82"/>
      <c r="M27347" s="85"/>
    </row>
    <row r="27348" spans="9:13" x14ac:dyDescent="0.3">
      <c r="I27348" s="82"/>
      <c r="M27348" s="85"/>
    </row>
    <row r="27349" spans="9:13" x14ac:dyDescent="0.3">
      <c r="I27349" s="82"/>
      <c r="M27349" s="85"/>
    </row>
    <row r="27350" spans="9:13" x14ac:dyDescent="0.3">
      <c r="I27350" s="82"/>
      <c r="M27350" s="85"/>
    </row>
    <row r="27351" spans="9:13" x14ac:dyDescent="0.3">
      <c r="I27351" s="82"/>
      <c r="M27351" s="85"/>
    </row>
    <row r="27352" spans="9:13" x14ac:dyDescent="0.3">
      <c r="I27352" s="82"/>
      <c r="M27352" s="85"/>
    </row>
    <row r="27353" spans="9:13" x14ac:dyDescent="0.3">
      <c r="I27353" s="82"/>
      <c r="M27353" s="85"/>
    </row>
    <row r="27354" spans="9:13" x14ac:dyDescent="0.3">
      <c r="I27354" s="82"/>
      <c r="M27354" s="85"/>
    </row>
    <row r="27355" spans="9:13" x14ac:dyDescent="0.3">
      <c r="I27355" s="82"/>
      <c r="M27355" s="85"/>
    </row>
    <row r="27356" spans="9:13" x14ac:dyDescent="0.3">
      <c r="I27356" s="82"/>
      <c r="M27356" s="85"/>
    </row>
    <row r="27357" spans="9:13" x14ac:dyDescent="0.3">
      <c r="I27357" s="82"/>
      <c r="M27357" s="85"/>
    </row>
    <row r="27358" spans="9:13" x14ac:dyDescent="0.3">
      <c r="I27358" s="82"/>
      <c r="M27358" s="85"/>
    </row>
    <row r="27359" spans="9:13" x14ac:dyDescent="0.3">
      <c r="I27359" s="82"/>
      <c r="M27359" s="85"/>
    </row>
    <row r="27360" spans="9:13" x14ac:dyDescent="0.3">
      <c r="I27360" s="82"/>
      <c r="M27360" s="85"/>
    </row>
    <row r="27361" spans="9:13" x14ac:dyDescent="0.3">
      <c r="I27361" s="82"/>
      <c r="M27361" s="85"/>
    </row>
    <row r="27362" spans="9:13" x14ac:dyDescent="0.3">
      <c r="I27362" s="82"/>
      <c r="M27362" s="85"/>
    </row>
    <row r="27363" spans="9:13" x14ac:dyDescent="0.3">
      <c r="I27363" s="82"/>
      <c r="M27363" s="85"/>
    </row>
    <row r="27364" spans="9:13" x14ac:dyDescent="0.3">
      <c r="I27364" s="82"/>
      <c r="M27364" s="85"/>
    </row>
    <row r="27365" spans="9:13" x14ac:dyDescent="0.3">
      <c r="I27365" s="82"/>
      <c r="M27365" s="85"/>
    </row>
    <row r="27366" spans="9:13" x14ac:dyDescent="0.3">
      <c r="I27366" s="82"/>
      <c r="M27366" s="85"/>
    </row>
    <row r="27367" spans="9:13" x14ac:dyDescent="0.3">
      <c r="I27367" s="82"/>
      <c r="M27367" s="85"/>
    </row>
    <row r="27368" spans="9:13" x14ac:dyDescent="0.3">
      <c r="I27368" s="82"/>
      <c r="M27368" s="85"/>
    </row>
    <row r="27369" spans="9:13" x14ac:dyDescent="0.3">
      <c r="I27369" s="82"/>
      <c r="M27369" s="85"/>
    </row>
    <row r="27370" spans="9:13" x14ac:dyDescent="0.3">
      <c r="I27370" s="82"/>
      <c r="M27370" s="85"/>
    </row>
    <row r="27371" spans="9:13" x14ac:dyDescent="0.3">
      <c r="I27371" s="82"/>
      <c r="M27371" s="85"/>
    </row>
    <row r="27372" spans="9:13" x14ac:dyDescent="0.3">
      <c r="I27372" s="82"/>
      <c r="M27372" s="85"/>
    </row>
    <row r="27373" spans="9:13" x14ac:dyDescent="0.3">
      <c r="I27373" s="82"/>
      <c r="M27373" s="85"/>
    </row>
    <row r="27374" spans="9:13" x14ac:dyDescent="0.3">
      <c r="I27374" s="82"/>
      <c r="M27374" s="85"/>
    </row>
    <row r="27375" spans="9:13" x14ac:dyDescent="0.3">
      <c r="I27375" s="82"/>
      <c r="M27375" s="85"/>
    </row>
    <row r="27376" spans="9:13" x14ac:dyDescent="0.3">
      <c r="I27376" s="82"/>
      <c r="M27376" s="85"/>
    </row>
    <row r="27377" spans="9:13" x14ac:dyDescent="0.3">
      <c r="I27377" s="82"/>
      <c r="M27377" s="85"/>
    </row>
    <row r="27378" spans="9:13" x14ac:dyDescent="0.3">
      <c r="I27378" s="82"/>
      <c r="M27378" s="85"/>
    </row>
    <row r="27379" spans="9:13" x14ac:dyDescent="0.3">
      <c r="I27379" s="82"/>
      <c r="M27379" s="85"/>
    </row>
    <row r="27380" spans="9:13" x14ac:dyDescent="0.3">
      <c r="I27380" s="82"/>
      <c r="M27380" s="85"/>
    </row>
    <row r="27381" spans="9:13" x14ac:dyDescent="0.3">
      <c r="I27381" s="82"/>
      <c r="M27381" s="85"/>
    </row>
    <row r="27382" spans="9:13" x14ac:dyDescent="0.3">
      <c r="I27382" s="82"/>
      <c r="M27382" s="85"/>
    </row>
    <row r="27383" spans="9:13" x14ac:dyDescent="0.3">
      <c r="I27383" s="82"/>
      <c r="M27383" s="85"/>
    </row>
    <row r="27384" spans="9:13" x14ac:dyDescent="0.3">
      <c r="I27384" s="82"/>
      <c r="M27384" s="85"/>
    </row>
    <row r="27385" spans="9:13" x14ac:dyDescent="0.3">
      <c r="I27385" s="82"/>
      <c r="M27385" s="85"/>
    </row>
    <row r="27386" spans="9:13" x14ac:dyDescent="0.3">
      <c r="I27386" s="82"/>
      <c r="M27386" s="85"/>
    </row>
    <row r="27387" spans="9:13" x14ac:dyDescent="0.3">
      <c r="I27387" s="82"/>
      <c r="M27387" s="85"/>
    </row>
    <row r="27388" spans="9:13" x14ac:dyDescent="0.3">
      <c r="I27388" s="82"/>
      <c r="M27388" s="85"/>
    </row>
    <row r="27389" spans="9:13" x14ac:dyDescent="0.3">
      <c r="I27389" s="82"/>
      <c r="M27389" s="85"/>
    </row>
    <row r="27390" spans="9:13" x14ac:dyDescent="0.3">
      <c r="I27390" s="82"/>
      <c r="M27390" s="85"/>
    </row>
    <row r="27391" spans="9:13" x14ac:dyDescent="0.3">
      <c r="I27391" s="82"/>
      <c r="M27391" s="85"/>
    </row>
    <row r="27392" spans="9:13" x14ac:dyDescent="0.3">
      <c r="I27392" s="82"/>
      <c r="M27392" s="85"/>
    </row>
    <row r="27393" spans="9:13" x14ac:dyDescent="0.3">
      <c r="I27393" s="82"/>
      <c r="M27393" s="85"/>
    </row>
    <row r="27394" spans="9:13" x14ac:dyDescent="0.3">
      <c r="I27394" s="82"/>
      <c r="M27394" s="85"/>
    </row>
    <row r="27395" spans="9:13" x14ac:dyDescent="0.3">
      <c r="I27395" s="82"/>
      <c r="M27395" s="85"/>
    </row>
    <row r="27396" spans="9:13" x14ac:dyDescent="0.3">
      <c r="I27396" s="82"/>
      <c r="M27396" s="85"/>
    </row>
    <row r="27397" spans="9:13" x14ac:dyDescent="0.3">
      <c r="I27397" s="82"/>
      <c r="M27397" s="85"/>
    </row>
    <row r="27398" spans="9:13" x14ac:dyDescent="0.3">
      <c r="I27398" s="82"/>
      <c r="M27398" s="85"/>
    </row>
    <row r="27399" spans="9:13" x14ac:dyDescent="0.3">
      <c r="I27399" s="82"/>
      <c r="M27399" s="85"/>
    </row>
    <row r="27400" spans="9:13" x14ac:dyDescent="0.3">
      <c r="I27400" s="82"/>
      <c r="M27400" s="85"/>
    </row>
    <row r="27401" spans="9:13" x14ac:dyDescent="0.3">
      <c r="I27401" s="82"/>
      <c r="M27401" s="85"/>
    </row>
    <row r="27402" spans="9:13" x14ac:dyDescent="0.3">
      <c r="I27402" s="82"/>
      <c r="M27402" s="85"/>
    </row>
    <row r="27403" spans="9:13" x14ac:dyDescent="0.3">
      <c r="I27403" s="82"/>
      <c r="M27403" s="85"/>
    </row>
    <row r="27404" spans="9:13" x14ac:dyDescent="0.3">
      <c r="I27404" s="82"/>
      <c r="M27404" s="85"/>
    </row>
    <row r="27405" spans="9:13" x14ac:dyDescent="0.3">
      <c r="I27405" s="82"/>
      <c r="M27405" s="85"/>
    </row>
    <row r="27406" spans="9:13" x14ac:dyDescent="0.3">
      <c r="I27406" s="82"/>
      <c r="M27406" s="85"/>
    </row>
    <row r="27407" spans="9:13" x14ac:dyDescent="0.3">
      <c r="I27407" s="82"/>
      <c r="M27407" s="85"/>
    </row>
    <row r="27408" spans="9:13" x14ac:dyDescent="0.3">
      <c r="I27408" s="82"/>
      <c r="M27408" s="85"/>
    </row>
    <row r="27409" spans="9:13" x14ac:dyDescent="0.3">
      <c r="I27409" s="82"/>
      <c r="M27409" s="85"/>
    </row>
    <row r="27410" spans="9:13" x14ac:dyDescent="0.3">
      <c r="I27410" s="82"/>
      <c r="M27410" s="85"/>
    </row>
    <row r="27411" spans="9:13" x14ac:dyDescent="0.3">
      <c r="I27411" s="82"/>
      <c r="M27411" s="85"/>
    </row>
    <row r="27412" spans="9:13" x14ac:dyDescent="0.3">
      <c r="I27412" s="82"/>
      <c r="M27412" s="85"/>
    </row>
    <row r="27413" spans="9:13" x14ac:dyDescent="0.3">
      <c r="I27413" s="82"/>
      <c r="M27413" s="85"/>
    </row>
    <row r="27414" spans="9:13" x14ac:dyDescent="0.3">
      <c r="I27414" s="82"/>
      <c r="M27414" s="85"/>
    </row>
    <row r="27415" spans="9:13" x14ac:dyDescent="0.3">
      <c r="I27415" s="82"/>
      <c r="M27415" s="85"/>
    </row>
    <row r="27416" spans="9:13" x14ac:dyDescent="0.3">
      <c r="I27416" s="82"/>
      <c r="M27416" s="85"/>
    </row>
    <row r="27417" spans="9:13" x14ac:dyDescent="0.3">
      <c r="I27417" s="82"/>
      <c r="M27417" s="85"/>
    </row>
    <row r="27418" spans="9:13" x14ac:dyDescent="0.3">
      <c r="I27418" s="82"/>
      <c r="M27418" s="85"/>
    </row>
    <row r="27419" spans="9:13" x14ac:dyDescent="0.3">
      <c r="I27419" s="82"/>
      <c r="M27419" s="85"/>
    </row>
    <row r="27420" spans="9:13" x14ac:dyDescent="0.3">
      <c r="I27420" s="82"/>
      <c r="M27420" s="85"/>
    </row>
    <row r="27421" spans="9:13" x14ac:dyDescent="0.3">
      <c r="I27421" s="82"/>
      <c r="M27421" s="85"/>
    </row>
    <row r="27422" spans="9:13" x14ac:dyDescent="0.3">
      <c r="I27422" s="82"/>
      <c r="M27422" s="85"/>
    </row>
    <row r="27423" spans="9:13" x14ac:dyDescent="0.3">
      <c r="I27423" s="82"/>
      <c r="M27423" s="85"/>
    </row>
    <row r="27424" spans="9:13" x14ac:dyDescent="0.3">
      <c r="I27424" s="82"/>
      <c r="M27424" s="85"/>
    </row>
    <row r="27425" spans="9:13" x14ac:dyDescent="0.3">
      <c r="I27425" s="82"/>
      <c r="M27425" s="85"/>
    </row>
    <row r="27426" spans="9:13" x14ac:dyDescent="0.3">
      <c r="I27426" s="82"/>
      <c r="M27426" s="85"/>
    </row>
    <row r="27427" spans="9:13" x14ac:dyDescent="0.3">
      <c r="I27427" s="82"/>
      <c r="M27427" s="85"/>
    </row>
    <row r="27428" spans="9:13" x14ac:dyDescent="0.3">
      <c r="I27428" s="82"/>
      <c r="M27428" s="85"/>
    </row>
    <row r="27429" spans="9:13" x14ac:dyDescent="0.3">
      <c r="I27429" s="82"/>
      <c r="M27429" s="85"/>
    </row>
    <row r="27430" spans="9:13" x14ac:dyDescent="0.3">
      <c r="I27430" s="82"/>
      <c r="M27430" s="85"/>
    </row>
    <row r="27431" spans="9:13" x14ac:dyDescent="0.3">
      <c r="I27431" s="82"/>
      <c r="M27431" s="85"/>
    </row>
    <row r="27432" spans="9:13" x14ac:dyDescent="0.3">
      <c r="I27432" s="82"/>
      <c r="M27432" s="85"/>
    </row>
    <row r="27433" spans="9:13" x14ac:dyDescent="0.3">
      <c r="I27433" s="82"/>
      <c r="M27433" s="85"/>
    </row>
    <row r="27434" spans="9:13" x14ac:dyDescent="0.3">
      <c r="I27434" s="82"/>
      <c r="M27434" s="85"/>
    </row>
    <row r="27435" spans="9:13" x14ac:dyDescent="0.3">
      <c r="I27435" s="82"/>
      <c r="M27435" s="85"/>
    </row>
    <row r="27436" spans="9:13" x14ac:dyDescent="0.3">
      <c r="I27436" s="82"/>
      <c r="M27436" s="85"/>
    </row>
    <row r="27437" spans="9:13" x14ac:dyDescent="0.3">
      <c r="I27437" s="82"/>
      <c r="M27437" s="85"/>
    </row>
    <row r="27438" spans="9:13" x14ac:dyDescent="0.3">
      <c r="I27438" s="82"/>
      <c r="M27438" s="85"/>
    </row>
    <row r="27439" spans="9:13" x14ac:dyDescent="0.3">
      <c r="I27439" s="82"/>
      <c r="M27439" s="85"/>
    </row>
    <row r="27440" spans="9:13" x14ac:dyDescent="0.3">
      <c r="I27440" s="82"/>
      <c r="M27440" s="85"/>
    </row>
    <row r="27441" spans="9:13" x14ac:dyDescent="0.3">
      <c r="I27441" s="82"/>
      <c r="M27441" s="85"/>
    </row>
    <row r="27442" spans="9:13" x14ac:dyDescent="0.3">
      <c r="I27442" s="82"/>
      <c r="M27442" s="85"/>
    </row>
    <row r="27443" spans="9:13" x14ac:dyDescent="0.3">
      <c r="I27443" s="82"/>
      <c r="M27443" s="85"/>
    </row>
    <row r="27444" spans="9:13" x14ac:dyDescent="0.3">
      <c r="I27444" s="82"/>
      <c r="M27444" s="85"/>
    </row>
    <row r="27445" spans="9:13" x14ac:dyDescent="0.3">
      <c r="I27445" s="82"/>
      <c r="M27445" s="85"/>
    </row>
    <row r="27446" spans="9:13" x14ac:dyDescent="0.3">
      <c r="I27446" s="82"/>
      <c r="M27446" s="85"/>
    </row>
    <row r="27447" spans="9:13" x14ac:dyDescent="0.3">
      <c r="I27447" s="82"/>
      <c r="M27447" s="85"/>
    </row>
    <row r="27448" spans="9:13" x14ac:dyDescent="0.3">
      <c r="I27448" s="82"/>
      <c r="M27448" s="85"/>
    </row>
    <row r="27449" spans="9:13" x14ac:dyDescent="0.3">
      <c r="I27449" s="82"/>
      <c r="M27449" s="85"/>
    </row>
    <row r="27450" spans="9:13" x14ac:dyDescent="0.3">
      <c r="I27450" s="82"/>
      <c r="M27450" s="85"/>
    </row>
    <row r="27451" spans="9:13" x14ac:dyDescent="0.3">
      <c r="I27451" s="82"/>
      <c r="M27451" s="85"/>
    </row>
    <row r="27452" spans="9:13" x14ac:dyDescent="0.3">
      <c r="I27452" s="82"/>
      <c r="M27452" s="85"/>
    </row>
    <row r="27453" spans="9:13" x14ac:dyDescent="0.3">
      <c r="I27453" s="82"/>
      <c r="M27453" s="85"/>
    </row>
    <row r="27454" spans="9:13" x14ac:dyDescent="0.3">
      <c r="I27454" s="82"/>
      <c r="M27454" s="85"/>
    </row>
    <row r="27455" spans="9:13" x14ac:dyDescent="0.3">
      <c r="I27455" s="82"/>
      <c r="M27455" s="85"/>
    </row>
    <row r="27456" spans="9:13" x14ac:dyDescent="0.3">
      <c r="I27456" s="82"/>
      <c r="M27456" s="85"/>
    </row>
    <row r="27457" spans="9:13" x14ac:dyDescent="0.3">
      <c r="I27457" s="82"/>
      <c r="M27457" s="85"/>
    </row>
    <row r="27458" spans="9:13" x14ac:dyDescent="0.3">
      <c r="I27458" s="82"/>
      <c r="M27458" s="85"/>
    </row>
    <row r="27459" spans="9:13" x14ac:dyDescent="0.3">
      <c r="I27459" s="82"/>
      <c r="M27459" s="85"/>
    </row>
    <row r="27460" spans="9:13" x14ac:dyDescent="0.3">
      <c r="I27460" s="82"/>
      <c r="M27460" s="85"/>
    </row>
    <row r="27461" spans="9:13" x14ac:dyDescent="0.3">
      <c r="I27461" s="82"/>
      <c r="M27461" s="85"/>
    </row>
    <row r="27462" spans="9:13" x14ac:dyDescent="0.3">
      <c r="I27462" s="82"/>
      <c r="M27462" s="85"/>
    </row>
    <row r="27463" spans="9:13" x14ac:dyDescent="0.3">
      <c r="I27463" s="82"/>
      <c r="M27463" s="85"/>
    </row>
    <row r="27464" spans="9:13" x14ac:dyDescent="0.3">
      <c r="I27464" s="82"/>
      <c r="M27464" s="85"/>
    </row>
    <row r="27465" spans="9:13" x14ac:dyDescent="0.3">
      <c r="I27465" s="82"/>
      <c r="M27465" s="85"/>
    </row>
    <row r="27466" spans="9:13" x14ac:dyDescent="0.3">
      <c r="I27466" s="82"/>
      <c r="M27466" s="85"/>
    </row>
    <row r="27467" spans="9:13" x14ac:dyDescent="0.3">
      <c r="I27467" s="82"/>
      <c r="M27467" s="85"/>
    </row>
    <row r="27468" spans="9:13" x14ac:dyDescent="0.3">
      <c r="I27468" s="82"/>
      <c r="M27468" s="85"/>
    </row>
    <row r="27469" spans="9:13" x14ac:dyDescent="0.3">
      <c r="I27469" s="82"/>
      <c r="M27469" s="85"/>
    </row>
    <row r="27470" spans="9:13" x14ac:dyDescent="0.3">
      <c r="I27470" s="82"/>
      <c r="M27470" s="85"/>
    </row>
    <row r="27471" spans="9:13" x14ac:dyDescent="0.3">
      <c r="I27471" s="82"/>
      <c r="M27471" s="85"/>
    </row>
    <row r="27472" spans="9:13" x14ac:dyDescent="0.3">
      <c r="I27472" s="82"/>
      <c r="M27472" s="85"/>
    </row>
    <row r="27473" spans="9:13" x14ac:dyDescent="0.3">
      <c r="I27473" s="82"/>
      <c r="M27473" s="85"/>
    </row>
    <row r="27474" spans="9:13" x14ac:dyDescent="0.3">
      <c r="I27474" s="82"/>
      <c r="M27474" s="85"/>
    </row>
    <row r="27475" spans="9:13" x14ac:dyDescent="0.3">
      <c r="I27475" s="82"/>
      <c r="M27475" s="85"/>
    </row>
    <row r="27476" spans="9:13" x14ac:dyDescent="0.3">
      <c r="I27476" s="82"/>
      <c r="M27476" s="85"/>
    </row>
    <row r="27477" spans="9:13" x14ac:dyDescent="0.3">
      <c r="I27477" s="82"/>
      <c r="M27477" s="85"/>
    </row>
    <row r="27478" spans="9:13" x14ac:dyDescent="0.3">
      <c r="I27478" s="82"/>
      <c r="M27478" s="85"/>
    </row>
    <row r="27479" spans="9:13" x14ac:dyDescent="0.3">
      <c r="I27479" s="82"/>
      <c r="M27479" s="85"/>
    </row>
    <row r="27480" spans="9:13" x14ac:dyDescent="0.3">
      <c r="I27480" s="82"/>
      <c r="M27480" s="85"/>
    </row>
    <row r="27481" spans="9:13" x14ac:dyDescent="0.3">
      <c r="I27481" s="82"/>
      <c r="M27481" s="85"/>
    </row>
    <row r="27482" spans="9:13" x14ac:dyDescent="0.3">
      <c r="I27482" s="82"/>
      <c r="M27482" s="85"/>
    </row>
    <row r="27483" spans="9:13" x14ac:dyDescent="0.3">
      <c r="I27483" s="82"/>
      <c r="M27483" s="85"/>
    </row>
    <row r="27484" spans="9:13" x14ac:dyDescent="0.3">
      <c r="I27484" s="82"/>
      <c r="M27484" s="85"/>
    </row>
    <row r="27485" spans="9:13" x14ac:dyDescent="0.3">
      <c r="I27485" s="82"/>
      <c r="M27485" s="85"/>
    </row>
    <row r="27486" spans="9:13" x14ac:dyDescent="0.3">
      <c r="I27486" s="82"/>
      <c r="M27486" s="85"/>
    </row>
    <row r="27487" spans="9:13" x14ac:dyDescent="0.3">
      <c r="I27487" s="82"/>
      <c r="M27487" s="85"/>
    </row>
    <row r="27488" spans="9:13" x14ac:dyDescent="0.3">
      <c r="I27488" s="82"/>
      <c r="M27488" s="85"/>
    </row>
    <row r="27489" spans="9:13" x14ac:dyDescent="0.3">
      <c r="I27489" s="82"/>
      <c r="M27489" s="85"/>
    </row>
    <row r="27490" spans="9:13" x14ac:dyDescent="0.3">
      <c r="I27490" s="82"/>
      <c r="M27490" s="85"/>
    </row>
    <row r="27491" spans="9:13" x14ac:dyDescent="0.3">
      <c r="I27491" s="82"/>
      <c r="M27491" s="85"/>
    </row>
    <row r="27492" spans="9:13" x14ac:dyDescent="0.3">
      <c r="I27492" s="82"/>
      <c r="M27492" s="85"/>
    </row>
    <row r="27493" spans="9:13" x14ac:dyDescent="0.3">
      <c r="I27493" s="82"/>
      <c r="M27493" s="85"/>
    </row>
    <row r="27494" spans="9:13" x14ac:dyDescent="0.3">
      <c r="I27494" s="82"/>
      <c r="M27494" s="85"/>
    </row>
    <row r="27495" spans="9:13" x14ac:dyDescent="0.3">
      <c r="I27495" s="82"/>
      <c r="M27495" s="85"/>
    </row>
    <row r="27496" spans="9:13" x14ac:dyDescent="0.3">
      <c r="I27496" s="82"/>
      <c r="M27496" s="85"/>
    </row>
    <row r="27497" spans="9:13" x14ac:dyDescent="0.3">
      <c r="I27497" s="82"/>
      <c r="M27497" s="85"/>
    </row>
    <row r="27498" spans="9:13" x14ac:dyDescent="0.3">
      <c r="I27498" s="82"/>
      <c r="M27498" s="85"/>
    </row>
    <row r="27499" spans="9:13" x14ac:dyDescent="0.3">
      <c r="I27499" s="82"/>
      <c r="M27499" s="85"/>
    </row>
    <row r="27500" spans="9:13" x14ac:dyDescent="0.3">
      <c r="I27500" s="82"/>
      <c r="M27500" s="85"/>
    </row>
    <row r="27501" spans="9:13" x14ac:dyDescent="0.3">
      <c r="I27501" s="82"/>
      <c r="M27501" s="85"/>
    </row>
    <row r="27502" spans="9:13" x14ac:dyDescent="0.3">
      <c r="I27502" s="82"/>
      <c r="M27502" s="85"/>
    </row>
    <row r="27503" spans="9:13" x14ac:dyDescent="0.3">
      <c r="I27503" s="82"/>
      <c r="M27503" s="85"/>
    </row>
    <row r="27504" spans="9:13" x14ac:dyDescent="0.3">
      <c r="I27504" s="82"/>
      <c r="M27504" s="85"/>
    </row>
    <row r="27505" spans="9:13" x14ac:dyDescent="0.3">
      <c r="I27505" s="82"/>
      <c r="M27505" s="85"/>
    </row>
    <row r="27506" spans="9:13" x14ac:dyDescent="0.3">
      <c r="I27506" s="82"/>
      <c r="M27506" s="85"/>
    </row>
    <row r="27507" spans="9:13" x14ac:dyDescent="0.3">
      <c r="I27507" s="82"/>
      <c r="M27507" s="85"/>
    </row>
    <row r="27508" spans="9:13" x14ac:dyDescent="0.3">
      <c r="I27508" s="82"/>
      <c r="M27508" s="85"/>
    </row>
    <row r="27509" spans="9:13" x14ac:dyDescent="0.3">
      <c r="I27509" s="82"/>
      <c r="M27509" s="85"/>
    </row>
    <row r="27510" spans="9:13" x14ac:dyDescent="0.3">
      <c r="I27510" s="82"/>
      <c r="M27510" s="85"/>
    </row>
    <row r="27511" spans="9:13" x14ac:dyDescent="0.3">
      <c r="I27511" s="82"/>
      <c r="M27511" s="85"/>
    </row>
    <row r="27512" spans="9:13" x14ac:dyDescent="0.3">
      <c r="I27512" s="82"/>
      <c r="M27512" s="85"/>
    </row>
    <row r="27513" spans="9:13" x14ac:dyDescent="0.3">
      <c r="I27513" s="82"/>
      <c r="M27513" s="85"/>
    </row>
    <row r="27514" spans="9:13" x14ac:dyDescent="0.3">
      <c r="I27514" s="82"/>
      <c r="M27514" s="85"/>
    </row>
    <row r="27515" spans="9:13" x14ac:dyDescent="0.3">
      <c r="I27515" s="82"/>
      <c r="M27515" s="85"/>
    </row>
    <row r="27516" spans="9:13" x14ac:dyDescent="0.3">
      <c r="I27516" s="82"/>
      <c r="M27516" s="85"/>
    </row>
    <row r="27517" spans="9:13" x14ac:dyDescent="0.3">
      <c r="I27517" s="82"/>
      <c r="M27517" s="85"/>
    </row>
    <row r="27518" spans="9:13" x14ac:dyDescent="0.3">
      <c r="I27518" s="82"/>
      <c r="M27518" s="85"/>
    </row>
    <row r="27519" spans="9:13" x14ac:dyDescent="0.3">
      <c r="I27519" s="82"/>
      <c r="M27519" s="85"/>
    </row>
    <row r="27520" spans="9:13" x14ac:dyDescent="0.3">
      <c r="I27520" s="82"/>
      <c r="M27520" s="85"/>
    </row>
    <row r="27521" spans="9:13" x14ac:dyDescent="0.3">
      <c r="I27521" s="82"/>
      <c r="M27521" s="85"/>
    </row>
    <row r="27522" spans="9:13" x14ac:dyDescent="0.3">
      <c r="I27522" s="82"/>
      <c r="M27522" s="85"/>
    </row>
    <row r="27523" spans="9:13" x14ac:dyDescent="0.3">
      <c r="I27523" s="82"/>
      <c r="M27523" s="85"/>
    </row>
    <row r="27524" spans="9:13" x14ac:dyDescent="0.3">
      <c r="I27524" s="82"/>
      <c r="M27524" s="85"/>
    </row>
    <row r="27525" spans="9:13" x14ac:dyDescent="0.3">
      <c r="I27525" s="82"/>
      <c r="M27525" s="85"/>
    </row>
    <row r="27526" spans="9:13" x14ac:dyDescent="0.3">
      <c r="I27526" s="82"/>
      <c r="M27526" s="85"/>
    </row>
    <row r="27527" spans="9:13" x14ac:dyDescent="0.3">
      <c r="I27527" s="82"/>
      <c r="M27527" s="85"/>
    </row>
    <row r="27528" spans="9:13" x14ac:dyDescent="0.3">
      <c r="I27528" s="82"/>
      <c r="M27528" s="85"/>
    </row>
    <row r="27529" spans="9:13" x14ac:dyDescent="0.3">
      <c r="I27529" s="82"/>
      <c r="M27529" s="85"/>
    </row>
    <row r="27530" spans="9:13" x14ac:dyDescent="0.3">
      <c r="I27530" s="82"/>
      <c r="M27530" s="85"/>
    </row>
    <row r="27531" spans="9:13" x14ac:dyDescent="0.3">
      <c r="I27531" s="82"/>
      <c r="M27531" s="85"/>
    </row>
    <row r="27532" spans="9:13" x14ac:dyDescent="0.3">
      <c r="I27532" s="82"/>
      <c r="M27532" s="85"/>
    </row>
    <row r="27533" spans="9:13" x14ac:dyDescent="0.3">
      <c r="I27533" s="82"/>
      <c r="M27533" s="85"/>
    </row>
    <row r="27534" spans="9:13" x14ac:dyDescent="0.3">
      <c r="I27534" s="82"/>
      <c r="M27534" s="85"/>
    </row>
    <row r="27535" spans="9:13" x14ac:dyDescent="0.3">
      <c r="I27535" s="82"/>
      <c r="M27535" s="85"/>
    </row>
    <row r="27536" spans="9:13" x14ac:dyDescent="0.3">
      <c r="I27536" s="82"/>
      <c r="M27536" s="85"/>
    </row>
    <row r="27537" spans="9:13" x14ac:dyDescent="0.3">
      <c r="I27537" s="82"/>
      <c r="M27537" s="85"/>
    </row>
    <row r="27538" spans="9:13" x14ac:dyDescent="0.3">
      <c r="I27538" s="82"/>
      <c r="M27538" s="85"/>
    </row>
    <row r="27539" spans="9:13" x14ac:dyDescent="0.3">
      <c r="I27539" s="82"/>
      <c r="M27539" s="85"/>
    </row>
    <row r="27540" spans="9:13" x14ac:dyDescent="0.3">
      <c r="I27540" s="82"/>
      <c r="M27540" s="85"/>
    </row>
    <row r="27541" spans="9:13" x14ac:dyDescent="0.3">
      <c r="I27541" s="82"/>
      <c r="M27541" s="85"/>
    </row>
    <row r="27542" spans="9:13" x14ac:dyDescent="0.3">
      <c r="I27542" s="82"/>
      <c r="M27542" s="85"/>
    </row>
    <row r="27543" spans="9:13" x14ac:dyDescent="0.3">
      <c r="I27543" s="82"/>
      <c r="M27543" s="85"/>
    </row>
    <row r="27544" spans="9:13" x14ac:dyDescent="0.3">
      <c r="I27544" s="82"/>
      <c r="M27544" s="85"/>
    </row>
    <row r="27545" spans="9:13" x14ac:dyDescent="0.3">
      <c r="I27545" s="82"/>
      <c r="M27545" s="85"/>
    </row>
    <row r="27546" spans="9:13" x14ac:dyDescent="0.3">
      <c r="I27546" s="82"/>
      <c r="M27546" s="85"/>
    </row>
    <row r="27547" spans="9:13" x14ac:dyDescent="0.3">
      <c r="I27547" s="82"/>
      <c r="M27547" s="85"/>
    </row>
    <row r="27548" spans="9:13" x14ac:dyDescent="0.3">
      <c r="I27548" s="82"/>
      <c r="M27548" s="85"/>
    </row>
    <row r="27549" spans="9:13" x14ac:dyDescent="0.3">
      <c r="I27549" s="82"/>
      <c r="M27549" s="85"/>
    </row>
    <row r="27550" spans="9:13" x14ac:dyDescent="0.3">
      <c r="I27550" s="82"/>
      <c r="M27550" s="85"/>
    </row>
    <row r="27551" spans="9:13" x14ac:dyDescent="0.3">
      <c r="I27551" s="82"/>
      <c r="M27551" s="85"/>
    </row>
    <row r="27552" spans="9:13" x14ac:dyDescent="0.3">
      <c r="I27552" s="82"/>
      <c r="M27552" s="85"/>
    </row>
    <row r="27553" spans="9:13" x14ac:dyDescent="0.3">
      <c r="I27553" s="82"/>
      <c r="M27553" s="85"/>
    </row>
    <row r="27554" spans="9:13" x14ac:dyDescent="0.3">
      <c r="I27554" s="82"/>
      <c r="M27554" s="85"/>
    </row>
    <row r="27555" spans="9:13" x14ac:dyDescent="0.3">
      <c r="I27555" s="82"/>
      <c r="M27555" s="85"/>
    </row>
    <row r="27556" spans="9:13" x14ac:dyDescent="0.3">
      <c r="I27556" s="82"/>
      <c r="M27556" s="85"/>
    </row>
    <row r="27557" spans="9:13" x14ac:dyDescent="0.3">
      <c r="I27557" s="82"/>
      <c r="M27557" s="85"/>
    </row>
    <row r="27558" spans="9:13" x14ac:dyDescent="0.3">
      <c r="I27558" s="82"/>
      <c r="M27558" s="85"/>
    </row>
    <row r="27559" spans="9:13" x14ac:dyDescent="0.3">
      <c r="I27559" s="82"/>
      <c r="M27559" s="85"/>
    </row>
    <row r="27560" spans="9:13" x14ac:dyDescent="0.3">
      <c r="I27560" s="82"/>
      <c r="M27560" s="85"/>
    </row>
    <row r="27561" spans="9:13" x14ac:dyDescent="0.3">
      <c r="I27561" s="82"/>
      <c r="M27561" s="85"/>
    </row>
    <row r="27562" spans="9:13" x14ac:dyDescent="0.3">
      <c r="I27562" s="82"/>
      <c r="M27562" s="85"/>
    </row>
    <row r="27563" spans="9:13" x14ac:dyDescent="0.3">
      <c r="I27563" s="82"/>
      <c r="M27563" s="85"/>
    </row>
    <row r="27564" spans="9:13" x14ac:dyDescent="0.3">
      <c r="I27564" s="82"/>
      <c r="M27564" s="85"/>
    </row>
    <row r="27565" spans="9:13" x14ac:dyDescent="0.3">
      <c r="I27565" s="82"/>
      <c r="M27565" s="85"/>
    </row>
    <row r="27566" spans="9:13" x14ac:dyDescent="0.3">
      <c r="I27566" s="82"/>
      <c r="M27566" s="85"/>
    </row>
    <row r="27567" spans="9:13" x14ac:dyDescent="0.3">
      <c r="I27567" s="82"/>
      <c r="M27567" s="85"/>
    </row>
    <row r="27568" spans="9:13" x14ac:dyDescent="0.3">
      <c r="I27568" s="82"/>
      <c r="M27568" s="85"/>
    </row>
    <row r="27569" spans="9:13" x14ac:dyDescent="0.3">
      <c r="I27569" s="82"/>
      <c r="M27569" s="85"/>
    </row>
    <row r="27570" spans="9:13" x14ac:dyDescent="0.3">
      <c r="I27570" s="82"/>
      <c r="M27570" s="85"/>
    </row>
    <row r="27571" spans="9:13" x14ac:dyDescent="0.3">
      <c r="I27571" s="82"/>
      <c r="M27571" s="85"/>
    </row>
    <row r="27572" spans="9:13" x14ac:dyDescent="0.3">
      <c r="I27572" s="82"/>
      <c r="M27572" s="85"/>
    </row>
    <row r="27573" spans="9:13" x14ac:dyDescent="0.3">
      <c r="I27573" s="82"/>
      <c r="M27573" s="85"/>
    </row>
    <row r="27574" spans="9:13" x14ac:dyDescent="0.3">
      <c r="I27574" s="82"/>
      <c r="M27574" s="85"/>
    </row>
    <row r="27575" spans="9:13" x14ac:dyDescent="0.3">
      <c r="I27575" s="82"/>
      <c r="M27575" s="85"/>
    </row>
    <row r="27576" spans="9:13" x14ac:dyDescent="0.3">
      <c r="I27576" s="82"/>
      <c r="M27576" s="85"/>
    </row>
    <row r="27577" spans="9:13" x14ac:dyDescent="0.3">
      <c r="I27577" s="82"/>
      <c r="M27577" s="85"/>
    </row>
    <row r="27578" spans="9:13" x14ac:dyDescent="0.3">
      <c r="I27578" s="82"/>
      <c r="M27578" s="85"/>
    </row>
    <row r="27579" spans="9:13" x14ac:dyDescent="0.3">
      <c r="I27579" s="82"/>
      <c r="M27579" s="85"/>
    </row>
    <row r="27580" spans="9:13" x14ac:dyDescent="0.3">
      <c r="I27580" s="82"/>
      <c r="M27580" s="85"/>
    </row>
    <row r="27581" spans="9:13" x14ac:dyDescent="0.3">
      <c r="I27581" s="82"/>
      <c r="M27581" s="85"/>
    </row>
    <row r="27582" spans="9:13" x14ac:dyDescent="0.3">
      <c r="I27582" s="82"/>
      <c r="M27582" s="85"/>
    </row>
    <row r="27583" spans="9:13" x14ac:dyDescent="0.3">
      <c r="I27583" s="82"/>
      <c r="M27583" s="85"/>
    </row>
    <row r="27584" spans="9:13" x14ac:dyDescent="0.3">
      <c r="I27584" s="82"/>
      <c r="M27584" s="85"/>
    </row>
    <row r="27585" spans="9:13" x14ac:dyDescent="0.3">
      <c r="I27585" s="82"/>
      <c r="M27585" s="85"/>
    </row>
    <row r="27586" spans="9:13" x14ac:dyDescent="0.3">
      <c r="I27586" s="82"/>
      <c r="M27586" s="85"/>
    </row>
    <row r="27587" spans="9:13" x14ac:dyDescent="0.3">
      <c r="I27587" s="82"/>
      <c r="M27587" s="85"/>
    </row>
    <row r="27588" spans="9:13" x14ac:dyDescent="0.3">
      <c r="I27588" s="82"/>
      <c r="M27588" s="85"/>
    </row>
    <row r="27589" spans="9:13" x14ac:dyDescent="0.3">
      <c r="I27589" s="82"/>
      <c r="M27589" s="85"/>
    </row>
    <row r="27590" spans="9:13" x14ac:dyDescent="0.3">
      <c r="I27590" s="82"/>
      <c r="M27590" s="85"/>
    </row>
    <row r="27591" spans="9:13" x14ac:dyDescent="0.3">
      <c r="I27591" s="82"/>
      <c r="M27591" s="85"/>
    </row>
    <row r="27592" spans="9:13" x14ac:dyDescent="0.3">
      <c r="I27592" s="82"/>
      <c r="M27592" s="85"/>
    </row>
    <row r="27593" spans="9:13" x14ac:dyDescent="0.3">
      <c r="I27593" s="82"/>
      <c r="M27593" s="85"/>
    </row>
    <row r="27594" spans="9:13" x14ac:dyDescent="0.3">
      <c r="I27594" s="82"/>
      <c r="M27594" s="85"/>
    </row>
    <row r="27595" spans="9:13" x14ac:dyDescent="0.3">
      <c r="I27595" s="82"/>
      <c r="M27595" s="85"/>
    </row>
    <row r="27596" spans="9:13" x14ac:dyDescent="0.3">
      <c r="I27596" s="82"/>
      <c r="M27596" s="85"/>
    </row>
    <row r="27597" spans="9:13" x14ac:dyDescent="0.3">
      <c r="I27597" s="82"/>
      <c r="M27597" s="85"/>
    </row>
    <row r="27598" spans="9:13" x14ac:dyDescent="0.3">
      <c r="I27598" s="82"/>
      <c r="M27598" s="85"/>
    </row>
    <row r="27599" spans="9:13" x14ac:dyDescent="0.3">
      <c r="I27599" s="82"/>
      <c r="M27599" s="85"/>
    </row>
    <row r="27600" spans="9:13" x14ac:dyDescent="0.3">
      <c r="I27600" s="82"/>
      <c r="M27600" s="85"/>
    </row>
    <row r="27601" spans="9:13" x14ac:dyDescent="0.3">
      <c r="I27601" s="82"/>
      <c r="M27601" s="85"/>
    </row>
    <row r="27602" spans="9:13" x14ac:dyDescent="0.3">
      <c r="I27602" s="82"/>
      <c r="M27602" s="85"/>
    </row>
    <row r="27603" spans="9:13" x14ac:dyDescent="0.3">
      <c r="I27603" s="82"/>
      <c r="M27603" s="85"/>
    </row>
    <row r="27604" spans="9:13" x14ac:dyDescent="0.3">
      <c r="I27604" s="82"/>
      <c r="M27604" s="85"/>
    </row>
    <row r="27605" spans="9:13" x14ac:dyDescent="0.3">
      <c r="I27605" s="82"/>
      <c r="M27605" s="85"/>
    </row>
    <row r="27606" spans="9:13" x14ac:dyDescent="0.3">
      <c r="I27606" s="82"/>
      <c r="M27606" s="85"/>
    </row>
    <row r="27607" spans="9:13" x14ac:dyDescent="0.3">
      <c r="I27607" s="82"/>
      <c r="M27607" s="85"/>
    </row>
    <row r="27608" spans="9:13" x14ac:dyDescent="0.3">
      <c r="I27608" s="82"/>
      <c r="M27608" s="85"/>
    </row>
    <row r="27609" spans="9:13" x14ac:dyDescent="0.3">
      <c r="I27609" s="82"/>
      <c r="M27609" s="85"/>
    </row>
    <row r="27610" spans="9:13" x14ac:dyDescent="0.3">
      <c r="I27610" s="82"/>
      <c r="M27610" s="85"/>
    </row>
    <row r="27611" spans="9:13" x14ac:dyDescent="0.3">
      <c r="I27611" s="82"/>
      <c r="M27611" s="85"/>
    </row>
    <row r="27612" spans="9:13" x14ac:dyDescent="0.3">
      <c r="I27612" s="82"/>
      <c r="M27612" s="85"/>
    </row>
    <row r="27613" spans="9:13" x14ac:dyDescent="0.3">
      <c r="I27613" s="82"/>
      <c r="M27613" s="85"/>
    </row>
    <row r="27614" spans="9:13" x14ac:dyDescent="0.3">
      <c r="I27614" s="82"/>
      <c r="M27614" s="85"/>
    </row>
    <row r="27615" spans="9:13" x14ac:dyDescent="0.3">
      <c r="I27615" s="82"/>
      <c r="M27615" s="85"/>
    </row>
    <row r="27616" spans="9:13" x14ac:dyDescent="0.3">
      <c r="I27616" s="82"/>
      <c r="M27616" s="85"/>
    </row>
    <row r="27617" spans="9:13" x14ac:dyDescent="0.3">
      <c r="I27617" s="82"/>
      <c r="M27617" s="85"/>
    </row>
    <row r="27618" spans="9:13" x14ac:dyDescent="0.3">
      <c r="I27618" s="82"/>
      <c r="M27618" s="85"/>
    </row>
    <row r="27619" spans="9:13" x14ac:dyDescent="0.3">
      <c r="I27619" s="82"/>
      <c r="M27619" s="85"/>
    </row>
    <row r="27620" spans="9:13" x14ac:dyDescent="0.3">
      <c r="I27620" s="82"/>
      <c r="M27620" s="85"/>
    </row>
    <row r="27621" spans="9:13" x14ac:dyDescent="0.3">
      <c r="I27621" s="82"/>
      <c r="M27621" s="85"/>
    </row>
    <row r="27622" spans="9:13" x14ac:dyDescent="0.3">
      <c r="I27622" s="82"/>
      <c r="M27622" s="85"/>
    </row>
    <row r="27623" spans="9:13" x14ac:dyDescent="0.3">
      <c r="I27623" s="82"/>
      <c r="M27623" s="85"/>
    </row>
    <row r="27624" spans="9:13" x14ac:dyDescent="0.3">
      <c r="I27624" s="82"/>
      <c r="M27624" s="85"/>
    </row>
    <row r="27625" spans="9:13" x14ac:dyDescent="0.3">
      <c r="I27625" s="82"/>
      <c r="M27625" s="85"/>
    </row>
    <row r="27626" spans="9:13" x14ac:dyDescent="0.3">
      <c r="I27626" s="82"/>
      <c r="M27626" s="85"/>
    </row>
    <row r="27627" spans="9:13" x14ac:dyDescent="0.3">
      <c r="I27627" s="82"/>
      <c r="M27627" s="85"/>
    </row>
    <row r="27628" spans="9:13" x14ac:dyDescent="0.3">
      <c r="I27628" s="82"/>
      <c r="M27628" s="85"/>
    </row>
    <row r="27629" spans="9:13" x14ac:dyDescent="0.3">
      <c r="I27629" s="82"/>
      <c r="M27629" s="85"/>
    </row>
    <row r="27630" spans="9:13" x14ac:dyDescent="0.3">
      <c r="I27630" s="82"/>
      <c r="M27630" s="85"/>
    </row>
    <row r="27631" spans="9:13" x14ac:dyDescent="0.3">
      <c r="I27631" s="82"/>
      <c r="M27631" s="85"/>
    </row>
    <row r="27632" spans="9:13" x14ac:dyDescent="0.3">
      <c r="I27632" s="82"/>
      <c r="M27632" s="85"/>
    </row>
    <row r="27633" spans="9:13" x14ac:dyDescent="0.3">
      <c r="I27633" s="82"/>
      <c r="M27633" s="85"/>
    </row>
    <row r="27634" spans="9:13" x14ac:dyDescent="0.3">
      <c r="I27634" s="82"/>
      <c r="M27634" s="85"/>
    </row>
    <row r="27635" spans="9:13" x14ac:dyDescent="0.3">
      <c r="I27635" s="82"/>
      <c r="M27635" s="85"/>
    </row>
    <row r="27636" spans="9:13" x14ac:dyDescent="0.3">
      <c r="I27636" s="82"/>
      <c r="M27636" s="85"/>
    </row>
    <row r="27637" spans="9:13" x14ac:dyDescent="0.3">
      <c r="I27637" s="82"/>
      <c r="M27637" s="85"/>
    </row>
    <row r="27638" spans="9:13" x14ac:dyDescent="0.3">
      <c r="I27638" s="82"/>
      <c r="M27638" s="85"/>
    </row>
    <row r="27639" spans="9:13" x14ac:dyDescent="0.3">
      <c r="I27639" s="82"/>
      <c r="M27639" s="85"/>
    </row>
    <row r="27640" spans="9:13" x14ac:dyDescent="0.3">
      <c r="I27640" s="82"/>
      <c r="M27640" s="85"/>
    </row>
    <row r="27641" spans="9:13" x14ac:dyDescent="0.3">
      <c r="I27641" s="82"/>
      <c r="M27641" s="85"/>
    </row>
    <row r="27642" spans="9:13" x14ac:dyDescent="0.3">
      <c r="I27642" s="82"/>
      <c r="M27642" s="85"/>
    </row>
    <row r="27643" spans="9:13" x14ac:dyDescent="0.3">
      <c r="I27643" s="82"/>
      <c r="M27643" s="85"/>
    </row>
    <row r="27644" spans="9:13" x14ac:dyDescent="0.3">
      <c r="I27644" s="82"/>
      <c r="M27644" s="85"/>
    </row>
    <row r="27645" spans="9:13" x14ac:dyDescent="0.3">
      <c r="I27645" s="82"/>
      <c r="M27645" s="85"/>
    </row>
    <row r="27646" spans="9:13" x14ac:dyDescent="0.3">
      <c r="I27646" s="82"/>
      <c r="M27646" s="85"/>
    </row>
    <row r="27647" spans="9:13" x14ac:dyDescent="0.3">
      <c r="I27647" s="82"/>
      <c r="M27647" s="85"/>
    </row>
    <row r="27648" spans="9:13" x14ac:dyDescent="0.3">
      <c r="I27648" s="82"/>
      <c r="M27648" s="85"/>
    </row>
    <row r="27649" spans="9:13" x14ac:dyDescent="0.3">
      <c r="I27649" s="82"/>
      <c r="M27649" s="85"/>
    </row>
    <row r="27650" spans="9:13" x14ac:dyDescent="0.3">
      <c r="I27650" s="82"/>
      <c r="M27650" s="85"/>
    </row>
    <row r="27651" spans="9:13" x14ac:dyDescent="0.3">
      <c r="I27651" s="82"/>
      <c r="M27651" s="85"/>
    </row>
    <row r="27652" spans="9:13" x14ac:dyDescent="0.3">
      <c r="I27652" s="82"/>
      <c r="M27652" s="85"/>
    </row>
    <row r="27653" spans="9:13" x14ac:dyDescent="0.3">
      <c r="I27653" s="82"/>
      <c r="M27653" s="85"/>
    </row>
    <row r="27654" spans="9:13" x14ac:dyDescent="0.3">
      <c r="I27654" s="82"/>
      <c r="M27654" s="85"/>
    </row>
    <row r="27655" spans="9:13" x14ac:dyDescent="0.3">
      <c r="I27655" s="82"/>
      <c r="M27655" s="85"/>
    </row>
    <row r="27656" spans="9:13" x14ac:dyDescent="0.3">
      <c r="I27656" s="82"/>
      <c r="M27656" s="85"/>
    </row>
    <row r="27657" spans="9:13" x14ac:dyDescent="0.3">
      <c r="I27657" s="82"/>
      <c r="M27657" s="85"/>
    </row>
    <row r="27658" spans="9:13" x14ac:dyDescent="0.3">
      <c r="I27658" s="82"/>
      <c r="M27658" s="85"/>
    </row>
    <row r="27659" spans="9:13" x14ac:dyDescent="0.3">
      <c r="I27659" s="82"/>
      <c r="M27659" s="85"/>
    </row>
    <row r="27660" spans="9:13" x14ac:dyDescent="0.3">
      <c r="I27660" s="82"/>
      <c r="M27660" s="85"/>
    </row>
    <row r="27661" spans="9:13" x14ac:dyDescent="0.3">
      <c r="I27661" s="82"/>
      <c r="M27661" s="85"/>
    </row>
    <row r="27662" spans="9:13" x14ac:dyDescent="0.3">
      <c r="I27662" s="82"/>
      <c r="M27662" s="85"/>
    </row>
    <row r="27663" spans="9:13" x14ac:dyDescent="0.3">
      <c r="I27663" s="82"/>
      <c r="M27663" s="85"/>
    </row>
    <row r="27664" spans="9:13" x14ac:dyDescent="0.3">
      <c r="I27664" s="82"/>
      <c r="M27664" s="85"/>
    </row>
    <row r="27665" spans="9:13" x14ac:dyDescent="0.3">
      <c r="I27665" s="82"/>
      <c r="M27665" s="85"/>
    </row>
    <row r="27666" spans="9:13" x14ac:dyDescent="0.3">
      <c r="I27666" s="82"/>
      <c r="M27666" s="85"/>
    </row>
    <row r="27667" spans="9:13" x14ac:dyDescent="0.3">
      <c r="I27667" s="82"/>
      <c r="M27667" s="85"/>
    </row>
    <row r="27668" spans="9:13" x14ac:dyDescent="0.3">
      <c r="I27668" s="82"/>
      <c r="M27668" s="85"/>
    </row>
    <row r="27669" spans="9:13" x14ac:dyDescent="0.3">
      <c r="I27669" s="82"/>
      <c r="M27669" s="85"/>
    </row>
    <row r="27670" spans="9:13" x14ac:dyDescent="0.3">
      <c r="I27670" s="82"/>
      <c r="M27670" s="85"/>
    </row>
    <row r="27671" spans="9:13" x14ac:dyDescent="0.3">
      <c r="I27671" s="82"/>
      <c r="M27671" s="85"/>
    </row>
    <row r="27672" spans="9:13" x14ac:dyDescent="0.3">
      <c r="I27672" s="82"/>
      <c r="M27672" s="85"/>
    </row>
    <row r="27673" spans="9:13" x14ac:dyDescent="0.3">
      <c r="I27673" s="82"/>
      <c r="M27673" s="85"/>
    </row>
    <row r="27674" spans="9:13" x14ac:dyDescent="0.3">
      <c r="I27674" s="82"/>
      <c r="M27674" s="85"/>
    </row>
    <row r="27675" spans="9:13" x14ac:dyDescent="0.3">
      <c r="I27675" s="82"/>
      <c r="M27675" s="85"/>
    </row>
    <row r="27676" spans="9:13" x14ac:dyDescent="0.3">
      <c r="I27676" s="82"/>
      <c r="M27676" s="85"/>
    </row>
    <row r="27677" spans="9:13" x14ac:dyDescent="0.3">
      <c r="I27677" s="82"/>
      <c r="M27677" s="85"/>
    </row>
    <row r="27678" spans="9:13" x14ac:dyDescent="0.3">
      <c r="I27678" s="82"/>
      <c r="M27678" s="85"/>
    </row>
    <row r="27679" spans="9:13" x14ac:dyDescent="0.3">
      <c r="I27679" s="82"/>
      <c r="M27679" s="85"/>
    </row>
    <row r="27680" spans="9:13" x14ac:dyDescent="0.3">
      <c r="I27680" s="82"/>
      <c r="M27680" s="85"/>
    </row>
    <row r="27681" spans="9:13" x14ac:dyDescent="0.3">
      <c r="I27681" s="82"/>
      <c r="M27681" s="85"/>
    </row>
    <row r="27682" spans="9:13" x14ac:dyDescent="0.3">
      <c r="I27682" s="82"/>
      <c r="M27682" s="85"/>
    </row>
    <row r="27683" spans="9:13" x14ac:dyDescent="0.3">
      <c r="I27683" s="82"/>
      <c r="M27683" s="85"/>
    </row>
    <row r="27684" spans="9:13" x14ac:dyDescent="0.3">
      <c r="I27684" s="82"/>
      <c r="M27684" s="85"/>
    </row>
    <row r="27685" spans="9:13" x14ac:dyDescent="0.3">
      <c r="I27685" s="82"/>
      <c r="M27685" s="85"/>
    </row>
    <row r="27686" spans="9:13" x14ac:dyDescent="0.3">
      <c r="I27686" s="82"/>
      <c r="M27686" s="85"/>
    </row>
    <row r="27687" spans="9:13" x14ac:dyDescent="0.3">
      <c r="I27687" s="82"/>
      <c r="M27687" s="85"/>
    </row>
    <row r="27688" spans="9:13" x14ac:dyDescent="0.3">
      <c r="I27688" s="82"/>
      <c r="M27688" s="85"/>
    </row>
    <row r="27689" spans="9:13" x14ac:dyDescent="0.3">
      <c r="I27689" s="82"/>
      <c r="M27689" s="85"/>
    </row>
    <row r="27690" spans="9:13" x14ac:dyDescent="0.3">
      <c r="I27690" s="82"/>
      <c r="M27690" s="85"/>
    </row>
    <row r="27691" spans="9:13" x14ac:dyDescent="0.3">
      <c r="I27691" s="82"/>
      <c r="M27691" s="85"/>
    </row>
    <row r="27692" spans="9:13" x14ac:dyDescent="0.3">
      <c r="I27692" s="82"/>
      <c r="M27692" s="85"/>
    </row>
    <row r="27693" spans="9:13" x14ac:dyDescent="0.3">
      <c r="I27693" s="82"/>
      <c r="M27693" s="85"/>
    </row>
    <row r="27694" spans="9:13" x14ac:dyDescent="0.3">
      <c r="I27694" s="82"/>
      <c r="M27694" s="85"/>
    </row>
    <row r="27695" spans="9:13" x14ac:dyDescent="0.3">
      <c r="I27695" s="82"/>
      <c r="M27695" s="85"/>
    </row>
    <row r="27696" spans="9:13" x14ac:dyDescent="0.3">
      <c r="I27696" s="82"/>
      <c r="M27696" s="85"/>
    </row>
    <row r="27697" spans="9:13" x14ac:dyDescent="0.3">
      <c r="I27697" s="82"/>
      <c r="M27697" s="85"/>
    </row>
    <row r="27698" spans="9:13" x14ac:dyDescent="0.3">
      <c r="I27698" s="82"/>
      <c r="M27698" s="85"/>
    </row>
    <row r="27699" spans="9:13" x14ac:dyDescent="0.3">
      <c r="I27699" s="82"/>
      <c r="M27699" s="85"/>
    </row>
    <row r="27700" spans="9:13" x14ac:dyDescent="0.3">
      <c r="I27700" s="82"/>
      <c r="M27700" s="85"/>
    </row>
    <row r="27701" spans="9:13" x14ac:dyDescent="0.3">
      <c r="I27701" s="82"/>
      <c r="M27701" s="85"/>
    </row>
    <row r="27702" spans="9:13" x14ac:dyDescent="0.3">
      <c r="I27702" s="82"/>
      <c r="M27702" s="85"/>
    </row>
    <row r="27703" spans="9:13" x14ac:dyDescent="0.3">
      <c r="I27703" s="82"/>
      <c r="M27703" s="85"/>
    </row>
    <row r="27704" spans="9:13" x14ac:dyDescent="0.3">
      <c r="I27704" s="82"/>
      <c r="M27704" s="85"/>
    </row>
    <row r="27705" spans="9:13" x14ac:dyDescent="0.3">
      <c r="I27705" s="82"/>
      <c r="M27705" s="85"/>
    </row>
    <row r="27706" spans="9:13" x14ac:dyDescent="0.3">
      <c r="I27706" s="82"/>
      <c r="M27706" s="85"/>
    </row>
    <row r="27707" spans="9:13" x14ac:dyDescent="0.3">
      <c r="I27707" s="82"/>
      <c r="M27707" s="85"/>
    </row>
    <row r="27708" spans="9:13" x14ac:dyDescent="0.3">
      <c r="I27708" s="82"/>
      <c r="M27708" s="85"/>
    </row>
    <row r="27709" spans="9:13" x14ac:dyDescent="0.3">
      <c r="I27709" s="82"/>
      <c r="M27709" s="85"/>
    </row>
    <row r="27710" spans="9:13" x14ac:dyDescent="0.3">
      <c r="I27710" s="82"/>
      <c r="M27710" s="85"/>
    </row>
    <row r="27711" spans="9:13" x14ac:dyDescent="0.3">
      <c r="I27711" s="82"/>
      <c r="M27711" s="85"/>
    </row>
    <row r="27712" spans="9:13" x14ac:dyDescent="0.3">
      <c r="I27712" s="82"/>
      <c r="M27712" s="85"/>
    </row>
    <row r="27713" spans="9:13" x14ac:dyDescent="0.3">
      <c r="I27713" s="82"/>
      <c r="M27713" s="85"/>
    </row>
    <row r="27714" spans="9:13" x14ac:dyDescent="0.3">
      <c r="I27714" s="82"/>
      <c r="M27714" s="85"/>
    </row>
    <row r="27715" spans="9:13" x14ac:dyDescent="0.3">
      <c r="I27715" s="82"/>
      <c r="M27715" s="85"/>
    </row>
    <row r="27716" spans="9:13" x14ac:dyDescent="0.3">
      <c r="I27716" s="82"/>
      <c r="M27716" s="85"/>
    </row>
    <row r="27717" spans="9:13" x14ac:dyDescent="0.3">
      <c r="I27717" s="82"/>
      <c r="M27717" s="85"/>
    </row>
    <row r="27718" spans="9:13" x14ac:dyDescent="0.3">
      <c r="I27718" s="82"/>
      <c r="M27718" s="85"/>
    </row>
    <row r="27719" spans="9:13" x14ac:dyDescent="0.3">
      <c r="I27719" s="82"/>
      <c r="M27719" s="85"/>
    </row>
    <row r="27720" spans="9:13" x14ac:dyDescent="0.3">
      <c r="I27720" s="82"/>
      <c r="M27720" s="85"/>
    </row>
    <row r="27721" spans="9:13" x14ac:dyDescent="0.3">
      <c r="I27721" s="82"/>
      <c r="M27721" s="85"/>
    </row>
    <row r="27722" spans="9:13" x14ac:dyDescent="0.3">
      <c r="I27722" s="82"/>
      <c r="M27722" s="85"/>
    </row>
    <row r="27723" spans="9:13" x14ac:dyDescent="0.3">
      <c r="I27723" s="82"/>
      <c r="M27723" s="85"/>
    </row>
    <row r="27724" spans="9:13" x14ac:dyDescent="0.3">
      <c r="I27724" s="82"/>
      <c r="M27724" s="85"/>
    </row>
    <row r="27725" spans="9:13" x14ac:dyDescent="0.3">
      <c r="I27725" s="82"/>
      <c r="M27725" s="85"/>
    </row>
    <row r="27726" spans="9:13" x14ac:dyDescent="0.3">
      <c r="I27726" s="82"/>
      <c r="M27726" s="85"/>
    </row>
    <row r="27727" spans="9:13" x14ac:dyDescent="0.3">
      <c r="I27727" s="82"/>
      <c r="M27727" s="85"/>
    </row>
    <row r="27728" spans="9:13" x14ac:dyDescent="0.3">
      <c r="I27728" s="82"/>
      <c r="M27728" s="85"/>
    </row>
    <row r="27729" spans="9:13" x14ac:dyDescent="0.3">
      <c r="I27729" s="82"/>
      <c r="M27729" s="85"/>
    </row>
    <row r="27730" spans="9:13" x14ac:dyDescent="0.3">
      <c r="I27730" s="82"/>
      <c r="M27730" s="85"/>
    </row>
    <row r="27731" spans="9:13" x14ac:dyDescent="0.3">
      <c r="I27731" s="82"/>
      <c r="M27731" s="85"/>
    </row>
    <row r="27732" spans="9:13" x14ac:dyDescent="0.3">
      <c r="I27732" s="82"/>
      <c r="M27732" s="85"/>
    </row>
    <row r="27733" spans="9:13" x14ac:dyDescent="0.3">
      <c r="I27733" s="82"/>
      <c r="M27733" s="85"/>
    </row>
    <row r="27734" spans="9:13" x14ac:dyDescent="0.3">
      <c r="I27734" s="82"/>
      <c r="M27734" s="85"/>
    </row>
    <row r="27735" spans="9:13" x14ac:dyDescent="0.3">
      <c r="I27735" s="82"/>
      <c r="M27735" s="85"/>
    </row>
    <row r="27736" spans="9:13" x14ac:dyDescent="0.3">
      <c r="I27736" s="82"/>
      <c r="M27736" s="85"/>
    </row>
    <row r="27737" spans="9:13" x14ac:dyDescent="0.3">
      <c r="I27737" s="82"/>
      <c r="M27737" s="85"/>
    </row>
    <row r="27738" spans="9:13" x14ac:dyDescent="0.3">
      <c r="I27738" s="82"/>
      <c r="M27738" s="85"/>
    </row>
    <row r="27739" spans="9:13" x14ac:dyDescent="0.3">
      <c r="I27739" s="82"/>
      <c r="M27739" s="85"/>
    </row>
    <row r="27740" spans="9:13" x14ac:dyDescent="0.3">
      <c r="I27740" s="82"/>
      <c r="M27740" s="85"/>
    </row>
    <row r="27741" spans="9:13" x14ac:dyDescent="0.3">
      <c r="I27741" s="82"/>
      <c r="M27741" s="85"/>
    </row>
    <row r="27742" spans="9:13" x14ac:dyDescent="0.3">
      <c r="I27742" s="82"/>
      <c r="M27742" s="85"/>
    </row>
    <row r="27743" spans="9:13" x14ac:dyDescent="0.3">
      <c r="I27743" s="82"/>
      <c r="M27743" s="85"/>
    </row>
    <row r="27744" spans="9:13" x14ac:dyDescent="0.3">
      <c r="I27744" s="82"/>
      <c r="M27744" s="85"/>
    </row>
    <row r="27745" spans="9:13" x14ac:dyDescent="0.3">
      <c r="I27745" s="82"/>
      <c r="M27745" s="85"/>
    </row>
    <row r="27746" spans="9:13" x14ac:dyDescent="0.3">
      <c r="I27746" s="82"/>
      <c r="M27746" s="85"/>
    </row>
    <row r="27747" spans="9:13" x14ac:dyDescent="0.3">
      <c r="I27747" s="82"/>
      <c r="M27747" s="85"/>
    </row>
    <row r="27748" spans="9:13" x14ac:dyDescent="0.3">
      <c r="I27748" s="82"/>
      <c r="M27748" s="85"/>
    </row>
    <row r="27749" spans="9:13" x14ac:dyDescent="0.3">
      <c r="I27749" s="82"/>
      <c r="M27749" s="85"/>
    </row>
    <row r="27750" spans="9:13" x14ac:dyDescent="0.3">
      <c r="I27750" s="82"/>
      <c r="M27750" s="85"/>
    </row>
    <row r="27751" spans="9:13" x14ac:dyDescent="0.3">
      <c r="I27751" s="82"/>
      <c r="M27751" s="85"/>
    </row>
    <row r="27752" spans="9:13" x14ac:dyDescent="0.3">
      <c r="I27752" s="82"/>
      <c r="M27752" s="85"/>
    </row>
    <row r="27753" spans="9:13" x14ac:dyDescent="0.3">
      <c r="I27753" s="82"/>
      <c r="M27753" s="85"/>
    </row>
    <row r="27754" spans="9:13" x14ac:dyDescent="0.3">
      <c r="I27754" s="82"/>
      <c r="M27754" s="85"/>
    </row>
    <row r="27755" spans="9:13" x14ac:dyDescent="0.3">
      <c r="I27755" s="82"/>
      <c r="M27755" s="85"/>
    </row>
    <row r="27756" spans="9:13" x14ac:dyDescent="0.3">
      <c r="I27756" s="82"/>
      <c r="M27756" s="85"/>
    </row>
    <row r="27757" spans="9:13" x14ac:dyDescent="0.3">
      <c r="I27757" s="82"/>
      <c r="M27757" s="85"/>
    </row>
    <row r="27758" spans="9:13" x14ac:dyDescent="0.3">
      <c r="I27758" s="82"/>
      <c r="M27758" s="85"/>
    </row>
    <row r="27759" spans="9:13" x14ac:dyDescent="0.3">
      <c r="I27759" s="82"/>
      <c r="M27759" s="85"/>
    </row>
    <row r="27760" spans="9:13" x14ac:dyDescent="0.3">
      <c r="I27760" s="82"/>
      <c r="M27760" s="85"/>
    </row>
    <row r="27761" spans="9:13" x14ac:dyDescent="0.3">
      <c r="I27761" s="82"/>
      <c r="M27761" s="85"/>
    </row>
    <row r="27762" spans="9:13" x14ac:dyDescent="0.3">
      <c r="I27762" s="82"/>
      <c r="M27762" s="85"/>
    </row>
    <row r="27763" spans="9:13" x14ac:dyDescent="0.3">
      <c r="I27763" s="82"/>
      <c r="M27763" s="85"/>
    </row>
    <row r="27764" spans="9:13" x14ac:dyDescent="0.3">
      <c r="I27764" s="82"/>
      <c r="M27764" s="85"/>
    </row>
    <row r="27765" spans="9:13" x14ac:dyDescent="0.3">
      <c r="I27765" s="82"/>
      <c r="M27765" s="85"/>
    </row>
    <row r="27766" spans="9:13" x14ac:dyDescent="0.3">
      <c r="I27766" s="82"/>
      <c r="M27766" s="85"/>
    </row>
    <row r="27767" spans="9:13" x14ac:dyDescent="0.3">
      <c r="I27767" s="82"/>
      <c r="M27767" s="85"/>
    </row>
    <row r="27768" spans="9:13" x14ac:dyDescent="0.3">
      <c r="I27768" s="82"/>
      <c r="M27768" s="85"/>
    </row>
    <row r="27769" spans="9:13" x14ac:dyDescent="0.3">
      <c r="I27769" s="82"/>
      <c r="M27769" s="85"/>
    </row>
    <row r="27770" spans="9:13" x14ac:dyDescent="0.3">
      <c r="I27770" s="82"/>
      <c r="M27770" s="85"/>
    </row>
    <row r="27771" spans="9:13" x14ac:dyDescent="0.3">
      <c r="I27771" s="82"/>
      <c r="M27771" s="85"/>
    </row>
    <row r="27772" spans="9:13" x14ac:dyDescent="0.3">
      <c r="I27772" s="82"/>
      <c r="M27772" s="85"/>
    </row>
    <row r="27773" spans="9:13" x14ac:dyDescent="0.3">
      <c r="I27773" s="82"/>
      <c r="M27773" s="85"/>
    </row>
    <row r="27774" spans="9:13" x14ac:dyDescent="0.3">
      <c r="I27774" s="82"/>
      <c r="M27774" s="85"/>
    </row>
    <row r="27775" spans="9:13" x14ac:dyDescent="0.3">
      <c r="I27775" s="82"/>
      <c r="M27775" s="85"/>
    </row>
    <row r="27776" spans="9:13" x14ac:dyDescent="0.3">
      <c r="I27776" s="82"/>
      <c r="M27776" s="85"/>
    </row>
    <row r="27777" spans="9:13" x14ac:dyDescent="0.3">
      <c r="I27777" s="82"/>
      <c r="M27777" s="85"/>
    </row>
    <row r="27778" spans="9:13" x14ac:dyDescent="0.3">
      <c r="I27778" s="82"/>
      <c r="M27778" s="85"/>
    </row>
    <row r="27779" spans="9:13" x14ac:dyDescent="0.3">
      <c r="I27779" s="82"/>
      <c r="M27779" s="85"/>
    </row>
    <row r="27780" spans="9:13" x14ac:dyDescent="0.3">
      <c r="I27780" s="82"/>
      <c r="M27780" s="85"/>
    </row>
    <row r="27781" spans="9:13" x14ac:dyDescent="0.3">
      <c r="I27781" s="82"/>
      <c r="M27781" s="85"/>
    </row>
    <row r="27782" spans="9:13" x14ac:dyDescent="0.3">
      <c r="I27782" s="82"/>
      <c r="M27782" s="85"/>
    </row>
    <row r="27783" spans="9:13" x14ac:dyDescent="0.3">
      <c r="I27783" s="82"/>
      <c r="M27783" s="85"/>
    </row>
    <row r="27784" spans="9:13" x14ac:dyDescent="0.3">
      <c r="I27784" s="82"/>
      <c r="M27784" s="85"/>
    </row>
    <row r="27785" spans="9:13" x14ac:dyDescent="0.3">
      <c r="I27785" s="82"/>
      <c r="M27785" s="85"/>
    </row>
    <row r="27786" spans="9:13" x14ac:dyDescent="0.3">
      <c r="I27786" s="82"/>
      <c r="M27786" s="85"/>
    </row>
    <row r="27787" spans="9:13" x14ac:dyDescent="0.3">
      <c r="I27787" s="82"/>
      <c r="M27787" s="85"/>
    </row>
    <row r="27788" spans="9:13" x14ac:dyDescent="0.3">
      <c r="I27788" s="82"/>
      <c r="M27788" s="85"/>
    </row>
    <row r="27789" spans="9:13" x14ac:dyDescent="0.3">
      <c r="I27789" s="82"/>
      <c r="M27789" s="85"/>
    </row>
    <row r="27790" spans="9:13" x14ac:dyDescent="0.3">
      <c r="I27790" s="82"/>
      <c r="M27790" s="85"/>
    </row>
    <row r="27791" spans="9:13" x14ac:dyDescent="0.3">
      <c r="I27791" s="82"/>
      <c r="M27791" s="85"/>
    </row>
    <row r="27792" spans="9:13" x14ac:dyDescent="0.3">
      <c r="I27792" s="82"/>
      <c r="M27792" s="85"/>
    </row>
    <row r="27793" spans="9:13" x14ac:dyDescent="0.3">
      <c r="I27793" s="82"/>
      <c r="M27793" s="85"/>
    </row>
    <row r="27794" spans="9:13" x14ac:dyDescent="0.3">
      <c r="I27794" s="82"/>
      <c r="M27794" s="85"/>
    </row>
    <row r="27795" spans="9:13" x14ac:dyDescent="0.3">
      <c r="I27795" s="82"/>
      <c r="M27795" s="85"/>
    </row>
    <row r="27796" spans="9:13" x14ac:dyDescent="0.3">
      <c r="I27796" s="82"/>
      <c r="M27796" s="85"/>
    </row>
    <row r="27797" spans="9:13" x14ac:dyDescent="0.3">
      <c r="I27797" s="82"/>
      <c r="M27797" s="85"/>
    </row>
    <row r="27798" spans="9:13" x14ac:dyDescent="0.3">
      <c r="I27798" s="82"/>
      <c r="M27798" s="85"/>
    </row>
    <row r="27799" spans="9:13" x14ac:dyDescent="0.3">
      <c r="I27799" s="82"/>
      <c r="M27799" s="85"/>
    </row>
    <row r="27800" spans="9:13" x14ac:dyDescent="0.3">
      <c r="I27800" s="82"/>
      <c r="M27800" s="85"/>
    </row>
    <row r="27801" spans="9:13" x14ac:dyDescent="0.3">
      <c r="I27801" s="82"/>
      <c r="M27801" s="85"/>
    </row>
    <row r="27802" spans="9:13" x14ac:dyDescent="0.3">
      <c r="I27802" s="82"/>
      <c r="M27802" s="85"/>
    </row>
    <row r="27803" spans="9:13" x14ac:dyDescent="0.3">
      <c r="I27803" s="82"/>
      <c r="M27803" s="85"/>
    </row>
    <row r="27804" spans="9:13" x14ac:dyDescent="0.3">
      <c r="I27804" s="82"/>
      <c r="M27804" s="85"/>
    </row>
    <row r="27805" spans="9:13" x14ac:dyDescent="0.3">
      <c r="I27805" s="82"/>
      <c r="M27805" s="85"/>
    </row>
    <row r="27806" spans="9:13" x14ac:dyDescent="0.3">
      <c r="I27806" s="82"/>
      <c r="M27806" s="85"/>
    </row>
    <row r="27807" spans="9:13" x14ac:dyDescent="0.3">
      <c r="I27807" s="82"/>
      <c r="M27807" s="85"/>
    </row>
    <row r="27808" spans="9:13" x14ac:dyDescent="0.3">
      <c r="I27808" s="82"/>
      <c r="M27808" s="85"/>
    </row>
    <row r="27809" spans="9:13" x14ac:dyDescent="0.3">
      <c r="I27809" s="82"/>
      <c r="M27809" s="85"/>
    </row>
    <row r="27810" spans="9:13" x14ac:dyDescent="0.3">
      <c r="I27810" s="82"/>
      <c r="M27810" s="85"/>
    </row>
    <row r="27811" spans="9:13" x14ac:dyDescent="0.3">
      <c r="I27811" s="82"/>
      <c r="M27811" s="85"/>
    </row>
    <row r="27812" spans="9:13" x14ac:dyDescent="0.3">
      <c r="I27812" s="82"/>
      <c r="M27812" s="85"/>
    </row>
    <row r="27813" spans="9:13" x14ac:dyDescent="0.3">
      <c r="I27813" s="82"/>
      <c r="M27813" s="85"/>
    </row>
    <row r="27814" spans="9:13" x14ac:dyDescent="0.3">
      <c r="I27814" s="82"/>
      <c r="M27814" s="85"/>
    </row>
    <row r="27815" spans="9:13" x14ac:dyDescent="0.3">
      <c r="I27815" s="82"/>
      <c r="M27815" s="85"/>
    </row>
    <row r="27816" spans="9:13" x14ac:dyDescent="0.3">
      <c r="I27816" s="82"/>
      <c r="M27816" s="85"/>
    </row>
    <row r="27817" spans="9:13" x14ac:dyDescent="0.3">
      <c r="I27817" s="82"/>
      <c r="M27817" s="85"/>
    </row>
    <row r="27818" spans="9:13" x14ac:dyDescent="0.3">
      <c r="I27818" s="82"/>
      <c r="M27818" s="85"/>
    </row>
    <row r="27819" spans="9:13" x14ac:dyDescent="0.3">
      <c r="I27819" s="82"/>
      <c r="M27819" s="85"/>
    </row>
    <row r="27820" spans="9:13" x14ac:dyDescent="0.3">
      <c r="I27820" s="82"/>
      <c r="M27820" s="85"/>
    </row>
    <row r="27821" spans="9:13" x14ac:dyDescent="0.3">
      <c r="I27821" s="82"/>
      <c r="M27821" s="85"/>
    </row>
    <row r="27822" spans="9:13" x14ac:dyDescent="0.3">
      <c r="I27822" s="82"/>
      <c r="M27822" s="85"/>
    </row>
    <row r="27823" spans="9:13" x14ac:dyDescent="0.3">
      <c r="I27823" s="82"/>
      <c r="M27823" s="85"/>
    </row>
    <row r="27824" spans="9:13" x14ac:dyDescent="0.3">
      <c r="I27824" s="82"/>
      <c r="M27824" s="85"/>
    </row>
    <row r="27825" spans="9:13" x14ac:dyDescent="0.3">
      <c r="I27825" s="82"/>
      <c r="M27825" s="85"/>
    </row>
    <row r="27826" spans="9:13" x14ac:dyDescent="0.3">
      <c r="I27826" s="82"/>
      <c r="M27826" s="85"/>
    </row>
    <row r="27827" spans="9:13" x14ac:dyDescent="0.3">
      <c r="I27827" s="82"/>
      <c r="M27827" s="85"/>
    </row>
    <row r="27828" spans="9:13" x14ac:dyDescent="0.3">
      <c r="I27828" s="82"/>
      <c r="M27828" s="85"/>
    </row>
    <row r="27829" spans="9:13" x14ac:dyDescent="0.3">
      <c r="I27829" s="82"/>
      <c r="M27829" s="85"/>
    </row>
    <row r="27830" spans="9:13" x14ac:dyDescent="0.3">
      <c r="I27830" s="82"/>
      <c r="M27830" s="85"/>
    </row>
    <row r="27831" spans="9:13" x14ac:dyDescent="0.3">
      <c r="I27831" s="82"/>
      <c r="M27831" s="85"/>
    </row>
    <row r="27832" spans="9:13" x14ac:dyDescent="0.3">
      <c r="I27832" s="82"/>
      <c r="M27832" s="85"/>
    </row>
    <row r="27833" spans="9:13" x14ac:dyDescent="0.3">
      <c r="I27833" s="82"/>
      <c r="M27833" s="85"/>
    </row>
    <row r="27834" spans="9:13" x14ac:dyDescent="0.3">
      <c r="I27834" s="82"/>
      <c r="M27834" s="85"/>
    </row>
    <row r="27835" spans="9:13" x14ac:dyDescent="0.3">
      <c r="I27835" s="82"/>
      <c r="M27835" s="85"/>
    </row>
    <row r="27836" spans="9:13" x14ac:dyDescent="0.3">
      <c r="I27836" s="82"/>
      <c r="M27836" s="85"/>
    </row>
    <row r="27837" spans="9:13" x14ac:dyDescent="0.3">
      <c r="I27837" s="82"/>
      <c r="M27837" s="85"/>
    </row>
    <row r="27838" spans="9:13" x14ac:dyDescent="0.3">
      <c r="I27838" s="82"/>
      <c r="M27838" s="85"/>
    </row>
    <row r="27839" spans="9:13" x14ac:dyDescent="0.3">
      <c r="I27839" s="82"/>
      <c r="M27839" s="85"/>
    </row>
    <row r="27840" spans="9:13" x14ac:dyDescent="0.3">
      <c r="I27840" s="82"/>
      <c r="M27840" s="85"/>
    </row>
    <row r="27841" spans="9:13" x14ac:dyDescent="0.3">
      <c r="I27841" s="82"/>
      <c r="M27841" s="85"/>
    </row>
    <row r="27842" spans="9:13" x14ac:dyDescent="0.3">
      <c r="I27842" s="82"/>
      <c r="M27842" s="85"/>
    </row>
    <row r="27843" spans="9:13" x14ac:dyDescent="0.3">
      <c r="I27843" s="82"/>
      <c r="M27843" s="85"/>
    </row>
    <row r="27844" spans="9:13" x14ac:dyDescent="0.3">
      <c r="I27844" s="82"/>
      <c r="M27844" s="85"/>
    </row>
    <row r="27845" spans="9:13" x14ac:dyDescent="0.3">
      <c r="I27845" s="82"/>
      <c r="M27845" s="85"/>
    </row>
    <row r="27846" spans="9:13" x14ac:dyDescent="0.3">
      <c r="I27846" s="82"/>
      <c r="M27846" s="85"/>
    </row>
    <row r="27847" spans="9:13" x14ac:dyDescent="0.3">
      <c r="I27847" s="82"/>
      <c r="M27847" s="85"/>
    </row>
    <row r="27848" spans="9:13" x14ac:dyDescent="0.3">
      <c r="I27848" s="82"/>
      <c r="M27848" s="85"/>
    </row>
    <row r="27849" spans="9:13" x14ac:dyDescent="0.3">
      <c r="I27849" s="82"/>
      <c r="M27849" s="85"/>
    </row>
    <row r="27850" spans="9:13" x14ac:dyDescent="0.3">
      <c r="I27850" s="82"/>
      <c r="M27850" s="85"/>
    </row>
    <row r="27851" spans="9:13" x14ac:dyDescent="0.3">
      <c r="I27851" s="82"/>
      <c r="M27851" s="85"/>
    </row>
    <row r="27852" spans="9:13" x14ac:dyDescent="0.3">
      <c r="I27852" s="82"/>
      <c r="M27852" s="85"/>
    </row>
    <row r="27853" spans="9:13" x14ac:dyDescent="0.3">
      <c r="I27853" s="82"/>
      <c r="M27853" s="85"/>
    </row>
    <row r="27854" spans="9:13" x14ac:dyDescent="0.3">
      <c r="I27854" s="82"/>
      <c r="M27854" s="85"/>
    </row>
    <row r="27855" spans="9:13" x14ac:dyDescent="0.3">
      <c r="I27855" s="82"/>
      <c r="M27855" s="85"/>
    </row>
    <row r="27856" spans="9:13" x14ac:dyDescent="0.3">
      <c r="I27856" s="82"/>
      <c r="M27856" s="85"/>
    </row>
    <row r="27857" spans="9:13" x14ac:dyDescent="0.3">
      <c r="I27857" s="82"/>
      <c r="M27857" s="85"/>
    </row>
    <row r="27858" spans="9:13" x14ac:dyDescent="0.3">
      <c r="I27858" s="82"/>
      <c r="M27858" s="85"/>
    </row>
    <row r="27859" spans="9:13" x14ac:dyDescent="0.3">
      <c r="I27859" s="82"/>
      <c r="M27859" s="85"/>
    </row>
    <row r="27860" spans="9:13" x14ac:dyDescent="0.3">
      <c r="I27860" s="82"/>
      <c r="M27860" s="85"/>
    </row>
    <row r="27861" spans="9:13" x14ac:dyDescent="0.3">
      <c r="I27861" s="82"/>
      <c r="M27861" s="85"/>
    </row>
    <row r="27862" spans="9:13" x14ac:dyDescent="0.3">
      <c r="I27862" s="82"/>
      <c r="M27862" s="85"/>
    </row>
    <row r="27863" spans="9:13" x14ac:dyDescent="0.3">
      <c r="I27863" s="82"/>
      <c r="M27863" s="85"/>
    </row>
    <row r="27864" spans="9:13" x14ac:dyDescent="0.3">
      <c r="I27864" s="82"/>
      <c r="M27864" s="85"/>
    </row>
    <row r="27865" spans="9:13" x14ac:dyDescent="0.3">
      <c r="I27865" s="82"/>
      <c r="M27865" s="85"/>
    </row>
    <row r="27866" spans="9:13" x14ac:dyDescent="0.3">
      <c r="I27866" s="82"/>
      <c r="M27866" s="85"/>
    </row>
    <row r="27867" spans="9:13" x14ac:dyDescent="0.3">
      <c r="I27867" s="82"/>
      <c r="M27867" s="85"/>
    </row>
    <row r="27868" spans="9:13" x14ac:dyDescent="0.3">
      <c r="I27868" s="82"/>
      <c r="M27868" s="85"/>
    </row>
    <row r="27869" spans="9:13" x14ac:dyDescent="0.3">
      <c r="I27869" s="82"/>
      <c r="M27869" s="85"/>
    </row>
    <row r="27870" spans="9:13" x14ac:dyDescent="0.3">
      <c r="I27870" s="82"/>
      <c r="M27870" s="85"/>
    </row>
    <row r="27871" spans="9:13" x14ac:dyDescent="0.3">
      <c r="I27871" s="82"/>
      <c r="M27871" s="85"/>
    </row>
    <row r="27872" spans="9:13" x14ac:dyDescent="0.3">
      <c r="I27872" s="82"/>
      <c r="M27872" s="85"/>
    </row>
    <row r="27873" spans="9:13" x14ac:dyDescent="0.3">
      <c r="I27873" s="82"/>
      <c r="M27873" s="85"/>
    </row>
    <row r="27874" spans="9:13" x14ac:dyDescent="0.3">
      <c r="I27874" s="82"/>
      <c r="M27874" s="85"/>
    </row>
    <row r="27875" spans="9:13" x14ac:dyDescent="0.3">
      <c r="I27875" s="82"/>
      <c r="M27875" s="85"/>
    </row>
    <row r="27876" spans="9:13" x14ac:dyDescent="0.3">
      <c r="I27876" s="82"/>
      <c r="M27876" s="85"/>
    </row>
    <row r="27877" spans="9:13" x14ac:dyDescent="0.3">
      <c r="I27877" s="82"/>
      <c r="M27877" s="85"/>
    </row>
    <row r="27878" spans="9:13" x14ac:dyDescent="0.3">
      <c r="I27878" s="82"/>
      <c r="M27878" s="85"/>
    </row>
    <row r="27879" spans="9:13" x14ac:dyDescent="0.3">
      <c r="I27879" s="82"/>
      <c r="M27879" s="85"/>
    </row>
    <row r="27880" spans="9:13" x14ac:dyDescent="0.3">
      <c r="I27880" s="82"/>
      <c r="M27880" s="85"/>
    </row>
    <row r="27881" spans="9:13" x14ac:dyDescent="0.3">
      <c r="I27881" s="82"/>
      <c r="M27881" s="85"/>
    </row>
    <row r="27882" spans="9:13" x14ac:dyDescent="0.3">
      <c r="I27882" s="82"/>
      <c r="M27882" s="85"/>
    </row>
    <row r="27883" spans="9:13" x14ac:dyDescent="0.3">
      <c r="I27883" s="82"/>
      <c r="M27883" s="85"/>
    </row>
    <row r="27884" spans="9:13" x14ac:dyDescent="0.3">
      <c r="I27884" s="82"/>
      <c r="M27884" s="85"/>
    </row>
    <row r="27885" spans="9:13" x14ac:dyDescent="0.3">
      <c r="I27885" s="82"/>
      <c r="M27885" s="85"/>
    </row>
    <row r="27886" spans="9:13" x14ac:dyDescent="0.3">
      <c r="I27886" s="82"/>
      <c r="M27886" s="85"/>
    </row>
    <row r="27887" spans="9:13" x14ac:dyDescent="0.3">
      <c r="I27887" s="82"/>
      <c r="M27887" s="85"/>
    </row>
    <row r="27888" spans="9:13" x14ac:dyDescent="0.3">
      <c r="I27888" s="82"/>
      <c r="M27888" s="85"/>
    </row>
    <row r="27889" spans="9:13" x14ac:dyDescent="0.3">
      <c r="I27889" s="82"/>
      <c r="M27889" s="85"/>
    </row>
    <row r="27890" spans="9:13" x14ac:dyDescent="0.3">
      <c r="I27890" s="82"/>
      <c r="M27890" s="85"/>
    </row>
    <row r="27891" spans="9:13" x14ac:dyDescent="0.3">
      <c r="I27891" s="82"/>
      <c r="M27891" s="85"/>
    </row>
    <row r="27892" spans="9:13" x14ac:dyDescent="0.3">
      <c r="I27892" s="82"/>
      <c r="M27892" s="85"/>
    </row>
    <row r="27893" spans="9:13" x14ac:dyDescent="0.3">
      <c r="I27893" s="82"/>
      <c r="M27893" s="85"/>
    </row>
    <row r="27894" spans="9:13" x14ac:dyDescent="0.3">
      <c r="I27894" s="82"/>
      <c r="M27894" s="85"/>
    </row>
    <row r="27895" spans="9:13" x14ac:dyDescent="0.3">
      <c r="I27895" s="82"/>
      <c r="M27895" s="85"/>
    </row>
    <row r="27896" spans="9:13" x14ac:dyDescent="0.3">
      <c r="I27896" s="82"/>
      <c r="M27896" s="85"/>
    </row>
    <row r="27897" spans="9:13" x14ac:dyDescent="0.3">
      <c r="I27897" s="82"/>
      <c r="M27897" s="85"/>
    </row>
    <row r="27898" spans="9:13" x14ac:dyDescent="0.3">
      <c r="I27898" s="82"/>
      <c r="M27898" s="85"/>
    </row>
    <row r="27899" spans="9:13" x14ac:dyDescent="0.3">
      <c r="I27899" s="82"/>
      <c r="M27899" s="85"/>
    </row>
    <row r="27900" spans="9:13" x14ac:dyDescent="0.3">
      <c r="I27900" s="82"/>
      <c r="M27900" s="85"/>
    </row>
    <row r="27901" spans="9:13" x14ac:dyDescent="0.3">
      <c r="I27901" s="82"/>
      <c r="M27901" s="85"/>
    </row>
    <row r="27902" spans="9:13" x14ac:dyDescent="0.3">
      <c r="I27902" s="82"/>
      <c r="M27902" s="85"/>
    </row>
    <row r="27903" spans="9:13" x14ac:dyDescent="0.3">
      <c r="I27903" s="82"/>
      <c r="M27903" s="85"/>
    </row>
    <row r="27904" spans="9:13" x14ac:dyDescent="0.3">
      <c r="I27904" s="82"/>
      <c r="M27904" s="85"/>
    </row>
    <row r="27905" spans="9:13" x14ac:dyDescent="0.3">
      <c r="I27905" s="82"/>
      <c r="M27905" s="85"/>
    </row>
    <row r="27906" spans="9:13" x14ac:dyDescent="0.3">
      <c r="I27906" s="82"/>
      <c r="M27906" s="85"/>
    </row>
    <row r="27907" spans="9:13" x14ac:dyDescent="0.3">
      <c r="I27907" s="82"/>
      <c r="M27907" s="85"/>
    </row>
    <row r="27908" spans="9:13" x14ac:dyDescent="0.3">
      <c r="I27908" s="82"/>
      <c r="M27908" s="85"/>
    </row>
    <row r="27909" spans="9:13" x14ac:dyDescent="0.3">
      <c r="I27909" s="82"/>
      <c r="M27909" s="85"/>
    </row>
    <row r="27910" spans="9:13" x14ac:dyDescent="0.3">
      <c r="I27910" s="82"/>
      <c r="M27910" s="85"/>
    </row>
    <row r="27911" spans="9:13" x14ac:dyDescent="0.3">
      <c r="I27911" s="82"/>
      <c r="M27911" s="85"/>
    </row>
    <row r="27912" spans="9:13" x14ac:dyDescent="0.3">
      <c r="I27912" s="82"/>
      <c r="M27912" s="85"/>
    </row>
    <row r="27913" spans="9:13" x14ac:dyDescent="0.3">
      <c r="I27913" s="82"/>
      <c r="M27913" s="85"/>
    </row>
    <row r="27914" spans="9:13" x14ac:dyDescent="0.3">
      <c r="I27914" s="82"/>
      <c r="M27914" s="85"/>
    </row>
    <row r="27915" spans="9:13" x14ac:dyDescent="0.3">
      <c r="I27915" s="82"/>
      <c r="M27915" s="85"/>
    </row>
    <row r="27916" spans="9:13" x14ac:dyDescent="0.3">
      <c r="I27916" s="82"/>
      <c r="M27916" s="85"/>
    </row>
    <row r="27917" spans="9:13" x14ac:dyDescent="0.3">
      <c r="I27917" s="82"/>
      <c r="M27917" s="85"/>
    </row>
    <row r="27918" spans="9:13" x14ac:dyDescent="0.3">
      <c r="I27918" s="82"/>
      <c r="M27918" s="85"/>
    </row>
    <row r="27919" spans="9:13" x14ac:dyDescent="0.3">
      <c r="I27919" s="82"/>
      <c r="M27919" s="85"/>
    </row>
    <row r="27920" spans="9:13" x14ac:dyDescent="0.3">
      <c r="I27920" s="82"/>
      <c r="M27920" s="85"/>
    </row>
    <row r="27921" spans="9:13" x14ac:dyDescent="0.3">
      <c r="I27921" s="82"/>
      <c r="M27921" s="85"/>
    </row>
    <row r="27922" spans="9:13" x14ac:dyDescent="0.3">
      <c r="I27922" s="82"/>
      <c r="M27922" s="85"/>
    </row>
    <row r="27923" spans="9:13" x14ac:dyDescent="0.3">
      <c r="I27923" s="82"/>
      <c r="M27923" s="85"/>
    </row>
    <row r="27924" spans="9:13" x14ac:dyDescent="0.3">
      <c r="I27924" s="82"/>
      <c r="M27924" s="85"/>
    </row>
    <row r="27925" spans="9:13" x14ac:dyDescent="0.3">
      <c r="I27925" s="82"/>
      <c r="M27925" s="85"/>
    </row>
    <row r="27926" spans="9:13" x14ac:dyDescent="0.3">
      <c r="I27926" s="82"/>
      <c r="M27926" s="85"/>
    </row>
    <row r="27927" spans="9:13" x14ac:dyDescent="0.3">
      <c r="I27927" s="82"/>
      <c r="M27927" s="85"/>
    </row>
    <row r="27928" spans="9:13" x14ac:dyDescent="0.3">
      <c r="I27928" s="82"/>
      <c r="M27928" s="85"/>
    </row>
    <row r="27929" spans="9:13" x14ac:dyDescent="0.3">
      <c r="I27929" s="82"/>
      <c r="M27929" s="85"/>
    </row>
    <row r="27930" spans="9:13" x14ac:dyDescent="0.3">
      <c r="I27930" s="82"/>
      <c r="M27930" s="85"/>
    </row>
    <row r="27931" spans="9:13" x14ac:dyDescent="0.3">
      <c r="I27931" s="82"/>
      <c r="M27931" s="85"/>
    </row>
    <row r="27932" spans="9:13" x14ac:dyDescent="0.3">
      <c r="I27932" s="82"/>
      <c r="M27932" s="85"/>
    </row>
    <row r="27933" spans="9:13" x14ac:dyDescent="0.3">
      <c r="I27933" s="82"/>
      <c r="M27933" s="85"/>
    </row>
    <row r="27934" spans="9:13" x14ac:dyDescent="0.3">
      <c r="I27934" s="82"/>
      <c r="M27934" s="85"/>
    </row>
    <row r="27935" spans="9:13" x14ac:dyDescent="0.3">
      <c r="I27935" s="82"/>
      <c r="M27935" s="85"/>
    </row>
    <row r="27936" spans="9:13" x14ac:dyDescent="0.3">
      <c r="I27936" s="82"/>
      <c r="M27936" s="85"/>
    </row>
    <row r="27937" spans="9:13" x14ac:dyDescent="0.3">
      <c r="I27937" s="82"/>
      <c r="M27937" s="85"/>
    </row>
    <row r="27938" spans="9:13" x14ac:dyDescent="0.3">
      <c r="I27938" s="82"/>
      <c r="M27938" s="85"/>
    </row>
    <row r="27939" spans="9:13" x14ac:dyDescent="0.3">
      <c r="I27939" s="82"/>
      <c r="M27939" s="85"/>
    </row>
    <row r="27940" spans="9:13" x14ac:dyDescent="0.3">
      <c r="I27940" s="82"/>
      <c r="M27940" s="85"/>
    </row>
    <row r="27941" spans="9:13" x14ac:dyDescent="0.3">
      <c r="I27941" s="82"/>
      <c r="M27941" s="85"/>
    </row>
    <row r="27942" spans="9:13" x14ac:dyDescent="0.3">
      <c r="I27942" s="82"/>
      <c r="M27942" s="85"/>
    </row>
    <row r="27943" spans="9:13" x14ac:dyDescent="0.3">
      <c r="I27943" s="82"/>
      <c r="M27943" s="85"/>
    </row>
    <row r="27944" spans="9:13" x14ac:dyDescent="0.3">
      <c r="I27944" s="82"/>
      <c r="M27944" s="85"/>
    </row>
    <row r="27945" spans="9:13" x14ac:dyDescent="0.3">
      <c r="I27945" s="82"/>
      <c r="M27945" s="85"/>
    </row>
    <row r="27946" spans="9:13" x14ac:dyDescent="0.3">
      <c r="I27946" s="82"/>
      <c r="M27946" s="85"/>
    </row>
    <row r="27947" spans="9:13" x14ac:dyDescent="0.3">
      <c r="I27947" s="82"/>
      <c r="M27947" s="85"/>
    </row>
    <row r="27948" spans="9:13" x14ac:dyDescent="0.3">
      <c r="I27948" s="82"/>
      <c r="M27948" s="85"/>
    </row>
    <row r="27949" spans="9:13" x14ac:dyDescent="0.3">
      <c r="I27949" s="82"/>
      <c r="M27949" s="85"/>
    </row>
    <row r="27950" spans="9:13" x14ac:dyDescent="0.3">
      <c r="I27950" s="82"/>
      <c r="M27950" s="85"/>
    </row>
    <row r="27951" spans="9:13" x14ac:dyDescent="0.3">
      <c r="I27951" s="82"/>
      <c r="M27951" s="85"/>
    </row>
    <row r="27952" spans="9:13" x14ac:dyDescent="0.3">
      <c r="I27952" s="82"/>
      <c r="M27952" s="85"/>
    </row>
    <row r="27953" spans="9:13" x14ac:dyDescent="0.3">
      <c r="I27953" s="82"/>
      <c r="M27953" s="85"/>
    </row>
    <row r="27954" spans="9:13" x14ac:dyDescent="0.3">
      <c r="I27954" s="82"/>
      <c r="M27954" s="85"/>
    </row>
    <row r="27955" spans="9:13" x14ac:dyDescent="0.3">
      <c r="I27955" s="82"/>
      <c r="M27955" s="85"/>
    </row>
    <row r="27956" spans="9:13" x14ac:dyDescent="0.3">
      <c r="I27956" s="82"/>
      <c r="M27956" s="85"/>
    </row>
    <row r="27957" spans="9:13" x14ac:dyDescent="0.3">
      <c r="I27957" s="82"/>
      <c r="M27957" s="85"/>
    </row>
    <row r="27958" spans="9:13" x14ac:dyDescent="0.3">
      <c r="I27958" s="82"/>
      <c r="M27958" s="85"/>
    </row>
    <row r="27959" spans="9:13" x14ac:dyDescent="0.3">
      <c r="I27959" s="82"/>
      <c r="M27959" s="85"/>
    </row>
    <row r="27960" spans="9:13" x14ac:dyDescent="0.3">
      <c r="I27960" s="82"/>
      <c r="M27960" s="85"/>
    </row>
    <row r="27961" spans="9:13" x14ac:dyDescent="0.3">
      <c r="I27961" s="82"/>
      <c r="M27961" s="85"/>
    </row>
    <row r="27962" spans="9:13" x14ac:dyDescent="0.3">
      <c r="I27962" s="82"/>
      <c r="M27962" s="85"/>
    </row>
    <row r="27963" spans="9:13" x14ac:dyDescent="0.3">
      <c r="I27963" s="82"/>
      <c r="M27963" s="85"/>
    </row>
    <row r="27964" spans="9:13" x14ac:dyDescent="0.3">
      <c r="I27964" s="82"/>
      <c r="M27964" s="85"/>
    </row>
    <row r="27965" spans="9:13" x14ac:dyDescent="0.3">
      <c r="I27965" s="82"/>
      <c r="M27965" s="85"/>
    </row>
    <row r="27966" spans="9:13" x14ac:dyDescent="0.3">
      <c r="I27966" s="82"/>
      <c r="M27966" s="85"/>
    </row>
    <row r="27967" spans="9:13" x14ac:dyDescent="0.3">
      <c r="I27967" s="82"/>
      <c r="M27967" s="85"/>
    </row>
    <row r="27968" spans="9:13" x14ac:dyDescent="0.3">
      <c r="I27968" s="82"/>
      <c r="M27968" s="85"/>
    </row>
    <row r="27969" spans="9:13" x14ac:dyDescent="0.3">
      <c r="I27969" s="82"/>
      <c r="M27969" s="85"/>
    </row>
    <row r="27970" spans="9:13" x14ac:dyDescent="0.3">
      <c r="I27970" s="82"/>
      <c r="M27970" s="85"/>
    </row>
    <row r="27971" spans="9:13" x14ac:dyDescent="0.3">
      <c r="I27971" s="82"/>
      <c r="M27971" s="85"/>
    </row>
    <row r="27972" spans="9:13" x14ac:dyDescent="0.3">
      <c r="I27972" s="82"/>
      <c r="M27972" s="85"/>
    </row>
    <row r="27973" spans="9:13" x14ac:dyDescent="0.3">
      <c r="I27973" s="82"/>
      <c r="M27973" s="85"/>
    </row>
    <row r="27974" spans="9:13" x14ac:dyDescent="0.3">
      <c r="I27974" s="82"/>
      <c r="M27974" s="85"/>
    </row>
    <row r="27975" spans="9:13" x14ac:dyDescent="0.3">
      <c r="I27975" s="82"/>
      <c r="M27975" s="85"/>
    </row>
    <row r="27976" spans="9:13" x14ac:dyDescent="0.3">
      <c r="I27976" s="82"/>
      <c r="M27976" s="85"/>
    </row>
    <row r="27977" spans="9:13" x14ac:dyDescent="0.3">
      <c r="I27977" s="82"/>
      <c r="M27977" s="85"/>
    </row>
    <row r="27978" spans="9:13" x14ac:dyDescent="0.3">
      <c r="I27978" s="82"/>
      <c r="M27978" s="85"/>
    </row>
    <row r="27979" spans="9:13" x14ac:dyDescent="0.3">
      <c r="I27979" s="82"/>
      <c r="M27979" s="85"/>
    </row>
    <row r="27980" spans="9:13" x14ac:dyDescent="0.3">
      <c r="I27980" s="82"/>
      <c r="M27980" s="85"/>
    </row>
    <row r="27981" spans="9:13" x14ac:dyDescent="0.3">
      <c r="I27981" s="82"/>
      <c r="M27981" s="85"/>
    </row>
    <row r="27982" spans="9:13" x14ac:dyDescent="0.3">
      <c r="I27982" s="82"/>
      <c r="M27982" s="85"/>
    </row>
    <row r="27983" spans="9:13" x14ac:dyDescent="0.3">
      <c r="I27983" s="82"/>
      <c r="M27983" s="85"/>
    </row>
    <row r="27984" spans="9:13" x14ac:dyDescent="0.3">
      <c r="I27984" s="82"/>
      <c r="M27984" s="85"/>
    </row>
    <row r="27985" spans="9:13" x14ac:dyDescent="0.3">
      <c r="I27985" s="82"/>
      <c r="M27985" s="85"/>
    </row>
    <row r="27986" spans="9:13" x14ac:dyDescent="0.3">
      <c r="I27986" s="82"/>
      <c r="M27986" s="85"/>
    </row>
    <row r="27987" spans="9:13" x14ac:dyDescent="0.3">
      <c r="I27987" s="82"/>
      <c r="M27987" s="85"/>
    </row>
    <row r="27988" spans="9:13" x14ac:dyDescent="0.3">
      <c r="I27988" s="82"/>
      <c r="M27988" s="85"/>
    </row>
    <row r="27989" spans="9:13" x14ac:dyDescent="0.3">
      <c r="I27989" s="82"/>
      <c r="M27989" s="85"/>
    </row>
    <row r="27990" spans="9:13" x14ac:dyDescent="0.3">
      <c r="I27990" s="82"/>
      <c r="M27990" s="85"/>
    </row>
    <row r="27991" spans="9:13" x14ac:dyDescent="0.3">
      <c r="I27991" s="82"/>
      <c r="M27991" s="85"/>
    </row>
    <row r="27992" spans="9:13" x14ac:dyDescent="0.3">
      <c r="I27992" s="82"/>
      <c r="M27992" s="85"/>
    </row>
    <row r="27993" spans="9:13" x14ac:dyDescent="0.3">
      <c r="I27993" s="82"/>
      <c r="M27993" s="85"/>
    </row>
    <row r="27994" spans="9:13" x14ac:dyDescent="0.3">
      <c r="I27994" s="82"/>
      <c r="M27994" s="85"/>
    </row>
    <row r="27995" spans="9:13" x14ac:dyDescent="0.3">
      <c r="I27995" s="82"/>
      <c r="M27995" s="85"/>
    </row>
    <row r="27996" spans="9:13" x14ac:dyDescent="0.3">
      <c r="I27996" s="82"/>
      <c r="M27996" s="85"/>
    </row>
    <row r="27997" spans="9:13" x14ac:dyDescent="0.3">
      <c r="I27997" s="82"/>
      <c r="M27997" s="85"/>
    </row>
    <row r="27998" spans="9:13" x14ac:dyDescent="0.3">
      <c r="I27998" s="82"/>
      <c r="M27998" s="85"/>
    </row>
    <row r="27999" spans="9:13" x14ac:dyDescent="0.3">
      <c r="I27999" s="82"/>
      <c r="M27999" s="85"/>
    </row>
    <row r="28000" spans="9:13" x14ac:dyDescent="0.3">
      <c r="I28000" s="82"/>
      <c r="M28000" s="85"/>
    </row>
    <row r="28001" spans="9:13" x14ac:dyDescent="0.3">
      <c r="I28001" s="82"/>
      <c r="M28001" s="85"/>
    </row>
    <row r="28002" spans="9:13" x14ac:dyDescent="0.3">
      <c r="I28002" s="82"/>
      <c r="M28002" s="85"/>
    </row>
    <row r="28003" spans="9:13" x14ac:dyDescent="0.3">
      <c r="I28003" s="82"/>
      <c r="M28003" s="85"/>
    </row>
    <row r="28004" spans="9:13" x14ac:dyDescent="0.3">
      <c r="I28004" s="82"/>
      <c r="M28004" s="85"/>
    </row>
    <row r="28005" spans="9:13" x14ac:dyDescent="0.3">
      <c r="I28005" s="82"/>
      <c r="M28005" s="85"/>
    </row>
    <row r="28006" spans="9:13" x14ac:dyDescent="0.3">
      <c r="I28006" s="82"/>
      <c r="M28006" s="85"/>
    </row>
    <row r="28007" spans="9:13" x14ac:dyDescent="0.3">
      <c r="I28007" s="82"/>
      <c r="M28007" s="85"/>
    </row>
    <row r="28008" spans="9:13" x14ac:dyDescent="0.3">
      <c r="I28008" s="82"/>
      <c r="M28008" s="85"/>
    </row>
    <row r="28009" spans="9:13" x14ac:dyDescent="0.3">
      <c r="I28009" s="82"/>
      <c r="M28009" s="85"/>
    </row>
    <row r="28010" spans="9:13" x14ac:dyDescent="0.3">
      <c r="I28010" s="82"/>
      <c r="M28010" s="85"/>
    </row>
    <row r="28011" spans="9:13" x14ac:dyDescent="0.3">
      <c r="I28011" s="82"/>
      <c r="M28011" s="85"/>
    </row>
    <row r="28012" spans="9:13" x14ac:dyDescent="0.3">
      <c r="I28012" s="82"/>
      <c r="M28012" s="85"/>
    </row>
    <row r="28013" spans="9:13" x14ac:dyDescent="0.3">
      <c r="I28013" s="82"/>
      <c r="M28013" s="85"/>
    </row>
    <row r="28014" spans="9:13" x14ac:dyDescent="0.3">
      <c r="I28014" s="82"/>
      <c r="M28014" s="85"/>
    </row>
    <row r="28015" spans="9:13" x14ac:dyDescent="0.3">
      <c r="I28015" s="82"/>
      <c r="M28015" s="85"/>
    </row>
    <row r="28016" spans="9:13" x14ac:dyDescent="0.3">
      <c r="I28016" s="82"/>
      <c r="M28016" s="85"/>
    </row>
    <row r="28017" spans="9:13" x14ac:dyDescent="0.3">
      <c r="I28017" s="82"/>
      <c r="M28017" s="85"/>
    </row>
    <row r="28018" spans="9:13" x14ac:dyDescent="0.3">
      <c r="I28018" s="82"/>
      <c r="M28018" s="85"/>
    </row>
    <row r="28019" spans="9:13" x14ac:dyDescent="0.3">
      <c r="I28019" s="82"/>
      <c r="M28019" s="85"/>
    </row>
    <row r="28020" spans="9:13" x14ac:dyDescent="0.3">
      <c r="I28020" s="82"/>
      <c r="M28020" s="85"/>
    </row>
    <row r="28021" spans="9:13" x14ac:dyDescent="0.3">
      <c r="I28021" s="82"/>
      <c r="M28021" s="85"/>
    </row>
    <row r="28022" spans="9:13" x14ac:dyDescent="0.3">
      <c r="I28022" s="82"/>
      <c r="M28022" s="85"/>
    </row>
    <row r="28023" spans="9:13" x14ac:dyDescent="0.3">
      <c r="I28023" s="82"/>
      <c r="M28023" s="85"/>
    </row>
    <row r="28024" spans="9:13" x14ac:dyDescent="0.3">
      <c r="I28024" s="82"/>
      <c r="M28024" s="85"/>
    </row>
    <row r="28025" spans="9:13" x14ac:dyDescent="0.3">
      <c r="I28025" s="82"/>
      <c r="M28025" s="85"/>
    </row>
    <row r="28026" spans="9:13" x14ac:dyDescent="0.3">
      <c r="I28026" s="82"/>
      <c r="M28026" s="85"/>
    </row>
    <row r="28027" spans="9:13" x14ac:dyDescent="0.3">
      <c r="I28027" s="82"/>
      <c r="M28027" s="85"/>
    </row>
    <row r="28028" spans="9:13" x14ac:dyDescent="0.3">
      <c r="I28028" s="82"/>
      <c r="M28028" s="85"/>
    </row>
    <row r="28029" spans="9:13" x14ac:dyDescent="0.3">
      <c r="I28029" s="82"/>
      <c r="M28029" s="85"/>
    </row>
    <row r="28030" spans="9:13" x14ac:dyDescent="0.3">
      <c r="I28030" s="82"/>
      <c r="M28030" s="85"/>
    </row>
    <row r="28031" spans="9:13" x14ac:dyDescent="0.3">
      <c r="I28031" s="82"/>
      <c r="M28031" s="85"/>
    </row>
    <row r="28032" spans="9:13" x14ac:dyDescent="0.3">
      <c r="I28032" s="82"/>
      <c r="M28032" s="85"/>
    </row>
    <row r="28033" spans="9:13" x14ac:dyDescent="0.3">
      <c r="I28033" s="82"/>
      <c r="M28033" s="85"/>
    </row>
    <row r="28034" spans="9:13" x14ac:dyDescent="0.3">
      <c r="I28034" s="82"/>
      <c r="M28034" s="85"/>
    </row>
    <row r="28035" spans="9:13" x14ac:dyDescent="0.3">
      <c r="I28035" s="82"/>
      <c r="M28035" s="85"/>
    </row>
    <row r="28036" spans="9:13" x14ac:dyDescent="0.3">
      <c r="I28036" s="82"/>
      <c r="M28036" s="85"/>
    </row>
    <row r="28037" spans="9:13" x14ac:dyDescent="0.3">
      <c r="I28037" s="82"/>
      <c r="M28037" s="85"/>
    </row>
    <row r="28038" spans="9:13" x14ac:dyDescent="0.3">
      <c r="I28038" s="82"/>
      <c r="M28038" s="85"/>
    </row>
    <row r="28039" spans="9:13" x14ac:dyDescent="0.3">
      <c r="I28039" s="82"/>
      <c r="M28039" s="85"/>
    </row>
    <row r="28040" spans="9:13" x14ac:dyDescent="0.3">
      <c r="I28040" s="82"/>
      <c r="M28040" s="85"/>
    </row>
    <row r="28041" spans="9:13" x14ac:dyDescent="0.3">
      <c r="I28041" s="82"/>
      <c r="M28041" s="85"/>
    </row>
    <row r="28042" spans="9:13" x14ac:dyDescent="0.3">
      <c r="I28042" s="82"/>
      <c r="M28042" s="85"/>
    </row>
    <row r="28043" spans="9:13" x14ac:dyDescent="0.3">
      <c r="I28043" s="82"/>
      <c r="M28043" s="85"/>
    </row>
    <row r="28044" spans="9:13" x14ac:dyDescent="0.3">
      <c r="I28044" s="82"/>
      <c r="M28044" s="85"/>
    </row>
    <row r="28045" spans="9:13" x14ac:dyDescent="0.3">
      <c r="I28045" s="82"/>
      <c r="M28045" s="85"/>
    </row>
    <row r="28046" spans="9:13" x14ac:dyDescent="0.3">
      <c r="I28046" s="82"/>
      <c r="M28046" s="85"/>
    </row>
    <row r="28047" spans="9:13" x14ac:dyDescent="0.3">
      <c r="I28047" s="82"/>
      <c r="M28047" s="85"/>
    </row>
    <row r="28048" spans="9:13" x14ac:dyDescent="0.3">
      <c r="I28048" s="82"/>
      <c r="M28048" s="85"/>
    </row>
    <row r="28049" spans="9:13" x14ac:dyDescent="0.3">
      <c r="I28049" s="82"/>
      <c r="M28049" s="85"/>
    </row>
    <row r="28050" spans="9:13" x14ac:dyDescent="0.3">
      <c r="I28050" s="82"/>
      <c r="M28050" s="85"/>
    </row>
    <row r="28051" spans="9:13" x14ac:dyDescent="0.3">
      <c r="I28051" s="82"/>
      <c r="M28051" s="85"/>
    </row>
    <row r="28052" spans="9:13" x14ac:dyDescent="0.3">
      <c r="I28052" s="82"/>
      <c r="M28052" s="85"/>
    </row>
    <row r="28053" spans="9:13" x14ac:dyDescent="0.3">
      <c r="I28053" s="82"/>
      <c r="M28053" s="85"/>
    </row>
    <row r="28054" spans="9:13" x14ac:dyDescent="0.3">
      <c r="I28054" s="82"/>
      <c r="M28054" s="85"/>
    </row>
    <row r="28055" spans="9:13" x14ac:dyDescent="0.3">
      <c r="I28055" s="82"/>
      <c r="M28055" s="85"/>
    </row>
    <row r="28056" spans="9:13" x14ac:dyDescent="0.3">
      <c r="I28056" s="82"/>
      <c r="M28056" s="85"/>
    </row>
    <row r="28057" spans="9:13" x14ac:dyDescent="0.3">
      <c r="I28057" s="82"/>
      <c r="M28057" s="85"/>
    </row>
    <row r="28058" spans="9:13" x14ac:dyDescent="0.3">
      <c r="I28058" s="82"/>
      <c r="M28058" s="85"/>
    </row>
    <row r="28059" spans="9:13" x14ac:dyDescent="0.3">
      <c r="I28059" s="82"/>
      <c r="M28059" s="85"/>
    </row>
    <row r="28060" spans="9:13" x14ac:dyDescent="0.3">
      <c r="I28060" s="82"/>
      <c r="M28060" s="85"/>
    </row>
    <row r="28061" spans="9:13" x14ac:dyDescent="0.3">
      <c r="I28061" s="82"/>
      <c r="M28061" s="85"/>
    </row>
    <row r="28062" spans="9:13" x14ac:dyDescent="0.3">
      <c r="I28062" s="82"/>
      <c r="M28062" s="85"/>
    </row>
    <row r="28063" spans="9:13" x14ac:dyDescent="0.3">
      <c r="I28063" s="82"/>
      <c r="M28063" s="85"/>
    </row>
    <row r="28064" spans="9:13" x14ac:dyDescent="0.3">
      <c r="I28064" s="82"/>
      <c r="M28064" s="85"/>
    </row>
    <row r="28065" spans="9:13" x14ac:dyDescent="0.3">
      <c r="I28065" s="82"/>
      <c r="M28065" s="85"/>
    </row>
    <row r="28066" spans="9:13" x14ac:dyDescent="0.3">
      <c r="I28066" s="82"/>
      <c r="M28066" s="85"/>
    </row>
    <row r="28067" spans="9:13" x14ac:dyDescent="0.3">
      <c r="I28067" s="82"/>
      <c r="M28067" s="85"/>
    </row>
    <row r="28068" spans="9:13" x14ac:dyDescent="0.3">
      <c r="I28068" s="82"/>
      <c r="M28068" s="85"/>
    </row>
    <row r="28069" spans="9:13" x14ac:dyDescent="0.3">
      <c r="I28069" s="82"/>
      <c r="M28069" s="85"/>
    </row>
    <row r="28070" spans="9:13" x14ac:dyDescent="0.3">
      <c r="I28070" s="82"/>
      <c r="M28070" s="85"/>
    </row>
    <row r="28071" spans="9:13" x14ac:dyDescent="0.3">
      <c r="I28071" s="82"/>
      <c r="M28071" s="85"/>
    </row>
    <row r="28072" spans="9:13" x14ac:dyDescent="0.3">
      <c r="I28072" s="82"/>
      <c r="M28072" s="85"/>
    </row>
    <row r="28073" spans="9:13" x14ac:dyDescent="0.3">
      <c r="I28073" s="82"/>
      <c r="M28073" s="85"/>
    </row>
    <row r="28074" spans="9:13" x14ac:dyDescent="0.3">
      <c r="I28074" s="82"/>
      <c r="M28074" s="85"/>
    </row>
    <row r="28075" spans="9:13" x14ac:dyDescent="0.3">
      <c r="I28075" s="82"/>
      <c r="M28075" s="85"/>
    </row>
    <row r="28076" spans="9:13" x14ac:dyDescent="0.3">
      <c r="I28076" s="82"/>
      <c r="M28076" s="85"/>
    </row>
    <row r="28077" spans="9:13" x14ac:dyDescent="0.3">
      <c r="I28077" s="82"/>
      <c r="M28077" s="85"/>
    </row>
    <row r="28078" spans="9:13" x14ac:dyDescent="0.3">
      <c r="I28078" s="82"/>
      <c r="M28078" s="85"/>
    </row>
    <row r="28079" spans="9:13" x14ac:dyDescent="0.3">
      <c r="I28079" s="82"/>
      <c r="M28079" s="85"/>
    </row>
    <row r="28080" spans="9:13" x14ac:dyDescent="0.3">
      <c r="I28080" s="82"/>
      <c r="M28080" s="85"/>
    </row>
    <row r="28081" spans="9:13" x14ac:dyDescent="0.3">
      <c r="I28081" s="82"/>
      <c r="M28081" s="85"/>
    </row>
    <row r="28082" spans="9:13" x14ac:dyDescent="0.3">
      <c r="I28082" s="82"/>
      <c r="M28082" s="85"/>
    </row>
    <row r="28083" spans="9:13" x14ac:dyDescent="0.3">
      <c r="I28083" s="82"/>
      <c r="M28083" s="85"/>
    </row>
    <row r="28084" spans="9:13" x14ac:dyDescent="0.3">
      <c r="I28084" s="82"/>
      <c r="M28084" s="85"/>
    </row>
    <row r="28085" spans="9:13" x14ac:dyDescent="0.3">
      <c r="I28085" s="82"/>
      <c r="M28085" s="85"/>
    </row>
    <row r="28086" spans="9:13" x14ac:dyDescent="0.3">
      <c r="I28086" s="82"/>
      <c r="M28086" s="85"/>
    </row>
    <row r="28087" spans="9:13" x14ac:dyDescent="0.3">
      <c r="I28087" s="82"/>
      <c r="M28087" s="85"/>
    </row>
    <row r="28088" spans="9:13" x14ac:dyDescent="0.3">
      <c r="I28088" s="82"/>
      <c r="M28088" s="85"/>
    </row>
    <row r="28089" spans="9:13" x14ac:dyDescent="0.3">
      <c r="I28089" s="82"/>
      <c r="M28089" s="85"/>
    </row>
    <row r="28090" spans="9:13" x14ac:dyDescent="0.3">
      <c r="I28090" s="82"/>
      <c r="M28090" s="85"/>
    </row>
    <row r="28091" spans="9:13" x14ac:dyDescent="0.3">
      <c r="I28091" s="82"/>
      <c r="M28091" s="85"/>
    </row>
    <row r="28092" spans="9:13" x14ac:dyDescent="0.3">
      <c r="I28092" s="82"/>
      <c r="M28092" s="85"/>
    </row>
    <row r="28093" spans="9:13" x14ac:dyDescent="0.3">
      <c r="I28093" s="82"/>
      <c r="M28093" s="85"/>
    </row>
    <row r="28094" spans="9:13" x14ac:dyDescent="0.3">
      <c r="I28094" s="82"/>
      <c r="M28094" s="85"/>
    </row>
    <row r="28095" spans="9:13" x14ac:dyDescent="0.3">
      <c r="I28095" s="82"/>
      <c r="M28095" s="85"/>
    </row>
    <row r="28096" spans="9:13" x14ac:dyDescent="0.3">
      <c r="I28096" s="82"/>
      <c r="M28096" s="85"/>
    </row>
    <row r="28097" spans="9:13" x14ac:dyDescent="0.3">
      <c r="I28097" s="82"/>
      <c r="M28097" s="85"/>
    </row>
    <row r="28098" spans="9:13" x14ac:dyDescent="0.3">
      <c r="I28098" s="82"/>
      <c r="M28098" s="85"/>
    </row>
    <row r="28099" spans="9:13" x14ac:dyDescent="0.3">
      <c r="I28099" s="82"/>
      <c r="M28099" s="85"/>
    </row>
    <row r="28100" spans="9:13" x14ac:dyDescent="0.3">
      <c r="I28100" s="82"/>
      <c r="M28100" s="85"/>
    </row>
    <row r="28101" spans="9:13" x14ac:dyDescent="0.3">
      <c r="I28101" s="82"/>
      <c r="M28101" s="85"/>
    </row>
    <row r="28102" spans="9:13" x14ac:dyDescent="0.3">
      <c r="I28102" s="82"/>
      <c r="M28102" s="85"/>
    </row>
    <row r="28103" spans="9:13" x14ac:dyDescent="0.3">
      <c r="I28103" s="82"/>
      <c r="M28103" s="85"/>
    </row>
    <row r="28104" spans="9:13" x14ac:dyDescent="0.3">
      <c r="I28104" s="82"/>
      <c r="M28104" s="85"/>
    </row>
    <row r="28105" spans="9:13" x14ac:dyDescent="0.3">
      <c r="I28105" s="82"/>
      <c r="M28105" s="85"/>
    </row>
    <row r="28106" spans="9:13" x14ac:dyDescent="0.3">
      <c r="I28106" s="82"/>
      <c r="M28106" s="85"/>
    </row>
    <row r="28107" spans="9:13" x14ac:dyDescent="0.3">
      <c r="I28107" s="82"/>
      <c r="M28107" s="85"/>
    </row>
    <row r="28108" spans="9:13" x14ac:dyDescent="0.3">
      <c r="I28108" s="82"/>
      <c r="M28108" s="85"/>
    </row>
    <row r="28109" spans="9:13" x14ac:dyDescent="0.3">
      <c r="I28109" s="82"/>
      <c r="M28109" s="85"/>
    </row>
    <row r="28110" spans="9:13" x14ac:dyDescent="0.3">
      <c r="I28110" s="82"/>
      <c r="M28110" s="85"/>
    </row>
    <row r="28111" spans="9:13" x14ac:dyDescent="0.3">
      <c r="I28111" s="82"/>
      <c r="M28111" s="85"/>
    </row>
    <row r="28112" spans="9:13" x14ac:dyDescent="0.3">
      <c r="I28112" s="82"/>
      <c r="M28112" s="85"/>
    </row>
    <row r="28113" spans="9:13" x14ac:dyDescent="0.3">
      <c r="I28113" s="82"/>
      <c r="M28113" s="85"/>
    </row>
    <row r="28114" spans="9:13" x14ac:dyDescent="0.3">
      <c r="I28114" s="82"/>
      <c r="M28114" s="85"/>
    </row>
    <row r="28115" spans="9:13" x14ac:dyDescent="0.3">
      <c r="I28115" s="82"/>
      <c r="M28115" s="85"/>
    </row>
    <row r="28116" spans="9:13" x14ac:dyDescent="0.3">
      <c r="I28116" s="82"/>
      <c r="M28116" s="85"/>
    </row>
    <row r="28117" spans="9:13" x14ac:dyDescent="0.3">
      <c r="I28117" s="82"/>
      <c r="M28117" s="85"/>
    </row>
    <row r="28118" spans="9:13" x14ac:dyDescent="0.3">
      <c r="I28118" s="82"/>
      <c r="M28118" s="85"/>
    </row>
    <row r="28119" spans="9:13" x14ac:dyDescent="0.3">
      <c r="I28119" s="82"/>
      <c r="M28119" s="85"/>
    </row>
    <row r="28120" spans="9:13" x14ac:dyDescent="0.3">
      <c r="I28120" s="82"/>
      <c r="M28120" s="85"/>
    </row>
    <row r="28121" spans="9:13" x14ac:dyDescent="0.3">
      <c r="I28121" s="82"/>
      <c r="M28121" s="85"/>
    </row>
    <row r="28122" spans="9:13" x14ac:dyDescent="0.3">
      <c r="I28122" s="82"/>
      <c r="M28122" s="85"/>
    </row>
    <row r="28123" spans="9:13" x14ac:dyDescent="0.3">
      <c r="I28123" s="82"/>
      <c r="M28123" s="85"/>
    </row>
    <row r="28124" spans="9:13" x14ac:dyDescent="0.3">
      <c r="I28124" s="82"/>
      <c r="M28124" s="85"/>
    </row>
    <row r="28125" spans="9:13" x14ac:dyDescent="0.3">
      <c r="I28125" s="82"/>
      <c r="M28125" s="85"/>
    </row>
    <row r="28126" spans="9:13" x14ac:dyDescent="0.3">
      <c r="I28126" s="82"/>
      <c r="M28126" s="85"/>
    </row>
    <row r="28127" spans="9:13" x14ac:dyDescent="0.3">
      <c r="I28127" s="82"/>
      <c r="M28127" s="85"/>
    </row>
    <row r="28128" spans="9:13" x14ac:dyDescent="0.3">
      <c r="I28128" s="82"/>
      <c r="M28128" s="85"/>
    </row>
    <row r="28129" spans="9:13" x14ac:dyDescent="0.3">
      <c r="I28129" s="82"/>
      <c r="M28129" s="85"/>
    </row>
    <row r="28130" spans="9:13" x14ac:dyDescent="0.3">
      <c r="I28130" s="82"/>
      <c r="M28130" s="85"/>
    </row>
    <row r="28131" spans="9:13" x14ac:dyDescent="0.3">
      <c r="I28131" s="82"/>
      <c r="M28131" s="85"/>
    </row>
    <row r="28132" spans="9:13" x14ac:dyDescent="0.3">
      <c r="I28132" s="82"/>
      <c r="M28132" s="85"/>
    </row>
    <row r="28133" spans="9:13" x14ac:dyDescent="0.3">
      <c r="I28133" s="82"/>
      <c r="M28133" s="85"/>
    </row>
    <row r="28134" spans="9:13" x14ac:dyDescent="0.3">
      <c r="I28134" s="82"/>
      <c r="M28134" s="85"/>
    </row>
    <row r="28135" spans="9:13" x14ac:dyDescent="0.3">
      <c r="I28135" s="82"/>
      <c r="M28135" s="85"/>
    </row>
    <row r="28136" spans="9:13" x14ac:dyDescent="0.3">
      <c r="I28136" s="82"/>
      <c r="M28136" s="85"/>
    </row>
    <row r="28137" spans="9:13" x14ac:dyDescent="0.3">
      <c r="I28137" s="82"/>
      <c r="M28137" s="85"/>
    </row>
    <row r="28138" spans="9:13" x14ac:dyDescent="0.3">
      <c r="I28138" s="82"/>
      <c r="M28138" s="85"/>
    </row>
    <row r="28139" spans="9:13" x14ac:dyDescent="0.3">
      <c r="I28139" s="82"/>
      <c r="M28139" s="85"/>
    </row>
    <row r="28140" spans="9:13" x14ac:dyDescent="0.3">
      <c r="I28140" s="82"/>
      <c r="M28140" s="85"/>
    </row>
    <row r="28141" spans="9:13" x14ac:dyDescent="0.3">
      <c r="I28141" s="82"/>
      <c r="M28141" s="85"/>
    </row>
    <row r="28142" spans="9:13" x14ac:dyDescent="0.3">
      <c r="I28142" s="82"/>
      <c r="M28142" s="85"/>
    </row>
    <row r="28143" spans="9:13" x14ac:dyDescent="0.3">
      <c r="I28143" s="82"/>
      <c r="M28143" s="85"/>
    </row>
    <row r="28144" spans="9:13" x14ac:dyDescent="0.3">
      <c r="I28144" s="82"/>
      <c r="M28144" s="85"/>
    </row>
    <row r="28145" spans="9:13" x14ac:dyDescent="0.3">
      <c r="I28145" s="82"/>
      <c r="M28145" s="85"/>
    </row>
    <row r="28146" spans="9:13" x14ac:dyDescent="0.3">
      <c r="I28146" s="82"/>
      <c r="M28146" s="85"/>
    </row>
    <row r="28147" spans="9:13" x14ac:dyDescent="0.3">
      <c r="I28147" s="82"/>
      <c r="M28147" s="85"/>
    </row>
    <row r="28148" spans="9:13" x14ac:dyDescent="0.3">
      <c r="I28148" s="82"/>
      <c r="M28148" s="85"/>
    </row>
    <row r="28149" spans="9:13" x14ac:dyDescent="0.3">
      <c r="I28149" s="82"/>
      <c r="M28149" s="85"/>
    </row>
    <row r="28150" spans="9:13" x14ac:dyDescent="0.3">
      <c r="I28150" s="82"/>
      <c r="M28150" s="85"/>
    </row>
    <row r="28151" spans="9:13" x14ac:dyDescent="0.3">
      <c r="I28151" s="82"/>
      <c r="M28151" s="85"/>
    </row>
    <row r="28152" spans="9:13" x14ac:dyDescent="0.3">
      <c r="I28152" s="82"/>
      <c r="M28152" s="85"/>
    </row>
    <row r="28153" spans="9:13" x14ac:dyDescent="0.3">
      <c r="I28153" s="82"/>
      <c r="M28153" s="85"/>
    </row>
    <row r="28154" spans="9:13" x14ac:dyDescent="0.3">
      <c r="I28154" s="82"/>
      <c r="M28154" s="85"/>
    </row>
    <row r="28155" spans="9:13" x14ac:dyDescent="0.3">
      <c r="I28155" s="82"/>
      <c r="M28155" s="85"/>
    </row>
    <row r="28156" spans="9:13" x14ac:dyDescent="0.3">
      <c r="I28156" s="82"/>
      <c r="M28156" s="85"/>
    </row>
    <row r="28157" spans="9:13" x14ac:dyDescent="0.3">
      <c r="I28157" s="82"/>
      <c r="M28157" s="85"/>
    </row>
    <row r="28158" spans="9:13" x14ac:dyDescent="0.3">
      <c r="I28158" s="82"/>
      <c r="M28158" s="85"/>
    </row>
    <row r="28159" spans="9:13" x14ac:dyDescent="0.3">
      <c r="I28159" s="82"/>
      <c r="M28159" s="85"/>
    </row>
    <row r="28160" spans="9:13" x14ac:dyDescent="0.3">
      <c r="I28160" s="82"/>
      <c r="M28160" s="85"/>
    </row>
    <row r="28161" spans="9:13" x14ac:dyDescent="0.3">
      <c r="I28161" s="82"/>
      <c r="M28161" s="85"/>
    </row>
    <row r="28162" spans="9:13" x14ac:dyDescent="0.3">
      <c r="I28162" s="82"/>
      <c r="M28162" s="85"/>
    </row>
    <row r="28163" spans="9:13" x14ac:dyDescent="0.3">
      <c r="I28163" s="82"/>
      <c r="M28163" s="85"/>
    </row>
    <row r="28164" spans="9:13" x14ac:dyDescent="0.3">
      <c r="I28164" s="82"/>
      <c r="M28164" s="85"/>
    </row>
    <row r="28165" spans="9:13" x14ac:dyDescent="0.3">
      <c r="I28165" s="82"/>
      <c r="M28165" s="85"/>
    </row>
    <row r="28166" spans="9:13" x14ac:dyDescent="0.3">
      <c r="I28166" s="82"/>
      <c r="M28166" s="85"/>
    </row>
    <row r="28167" spans="9:13" x14ac:dyDescent="0.3">
      <c r="I28167" s="82"/>
      <c r="M28167" s="85"/>
    </row>
    <row r="28168" spans="9:13" x14ac:dyDescent="0.3">
      <c r="I28168" s="82"/>
      <c r="M28168" s="85"/>
    </row>
    <row r="28169" spans="9:13" x14ac:dyDescent="0.3">
      <c r="I28169" s="82"/>
      <c r="M28169" s="85"/>
    </row>
    <row r="28170" spans="9:13" x14ac:dyDescent="0.3">
      <c r="I28170" s="82"/>
      <c r="M28170" s="85"/>
    </row>
    <row r="28171" spans="9:13" x14ac:dyDescent="0.3">
      <c r="I28171" s="82"/>
      <c r="M28171" s="85"/>
    </row>
    <row r="28172" spans="9:13" x14ac:dyDescent="0.3">
      <c r="I28172" s="82"/>
      <c r="M28172" s="85"/>
    </row>
    <row r="28173" spans="9:13" x14ac:dyDescent="0.3">
      <c r="I28173" s="82"/>
      <c r="M28173" s="85"/>
    </row>
    <row r="28174" spans="9:13" x14ac:dyDescent="0.3">
      <c r="I28174" s="82"/>
      <c r="M28174" s="85"/>
    </row>
    <row r="28175" spans="9:13" x14ac:dyDescent="0.3">
      <c r="I28175" s="82"/>
      <c r="M28175" s="85"/>
    </row>
    <row r="28176" spans="9:13" x14ac:dyDescent="0.3">
      <c r="I28176" s="82"/>
      <c r="M28176" s="85"/>
    </row>
    <row r="28177" spans="9:13" x14ac:dyDescent="0.3">
      <c r="I28177" s="82"/>
      <c r="M28177" s="85"/>
    </row>
    <row r="28178" spans="9:13" x14ac:dyDescent="0.3">
      <c r="I28178" s="82"/>
      <c r="M28178" s="85"/>
    </row>
    <row r="28179" spans="9:13" x14ac:dyDescent="0.3">
      <c r="I28179" s="82"/>
      <c r="M28179" s="85"/>
    </row>
    <row r="28180" spans="9:13" x14ac:dyDescent="0.3">
      <c r="I28180" s="82"/>
      <c r="M28180" s="85"/>
    </row>
    <row r="28181" spans="9:13" x14ac:dyDescent="0.3">
      <c r="I28181" s="82"/>
      <c r="M28181" s="85"/>
    </row>
    <row r="28182" spans="9:13" x14ac:dyDescent="0.3">
      <c r="I28182" s="82"/>
      <c r="M28182" s="85"/>
    </row>
    <row r="28183" spans="9:13" x14ac:dyDescent="0.3">
      <c r="I28183" s="82"/>
      <c r="M28183" s="85"/>
    </row>
    <row r="28184" spans="9:13" x14ac:dyDescent="0.3">
      <c r="I28184" s="82"/>
      <c r="M28184" s="85"/>
    </row>
    <row r="28185" spans="9:13" x14ac:dyDescent="0.3">
      <c r="I28185" s="82"/>
      <c r="M28185" s="85"/>
    </row>
    <row r="28186" spans="9:13" x14ac:dyDescent="0.3">
      <c r="I28186" s="82"/>
      <c r="M28186" s="85"/>
    </row>
    <row r="28187" spans="9:13" x14ac:dyDescent="0.3">
      <c r="I28187" s="82"/>
      <c r="M28187" s="85"/>
    </row>
    <row r="28188" spans="9:13" x14ac:dyDescent="0.3">
      <c r="I28188" s="82"/>
      <c r="M28188" s="85"/>
    </row>
    <row r="28189" spans="9:13" x14ac:dyDescent="0.3">
      <c r="I28189" s="82"/>
      <c r="M28189" s="85"/>
    </row>
    <row r="28190" spans="9:13" x14ac:dyDescent="0.3">
      <c r="I28190" s="82"/>
      <c r="M28190" s="85"/>
    </row>
    <row r="28191" spans="9:13" x14ac:dyDescent="0.3">
      <c r="I28191" s="82"/>
      <c r="M28191" s="85"/>
    </row>
    <row r="28192" spans="9:13" x14ac:dyDescent="0.3">
      <c r="I28192" s="82"/>
      <c r="M28192" s="85"/>
    </row>
    <row r="28193" spans="9:13" x14ac:dyDescent="0.3">
      <c r="I28193" s="82"/>
      <c r="M28193" s="85"/>
    </row>
    <row r="28194" spans="9:13" x14ac:dyDescent="0.3">
      <c r="I28194" s="82"/>
      <c r="M28194" s="85"/>
    </row>
    <row r="28195" spans="9:13" x14ac:dyDescent="0.3">
      <c r="I28195" s="82"/>
      <c r="M28195" s="85"/>
    </row>
    <row r="28196" spans="9:13" x14ac:dyDescent="0.3">
      <c r="I28196" s="82"/>
      <c r="M28196" s="85"/>
    </row>
    <row r="28197" spans="9:13" x14ac:dyDescent="0.3">
      <c r="I28197" s="82"/>
      <c r="M28197" s="85"/>
    </row>
    <row r="28198" spans="9:13" x14ac:dyDescent="0.3">
      <c r="I28198" s="82"/>
      <c r="M28198" s="85"/>
    </row>
    <row r="28199" spans="9:13" x14ac:dyDescent="0.3">
      <c r="I28199" s="82"/>
      <c r="M28199" s="85"/>
    </row>
    <row r="28200" spans="9:13" x14ac:dyDescent="0.3">
      <c r="I28200" s="82"/>
      <c r="M28200" s="85"/>
    </row>
    <row r="28201" spans="9:13" x14ac:dyDescent="0.3">
      <c r="I28201" s="82"/>
      <c r="M28201" s="85"/>
    </row>
    <row r="28202" spans="9:13" x14ac:dyDescent="0.3">
      <c r="I28202" s="82"/>
      <c r="M28202" s="85"/>
    </row>
    <row r="28203" spans="9:13" x14ac:dyDescent="0.3">
      <c r="I28203" s="82"/>
      <c r="M28203" s="85"/>
    </row>
    <row r="28204" spans="9:13" x14ac:dyDescent="0.3">
      <c r="I28204" s="82"/>
      <c r="M28204" s="85"/>
    </row>
    <row r="28205" spans="9:13" x14ac:dyDescent="0.3">
      <c r="I28205" s="82"/>
      <c r="M28205" s="85"/>
    </row>
    <row r="28206" spans="9:13" x14ac:dyDescent="0.3">
      <c r="I28206" s="82"/>
      <c r="M28206" s="85"/>
    </row>
    <row r="28207" spans="9:13" x14ac:dyDescent="0.3">
      <c r="I28207" s="82"/>
      <c r="M28207" s="85"/>
    </row>
    <row r="28208" spans="9:13" x14ac:dyDescent="0.3">
      <c r="I28208" s="82"/>
      <c r="M28208" s="85"/>
    </row>
    <row r="28209" spans="9:13" x14ac:dyDescent="0.3">
      <c r="I28209" s="82"/>
      <c r="M28209" s="85"/>
    </row>
    <row r="28210" spans="9:13" x14ac:dyDescent="0.3">
      <c r="I28210" s="82"/>
      <c r="M28210" s="85"/>
    </row>
    <row r="28211" spans="9:13" x14ac:dyDescent="0.3">
      <c r="I28211" s="82"/>
      <c r="M28211" s="85"/>
    </row>
    <row r="28212" spans="9:13" x14ac:dyDescent="0.3">
      <c r="I28212" s="82"/>
      <c r="M28212" s="85"/>
    </row>
    <row r="28213" spans="9:13" x14ac:dyDescent="0.3">
      <c r="I28213" s="82"/>
      <c r="M28213" s="85"/>
    </row>
    <row r="28214" spans="9:13" x14ac:dyDescent="0.3">
      <c r="I28214" s="82"/>
      <c r="M28214" s="85"/>
    </row>
    <row r="28215" spans="9:13" x14ac:dyDescent="0.3">
      <c r="I28215" s="82"/>
      <c r="M28215" s="85"/>
    </row>
    <row r="28216" spans="9:13" x14ac:dyDescent="0.3">
      <c r="I28216" s="82"/>
      <c r="M28216" s="85"/>
    </row>
    <row r="28217" spans="9:13" x14ac:dyDescent="0.3">
      <c r="I28217" s="82"/>
      <c r="M28217" s="85"/>
    </row>
    <row r="28218" spans="9:13" x14ac:dyDescent="0.3">
      <c r="I28218" s="82"/>
      <c r="M28218" s="85"/>
    </row>
    <row r="28219" spans="9:13" x14ac:dyDescent="0.3">
      <c r="I28219" s="82"/>
      <c r="M28219" s="85"/>
    </row>
    <row r="28220" spans="9:13" x14ac:dyDescent="0.3">
      <c r="I28220" s="82"/>
      <c r="M28220" s="85"/>
    </row>
    <row r="28221" spans="9:13" x14ac:dyDescent="0.3">
      <c r="I28221" s="82"/>
      <c r="M28221" s="85"/>
    </row>
    <row r="28222" spans="9:13" x14ac:dyDescent="0.3">
      <c r="I28222" s="82"/>
      <c r="M28222" s="85"/>
    </row>
    <row r="28223" spans="9:13" x14ac:dyDescent="0.3">
      <c r="I28223" s="82"/>
      <c r="M28223" s="85"/>
    </row>
    <row r="28224" spans="9:13" x14ac:dyDescent="0.3">
      <c r="I28224" s="82"/>
      <c r="M28224" s="85"/>
    </row>
    <row r="28225" spans="9:13" x14ac:dyDescent="0.3">
      <c r="I28225" s="82"/>
      <c r="M28225" s="85"/>
    </row>
    <row r="28226" spans="9:13" x14ac:dyDescent="0.3">
      <c r="I28226" s="82"/>
      <c r="M28226" s="85"/>
    </row>
    <row r="28227" spans="9:13" x14ac:dyDescent="0.3">
      <c r="I28227" s="82"/>
      <c r="M28227" s="85"/>
    </row>
    <row r="28228" spans="9:13" x14ac:dyDescent="0.3">
      <c r="I28228" s="82"/>
      <c r="M28228" s="85"/>
    </row>
    <row r="28229" spans="9:13" x14ac:dyDescent="0.3">
      <c r="I28229" s="82"/>
      <c r="M28229" s="85"/>
    </row>
    <row r="28230" spans="9:13" x14ac:dyDescent="0.3">
      <c r="I28230" s="82"/>
      <c r="M28230" s="85"/>
    </row>
    <row r="28231" spans="9:13" x14ac:dyDescent="0.3">
      <c r="I28231" s="82"/>
      <c r="M28231" s="85"/>
    </row>
    <row r="28232" spans="9:13" x14ac:dyDescent="0.3">
      <c r="I28232" s="82"/>
      <c r="M28232" s="85"/>
    </row>
    <row r="28233" spans="9:13" x14ac:dyDescent="0.3">
      <c r="I28233" s="82"/>
      <c r="M28233" s="85"/>
    </row>
    <row r="28234" spans="9:13" x14ac:dyDescent="0.3">
      <c r="I28234" s="82"/>
      <c r="M28234" s="85"/>
    </row>
    <row r="28235" spans="9:13" x14ac:dyDescent="0.3">
      <c r="I28235" s="82"/>
      <c r="M28235" s="85"/>
    </row>
    <row r="28236" spans="9:13" x14ac:dyDescent="0.3">
      <c r="I28236" s="82"/>
      <c r="M28236" s="85"/>
    </row>
    <row r="28237" spans="9:13" x14ac:dyDescent="0.3">
      <c r="I28237" s="82"/>
      <c r="M28237" s="85"/>
    </row>
    <row r="28238" spans="9:13" x14ac:dyDescent="0.3">
      <c r="I28238" s="82"/>
      <c r="M28238" s="85"/>
    </row>
    <row r="28239" spans="9:13" x14ac:dyDescent="0.3">
      <c r="I28239" s="82"/>
      <c r="M28239" s="85"/>
    </row>
    <row r="28240" spans="9:13" x14ac:dyDescent="0.3">
      <c r="I28240" s="82"/>
      <c r="M28240" s="85"/>
    </row>
    <row r="28241" spans="9:13" x14ac:dyDescent="0.3">
      <c r="I28241" s="82"/>
      <c r="M28241" s="85"/>
    </row>
    <row r="28242" spans="9:13" x14ac:dyDescent="0.3">
      <c r="I28242" s="82"/>
      <c r="M28242" s="85"/>
    </row>
    <row r="28243" spans="9:13" x14ac:dyDescent="0.3">
      <c r="I28243" s="82"/>
      <c r="M28243" s="85"/>
    </row>
    <row r="28244" spans="9:13" x14ac:dyDescent="0.3">
      <c r="I28244" s="82"/>
      <c r="M28244" s="85"/>
    </row>
    <row r="28245" spans="9:13" x14ac:dyDescent="0.3">
      <c r="I28245" s="82"/>
      <c r="M28245" s="85"/>
    </row>
    <row r="28246" spans="9:13" x14ac:dyDescent="0.3">
      <c r="I28246" s="82"/>
      <c r="M28246" s="85"/>
    </row>
    <row r="28247" spans="9:13" x14ac:dyDescent="0.3">
      <c r="I28247" s="82"/>
      <c r="M28247" s="85"/>
    </row>
    <row r="28248" spans="9:13" x14ac:dyDescent="0.3">
      <c r="I28248" s="82"/>
      <c r="M28248" s="85"/>
    </row>
    <row r="28249" spans="9:13" x14ac:dyDescent="0.3">
      <c r="I28249" s="82"/>
      <c r="M28249" s="85"/>
    </row>
    <row r="28250" spans="9:13" x14ac:dyDescent="0.3">
      <c r="I28250" s="82"/>
      <c r="M28250" s="85"/>
    </row>
    <row r="28251" spans="9:13" x14ac:dyDescent="0.3">
      <c r="I28251" s="82"/>
      <c r="M28251" s="85"/>
    </row>
    <row r="28252" spans="9:13" x14ac:dyDescent="0.3">
      <c r="I28252" s="82"/>
      <c r="M28252" s="85"/>
    </row>
    <row r="28253" spans="9:13" x14ac:dyDescent="0.3">
      <c r="I28253" s="82"/>
      <c r="M28253" s="85"/>
    </row>
    <row r="28254" spans="9:13" x14ac:dyDescent="0.3">
      <c r="I28254" s="82"/>
      <c r="M28254" s="85"/>
    </row>
    <row r="28255" spans="9:13" x14ac:dyDescent="0.3">
      <c r="I28255" s="82"/>
      <c r="M28255" s="85"/>
    </row>
    <row r="28256" spans="9:13" x14ac:dyDescent="0.3">
      <c r="I28256" s="82"/>
      <c r="M28256" s="85"/>
    </row>
    <row r="28257" spans="9:13" x14ac:dyDescent="0.3">
      <c r="I28257" s="82"/>
      <c r="M28257" s="85"/>
    </row>
    <row r="28258" spans="9:13" x14ac:dyDescent="0.3">
      <c r="I28258" s="82"/>
      <c r="M28258" s="85"/>
    </row>
    <row r="28259" spans="9:13" x14ac:dyDescent="0.3">
      <c r="I28259" s="82"/>
      <c r="M28259" s="85"/>
    </row>
    <row r="28260" spans="9:13" x14ac:dyDescent="0.3">
      <c r="I28260" s="82"/>
      <c r="M28260" s="85"/>
    </row>
    <row r="28261" spans="9:13" x14ac:dyDescent="0.3">
      <c r="I28261" s="82"/>
      <c r="M28261" s="85"/>
    </row>
    <row r="28262" spans="9:13" x14ac:dyDescent="0.3">
      <c r="I28262" s="82"/>
      <c r="M28262" s="85"/>
    </row>
    <row r="28263" spans="9:13" x14ac:dyDescent="0.3">
      <c r="I28263" s="82"/>
      <c r="M28263" s="85"/>
    </row>
    <row r="28264" spans="9:13" x14ac:dyDescent="0.3">
      <c r="I28264" s="82"/>
      <c r="M28264" s="85"/>
    </row>
    <row r="28265" spans="9:13" x14ac:dyDescent="0.3">
      <c r="I28265" s="82"/>
      <c r="M28265" s="85"/>
    </row>
    <row r="28266" spans="9:13" x14ac:dyDescent="0.3">
      <c r="I28266" s="82"/>
      <c r="M28266" s="85"/>
    </row>
    <row r="28267" spans="9:13" x14ac:dyDescent="0.3">
      <c r="I28267" s="82"/>
      <c r="M28267" s="85"/>
    </row>
    <row r="28268" spans="9:13" x14ac:dyDescent="0.3">
      <c r="I28268" s="82"/>
      <c r="M28268" s="85"/>
    </row>
    <row r="28269" spans="9:13" x14ac:dyDescent="0.3">
      <c r="I28269" s="82"/>
      <c r="M28269" s="85"/>
    </row>
    <row r="28270" spans="9:13" x14ac:dyDescent="0.3">
      <c r="I28270" s="82"/>
      <c r="M28270" s="85"/>
    </row>
    <row r="28271" spans="9:13" x14ac:dyDescent="0.3">
      <c r="I28271" s="82"/>
      <c r="M28271" s="85"/>
    </row>
    <row r="28272" spans="9:13" x14ac:dyDescent="0.3">
      <c r="I28272" s="82"/>
      <c r="M28272" s="85"/>
    </row>
    <row r="28273" spans="9:13" x14ac:dyDescent="0.3">
      <c r="I28273" s="82"/>
      <c r="M28273" s="85"/>
    </row>
    <row r="28274" spans="9:13" x14ac:dyDescent="0.3">
      <c r="I28274" s="82"/>
      <c r="M28274" s="85"/>
    </row>
    <row r="28275" spans="9:13" x14ac:dyDescent="0.3">
      <c r="I28275" s="82"/>
      <c r="M28275" s="85"/>
    </row>
    <row r="28276" spans="9:13" x14ac:dyDescent="0.3">
      <c r="I28276" s="82"/>
      <c r="M28276" s="85"/>
    </row>
    <row r="28277" spans="9:13" x14ac:dyDescent="0.3">
      <c r="I28277" s="82"/>
      <c r="M28277" s="85"/>
    </row>
    <row r="28278" spans="9:13" x14ac:dyDescent="0.3">
      <c r="I28278" s="82"/>
      <c r="M28278" s="85"/>
    </row>
    <row r="28279" spans="9:13" x14ac:dyDescent="0.3">
      <c r="I28279" s="82"/>
      <c r="M28279" s="85"/>
    </row>
    <row r="28280" spans="9:13" x14ac:dyDescent="0.3">
      <c r="I28280" s="82"/>
      <c r="M28280" s="85"/>
    </row>
    <row r="28281" spans="9:13" x14ac:dyDescent="0.3">
      <c r="I28281" s="82"/>
      <c r="M28281" s="85"/>
    </row>
    <row r="28282" spans="9:13" x14ac:dyDescent="0.3">
      <c r="I28282" s="82"/>
      <c r="M28282" s="85"/>
    </row>
    <row r="28283" spans="9:13" x14ac:dyDescent="0.3">
      <c r="I28283" s="82"/>
      <c r="M28283" s="85"/>
    </row>
    <row r="28284" spans="9:13" x14ac:dyDescent="0.3">
      <c r="I28284" s="82"/>
      <c r="M28284" s="85"/>
    </row>
    <row r="28285" spans="9:13" x14ac:dyDescent="0.3">
      <c r="I28285" s="82"/>
      <c r="M28285" s="85"/>
    </row>
    <row r="28286" spans="9:13" x14ac:dyDescent="0.3">
      <c r="I28286" s="82"/>
      <c r="M28286" s="85"/>
    </row>
    <row r="28287" spans="9:13" x14ac:dyDescent="0.3">
      <c r="I28287" s="82"/>
      <c r="M28287" s="85"/>
    </row>
    <row r="28288" spans="9:13" x14ac:dyDescent="0.3">
      <c r="I28288" s="82"/>
      <c r="M28288" s="85"/>
    </row>
    <row r="28289" spans="9:13" x14ac:dyDescent="0.3">
      <c r="I28289" s="82"/>
      <c r="M28289" s="85"/>
    </row>
    <row r="28290" spans="9:13" x14ac:dyDescent="0.3">
      <c r="I28290" s="82"/>
      <c r="M28290" s="85"/>
    </row>
    <row r="28291" spans="9:13" x14ac:dyDescent="0.3">
      <c r="I28291" s="82"/>
      <c r="M28291" s="85"/>
    </row>
    <row r="28292" spans="9:13" x14ac:dyDescent="0.3">
      <c r="I28292" s="82"/>
      <c r="M28292" s="85"/>
    </row>
    <row r="28293" spans="9:13" x14ac:dyDescent="0.3">
      <c r="I28293" s="82"/>
      <c r="M28293" s="85"/>
    </row>
    <row r="28294" spans="9:13" x14ac:dyDescent="0.3">
      <c r="I28294" s="82"/>
      <c r="M28294" s="85"/>
    </row>
    <row r="28295" spans="9:13" x14ac:dyDescent="0.3">
      <c r="I28295" s="82"/>
      <c r="M28295" s="85"/>
    </row>
    <row r="28296" spans="9:13" x14ac:dyDescent="0.3">
      <c r="I28296" s="82"/>
      <c r="M28296" s="85"/>
    </row>
    <row r="28297" spans="9:13" x14ac:dyDescent="0.3">
      <c r="I28297" s="82"/>
      <c r="M28297" s="85"/>
    </row>
    <row r="28298" spans="9:13" x14ac:dyDescent="0.3">
      <c r="I28298" s="82"/>
      <c r="M28298" s="85"/>
    </row>
    <row r="28299" spans="9:13" x14ac:dyDescent="0.3">
      <c r="I28299" s="82"/>
      <c r="M28299" s="85"/>
    </row>
    <row r="28300" spans="9:13" x14ac:dyDescent="0.3">
      <c r="I28300" s="82"/>
      <c r="M28300" s="85"/>
    </row>
    <row r="28301" spans="9:13" x14ac:dyDescent="0.3">
      <c r="I28301" s="82"/>
      <c r="M28301" s="85"/>
    </row>
    <row r="28302" spans="9:13" x14ac:dyDescent="0.3">
      <c r="I28302" s="82"/>
      <c r="M28302" s="85"/>
    </row>
    <row r="28303" spans="9:13" x14ac:dyDescent="0.3">
      <c r="I28303" s="82"/>
      <c r="M28303" s="85"/>
    </row>
    <row r="28304" spans="9:13" x14ac:dyDescent="0.3">
      <c r="I28304" s="82"/>
      <c r="M28304" s="85"/>
    </row>
    <row r="28305" spans="9:13" x14ac:dyDescent="0.3">
      <c r="I28305" s="82"/>
      <c r="M28305" s="85"/>
    </row>
    <row r="28306" spans="9:13" x14ac:dyDescent="0.3">
      <c r="I28306" s="82"/>
      <c r="M28306" s="85"/>
    </row>
    <row r="28307" spans="9:13" x14ac:dyDescent="0.3">
      <c r="I28307" s="82"/>
      <c r="M28307" s="85"/>
    </row>
    <row r="28308" spans="9:13" x14ac:dyDescent="0.3">
      <c r="I28308" s="82"/>
      <c r="M28308" s="85"/>
    </row>
    <row r="28309" spans="9:13" x14ac:dyDescent="0.3">
      <c r="I28309" s="82"/>
      <c r="M28309" s="85"/>
    </row>
    <row r="28310" spans="9:13" x14ac:dyDescent="0.3">
      <c r="I28310" s="82"/>
      <c r="M28310" s="85"/>
    </row>
    <row r="28311" spans="9:13" x14ac:dyDescent="0.3">
      <c r="I28311" s="82"/>
      <c r="M28311" s="85"/>
    </row>
    <row r="28312" spans="9:13" x14ac:dyDescent="0.3">
      <c r="I28312" s="82"/>
      <c r="M28312" s="85"/>
    </row>
    <row r="28313" spans="9:13" x14ac:dyDescent="0.3">
      <c r="I28313" s="82"/>
      <c r="M28313" s="85"/>
    </row>
    <row r="28314" spans="9:13" x14ac:dyDescent="0.3">
      <c r="I28314" s="82"/>
      <c r="M28314" s="85"/>
    </row>
    <row r="28315" spans="9:13" x14ac:dyDescent="0.3">
      <c r="I28315" s="82"/>
      <c r="M28315" s="85"/>
    </row>
    <row r="28316" spans="9:13" x14ac:dyDescent="0.3">
      <c r="I28316" s="82"/>
      <c r="M28316" s="85"/>
    </row>
    <row r="28317" spans="9:13" x14ac:dyDescent="0.3">
      <c r="I28317" s="82"/>
      <c r="M28317" s="85"/>
    </row>
    <row r="28318" spans="9:13" x14ac:dyDescent="0.3">
      <c r="I28318" s="82"/>
      <c r="M28318" s="85"/>
    </row>
    <row r="28319" spans="9:13" x14ac:dyDescent="0.3">
      <c r="I28319" s="82"/>
      <c r="M28319" s="85"/>
    </row>
    <row r="28320" spans="9:13" x14ac:dyDescent="0.3">
      <c r="I28320" s="82"/>
      <c r="M28320" s="85"/>
    </row>
    <row r="28321" spans="9:13" x14ac:dyDescent="0.3">
      <c r="I28321" s="82"/>
      <c r="M28321" s="85"/>
    </row>
    <row r="28322" spans="9:13" x14ac:dyDescent="0.3">
      <c r="I28322" s="82"/>
      <c r="M28322" s="85"/>
    </row>
    <row r="28323" spans="9:13" x14ac:dyDescent="0.3">
      <c r="I28323" s="82"/>
      <c r="M28323" s="85"/>
    </row>
    <row r="28324" spans="9:13" x14ac:dyDescent="0.3">
      <c r="I28324" s="82"/>
      <c r="M28324" s="85"/>
    </row>
    <row r="28325" spans="9:13" x14ac:dyDescent="0.3">
      <c r="I28325" s="82"/>
      <c r="M28325" s="85"/>
    </row>
    <row r="28326" spans="9:13" x14ac:dyDescent="0.3">
      <c r="I28326" s="82"/>
      <c r="M28326" s="85"/>
    </row>
    <row r="28327" spans="9:13" x14ac:dyDescent="0.3">
      <c r="I28327" s="82"/>
      <c r="M28327" s="85"/>
    </row>
    <row r="28328" spans="9:13" x14ac:dyDescent="0.3">
      <c r="I28328" s="82"/>
      <c r="M28328" s="85"/>
    </row>
    <row r="28329" spans="9:13" x14ac:dyDescent="0.3">
      <c r="I28329" s="82"/>
      <c r="M28329" s="85"/>
    </row>
    <row r="28330" spans="9:13" x14ac:dyDescent="0.3">
      <c r="I28330" s="82"/>
      <c r="M28330" s="85"/>
    </row>
    <row r="28331" spans="9:13" x14ac:dyDescent="0.3">
      <c r="I28331" s="82"/>
      <c r="M28331" s="85"/>
    </row>
    <row r="28332" spans="9:13" x14ac:dyDescent="0.3">
      <c r="I28332" s="82"/>
      <c r="M28332" s="85"/>
    </row>
    <row r="28333" spans="9:13" x14ac:dyDescent="0.3">
      <c r="I28333" s="82"/>
      <c r="M28333" s="85"/>
    </row>
    <row r="28334" spans="9:13" x14ac:dyDescent="0.3">
      <c r="I28334" s="82"/>
      <c r="M28334" s="85"/>
    </row>
    <row r="28335" spans="9:13" x14ac:dyDescent="0.3">
      <c r="I28335" s="82"/>
      <c r="M28335" s="85"/>
    </row>
    <row r="28336" spans="9:13" x14ac:dyDescent="0.3">
      <c r="I28336" s="82"/>
      <c r="M28336" s="85"/>
    </row>
    <row r="28337" spans="9:13" x14ac:dyDescent="0.3">
      <c r="I28337" s="82"/>
      <c r="M28337" s="85"/>
    </row>
    <row r="28338" spans="9:13" x14ac:dyDescent="0.3">
      <c r="I28338" s="82"/>
      <c r="M28338" s="85"/>
    </row>
    <row r="28339" spans="9:13" x14ac:dyDescent="0.3">
      <c r="I28339" s="82"/>
      <c r="M28339" s="85"/>
    </row>
    <row r="28340" spans="9:13" x14ac:dyDescent="0.3">
      <c r="I28340" s="82"/>
      <c r="M28340" s="85"/>
    </row>
    <row r="28341" spans="9:13" x14ac:dyDescent="0.3">
      <c r="I28341" s="82"/>
      <c r="M28341" s="85"/>
    </row>
    <row r="28342" spans="9:13" x14ac:dyDescent="0.3">
      <c r="I28342" s="82"/>
      <c r="M28342" s="85"/>
    </row>
    <row r="28343" spans="9:13" x14ac:dyDescent="0.3">
      <c r="I28343" s="82"/>
      <c r="M28343" s="85"/>
    </row>
    <row r="28344" spans="9:13" x14ac:dyDescent="0.3">
      <c r="I28344" s="82"/>
      <c r="M28344" s="85"/>
    </row>
    <row r="28345" spans="9:13" x14ac:dyDescent="0.3">
      <c r="I28345" s="82"/>
      <c r="M28345" s="85"/>
    </row>
    <row r="28346" spans="9:13" x14ac:dyDescent="0.3">
      <c r="I28346" s="82"/>
      <c r="M28346" s="85"/>
    </row>
    <row r="28347" spans="9:13" x14ac:dyDescent="0.3">
      <c r="I28347" s="82"/>
      <c r="M28347" s="85"/>
    </row>
    <row r="28348" spans="9:13" x14ac:dyDescent="0.3">
      <c r="I28348" s="82"/>
      <c r="M28348" s="85"/>
    </row>
    <row r="28349" spans="9:13" x14ac:dyDescent="0.3">
      <c r="I28349" s="82"/>
      <c r="M28349" s="85"/>
    </row>
    <row r="28350" spans="9:13" x14ac:dyDescent="0.3">
      <c r="I28350" s="82"/>
      <c r="M28350" s="85"/>
    </row>
    <row r="28351" spans="9:13" x14ac:dyDescent="0.3">
      <c r="I28351" s="82"/>
      <c r="M28351" s="85"/>
    </row>
    <row r="28352" spans="9:13" x14ac:dyDescent="0.3">
      <c r="I28352" s="82"/>
      <c r="M28352" s="85"/>
    </row>
    <row r="28353" spans="9:13" x14ac:dyDescent="0.3">
      <c r="I28353" s="82"/>
      <c r="M28353" s="85"/>
    </row>
    <row r="28354" spans="9:13" x14ac:dyDescent="0.3">
      <c r="I28354" s="82"/>
      <c r="M28354" s="85"/>
    </row>
    <row r="28355" spans="9:13" x14ac:dyDescent="0.3">
      <c r="I28355" s="82"/>
      <c r="M28355" s="85"/>
    </row>
    <row r="28356" spans="9:13" x14ac:dyDescent="0.3">
      <c r="I28356" s="82"/>
      <c r="M28356" s="85"/>
    </row>
    <row r="28357" spans="9:13" x14ac:dyDescent="0.3">
      <c r="I28357" s="82"/>
      <c r="M28357" s="85"/>
    </row>
    <row r="28358" spans="9:13" x14ac:dyDescent="0.3">
      <c r="I28358" s="82"/>
      <c r="M28358" s="85"/>
    </row>
    <row r="28359" spans="9:13" x14ac:dyDescent="0.3">
      <c r="I28359" s="82"/>
      <c r="M28359" s="85"/>
    </row>
    <row r="28360" spans="9:13" x14ac:dyDescent="0.3">
      <c r="I28360" s="82"/>
      <c r="M28360" s="85"/>
    </row>
    <row r="28361" spans="9:13" x14ac:dyDescent="0.3">
      <c r="I28361" s="82"/>
      <c r="M28361" s="85"/>
    </row>
    <row r="28362" spans="9:13" x14ac:dyDescent="0.3">
      <c r="I28362" s="82"/>
      <c r="M28362" s="85"/>
    </row>
    <row r="28363" spans="9:13" x14ac:dyDescent="0.3">
      <c r="I28363" s="82"/>
      <c r="M28363" s="85"/>
    </row>
    <row r="28364" spans="9:13" x14ac:dyDescent="0.3">
      <c r="I28364" s="82"/>
      <c r="M28364" s="85"/>
    </row>
    <row r="28365" spans="9:13" x14ac:dyDescent="0.3">
      <c r="I28365" s="82"/>
      <c r="M28365" s="85"/>
    </row>
    <row r="28366" spans="9:13" x14ac:dyDescent="0.3">
      <c r="I28366" s="82"/>
      <c r="M28366" s="85"/>
    </row>
    <row r="28367" spans="9:13" x14ac:dyDescent="0.3">
      <c r="I28367" s="82"/>
      <c r="M28367" s="85"/>
    </row>
    <row r="28368" spans="9:13" x14ac:dyDescent="0.3">
      <c r="I28368" s="82"/>
      <c r="M28368" s="85"/>
    </row>
    <row r="28369" spans="9:13" x14ac:dyDescent="0.3">
      <c r="I28369" s="82"/>
      <c r="M28369" s="85"/>
    </row>
    <row r="28370" spans="9:13" x14ac:dyDescent="0.3">
      <c r="I28370" s="82"/>
      <c r="M28370" s="85"/>
    </row>
    <row r="28371" spans="9:13" x14ac:dyDescent="0.3">
      <c r="I28371" s="82"/>
      <c r="M28371" s="85"/>
    </row>
    <row r="28372" spans="9:13" x14ac:dyDescent="0.3">
      <c r="I28372" s="82"/>
      <c r="M28372" s="85"/>
    </row>
    <row r="28373" spans="9:13" x14ac:dyDescent="0.3">
      <c r="I28373" s="82"/>
      <c r="M28373" s="85"/>
    </row>
    <row r="28374" spans="9:13" x14ac:dyDescent="0.3">
      <c r="I28374" s="82"/>
      <c r="M28374" s="85"/>
    </row>
    <row r="28375" spans="9:13" x14ac:dyDescent="0.3">
      <c r="I28375" s="82"/>
      <c r="M28375" s="85"/>
    </row>
    <row r="28376" spans="9:13" x14ac:dyDescent="0.3">
      <c r="I28376" s="82"/>
      <c r="M28376" s="85"/>
    </row>
    <row r="28377" spans="9:13" x14ac:dyDescent="0.3">
      <c r="I28377" s="82"/>
      <c r="M28377" s="85"/>
    </row>
    <row r="28378" spans="9:13" x14ac:dyDescent="0.3">
      <c r="I28378" s="82"/>
      <c r="M28378" s="85"/>
    </row>
    <row r="28379" spans="9:13" x14ac:dyDescent="0.3">
      <c r="I28379" s="82"/>
      <c r="M28379" s="85"/>
    </row>
    <row r="28380" spans="9:13" x14ac:dyDescent="0.3">
      <c r="I28380" s="82"/>
      <c r="M28380" s="85"/>
    </row>
    <row r="28381" spans="9:13" x14ac:dyDescent="0.3">
      <c r="I28381" s="82"/>
      <c r="M28381" s="85"/>
    </row>
    <row r="28382" spans="9:13" x14ac:dyDescent="0.3">
      <c r="I28382" s="82"/>
      <c r="M28382" s="85"/>
    </row>
    <row r="28383" spans="9:13" x14ac:dyDescent="0.3">
      <c r="I28383" s="82"/>
      <c r="M28383" s="85"/>
    </row>
    <row r="28384" spans="9:13" x14ac:dyDescent="0.3">
      <c r="I28384" s="82"/>
      <c r="M28384" s="85"/>
    </row>
    <row r="28385" spans="9:13" x14ac:dyDescent="0.3">
      <c r="I28385" s="82"/>
      <c r="M28385" s="85"/>
    </row>
    <row r="28386" spans="9:13" x14ac:dyDescent="0.3">
      <c r="I28386" s="82"/>
      <c r="M28386" s="85"/>
    </row>
    <row r="28387" spans="9:13" x14ac:dyDescent="0.3">
      <c r="I28387" s="82"/>
      <c r="M28387" s="85"/>
    </row>
    <row r="28388" spans="9:13" x14ac:dyDescent="0.3">
      <c r="I28388" s="82"/>
      <c r="M28388" s="85"/>
    </row>
    <row r="28389" spans="9:13" x14ac:dyDescent="0.3">
      <c r="I28389" s="82"/>
      <c r="M28389" s="85"/>
    </row>
    <row r="28390" spans="9:13" x14ac:dyDescent="0.3">
      <c r="I28390" s="82"/>
      <c r="M28390" s="85"/>
    </row>
    <row r="28391" spans="9:13" x14ac:dyDescent="0.3">
      <c r="I28391" s="82"/>
      <c r="M28391" s="85"/>
    </row>
    <row r="28392" spans="9:13" x14ac:dyDescent="0.3">
      <c r="I28392" s="82"/>
      <c r="M28392" s="85"/>
    </row>
    <row r="28393" spans="9:13" x14ac:dyDescent="0.3">
      <c r="I28393" s="82"/>
      <c r="M28393" s="85"/>
    </row>
    <row r="28394" spans="9:13" x14ac:dyDescent="0.3">
      <c r="I28394" s="82"/>
      <c r="M28394" s="85"/>
    </row>
    <row r="28395" spans="9:13" x14ac:dyDescent="0.3">
      <c r="I28395" s="82"/>
      <c r="M28395" s="85"/>
    </row>
    <row r="28396" spans="9:13" x14ac:dyDescent="0.3">
      <c r="I28396" s="82"/>
      <c r="M28396" s="85"/>
    </row>
    <row r="28397" spans="9:13" x14ac:dyDescent="0.3">
      <c r="I28397" s="82"/>
      <c r="M28397" s="85"/>
    </row>
    <row r="28398" spans="9:13" x14ac:dyDescent="0.3">
      <c r="I28398" s="82"/>
      <c r="M28398" s="85"/>
    </row>
    <row r="28399" spans="9:13" x14ac:dyDescent="0.3">
      <c r="I28399" s="82"/>
      <c r="M28399" s="85"/>
    </row>
    <row r="28400" spans="9:13" x14ac:dyDescent="0.3">
      <c r="I28400" s="82"/>
      <c r="M28400" s="85"/>
    </row>
    <row r="28401" spans="9:13" x14ac:dyDescent="0.3">
      <c r="I28401" s="82"/>
      <c r="M28401" s="85"/>
    </row>
    <row r="28402" spans="9:13" x14ac:dyDescent="0.3">
      <c r="I28402" s="82"/>
      <c r="M28402" s="85"/>
    </row>
    <row r="28403" spans="9:13" x14ac:dyDescent="0.3">
      <c r="I28403" s="82"/>
      <c r="M28403" s="85"/>
    </row>
    <row r="28404" spans="9:13" x14ac:dyDescent="0.3">
      <c r="I28404" s="82"/>
      <c r="M28404" s="85"/>
    </row>
    <row r="28405" spans="9:13" x14ac:dyDescent="0.3">
      <c r="I28405" s="82"/>
      <c r="M28405" s="85"/>
    </row>
    <row r="28406" spans="9:13" x14ac:dyDescent="0.3">
      <c r="I28406" s="82"/>
      <c r="M28406" s="85"/>
    </row>
    <row r="28407" spans="9:13" x14ac:dyDescent="0.3">
      <c r="I28407" s="82"/>
      <c r="M28407" s="85"/>
    </row>
    <row r="28408" spans="9:13" x14ac:dyDescent="0.3">
      <c r="I28408" s="82"/>
      <c r="M28408" s="85"/>
    </row>
    <row r="28409" spans="9:13" x14ac:dyDescent="0.3">
      <c r="I28409" s="82"/>
      <c r="M28409" s="85"/>
    </row>
    <row r="28410" spans="9:13" x14ac:dyDescent="0.3">
      <c r="I28410" s="82"/>
      <c r="M28410" s="85"/>
    </row>
    <row r="28411" spans="9:13" x14ac:dyDescent="0.3">
      <c r="I28411" s="82"/>
      <c r="M28411" s="85"/>
    </row>
    <row r="28412" spans="9:13" x14ac:dyDescent="0.3">
      <c r="I28412" s="82"/>
      <c r="M28412" s="85"/>
    </row>
    <row r="28413" spans="9:13" x14ac:dyDescent="0.3">
      <c r="I28413" s="82"/>
      <c r="M28413" s="85"/>
    </row>
    <row r="28414" spans="9:13" x14ac:dyDescent="0.3">
      <c r="I28414" s="82"/>
      <c r="M28414" s="85"/>
    </row>
    <row r="28415" spans="9:13" x14ac:dyDescent="0.3">
      <c r="I28415" s="82"/>
      <c r="M28415" s="85"/>
    </row>
    <row r="28416" spans="9:13" x14ac:dyDescent="0.3">
      <c r="I28416" s="82"/>
      <c r="M28416" s="85"/>
    </row>
    <row r="28417" spans="9:13" x14ac:dyDescent="0.3">
      <c r="I28417" s="82"/>
      <c r="M28417" s="85"/>
    </row>
    <row r="28418" spans="9:13" x14ac:dyDescent="0.3">
      <c r="I28418" s="82"/>
      <c r="M28418" s="85"/>
    </row>
    <row r="28419" spans="9:13" x14ac:dyDescent="0.3">
      <c r="I28419" s="82"/>
      <c r="M28419" s="85"/>
    </row>
    <row r="28420" spans="9:13" x14ac:dyDescent="0.3">
      <c r="I28420" s="82"/>
      <c r="M28420" s="85"/>
    </row>
    <row r="28421" spans="9:13" x14ac:dyDescent="0.3">
      <c r="I28421" s="82"/>
      <c r="M28421" s="85"/>
    </row>
    <row r="28422" spans="9:13" x14ac:dyDescent="0.3">
      <c r="I28422" s="82"/>
      <c r="M28422" s="85"/>
    </row>
    <row r="28423" spans="9:13" x14ac:dyDescent="0.3">
      <c r="I28423" s="82"/>
      <c r="M28423" s="85"/>
    </row>
    <row r="28424" spans="9:13" x14ac:dyDescent="0.3">
      <c r="I28424" s="82"/>
      <c r="M28424" s="85"/>
    </row>
    <row r="28425" spans="9:13" x14ac:dyDescent="0.3">
      <c r="I28425" s="82"/>
      <c r="M28425" s="85"/>
    </row>
    <row r="28426" spans="9:13" x14ac:dyDescent="0.3">
      <c r="I28426" s="82"/>
      <c r="M28426" s="85"/>
    </row>
    <row r="28427" spans="9:13" x14ac:dyDescent="0.3">
      <c r="I28427" s="82"/>
      <c r="M28427" s="85"/>
    </row>
    <row r="28428" spans="9:13" x14ac:dyDescent="0.3">
      <c r="I28428" s="82"/>
      <c r="M28428" s="85"/>
    </row>
    <row r="28429" spans="9:13" x14ac:dyDescent="0.3">
      <c r="I28429" s="82"/>
      <c r="M28429" s="85"/>
    </row>
    <row r="28430" spans="9:13" x14ac:dyDescent="0.3">
      <c r="I28430" s="82"/>
      <c r="M28430" s="85"/>
    </row>
    <row r="28431" spans="9:13" x14ac:dyDescent="0.3">
      <c r="I28431" s="82"/>
      <c r="M28431" s="85"/>
    </row>
    <row r="28432" spans="9:13" x14ac:dyDescent="0.3">
      <c r="I28432" s="82"/>
      <c r="M28432" s="85"/>
    </row>
    <row r="28433" spans="9:13" x14ac:dyDescent="0.3">
      <c r="I28433" s="82"/>
      <c r="M28433" s="85"/>
    </row>
    <row r="28434" spans="9:13" x14ac:dyDescent="0.3">
      <c r="I28434" s="82"/>
      <c r="M28434" s="85"/>
    </row>
    <row r="28435" spans="9:13" x14ac:dyDescent="0.3">
      <c r="I28435" s="82"/>
      <c r="M28435" s="85"/>
    </row>
    <row r="28436" spans="9:13" x14ac:dyDescent="0.3">
      <c r="I28436" s="82"/>
      <c r="M28436" s="85"/>
    </row>
    <row r="28437" spans="9:13" x14ac:dyDescent="0.3">
      <c r="I28437" s="82"/>
      <c r="M28437" s="85"/>
    </row>
    <row r="28438" spans="9:13" x14ac:dyDescent="0.3">
      <c r="I28438" s="82"/>
      <c r="M28438" s="85"/>
    </row>
    <row r="28439" spans="9:13" x14ac:dyDescent="0.3">
      <c r="I28439" s="82"/>
      <c r="M28439" s="85"/>
    </row>
    <row r="28440" spans="9:13" x14ac:dyDescent="0.3">
      <c r="I28440" s="82"/>
      <c r="M28440" s="85"/>
    </row>
    <row r="28441" spans="9:13" x14ac:dyDescent="0.3">
      <c r="I28441" s="82"/>
      <c r="M28441" s="85"/>
    </row>
    <row r="28442" spans="9:13" x14ac:dyDescent="0.3">
      <c r="I28442" s="82"/>
      <c r="M28442" s="85"/>
    </row>
    <row r="28443" spans="9:13" x14ac:dyDescent="0.3">
      <c r="I28443" s="82"/>
      <c r="M28443" s="85"/>
    </row>
    <row r="28444" spans="9:13" x14ac:dyDescent="0.3">
      <c r="I28444" s="82"/>
      <c r="M28444" s="85"/>
    </row>
    <row r="28445" spans="9:13" x14ac:dyDescent="0.3">
      <c r="I28445" s="82"/>
      <c r="M28445" s="85"/>
    </row>
    <row r="28446" spans="9:13" x14ac:dyDescent="0.3">
      <c r="I28446" s="82"/>
      <c r="M28446" s="85"/>
    </row>
    <row r="28447" spans="9:13" x14ac:dyDescent="0.3">
      <c r="I28447" s="82"/>
      <c r="M28447" s="85"/>
    </row>
    <row r="28448" spans="9:13" x14ac:dyDescent="0.3">
      <c r="I28448" s="82"/>
      <c r="M28448" s="85"/>
    </row>
    <row r="28449" spans="9:13" x14ac:dyDescent="0.3">
      <c r="I28449" s="82"/>
      <c r="M28449" s="85"/>
    </row>
    <row r="28450" spans="9:13" x14ac:dyDescent="0.3">
      <c r="I28450" s="82"/>
      <c r="M28450" s="85"/>
    </row>
    <row r="28451" spans="9:13" x14ac:dyDescent="0.3">
      <c r="I28451" s="82"/>
      <c r="M28451" s="85"/>
    </row>
    <row r="28452" spans="9:13" x14ac:dyDescent="0.3">
      <c r="I28452" s="82"/>
      <c r="M28452" s="85"/>
    </row>
    <row r="28453" spans="9:13" x14ac:dyDescent="0.3">
      <c r="I28453" s="82"/>
      <c r="M28453" s="85"/>
    </row>
    <row r="28454" spans="9:13" x14ac:dyDescent="0.3">
      <c r="I28454" s="82"/>
      <c r="M28454" s="85"/>
    </row>
    <row r="28455" spans="9:13" x14ac:dyDescent="0.3">
      <c r="I28455" s="82"/>
      <c r="M28455" s="85"/>
    </row>
    <row r="28456" spans="9:13" x14ac:dyDescent="0.3">
      <c r="I28456" s="82"/>
      <c r="M28456" s="85"/>
    </row>
    <row r="28457" spans="9:13" x14ac:dyDescent="0.3">
      <c r="I28457" s="82"/>
      <c r="M28457" s="85"/>
    </row>
    <row r="28458" spans="9:13" x14ac:dyDescent="0.3">
      <c r="I28458" s="82"/>
      <c r="M28458" s="85"/>
    </row>
    <row r="28459" spans="9:13" x14ac:dyDescent="0.3">
      <c r="I28459" s="82"/>
      <c r="M28459" s="85"/>
    </row>
    <row r="28460" spans="9:13" x14ac:dyDescent="0.3">
      <c r="I28460" s="82"/>
      <c r="M28460" s="85"/>
    </row>
    <row r="28461" spans="9:13" x14ac:dyDescent="0.3">
      <c r="I28461" s="82"/>
      <c r="M28461" s="85"/>
    </row>
    <row r="28462" spans="9:13" x14ac:dyDescent="0.3">
      <c r="I28462" s="82"/>
      <c r="M28462" s="85"/>
    </row>
    <row r="28463" spans="9:13" x14ac:dyDescent="0.3">
      <c r="I28463" s="82"/>
      <c r="M28463" s="85"/>
    </row>
    <row r="28464" spans="9:13" x14ac:dyDescent="0.3">
      <c r="I28464" s="82"/>
      <c r="M28464" s="85"/>
    </row>
    <row r="28465" spans="9:13" x14ac:dyDescent="0.3">
      <c r="I28465" s="82"/>
      <c r="M28465" s="85"/>
    </row>
    <row r="28466" spans="9:13" x14ac:dyDescent="0.3">
      <c r="I28466" s="82"/>
      <c r="M28466" s="85"/>
    </row>
    <row r="28467" spans="9:13" x14ac:dyDescent="0.3">
      <c r="I28467" s="82"/>
      <c r="M28467" s="85"/>
    </row>
    <row r="28468" spans="9:13" x14ac:dyDescent="0.3">
      <c r="I28468" s="82"/>
      <c r="M28468" s="85"/>
    </row>
    <row r="28469" spans="9:13" x14ac:dyDescent="0.3">
      <c r="I28469" s="82"/>
      <c r="M28469" s="85"/>
    </row>
    <row r="28470" spans="9:13" x14ac:dyDescent="0.3">
      <c r="I28470" s="82"/>
      <c r="M28470" s="85"/>
    </row>
    <row r="28471" spans="9:13" x14ac:dyDescent="0.3">
      <c r="I28471" s="82"/>
      <c r="M28471" s="85"/>
    </row>
    <row r="28472" spans="9:13" x14ac:dyDescent="0.3">
      <c r="I28472" s="82"/>
      <c r="M28472" s="85"/>
    </row>
    <row r="28473" spans="9:13" x14ac:dyDescent="0.3">
      <c r="I28473" s="82"/>
      <c r="M28473" s="85"/>
    </row>
    <row r="28474" spans="9:13" x14ac:dyDescent="0.3">
      <c r="I28474" s="82"/>
      <c r="M28474" s="85"/>
    </row>
    <row r="28475" spans="9:13" x14ac:dyDescent="0.3">
      <c r="I28475" s="82"/>
      <c r="M28475" s="85"/>
    </row>
    <row r="28476" spans="9:13" x14ac:dyDescent="0.3">
      <c r="I28476" s="82"/>
      <c r="M28476" s="85"/>
    </row>
    <row r="28477" spans="9:13" x14ac:dyDescent="0.3">
      <c r="I28477" s="82"/>
      <c r="M28477" s="85"/>
    </row>
    <row r="28478" spans="9:13" x14ac:dyDescent="0.3">
      <c r="I28478" s="82"/>
      <c r="M28478" s="85"/>
    </row>
    <row r="28479" spans="9:13" x14ac:dyDescent="0.3">
      <c r="I28479" s="82"/>
      <c r="M28479" s="85"/>
    </row>
    <row r="28480" spans="9:13" x14ac:dyDescent="0.3">
      <c r="I28480" s="82"/>
      <c r="M28480" s="85"/>
    </row>
    <row r="28481" spans="9:13" x14ac:dyDescent="0.3">
      <c r="I28481" s="82"/>
      <c r="M28481" s="85"/>
    </row>
    <row r="28482" spans="9:13" x14ac:dyDescent="0.3">
      <c r="I28482" s="82"/>
      <c r="M28482" s="85"/>
    </row>
    <row r="28483" spans="9:13" x14ac:dyDescent="0.3">
      <c r="I28483" s="82"/>
      <c r="M28483" s="85"/>
    </row>
    <row r="28484" spans="9:13" x14ac:dyDescent="0.3">
      <c r="I28484" s="82"/>
      <c r="M28484" s="85"/>
    </row>
    <row r="28485" spans="9:13" x14ac:dyDescent="0.3">
      <c r="I28485" s="82"/>
      <c r="M28485" s="85"/>
    </row>
    <row r="28486" spans="9:13" x14ac:dyDescent="0.3">
      <c r="I28486" s="82"/>
      <c r="M28486" s="85"/>
    </row>
    <row r="28487" spans="9:13" x14ac:dyDescent="0.3">
      <c r="I28487" s="82"/>
      <c r="M28487" s="85"/>
    </row>
    <row r="28488" spans="9:13" x14ac:dyDescent="0.3">
      <c r="I28488" s="82"/>
      <c r="M28488" s="85"/>
    </row>
    <row r="28489" spans="9:13" x14ac:dyDescent="0.3">
      <c r="I28489" s="82"/>
      <c r="M28489" s="85"/>
    </row>
    <row r="28490" spans="9:13" x14ac:dyDescent="0.3">
      <c r="I28490" s="82"/>
      <c r="M28490" s="85"/>
    </row>
    <row r="28491" spans="9:13" x14ac:dyDescent="0.3">
      <c r="I28491" s="82"/>
      <c r="M28491" s="85"/>
    </row>
    <row r="28492" spans="9:13" x14ac:dyDescent="0.3">
      <c r="I28492" s="82"/>
      <c r="M28492" s="85"/>
    </row>
    <row r="28493" spans="9:13" x14ac:dyDescent="0.3">
      <c r="I28493" s="82"/>
      <c r="M28493" s="85"/>
    </row>
    <row r="28494" spans="9:13" x14ac:dyDescent="0.3">
      <c r="I28494" s="82"/>
      <c r="M28494" s="85"/>
    </row>
    <row r="28495" spans="9:13" x14ac:dyDescent="0.3">
      <c r="I28495" s="82"/>
      <c r="M28495" s="85"/>
    </row>
    <row r="28496" spans="9:13" x14ac:dyDescent="0.3">
      <c r="I28496" s="82"/>
      <c r="M28496" s="85"/>
    </row>
    <row r="28497" spans="9:13" x14ac:dyDescent="0.3">
      <c r="I28497" s="82"/>
      <c r="M28497" s="85"/>
    </row>
    <row r="28498" spans="9:13" x14ac:dyDescent="0.3">
      <c r="I28498" s="82"/>
      <c r="M28498" s="85"/>
    </row>
    <row r="28499" spans="9:13" x14ac:dyDescent="0.3">
      <c r="I28499" s="82"/>
      <c r="M28499" s="85"/>
    </row>
    <row r="28500" spans="9:13" x14ac:dyDescent="0.3">
      <c r="I28500" s="82"/>
      <c r="M28500" s="85"/>
    </row>
    <row r="28501" spans="9:13" x14ac:dyDescent="0.3">
      <c r="I28501" s="82"/>
      <c r="M28501" s="85"/>
    </row>
    <row r="28502" spans="9:13" x14ac:dyDescent="0.3">
      <c r="I28502" s="82"/>
      <c r="M28502" s="85"/>
    </row>
    <row r="28503" spans="9:13" x14ac:dyDescent="0.3">
      <c r="I28503" s="82"/>
      <c r="M28503" s="85"/>
    </row>
    <row r="28504" spans="9:13" x14ac:dyDescent="0.3">
      <c r="I28504" s="82"/>
      <c r="M28504" s="85"/>
    </row>
    <row r="28505" spans="9:13" x14ac:dyDescent="0.3">
      <c r="I28505" s="82"/>
      <c r="M28505" s="85"/>
    </row>
    <row r="28506" spans="9:13" x14ac:dyDescent="0.3">
      <c r="I28506" s="82"/>
      <c r="M28506" s="85"/>
    </row>
    <row r="28507" spans="9:13" x14ac:dyDescent="0.3">
      <c r="I28507" s="82"/>
      <c r="M28507" s="85"/>
    </row>
    <row r="28508" spans="9:13" x14ac:dyDescent="0.3">
      <c r="I28508" s="82"/>
      <c r="M28508" s="85"/>
    </row>
    <row r="28509" spans="9:13" x14ac:dyDescent="0.3">
      <c r="I28509" s="82"/>
      <c r="M28509" s="85"/>
    </row>
    <row r="28510" spans="9:13" x14ac:dyDescent="0.3">
      <c r="I28510" s="82"/>
      <c r="M28510" s="85"/>
    </row>
    <row r="28511" spans="9:13" x14ac:dyDescent="0.3">
      <c r="I28511" s="82"/>
      <c r="M28511" s="85"/>
    </row>
    <row r="28512" spans="9:13" x14ac:dyDescent="0.3">
      <c r="I28512" s="82"/>
      <c r="M28512" s="85"/>
    </row>
    <row r="28513" spans="9:13" x14ac:dyDescent="0.3">
      <c r="I28513" s="82"/>
      <c r="M28513" s="85"/>
    </row>
    <row r="28514" spans="9:13" x14ac:dyDescent="0.3">
      <c r="I28514" s="82"/>
      <c r="M28514" s="85"/>
    </row>
    <row r="28515" spans="9:13" x14ac:dyDescent="0.3">
      <c r="I28515" s="82"/>
      <c r="M28515" s="85"/>
    </row>
    <row r="28516" spans="9:13" x14ac:dyDescent="0.3">
      <c r="I28516" s="82"/>
      <c r="M28516" s="85"/>
    </row>
    <row r="28517" spans="9:13" x14ac:dyDescent="0.3">
      <c r="I28517" s="82"/>
      <c r="M28517" s="85"/>
    </row>
    <row r="28518" spans="9:13" x14ac:dyDescent="0.3">
      <c r="I28518" s="82"/>
      <c r="M28518" s="85"/>
    </row>
    <row r="28519" spans="9:13" x14ac:dyDescent="0.3">
      <c r="I28519" s="82"/>
      <c r="M28519" s="85"/>
    </row>
    <row r="28520" spans="9:13" x14ac:dyDescent="0.3">
      <c r="I28520" s="82"/>
      <c r="M28520" s="85"/>
    </row>
    <row r="28521" spans="9:13" x14ac:dyDescent="0.3">
      <c r="I28521" s="82"/>
      <c r="M28521" s="85"/>
    </row>
    <row r="28522" spans="9:13" x14ac:dyDescent="0.3">
      <c r="I28522" s="82"/>
      <c r="M28522" s="85"/>
    </row>
    <row r="28523" spans="9:13" x14ac:dyDescent="0.3">
      <c r="I28523" s="82"/>
      <c r="M28523" s="85"/>
    </row>
    <row r="28524" spans="9:13" x14ac:dyDescent="0.3">
      <c r="I28524" s="82"/>
      <c r="M28524" s="85"/>
    </row>
    <row r="28525" spans="9:13" x14ac:dyDescent="0.3">
      <c r="I28525" s="82"/>
      <c r="M28525" s="85"/>
    </row>
    <row r="28526" spans="9:13" x14ac:dyDescent="0.3">
      <c r="I28526" s="82"/>
      <c r="M28526" s="85"/>
    </row>
    <row r="28527" spans="9:13" x14ac:dyDescent="0.3">
      <c r="I28527" s="82"/>
      <c r="M28527" s="85"/>
    </row>
    <row r="28528" spans="9:13" x14ac:dyDescent="0.3">
      <c r="I28528" s="82"/>
      <c r="M28528" s="85"/>
    </row>
    <row r="28529" spans="9:13" x14ac:dyDescent="0.3">
      <c r="I28529" s="82"/>
      <c r="M28529" s="85"/>
    </row>
    <row r="28530" spans="9:13" x14ac:dyDescent="0.3">
      <c r="I28530" s="82"/>
      <c r="M28530" s="85"/>
    </row>
    <row r="28531" spans="9:13" x14ac:dyDescent="0.3">
      <c r="I28531" s="82"/>
      <c r="M28531" s="85"/>
    </row>
    <row r="28532" spans="9:13" x14ac:dyDescent="0.3">
      <c r="I28532" s="82"/>
      <c r="M28532" s="85"/>
    </row>
    <row r="28533" spans="9:13" x14ac:dyDescent="0.3">
      <c r="I28533" s="82"/>
      <c r="M28533" s="85"/>
    </row>
    <row r="28534" spans="9:13" x14ac:dyDescent="0.3">
      <c r="I28534" s="82"/>
      <c r="M28534" s="85"/>
    </row>
    <row r="28535" spans="9:13" x14ac:dyDescent="0.3">
      <c r="I28535" s="82"/>
      <c r="M28535" s="85"/>
    </row>
    <row r="28536" spans="9:13" x14ac:dyDescent="0.3">
      <c r="I28536" s="82"/>
      <c r="M28536" s="85"/>
    </row>
    <row r="28537" spans="9:13" x14ac:dyDescent="0.3">
      <c r="I28537" s="82"/>
      <c r="M28537" s="85"/>
    </row>
    <row r="28538" spans="9:13" x14ac:dyDescent="0.3">
      <c r="I28538" s="82"/>
      <c r="M28538" s="85"/>
    </row>
    <row r="28539" spans="9:13" x14ac:dyDescent="0.3">
      <c r="I28539" s="82"/>
      <c r="M28539" s="85"/>
    </row>
    <row r="28540" spans="9:13" x14ac:dyDescent="0.3">
      <c r="I28540" s="82"/>
      <c r="M28540" s="85"/>
    </row>
    <row r="28541" spans="9:13" x14ac:dyDescent="0.3">
      <c r="I28541" s="82"/>
      <c r="M28541" s="85"/>
    </row>
    <row r="28542" spans="9:13" x14ac:dyDescent="0.3">
      <c r="I28542" s="82"/>
      <c r="M28542" s="85"/>
    </row>
    <row r="28543" spans="9:13" x14ac:dyDescent="0.3">
      <c r="I28543" s="82"/>
      <c r="M28543" s="85"/>
    </row>
    <row r="28544" spans="9:13" x14ac:dyDescent="0.3">
      <c r="I28544" s="82"/>
      <c r="M28544" s="85"/>
    </row>
    <row r="28545" spans="9:13" x14ac:dyDescent="0.3">
      <c r="I28545" s="82"/>
      <c r="M28545" s="85"/>
    </row>
    <row r="28546" spans="9:13" x14ac:dyDescent="0.3">
      <c r="I28546" s="82"/>
      <c r="M28546" s="85"/>
    </row>
    <row r="28547" spans="9:13" x14ac:dyDescent="0.3">
      <c r="I28547" s="82"/>
      <c r="M28547" s="85"/>
    </row>
    <row r="28548" spans="9:13" x14ac:dyDescent="0.3">
      <c r="I28548" s="82"/>
      <c r="M28548" s="85"/>
    </row>
    <row r="28549" spans="9:13" x14ac:dyDescent="0.3">
      <c r="I28549" s="82"/>
      <c r="M28549" s="85"/>
    </row>
    <row r="28550" spans="9:13" x14ac:dyDescent="0.3">
      <c r="I28550" s="82"/>
      <c r="M28550" s="85"/>
    </row>
    <row r="28551" spans="9:13" x14ac:dyDescent="0.3">
      <c r="I28551" s="82"/>
      <c r="M28551" s="85"/>
    </row>
    <row r="28552" spans="9:13" x14ac:dyDescent="0.3">
      <c r="I28552" s="82"/>
      <c r="M28552" s="85"/>
    </row>
    <row r="28553" spans="9:13" x14ac:dyDescent="0.3">
      <c r="I28553" s="82"/>
      <c r="M28553" s="85"/>
    </row>
    <row r="28554" spans="9:13" x14ac:dyDescent="0.3">
      <c r="I28554" s="82"/>
      <c r="M28554" s="85"/>
    </row>
    <row r="28555" spans="9:13" x14ac:dyDescent="0.3">
      <c r="I28555" s="82"/>
      <c r="M28555" s="85"/>
    </row>
    <row r="28556" spans="9:13" x14ac:dyDescent="0.3">
      <c r="I28556" s="82"/>
      <c r="M28556" s="85"/>
    </row>
    <row r="28557" spans="9:13" x14ac:dyDescent="0.3">
      <c r="I28557" s="82"/>
      <c r="M28557" s="85"/>
    </row>
    <row r="28558" spans="9:13" x14ac:dyDescent="0.3">
      <c r="I28558" s="82"/>
      <c r="M28558" s="85"/>
    </row>
    <row r="28559" spans="9:13" x14ac:dyDescent="0.3">
      <c r="I28559" s="82"/>
      <c r="M28559" s="85"/>
    </row>
    <row r="28560" spans="9:13" x14ac:dyDescent="0.3">
      <c r="I28560" s="82"/>
      <c r="M28560" s="85"/>
    </row>
    <row r="28561" spans="9:13" x14ac:dyDescent="0.3">
      <c r="I28561" s="82"/>
      <c r="M28561" s="85"/>
    </row>
    <row r="28562" spans="9:13" x14ac:dyDescent="0.3">
      <c r="I28562" s="82"/>
      <c r="M28562" s="85"/>
    </row>
    <row r="28563" spans="9:13" x14ac:dyDescent="0.3">
      <c r="I28563" s="82"/>
      <c r="M28563" s="85"/>
    </row>
    <row r="28564" spans="9:13" x14ac:dyDescent="0.3">
      <c r="I28564" s="82"/>
      <c r="M28564" s="85"/>
    </row>
    <row r="28565" spans="9:13" x14ac:dyDescent="0.3">
      <c r="I28565" s="82"/>
      <c r="M28565" s="85"/>
    </row>
    <row r="28566" spans="9:13" x14ac:dyDescent="0.3">
      <c r="I28566" s="82"/>
      <c r="M28566" s="85"/>
    </row>
    <row r="28567" spans="9:13" x14ac:dyDescent="0.3">
      <c r="I28567" s="82"/>
      <c r="M28567" s="85"/>
    </row>
    <row r="28568" spans="9:13" x14ac:dyDescent="0.3">
      <c r="I28568" s="82"/>
      <c r="M28568" s="85"/>
    </row>
    <row r="28569" spans="9:13" x14ac:dyDescent="0.3">
      <c r="I28569" s="82"/>
      <c r="M28569" s="85"/>
    </row>
    <row r="28570" spans="9:13" x14ac:dyDescent="0.3">
      <c r="I28570" s="82"/>
      <c r="M28570" s="85"/>
    </row>
    <row r="28571" spans="9:13" x14ac:dyDescent="0.3">
      <c r="I28571" s="82"/>
      <c r="M28571" s="85"/>
    </row>
    <row r="28572" spans="9:13" x14ac:dyDescent="0.3">
      <c r="I28572" s="82"/>
      <c r="M28572" s="85"/>
    </row>
    <row r="28573" spans="9:13" x14ac:dyDescent="0.3">
      <c r="I28573" s="82"/>
      <c r="M28573" s="85"/>
    </row>
    <row r="28574" spans="9:13" x14ac:dyDescent="0.3">
      <c r="I28574" s="82"/>
      <c r="M28574" s="85"/>
    </row>
    <row r="28575" spans="9:13" x14ac:dyDescent="0.3">
      <c r="I28575" s="82"/>
      <c r="M28575" s="85"/>
    </row>
    <row r="28576" spans="9:13" x14ac:dyDescent="0.3">
      <c r="I28576" s="82"/>
      <c r="M28576" s="85"/>
    </row>
    <row r="28577" spans="9:13" x14ac:dyDescent="0.3">
      <c r="I28577" s="82"/>
      <c r="M28577" s="85"/>
    </row>
    <row r="28578" spans="9:13" x14ac:dyDescent="0.3">
      <c r="I28578" s="82"/>
      <c r="M28578" s="85"/>
    </row>
    <row r="28579" spans="9:13" x14ac:dyDescent="0.3">
      <c r="I28579" s="82"/>
      <c r="M28579" s="85"/>
    </row>
    <row r="28580" spans="9:13" x14ac:dyDescent="0.3">
      <c r="I28580" s="82"/>
      <c r="M28580" s="85"/>
    </row>
    <row r="28581" spans="9:13" x14ac:dyDescent="0.3">
      <c r="I28581" s="82"/>
      <c r="M28581" s="85"/>
    </row>
    <row r="28582" spans="9:13" x14ac:dyDescent="0.3">
      <c r="I28582" s="82"/>
      <c r="M28582" s="85"/>
    </row>
    <row r="28583" spans="9:13" x14ac:dyDescent="0.3">
      <c r="I28583" s="82"/>
      <c r="M28583" s="85"/>
    </row>
    <row r="28584" spans="9:13" x14ac:dyDescent="0.3">
      <c r="I28584" s="82"/>
      <c r="M28584" s="85"/>
    </row>
    <row r="28585" spans="9:13" x14ac:dyDescent="0.3">
      <c r="I28585" s="82"/>
      <c r="M28585" s="85"/>
    </row>
    <row r="28586" spans="9:13" x14ac:dyDescent="0.3">
      <c r="I28586" s="82"/>
      <c r="M28586" s="85"/>
    </row>
    <row r="28587" spans="9:13" x14ac:dyDescent="0.3">
      <c r="I28587" s="82"/>
      <c r="M28587" s="85"/>
    </row>
    <row r="28588" spans="9:13" x14ac:dyDescent="0.3">
      <c r="I28588" s="82"/>
      <c r="M28588" s="85"/>
    </row>
    <row r="28589" spans="9:13" x14ac:dyDescent="0.3">
      <c r="I28589" s="82"/>
      <c r="M28589" s="85"/>
    </row>
    <row r="28590" spans="9:13" x14ac:dyDescent="0.3">
      <c r="I28590" s="82"/>
      <c r="M28590" s="85"/>
    </row>
    <row r="28591" spans="9:13" x14ac:dyDescent="0.3">
      <c r="I28591" s="82"/>
      <c r="M28591" s="85"/>
    </row>
    <row r="28592" spans="9:13" x14ac:dyDescent="0.3">
      <c r="I28592" s="82"/>
      <c r="M28592" s="85"/>
    </row>
    <row r="28593" spans="9:13" x14ac:dyDescent="0.3">
      <c r="I28593" s="82"/>
      <c r="M28593" s="85"/>
    </row>
    <row r="28594" spans="9:13" x14ac:dyDescent="0.3">
      <c r="I28594" s="82"/>
      <c r="M28594" s="85"/>
    </row>
    <row r="28595" spans="9:13" x14ac:dyDescent="0.3">
      <c r="I28595" s="82"/>
      <c r="M28595" s="85"/>
    </row>
    <row r="28596" spans="9:13" x14ac:dyDescent="0.3">
      <c r="I28596" s="82"/>
      <c r="M28596" s="85"/>
    </row>
    <row r="28597" spans="9:13" x14ac:dyDescent="0.3">
      <c r="I28597" s="82"/>
      <c r="M28597" s="85"/>
    </row>
    <row r="28598" spans="9:13" x14ac:dyDescent="0.3">
      <c r="I28598" s="82"/>
      <c r="M28598" s="85"/>
    </row>
    <row r="28599" spans="9:13" x14ac:dyDescent="0.3">
      <c r="I28599" s="82"/>
      <c r="M28599" s="85"/>
    </row>
    <row r="28600" spans="9:13" x14ac:dyDescent="0.3">
      <c r="I28600" s="82"/>
      <c r="M28600" s="85"/>
    </row>
    <row r="28601" spans="9:13" x14ac:dyDescent="0.3">
      <c r="I28601" s="82"/>
      <c r="M28601" s="85"/>
    </row>
    <row r="28602" spans="9:13" x14ac:dyDescent="0.3">
      <c r="I28602" s="82"/>
      <c r="M28602" s="85"/>
    </row>
    <row r="28603" spans="9:13" x14ac:dyDescent="0.3">
      <c r="I28603" s="82"/>
      <c r="M28603" s="85"/>
    </row>
    <row r="28604" spans="9:13" x14ac:dyDescent="0.3">
      <c r="I28604" s="82"/>
      <c r="M28604" s="85"/>
    </row>
    <row r="28605" spans="9:13" x14ac:dyDescent="0.3">
      <c r="I28605" s="82"/>
      <c r="M28605" s="85"/>
    </row>
    <row r="28606" spans="9:13" x14ac:dyDescent="0.3">
      <c r="I28606" s="82"/>
      <c r="M28606" s="85"/>
    </row>
    <row r="28607" spans="9:13" x14ac:dyDescent="0.3">
      <c r="I28607" s="82"/>
      <c r="M28607" s="85"/>
    </row>
    <row r="28608" spans="9:13" x14ac:dyDescent="0.3">
      <c r="I28608" s="82"/>
      <c r="M28608" s="85"/>
    </row>
    <row r="28609" spans="9:13" x14ac:dyDescent="0.3">
      <c r="I28609" s="82"/>
      <c r="M28609" s="85"/>
    </row>
    <row r="28610" spans="9:13" x14ac:dyDescent="0.3">
      <c r="I28610" s="82"/>
      <c r="M28610" s="85"/>
    </row>
    <row r="28611" spans="9:13" x14ac:dyDescent="0.3">
      <c r="I28611" s="82"/>
      <c r="M28611" s="85"/>
    </row>
    <row r="28612" spans="9:13" x14ac:dyDescent="0.3">
      <c r="I28612" s="82"/>
      <c r="M28612" s="85"/>
    </row>
    <row r="28613" spans="9:13" x14ac:dyDescent="0.3">
      <c r="I28613" s="82"/>
      <c r="M28613" s="85"/>
    </row>
    <row r="28614" spans="9:13" x14ac:dyDescent="0.3">
      <c r="I28614" s="82"/>
      <c r="M28614" s="85"/>
    </row>
    <row r="28615" spans="9:13" x14ac:dyDescent="0.3">
      <c r="I28615" s="82"/>
      <c r="M28615" s="85"/>
    </row>
    <row r="28616" spans="9:13" x14ac:dyDescent="0.3">
      <c r="I28616" s="82"/>
      <c r="M28616" s="85"/>
    </row>
    <row r="28617" spans="9:13" x14ac:dyDescent="0.3">
      <c r="I28617" s="82"/>
      <c r="M28617" s="85"/>
    </row>
    <row r="28618" spans="9:13" x14ac:dyDescent="0.3">
      <c r="I28618" s="82"/>
      <c r="M28618" s="85"/>
    </row>
    <row r="28619" spans="9:13" x14ac:dyDescent="0.3">
      <c r="I28619" s="82"/>
      <c r="M28619" s="85"/>
    </row>
    <row r="28620" spans="9:13" x14ac:dyDescent="0.3">
      <c r="I28620" s="82"/>
      <c r="M28620" s="85"/>
    </row>
    <row r="28621" spans="9:13" x14ac:dyDescent="0.3">
      <c r="I28621" s="82"/>
      <c r="M28621" s="85"/>
    </row>
    <row r="28622" spans="9:13" x14ac:dyDescent="0.3">
      <c r="I28622" s="82"/>
      <c r="M28622" s="85"/>
    </row>
    <row r="28623" spans="9:13" x14ac:dyDescent="0.3">
      <c r="I28623" s="82"/>
      <c r="M28623" s="85"/>
    </row>
    <row r="28624" spans="9:13" x14ac:dyDescent="0.3">
      <c r="I28624" s="82"/>
      <c r="M28624" s="85"/>
    </row>
    <row r="28625" spans="9:13" x14ac:dyDescent="0.3">
      <c r="I28625" s="82"/>
      <c r="M28625" s="85"/>
    </row>
    <row r="28626" spans="9:13" x14ac:dyDescent="0.3">
      <c r="I28626" s="82"/>
      <c r="M28626" s="85"/>
    </row>
    <row r="28627" spans="9:13" x14ac:dyDescent="0.3">
      <c r="I28627" s="82"/>
      <c r="M28627" s="85"/>
    </row>
    <row r="28628" spans="9:13" x14ac:dyDescent="0.3">
      <c r="I28628" s="82"/>
      <c r="M28628" s="85"/>
    </row>
    <row r="28629" spans="9:13" x14ac:dyDescent="0.3">
      <c r="I28629" s="82"/>
      <c r="M28629" s="85"/>
    </row>
    <row r="28630" spans="9:13" x14ac:dyDescent="0.3">
      <c r="I28630" s="82"/>
      <c r="M28630" s="85"/>
    </row>
    <row r="28631" spans="9:13" x14ac:dyDescent="0.3">
      <c r="I28631" s="82"/>
      <c r="M28631" s="85"/>
    </row>
    <row r="28632" spans="9:13" x14ac:dyDescent="0.3">
      <c r="I28632" s="82"/>
      <c r="M28632" s="85"/>
    </row>
    <row r="28633" spans="9:13" x14ac:dyDescent="0.3">
      <c r="I28633" s="82"/>
      <c r="M28633" s="85"/>
    </row>
    <row r="28634" spans="9:13" x14ac:dyDescent="0.3">
      <c r="I28634" s="82"/>
      <c r="M28634" s="85"/>
    </row>
    <row r="28635" spans="9:13" x14ac:dyDescent="0.3">
      <c r="I28635" s="82"/>
      <c r="M28635" s="85"/>
    </row>
    <row r="28636" spans="9:13" x14ac:dyDescent="0.3">
      <c r="I28636" s="82"/>
      <c r="M28636" s="85"/>
    </row>
    <row r="28637" spans="9:13" x14ac:dyDescent="0.3">
      <c r="I28637" s="82"/>
      <c r="M28637" s="85"/>
    </row>
    <row r="28638" spans="9:13" x14ac:dyDescent="0.3">
      <c r="I28638" s="82"/>
      <c r="M28638" s="85"/>
    </row>
    <row r="28639" spans="9:13" x14ac:dyDescent="0.3">
      <c r="I28639" s="82"/>
      <c r="M28639" s="85"/>
    </row>
    <row r="28640" spans="9:13" x14ac:dyDescent="0.3">
      <c r="I28640" s="82"/>
      <c r="M28640" s="85"/>
    </row>
    <row r="28641" spans="9:13" x14ac:dyDescent="0.3">
      <c r="I28641" s="82"/>
      <c r="M28641" s="85"/>
    </row>
    <row r="28642" spans="9:13" x14ac:dyDescent="0.3">
      <c r="I28642" s="82"/>
      <c r="M28642" s="85"/>
    </row>
    <row r="28643" spans="9:13" x14ac:dyDescent="0.3">
      <c r="I28643" s="82"/>
      <c r="M28643" s="85"/>
    </row>
    <row r="28644" spans="9:13" x14ac:dyDescent="0.3">
      <c r="I28644" s="82"/>
      <c r="M28644" s="85"/>
    </row>
    <row r="28645" spans="9:13" x14ac:dyDescent="0.3">
      <c r="I28645" s="82"/>
      <c r="M28645" s="85"/>
    </row>
    <row r="28646" spans="9:13" x14ac:dyDescent="0.3">
      <c r="I28646" s="82"/>
      <c r="M28646" s="85"/>
    </row>
    <row r="28647" spans="9:13" x14ac:dyDescent="0.3">
      <c r="I28647" s="82"/>
      <c r="M28647" s="85"/>
    </row>
    <row r="28648" spans="9:13" x14ac:dyDescent="0.3">
      <c r="I28648" s="82"/>
      <c r="M28648" s="85"/>
    </row>
    <row r="28649" spans="9:13" x14ac:dyDescent="0.3">
      <c r="I28649" s="82"/>
      <c r="M28649" s="85"/>
    </row>
    <row r="28650" spans="9:13" x14ac:dyDescent="0.3">
      <c r="I28650" s="82"/>
      <c r="M28650" s="85"/>
    </row>
    <row r="28651" spans="9:13" x14ac:dyDescent="0.3">
      <c r="I28651" s="82"/>
      <c r="M28651" s="85"/>
    </row>
    <row r="28652" spans="9:13" x14ac:dyDescent="0.3">
      <c r="I28652" s="82"/>
      <c r="M28652" s="85"/>
    </row>
    <row r="28653" spans="9:13" x14ac:dyDescent="0.3">
      <c r="I28653" s="82"/>
      <c r="M28653" s="85"/>
    </row>
    <row r="28654" spans="9:13" x14ac:dyDescent="0.3">
      <c r="I28654" s="82"/>
      <c r="M28654" s="85"/>
    </row>
    <row r="28655" spans="9:13" x14ac:dyDescent="0.3">
      <c r="I28655" s="82"/>
      <c r="M28655" s="85"/>
    </row>
    <row r="28656" spans="9:13" x14ac:dyDescent="0.3">
      <c r="I28656" s="82"/>
      <c r="M28656" s="85"/>
    </row>
    <row r="28657" spans="9:13" x14ac:dyDescent="0.3">
      <c r="I28657" s="82"/>
      <c r="M28657" s="85"/>
    </row>
    <row r="28658" spans="9:13" x14ac:dyDescent="0.3">
      <c r="I28658" s="82"/>
      <c r="M28658" s="85"/>
    </row>
    <row r="28659" spans="9:13" x14ac:dyDescent="0.3">
      <c r="I28659" s="82"/>
      <c r="M28659" s="85"/>
    </row>
    <row r="28660" spans="9:13" x14ac:dyDescent="0.3">
      <c r="I28660" s="82"/>
      <c r="M28660" s="85"/>
    </row>
    <row r="28661" spans="9:13" x14ac:dyDescent="0.3">
      <c r="I28661" s="82"/>
      <c r="M28661" s="85"/>
    </row>
    <row r="28662" spans="9:13" x14ac:dyDescent="0.3">
      <c r="I28662" s="82"/>
      <c r="M28662" s="85"/>
    </row>
    <row r="28663" spans="9:13" x14ac:dyDescent="0.3">
      <c r="I28663" s="82"/>
      <c r="M28663" s="85"/>
    </row>
    <row r="28664" spans="9:13" x14ac:dyDescent="0.3">
      <c r="I28664" s="82"/>
      <c r="M28664" s="85"/>
    </row>
    <row r="28665" spans="9:13" x14ac:dyDescent="0.3">
      <c r="I28665" s="82"/>
      <c r="M28665" s="85"/>
    </row>
    <row r="28666" spans="9:13" x14ac:dyDescent="0.3">
      <c r="I28666" s="82"/>
      <c r="M28666" s="85"/>
    </row>
    <row r="28667" spans="9:13" x14ac:dyDescent="0.3">
      <c r="I28667" s="82"/>
      <c r="M28667" s="85"/>
    </row>
    <row r="28668" spans="9:13" x14ac:dyDescent="0.3">
      <c r="I28668" s="82"/>
      <c r="M28668" s="85"/>
    </row>
    <row r="28669" spans="9:13" x14ac:dyDescent="0.3">
      <c r="I28669" s="82"/>
      <c r="M28669" s="85"/>
    </row>
    <row r="28670" spans="9:13" x14ac:dyDescent="0.3">
      <c r="I28670" s="82"/>
      <c r="M28670" s="85"/>
    </row>
    <row r="28671" spans="9:13" x14ac:dyDescent="0.3">
      <c r="I28671" s="82"/>
      <c r="M28671" s="85"/>
    </row>
    <row r="28672" spans="9:13" x14ac:dyDescent="0.3">
      <c r="I28672" s="82"/>
      <c r="M28672" s="85"/>
    </row>
    <row r="28673" spans="9:13" x14ac:dyDescent="0.3">
      <c r="I28673" s="82"/>
      <c r="M28673" s="85"/>
    </row>
    <row r="28674" spans="9:13" x14ac:dyDescent="0.3">
      <c r="I28674" s="82"/>
      <c r="M28674" s="85"/>
    </row>
    <row r="28675" spans="9:13" x14ac:dyDescent="0.3">
      <c r="I28675" s="82"/>
      <c r="M28675" s="85"/>
    </row>
    <row r="28676" spans="9:13" x14ac:dyDescent="0.3">
      <c r="I28676" s="82"/>
      <c r="M28676" s="85"/>
    </row>
    <row r="28677" spans="9:13" x14ac:dyDescent="0.3">
      <c r="I28677" s="82"/>
      <c r="M28677" s="85"/>
    </row>
    <row r="28678" spans="9:13" x14ac:dyDescent="0.3">
      <c r="I28678" s="82"/>
      <c r="M28678" s="85"/>
    </row>
    <row r="28679" spans="9:13" x14ac:dyDescent="0.3">
      <c r="I28679" s="82"/>
      <c r="M28679" s="85"/>
    </row>
    <row r="28680" spans="9:13" x14ac:dyDescent="0.3">
      <c r="I28680" s="82"/>
      <c r="M28680" s="85"/>
    </row>
    <row r="28681" spans="9:13" x14ac:dyDescent="0.3">
      <c r="I28681" s="82"/>
      <c r="M28681" s="85"/>
    </row>
    <row r="28682" spans="9:13" x14ac:dyDescent="0.3">
      <c r="I28682" s="82"/>
      <c r="M28682" s="85"/>
    </row>
    <row r="28683" spans="9:13" x14ac:dyDescent="0.3">
      <c r="I28683" s="82"/>
      <c r="M28683" s="85"/>
    </row>
    <row r="28684" spans="9:13" x14ac:dyDescent="0.3">
      <c r="I28684" s="82"/>
      <c r="M28684" s="85"/>
    </row>
    <row r="28685" spans="9:13" x14ac:dyDescent="0.3">
      <c r="I28685" s="82"/>
      <c r="M28685" s="85"/>
    </row>
    <row r="28686" spans="9:13" x14ac:dyDescent="0.3">
      <c r="I28686" s="82"/>
      <c r="M28686" s="85"/>
    </row>
    <row r="28687" spans="9:13" x14ac:dyDescent="0.3">
      <c r="I28687" s="82"/>
      <c r="M28687" s="85"/>
    </row>
    <row r="28688" spans="9:13" x14ac:dyDescent="0.3">
      <c r="I28688" s="82"/>
      <c r="M28688" s="85"/>
    </row>
    <row r="28689" spans="9:13" x14ac:dyDescent="0.3">
      <c r="I28689" s="82"/>
      <c r="M28689" s="85"/>
    </row>
    <row r="28690" spans="9:13" x14ac:dyDescent="0.3">
      <c r="I28690" s="82"/>
      <c r="M28690" s="85"/>
    </row>
    <row r="28691" spans="9:13" x14ac:dyDescent="0.3">
      <c r="I28691" s="82"/>
      <c r="M28691" s="85"/>
    </row>
    <row r="28692" spans="9:13" x14ac:dyDescent="0.3">
      <c r="I28692" s="82"/>
      <c r="M28692" s="85"/>
    </row>
    <row r="28693" spans="9:13" x14ac:dyDescent="0.3">
      <c r="I28693" s="82"/>
      <c r="M28693" s="85"/>
    </row>
    <row r="28694" spans="9:13" x14ac:dyDescent="0.3">
      <c r="I28694" s="82"/>
      <c r="M28694" s="85"/>
    </row>
    <row r="28695" spans="9:13" x14ac:dyDescent="0.3">
      <c r="I28695" s="82"/>
      <c r="M28695" s="85"/>
    </row>
    <row r="28696" spans="9:13" x14ac:dyDescent="0.3">
      <c r="I28696" s="82"/>
      <c r="M28696" s="85"/>
    </row>
    <row r="28697" spans="9:13" x14ac:dyDescent="0.3">
      <c r="I28697" s="82"/>
      <c r="M28697" s="85"/>
    </row>
    <row r="28698" spans="9:13" x14ac:dyDescent="0.3">
      <c r="I28698" s="82"/>
      <c r="M28698" s="85"/>
    </row>
    <row r="28699" spans="9:13" x14ac:dyDescent="0.3">
      <c r="I28699" s="82"/>
      <c r="M28699" s="85"/>
    </row>
    <row r="28700" spans="9:13" x14ac:dyDescent="0.3">
      <c r="I28700" s="82"/>
      <c r="M28700" s="85"/>
    </row>
    <row r="28701" spans="9:13" x14ac:dyDescent="0.3">
      <c r="I28701" s="82"/>
      <c r="M28701" s="85"/>
    </row>
    <row r="28702" spans="9:13" x14ac:dyDescent="0.3">
      <c r="I28702" s="82"/>
      <c r="M28702" s="85"/>
    </row>
    <row r="28703" spans="9:13" x14ac:dyDescent="0.3">
      <c r="I28703" s="82"/>
      <c r="M28703" s="85"/>
    </row>
    <row r="28704" spans="9:13" x14ac:dyDescent="0.3">
      <c r="I28704" s="82"/>
      <c r="M28704" s="85"/>
    </row>
    <row r="28705" spans="9:13" x14ac:dyDescent="0.3">
      <c r="I28705" s="82"/>
      <c r="M28705" s="85"/>
    </row>
    <row r="28706" spans="9:13" x14ac:dyDescent="0.3">
      <c r="I28706" s="82"/>
      <c r="M28706" s="85"/>
    </row>
    <row r="28707" spans="9:13" x14ac:dyDescent="0.3">
      <c r="I28707" s="82"/>
      <c r="M28707" s="85"/>
    </row>
    <row r="28708" spans="9:13" x14ac:dyDescent="0.3">
      <c r="I28708" s="82"/>
      <c r="M28708" s="85"/>
    </row>
    <row r="28709" spans="9:13" x14ac:dyDescent="0.3">
      <c r="I28709" s="82"/>
      <c r="M28709" s="85"/>
    </row>
    <row r="28710" spans="9:13" x14ac:dyDescent="0.3">
      <c r="I28710" s="82"/>
      <c r="M28710" s="85"/>
    </row>
    <row r="28711" spans="9:13" x14ac:dyDescent="0.3">
      <c r="I28711" s="82"/>
      <c r="M28711" s="85"/>
    </row>
    <row r="28712" spans="9:13" x14ac:dyDescent="0.3">
      <c r="I28712" s="82"/>
      <c r="M28712" s="85"/>
    </row>
    <row r="28713" spans="9:13" x14ac:dyDescent="0.3">
      <c r="I28713" s="82"/>
      <c r="M28713" s="85"/>
    </row>
    <row r="28714" spans="9:13" x14ac:dyDescent="0.3">
      <c r="I28714" s="82"/>
      <c r="M28714" s="85"/>
    </row>
    <row r="28715" spans="9:13" x14ac:dyDescent="0.3">
      <c r="I28715" s="82"/>
      <c r="M28715" s="85"/>
    </row>
    <row r="28716" spans="9:13" x14ac:dyDescent="0.3">
      <c r="I28716" s="82"/>
      <c r="M28716" s="85"/>
    </row>
    <row r="28717" spans="9:13" x14ac:dyDescent="0.3">
      <c r="I28717" s="82"/>
      <c r="M28717" s="85"/>
    </row>
    <row r="28718" spans="9:13" x14ac:dyDescent="0.3">
      <c r="I28718" s="82"/>
      <c r="M28718" s="85"/>
    </row>
    <row r="28719" spans="9:13" x14ac:dyDescent="0.3">
      <c r="I28719" s="82"/>
      <c r="M28719" s="85"/>
    </row>
    <row r="28720" spans="9:13" x14ac:dyDescent="0.3">
      <c r="I28720" s="82"/>
      <c r="M28720" s="85"/>
    </row>
    <row r="28721" spans="9:13" x14ac:dyDescent="0.3">
      <c r="I28721" s="82"/>
      <c r="M28721" s="85"/>
    </row>
    <row r="28722" spans="9:13" x14ac:dyDescent="0.3">
      <c r="I28722" s="82"/>
      <c r="M28722" s="85"/>
    </row>
    <row r="28723" spans="9:13" x14ac:dyDescent="0.3">
      <c r="I28723" s="82"/>
      <c r="M28723" s="85"/>
    </row>
    <row r="28724" spans="9:13" x14ac:dyDescent="0.3">
      <c r="I28724" s="82"/>
      <c r="M28724" s="85"/>
    </row>
    <row r="28725" spans="9:13" x14ac:dyDescent="0.3">
      <c r="I28725" s="82"/>
      <c r="M28725" s="85"/>
    </row>
    <row r="28726" spans="9:13" x14ac:dyDescent="0.3">
      <c r="I28726" s="82"/>
      <c r="M28726" s="85"/>
    </row>
    <row r="28727" spans="9:13" x14ac:dyDescent="0.3">
      <c r="I28727" s="82"/>
      <c r="M28727" s="85"/>
    </row>
    <row r="28728" spans="9:13" x14ac:dyDescent="0.3">
      <c r="I28728" s="82"/>
      <c r="M28728" s="85"/>
    </row>
    <row r="28729" spans="9:13" x14ac:dyDescent="0.3">
      <c r="I28729" s="82"/>
      <c r="M28729" s="85"/>
    </row>
    <row r="28730" spans="9:13" x14ac:dyDescent="0.3">
      <c r="I28730" s="82"/>
      <c r="M28730" s="85"/>
    </row>
    <row r="28731" spans="9:13" x14ac:dyDescent="0.3">
      <c r="I28731" s="82"/>
      <c r="M28731" s="85"/>
    </row>
    <row r="28732" spans="9:13" x14ac:dyDescent="0.3">
      <c r="I28732" s="82"/>
      <c r="M28732" s="85"/>
    </row>
    <row r="28733" spans="9:13" x14ac:dyDescent="0.3">
      <c r="I28733" s="82"/>
      <c r="M28733" s="85"/>
    </row>
    <row r="28734" spans="9:13" x14ac:dyDescent="0.3">
      <c r="I28734" s="82"/>
      <c r="M28734" s="85"/>
    </row>
    <row r="28735" spans="9:13" x14ac:dyDescent="0.3">
      <c r="I28735" s="82"/>
      <c r="M28735" s="85"/>
    </row>
    <row r="28736" spans="9:13" x14ac:dyDescent="0.3">
      <c r="I28736" s="82"/>
      <c r="M28736" s="85"/>
    </row>
    <row r="28737" spans="9:13" x14ac:dyDescent="0.3">
      <c r="I28737" s="82"/>
      <c r="M28737" s="85"/>
    </row>
    <row r="28738" spans="9:13" x14ac:dyDescent="0.3">
      <c r="I28738" s="82"/>
      <c r="M28738" s="85"/>
    </row>
    <row r="28739" spans="9:13" x14ac:dyDescent="0.3">
      <c r="I28739" s="82"/>
      <c r="M28739" s="85"/>
    </row>
    <row r="28740" spans="9:13" x14ac:dyDescent="0.3">
      <c r="I28740" s="82"/>
      <c r="M28740" s="85"/>
    </row>
    <row r="28741" spans="9:13" x14ac:dyDescent="0.3">
      <c r="I28741" s="82"/>
      <c r="M28741" s="85"/>
    </row>
    <row r="28742" spans="9:13" x14ac:dyDescent="0.3">
      <c r="I28742" s="82"/>
      <c r="M28742" s="85"/>
    </row>
    <row r="28743" spans="9:13" x14ac:dyDescent="0.3">
      <c r="I28743" s="82"/>
      <c r="M28743" s="85"/>
    </row>
    <row r="28744" spans="9:13" x14ac:dyDescent="0.3">
      <c r="I28744" s="82"/>
      <c r="M28744" s="85"/>
    </row>
    <row r="28745" spans="9:13" x14ac:dyDescent="0.3">
      <c r="I28745" s="82"/>
      <c r="M28745" s="85"/>
    </row>
    <row r="28746" spans="9:13" x14ac:dyDescent="0.3">
      <c r="I28746" s="82"/>
      <c r="M28746" s="85"/>
    </row>
    <row r="28747" spans="9:13" x14ac:dyDescent="0.3">
      <c r="I28747" s="82"/>
      <c r="M28747" s="85"/>
    </row>
    <row r="28748" spans="9:13" x14ac:dyDescent="0.3">
      <c r="I28748" s="82"/>
      <c r="M28748" s="85"/>
    </row>
    <row r="28749" spans="9:13" x14ac:dyDescent="0.3">
      <c r="I28749" s="82"/>
      <c r="M28749" s="85"/>
    </row>
    <row r="28750" spans="9:13" x14ac:dyDescent="0.3">
      <c r="I28750" s="82"/>
      <c r="M28750" s="85"/>
    </row>
    <row r="28751" spans="9:13" x14ac:dyDescent="0.3">
      <c r="I28751" s="82"/>
      <c r="M28751" s="85"/>
    </row>
    <row r="28752" spans="9:13" x14ac:dyDescent="0.3">
      <c r="I28752" s="82"/>
      <c r="M28752" s="85"/>
    </row>
    <row r="28753" spans="9:13" x14ac:dyDescent="0.3">
      <c r="I28753" s="82"/>
      <c r="M28753" s="85"/>
    </row>
    <row r="28754" spans="9:13" x14ac:dyDescent="0.3">
      <c r="I28754" s="82"/>
      <c r="M28754" s="85"/>
    </row>
    <row r="28755" spans="9:13" x14ac:dyDescent="0.3">
      <c r="I28755" s="82"/>
      <c r="M28755" s="85"/>
    </row>
    <row r="28756" spans="9:13" x14ac:dyDescent="0.3">
      <c r="I28756" s="82"/>
      <c r="M28756" s="85"/>
    </row>
    <row r="28757" spans="9:13" x14ac:dyDescent="0.3">
      <c r="I28757" s="82"/>
      <c r="M28757" s="85"/>
    </row>
    <row r="28758" spans="9:13" x14ac:dyDescent="0.3">
      <c r="I28758" s="82"/>
      <c r="M28758" s="85"/>
    </row>
    <row r="28759" spans="9:13" x14ac:dyDescent="0.3">
      <c r="I28759" s="82"/>
      <c r="M28759" s="85"/>
    </row>
    <row r="28760" spans="9:13" x14ac:dyDescent="0.3">
      <c r="I28760" s="82"/>
      <c r="M28760" s="85"/>
    </row>
    <row r="28761" spans="9:13" x14ac:dyDescent="0.3">
      <c r="I28761" s="82"/>
      <c r="M28761" s="85"/>
    </row>
    <row r="28762" spans="9:13" x14ac:dyDescent="0.3">
      <c r="I28762" s="82"/>
      <c r="M28762" s="85"/>
    </row>
    <row r="28763" spans="9:13" x14ac:dyDescent="0.3">
      <c r="I28763" s="82"/>
      <c r="M28763" s="85"/>
    </row>
    <row r="28764" spans="9:13" x14ac:dyDescent="0.3">
      <c r="I28764" s="82"/>
      <c r="M28764" s="85"/>
    </row>
    <row r="28765" spans="9:13" x14ac:dyDescent="0.3">
      <c r="I28765" s="82"/>
      <c r="M28765" s="85"/>
    </row>
    <row r="28766" spans="9:13" x14ac:dyDescent="0.3">
      <c r="I28766" s="82"/>
      <c r="M28766" s="85"/>
    </row>
    <row r="28767" spans="9:13" x14ac:dyDescent="0.3">
      <c r="I28767" s="82"/>
      <c r="M28767" s="85"/>
    </row>
    <row r="28768" spans="9:13" x14ac:dyDescent="0.3">
      <c r="I28768" s="82"/>
      <c r="M28768" s="85"/>
    </row>
    <row r="28769" spans="9:13" x14ac:dyDescent="0.3">
      <c r="I28769" s="82"/>
      <c r="M28769" s="85"/>
    </row>
    <row r="28770" spans="9:13" x14ac:dyDescent="0.3">
      <c r="I28770" s="82"/>
      <c r="M28770" s="85"/>
    </row>
    <row r="28771" spans="9:13" x14ac:dyDescent="0.3">
      <c r="I28771" s="82"/>
      <c r="M28771" s="85"/>
    </row>
    <row r="28772" spans="9:13" x14ac:dyDescent="0.3">
      <c r="I28772" s="82"/>
      <c r="M28772" s="85"/>
    </row>
    <row r="28773" spans="9:13" x14ac:dyDescent="0.3">
      <c r="I28773" s="82"/>
      <c r="M28773" s="85"/>
    </row>
    <row r="28774" spans="9:13" x14ac:dyDescent="0.3">
      <c r="I28774" s="82"/>
      <c r="M28774" s="85"/>
    </row>
    <row r="28775" spans="9:13" x14ac:dyDescent="0.3">
      <c r="I28775" s="82"/>
      <c r="M28775" s="85"/>
    </row>
    <row r="28776" spans="9:13" x14ac:dyDescent="0.3">
      <c r="I28776" s="82"/>
      <c r="M28776" s="85"/>
    </row>
    <row r="28777" spans="9:13" x14ac:dyDescent="0.3">
      <c r="I28777" s="82"/>
      <c r="M28777" s="85"/>
    </row>
    <row r="28778" spans="9:13" x14ac:dyDescent="0.3">
      <c r="I28778" s="82"/>
      <c r="M28778" s="85"/>
    </row>
    <row r="28779" spans="9:13" x14ac:dyDescent="0.3">
      <c r="I28779" s="82"/>
      <c r="M28779" s="85"/>
    </row>
    <row r="28780" spans="9:13" x14ac:dyDescent="0.3">
      <c r="I28780" s="82"/>
      <c r="M28780" s="85"/>
    </row>
    <row r="28781" spans="9:13" x14ac:dyDescent="0.3">
      <c r="I28781" s="82"/>
      <c r="M28781" s="85"/>
    </row>
    <row r="28782" spans="9:13" x14ac:dyDescent="0.3">
      <c r="I28782" s="82"/>
      <c r="M28782" s="85"/>
    </row>
    <row r="28783" spans="9:13" x14ac:dyDescent="0.3">
      <c r="I28783" s="82"/>
      <c r="M28783" s="85"/>
    </row>
    <row r="28784" spans="9:13" x14ac:dyDescent="0.3">
      <c r="I28784" s="82"/>
      <c r="M28784" s="85"/>
    </row>
    <row r="28785" spans="9:13" x14ac:dyDescent="0.3">
      <c r="I28785" s="82"/>
      <c r="M28785" s="85"/>
    </row>
    <row r="28786" spans="9:13" x14ac:dyDescent="0.3">
      <c r="I28786" s="82"/>
      <c r="M28786" s="85"/>
    </row>
    <row r="28787" spans="9:13" x14ac:dyDescent="0.3">
      <c r="I28787" s="82"/>
      <c r="M28787" s="85"/>
    </row>
    <row r="28788" spans="9:13" x14ac:dyDescent="0.3">
      <c r="I28788" s="82"/>
      <c r="M28788" s="85"/>
    </row>
    <row r="28789" spans="9:13" x14ac:dyDescent="0.3">
      <c r="I28789" s="82"/>
      <c r="M28789" s="85"/>
    </row>
    <row r="28790" spans="9:13" x14ac:dyDescent="0.3">
      <c r="I28790" s="82"/>
      <c r="M28790" s="85"/>
    </row>
    <row r="28791" spans="9:13" x14ac:dyDescent="0.3">
      <c r="I28791" s="82"/>
      <c r="M28791" s="85"/>
    </row>
    <row r="28792" spans="9:13" x14ac:dyDescent="0.3">
      <c r="I28792" s="82"/>
      <c r="M28792" s="85"/>
    </row>
    <row r="28793" spans="9:13" x14ac:dyDescent="0.3">
      <c r="I28793" s="82"/>
      <c r="M28793" s="85"/>
    </row>
    <row r="28794" spans="9:13" x14ac:dyDescent="0.3">
      <c r="I28794" s="82"/>
      <c r="M28794" s="85"/>
    </row>
    <row r="28795" spans="9:13" x14ac:dyDescent="0.3">
      <c r="I28795" s="82"/>
      <c r="M28795" s="85"/>
    </row>
    <row r="28796" spans="9:13" x14ac:dyDescent="0.3">
      <c r="I28796" s="82"/>
      <c r="M28796" s="85"/>
    </row>
    <row r="28797" spans="9:13" x14ac:dyDescent="0.3">
      <c r="I28797" s="82"/>
      <c r="M28797" s="85"/>
    </row>
    <row r="28798" spans="9:13" x14ac:dyDescent="0.3">
      <c r="I28798" s="82"/>
      <c r="M28798" s="85"/>
    </row>
    <row r="28799" spans="9:13" x14ac:dyDescent="0.3">
      <c r="I28799" s="82"/>
      <c r="M28799" s="85"/>
    </row>
    <row r="28800" spans="9:13" x14ac:dyDescent="0.3">
      <c r="I28800" s="82"/>
      <c r="M28800" s="85"/>
    </row>
    <row r="28801" spans="9:13" x14ac:dyDescent="0.3">
      <c r="I28801" s="82"/>
      <c r="M28801" s="85"/>
    </row>
    <row r="28802" spans="9:13" x14ac:dyDescent="0.3">
      <c r="I28802" s="82"/>
      <c r="M28802" s="85"/>
    </row>
    <row r="28803" spans="9:13" x14ac:dyDescent="0.3">
      <c r="I28803" s="82"/>
      <c r="M28803" s="85"/>
    </row>
    <row r="28804" spans="9:13" x14ac:dyDescent="0.3">
      <c r="I28804" s="82"/>
      <c r="M28804" s="85"/>
    </row>
    <row r="28805" spans="9:13" x14ac:dyDescent="0.3">
      <c r="I28805" s="82"/>
      <c r="M28805" s="85"/>
    </row>
    <row r="28806" spans="9:13" x14ac:dyDescent="0.3">
      <c r="I28806" s="82"/>
      <c r="M28806" s="85"/>
    </row>
    <row r="28807" spans="9:13" x14ac:dyDescent="0.3">
      <c r="I28807" s="82"/>
      <c r="M28807" s="85"/>
    </row>
    <row r="28808" spans="9:13" x14ac:dyDescent="0.3">
      <c r="I28808" s="82"/>
      <c r="M28808" s="85"/>
    </row>
    <row r="28809" spans="9:13" x14ac:dyDescent="0.3">
      <c r="I28809" s="82"/>
      <c r="M28809" s="85"/>
    </row>
    <row r="28810" spans="9:13" x14ac:dyDescent="0.3">
      <c r="I28810" s="82"/>
      <c r="M28810" s="85"/>
    </row>
    <row r="28811" spans="9:13" x14ac:dyDescent="0.3">
      <c r="I28811" s="82"/>
      <c r="M28811" s="85"/>
    </row>
    <row r="28812" spans="9:13" x14ac:dyDescent="0.3">
      <c r="I28812" s="82"/>
      <c r="M28812" s="85"/>
    </row>
    <row r="28813" spans="9:13" x14ac:dyDescent="0.3">
      <c r="I28813" s="82"/>
      <c r="M28813" s="85"/>
    </row>
    <row r="28814" spans="9:13" x14ac:dyDescent="0.3">
      <c r="I28814" s="82"/>
      <c r="M28814" s="85"/>
    </row>
    <row r="28815" spans="9:13" x14ac:dyDescent="0.3">
      <c r="I28815" s="82"/>
      <c r="M28815" s="85"/>
    </row>
    <row r="28816" spans="9:13" x14ac:dyDescent="0.3">
      <c r="I28816" s="82"/>
      <c r="M28816" s="85"/>
    </row>
    <row r="28817" spans="9:13" x14ac:dyDescent="0.3">
      <c r="I28817" s="82"/>
      <c r="M28817" s="85"/>
    </row>
    <row r="28818" spans="9:13" x14ac:dyDescent="0.3">
      <c r="I28818" s="82"/>
      <c r="M28818" s="85"/>
    </row>
    <row r="28819" spans="9:13" x14ac:dyDescent="0.3">
      <c r="I28819" s="82"/>
      <c r="M28819" s="85"/>
    </row>
    <row r="28820" spans="9:13" x14ac:dyDescent="0.3">
      <c r="I28820" s="82"/>
      <c r="M28820" s="85"/>
    </row>
    <row r="28821" spans="9:13" x14ac:dyDescent="0.3">
      <c r="I28821" s="82"/>
      <c r="M28821" s="85"/>
    </row>
    <row r="28822" spans="9:13" x14ac:dyDescent="0.3">
      <c r="I28822" s="82"/>
      <c r="M28822" s="85"/>
    </row>
    <row r="28823" spans="9:13" x14ac:dyDescent="0.3">
      <c r="I28823" s="82"/>
      <c r="M28823" s="85"/>
    </row>
    <row r="28824" spans="9:13" x14ac:dyDescent="0.3">
      <c r="I28824" s="82"/>
      <c r="M28824" s="85"/>
    </row>
    <row r="28825" spans="9:13" x14ac:dyDescent="0.3">
      <c r="I28825" s="82"/>
      <c r="M28825" s="85"/>
    </row>
    <row r="28826" spans="9:13" x14ac:dyDescent="0.3">
      <c r="I28826" s="82"/>
      <c r="M28826" s="85"/>
    </row>
    <row r="28827" spans="9:13" x14ac:dyDescent="0.3">
      <c r="I28827" s="82"/>
      <c r="M28827" s="85"/>
    </row>
    <row r="28828" spans="9:13" x14ac:dyDescent="0.3">
      <c r="I28828" s="82"/>
      <c r="M28828" s="85"/>
    </row>
    <row r="28829" spans="9:13" x14ac:dyDescent="0.3">
      <c r="I28829" s="82"/>
      <c r="M28829" s="85"/>
    </row>
    <row r="28830" spans="9:13" x14ac:dyDescent="0.3">
      <c r="I28830" s="82"/>
      <c r="M28830" s="85"/>
    </row>
    <row r="28831" spans="9:13" x14ac:dyDescent="0.3">
      <c r="I28831" s="82"/>
      <c r="M28831" s="85"/>
    </row>
    <row r="28832" spans="9:13" x14ac:dyDescent="0.3">
      <c r="I28832" s="82"/>
      <c r="M28832" s="85"/>
    </row>
    <row r="28833" spans="9:13" x14ac:dyDescent="0.3">
      <c r="I28833" s="82"/>
      <c r="M28833" s="85"/>
    </row>
    <row r="28834" spans="9:13" x14ac:dyDescent="0.3">
      <c r="I28834" s="82"/>
      <c r="M28834" s="85"/>
    </row>
    <row r="28835" spans="9:13" x14ac:dyDescent="0.3">
      <c r="I28835" s="82"/>
      <c r="M28835" s="85"/>
    </row>
    <row r="28836" spans="9:13" x14ac:dyDescent="0.3">
      <c r="I28836" s="82"/>
      <c r="M28836" s="85"/>
    </row>
    <row r="28837" spans="9:13" x14ac:dyDescent="0.3">
      <c r="I28837" s="82"/>
      <c r="M28837" s="85"/>
    </row>
    <row r="28838" spans="9:13" x14ac:dyDescent="0.3">
      <c r="I28838" s="82"/>
      <c r="M28838" s="85"/>
    </row>
    <row r="28839" spans="9:13" x14ac:dyDescent="0.3">
      <c r="I28839" s="82"/>
      <c r="M28839" s="85"/>
    </row>
    <row r="28840" spans="9:13" x14ac:dyDescent="0.3">
      <c r="I28840" s="82"/>
      <c r="M28840" s="85"/>
    </row>
    <row r="28841" spans="9:13" x14ac:dyDescent="0.3">
      <c r="I28841" s="82"/>
      <c r="M28841" s="85"/>
    </row>
    <row r="28842" spans="9:13" x14ac:dyDescent="0.3">
      <c r="I28842" s="82"/>
      <c r="M28842" s="85"/>
    </row>
    <row r="28843" spans="9:13" x14ac:dyDescent="0.3">
      <c r="I28843" s="82"/>
      <c r="M28843" s="85"/>
    </row>
    <row r="28844" spans="9:13" x14ac:dyDescent="0.3">
      <c r="I28844" s="82"/>
      <c r="M28844" s="85"/>
    </row>
    <row r="28845" spans="9:13" x14ac:dyDescent="0.3">
      <c r="I28845" s="82"/>
      <c r="M28845" s="85"/>
    </row>
    <row r="28846" spans="9:13" x14ac:dyDescent="0.3">
      <c r="I28846" s="82"/>
      <c r="M28846" s="85"/>
    </row>
    <row r="28847" spans="9:13" x14ac:dyDescent="0.3">
      <c r="I28847" s="82"/>
      <c r="M28847" s="85"/>
    </row>
    <row r="28848" spans="9:13" x14ac:dyDescent="0.3">
      <c r="I28848" s="82"/>
      <c r="M28848" s="85"/>
    </row>
    <row r="28849" spans="9:13" x14ac:dyDescent="0.3">
      <c r="I28849" s="82"/>
      <c r="M28849" s="85"/>
    </row>
    <row r="28850" spans="9:13" x14ac:dyDescent="0.3">
      <c r="I28850" s="82"/>
      <c r="M28850" s="85"/>
    </row>
    <row r="28851" spans="9:13" x14ac:dyDescent="0.3">
      <c r="I28851" s="82"/>
      <c r="M28851" s="85"/>
    </row>
    <row r="28852" spans="9:13" x14ac:dyDescent="0.3">
      <c r="I28852" s="82"/>
      <c r="M28852" s="85"/>
    </row>
    <row r="28853" spans="9:13" x14ac:dyDescent="0.3">
      <c r="I28853" s="82"/>
      <c r="M28853" s="85"/>
    </row>
    <row r="28854" spans="9:13" x14ac:dyDescent="0.3">
      <c r="I28854" s="82"/>
      <c r="M28854" s="85"/>
    </row>
    <row r="28855" spans="9:13" x14ac:dyDescent="0.3">
      <c r="I28855" s="82"/>
      <c r="M28855" s="85"/>
    </row>
    <row r="28856" spans="9:13" x14ac:dyDescent="0.3">
      <c r="I28856" s="82"/>
      <c r="M28856" s="85"/>
    </row>
    <row r="28857" spans="9:13" x14ac:dyDescent="0.3">
      <c r="I28857" s="82"/>
      <c r="M28857" s="85"/>
    </row>
    <row r="28858" spans="9:13" x14ac:dyDescent="0.3">
      <c r="I28858" s="82"/>
      <c r="M28858" s="85"/>
    </row>
    <row r="28859" spans="9:13" x14ac:dyDescent="0.3">
      <c r="I28859" s="82"/>
      <c r="M28859" s="85"/>
    </row>
    <row r="28860" spans="9:13" x14ac:dyDescent="0.3">
      <c r="I28860" s="82"/>
      <c r="M28860" s="85"/>
    </row>
    <row r="28861" spans="9:13" x14ac:dyDescent="0.3">
      <c r="I28861" s="82"/>
      <c r="M28861" s="85"/>
    </row>
    <row r="28862" spans="9:13" x14ac:dyDescent="0.3">
      <c r="I28862" s="82"/>
      <c r="M28862" s="85"/>
    </row>
    <row r="28863" spans="9:13" x14ac:dyDescent="0.3">
      <c r="I28863" s="82"/>
      <c r="M28863" s="85"/>
    </row>
    <row r="28864" spans="9:13" x14ac:dyDescent="0.3">
      <c r="I28864" s="82"/>
      <c r="M28864" s="85"/>
    </row>
    <row r="28865" spans="9:13" x14ac:dyDescent="0.3">
      <c r="I28865" s="82"/>
      <c r="M28865" s="85"/>
    </row>
    <row r="28866" spans="9:13" x14ac:dyDescent="0.3">
      <c r="I28866" s="82"/>
      <c r="M28866" s="85"/>
    </row>
    <row r="28867" spans="9:13" x14ac:dyDescent="0.3">
      <c r="I28867" s="82"/>
      <c r="M28867" s="85"/>
    </row>
    <row r="28868" spans="9:13" x14ac:dyDescent="0.3">
      <c r="I28868" s="82"/>
      <c r="M28868" s="85"/>
    </row>
    <row r="28869" spans="9:13" x14ac:dyDescent="0.3">
      <c r="I28869" s="82"/>
      <c r="M28869" s="85"/>
    </row>
    <row r="28870" spans="9:13" x14ac:dyDescent="0.3">
      <c r="I28870" s="82"/>
      <c r="M28870" s="85"/>
    </row>
    <row r="28871" spans="9:13" x14ac:dyDescent="0.3">
      <c r="I28871" s="82"/>
      <c r="M28871" s="85"/>
    </row>
    <row r="28872" spans="9:13" x14ac:dyDescent="0.3">
      <c r="I28872" s="82"/>
      <c r="M28872" s="85"/>
    </row>
    <row r="28873" spans="9:13" x14ac:dyDescent="0.3">
      <c r="I28873" s="82"/>
      <c r="M28873" s="85"/>
    </row>
    <row r="28874" spans="9:13" x14ac:dyDescent="0.3">
      <c r="I28874" s="82"/>
      <c r="M28874" s="85"/>
    </row>
    <row r="28875" spans="9:13" x14ac:dyDescent="0.3">
      <c r="I28875" s="82"/>
      <c r="M28875" s="85"/>
    </row>
    <row r="28876" spans="9:13" x14ac:dyDescent="0.3">
      <c r="I28876" s="82"/>
      <c r="M28876" s="85"/>
    </row>
    <row r="28877" spans="9:13" x14ac:dyDescent="0.3">
      <c r="I28877" s="82"/>
      <c r="M28877" s="85"/>
    </row>
    <row r="28878" spans="9:13" x14ac:dyDescent="0.3">
      <c r="I28878" s="82"/>
      <c r="M28878" s="85"/>
    </row>
    <row r="28879" spans="9:13" x14ac:dyDescent="0.3">
      <c r="I28879" s="82"/>
      <c r="M28879" s="85"/>
    </row>
    <row r="28880" spans="9:13" x14ac:dyDescent="0.3">
      <c r="I28880" s="82"/>
      <c r="M28880" s="85"/>
    </row>
    <row r="28881" spans="9:13" x14ac:dyDescent="0.3">
      <c r="I28881" s="82"/>
      <c r="M28881" s="85"/>
    </row>
    <row r="28882" spans="9:13" x14ac:dyDescent="0.3">
      <c r="I28882" s="82"/>
      <c r="M28882" s="85"/>
    </row>
    <row r="28883" spans="9:13" x14ac:dyDescent="0.3">
      <c r="I28883" s="82"/>
      <c r="M28883" s="85"/>
    </row>
    <row r="28884" spans="9:13" x14ac:dyDescent="0.3">
      <c r="I28884" s="82"/>
      <c r="M28884" s="85"/>
    </row>
    <row r="28885" spans="9:13" x14ac:dyDescent="0.3">
      <c r="I28885" s="82"/>
      <c r="M28885" s="85"/>
    </row>
    <row r="28886" spans="9:13" x14ac:dyDescent="0.3">
      <c r="I28886" s="82"/>
      <c r="M28886" s="85"/>
    </row>
    <row r="28887" spans="9:13" x14ac:dyDescent="0.3">
      <c r="I28887" s="82"/>
      <c r="M28887" s="85"/>
    </row>
    <row r="28888" spans="9:13" x14ac:dyDescent="0.3">
      <c r="I28888" s="82"/>
      <c r="M28888" s="85"/>
    </row>
    <row r="28889" spans="9:13" x14ac:dyDescent="0.3">
      <c r="I28889" s="82"/>
      <c r="M28889" s="85"/>
    </row>
    <row r="28890" spans="9:13" x14ac:dyDescent="0.3">
      <c r="I28890" s="82"/>
      <c r="M28890" s="85"/>
    </row>
    <row r="28891" spans="9:13" x14ac:dyDescent="0.3">
      <c r="I28891" s="82"/>
      <c r="M28891" s="85"/>
    </row>
    <row r="28892" spans="9:13" x14ac:dyDescent="0.3">
      <c r="I28892" s="82"/>
      <c r="M28892" s="85"/>
    </row>
    <row r="28893" spans="9:13" x14ac:dyDescent="0.3">
      <c r="I28893" s="82"/>
      <c r="M28893" s="85"/>
    </row>
    <row r="28894" spans="9:13" x14ac:dyDescent="0.3">
      <c r="I28894" s="82"/>
      <c r="M28894" s="85"/>
    </row>
    <row r="28895" spans="9:13" x14ac:dyDescent="0.3">
      <c r="I28895" s="82"/>
      <c r="M28895" s="85"/>
    </row>
    <row r="28896" spans="9:13" x14ac:dyDescent="0.3">
      <c r="I28896" s="82"/>
      <c r="M28896" s="85"/>
    </row>
    <row r="28897" spans="9:13" x14ac:dyDescent="0.3">
      <c r="I28897" s="82"/>
      <c r="M28897" s="85"/>
    </row>
    <row r="28898" spans="9:13" x14ac:dyDescent="0.3">
      <c r="I28898" s="82"/>
      <c r="M28898" s="85"/>
    </row>
    <row r="28899" spans="9:13" x14ac:dyDescent="0.3">
      <c r="I28899" s="82"/>
      <c r="M28899" s="85"/>
    </row>
    <row r="28900" spans="9:13" x14ac:dyDescent="0.3">
      <c r="I28900" s="82"/>
      <c r="M28900" s="85"/>
    </row>
    <row r="28901" spans="9:13" x14ac:dyDescent="0.3">
      <c r="I28901" s="82"/>
      <c r="M28901" s="85"/>
    </row>
    <row r="28902" spans="9:13" x14ac:dyDescent="0.3">
      <c r="I28902" s="82"/>
      <c r="M28902" s="85"/>
    </row>
    <row r="28903" spans="9:13" x14ac:dyDescent="0.3">
      <c r="I28903" s="82"/>
      <c r="M28903" s="85"/>
    </row>
    <row r="28904" spans="9:13" x14ac:dyDescent="0.3">
      <c r="I28904" s="82"/>
      <c r="M28904" s="85"/>
    </row>
    <row r="28905" spans="9:13" x14ac:dyDescent="0.3">
      <c r="I28905" s="82"/>
      <c r="M28905" s="85"/>
    </row>
    <row r="28906" spans="9:13" x14ac:dyDescent="0.3">
      <c r="I28906" s="82"/>
      <c r="M28906" s="85"/>
    </row>
    <row r="28907" spans="9:13" x14ac:dyDescent="0.3">
      <c r="I28907" s="82"/>
      <c r="M28907" s="85"/>
    </row>
    <row r="28908" spans="9:13" x14ac:dyDescent="0.3">
      <c r="I28908" s="82"/>
      <c r="M28908" s="85"/>
    </row>
    <row r="28909" spans="9:13" x14ac:dyDescent="0.3">
      <c r="I28909" s="82"/>
      <c r="M28909" s="85"/>
    </row>
    <row r="28910" spans="9:13" x14ac:dyDescent="0.3">
      <c r="I28910" s="82"/>
      <c r="M28910" s="85"/>
    </row>
    <row r="28911" spans="9:13" x14ac:dyDescent="0.3">
      <c r="I28911" s="82"/>
      <c r="M28911" s="85"/>
    </row>
    <row r="28912" spans="9:13" x14ac:dyDescent="0.3">
      <c r="I28912" s="82"/>
      <c r="M28912" s="85"/>
    </row>
    <row r="28913" spans="9:13" x14ac:dyDescent="0.3">
      <c r="I28913" s="82"/>
      <c r="M28913" s="85"/>
    </row>
    <row r="28914" spans="9:13" x14ac:dyDescent="0.3">
      <c r="I28914" s="82"/>
      <c r="M28914" s="85"/>
    </row>
    <row r="28915" spans="9:13" x14ac:dyDescent="0.3">
      <c r="I28915" s="82"/>
      <c r="M28915" s="85"/>
    </row>
    <row r="28916" spans="9:13" x14ac:dyDescent="0.3">
      <c r="I28916" s="82"/>
      <c r="M28916" s="85"/>
    </row>
    <row r="28917" spans="9:13" x14ac:dyDescent="0.3">
      <c r="I28917" s="82"/>
      <c r="M28917" s="85"/>
    </row>
    <row r="28918" spans="9:13" x14ac:dyDescent="0.3">
      <c r="I28918" s="82"/>
      <c r="M28918" s="85"/>
    </row>
    <row r="28919" spans="9:13" x14ac:dyDescent="0.3">
      <c r="I28919" s="82"/>
      <c r="M28919" s="85"/>
    </row>
    <row r="28920" spans="9:13" x14ac:dyDescent="0.3">
      <c r="I28920" s="82"/>
      <c r="M28920" s="85"/>
    </row>
    <row r="28921" spans="9:13" x14ac:dyDescent="0.3">
      <c r="I28921" s="82"/>
      <c r="M28921" s="85"/>
    </row>
    <row r="28922" spans="9:13" x14ac:dyDescent="0.3">
      <c r="I28922" s="82"/>
      <c r="M28922" s="85"/>
    </row>
    <row r="28923" spans="9:13" x14ac:dyDescent="0.3">
      <c r="I28923" s="82"/>
      <c r="M28923" s="85"/>
    </row>
    <row r="28924" spans="9:13" x14ac:dyDescent="0.3">
      <c r="I28924" s="82"/>
      <c r="M28924" s="85"/>
    </row>
    <row r="28925" spans="9:13" x14ac:dyDescent="0.3">
      <c r="I28925" s="82"/>
      <c r="M28925" s="85"/>
    </row>
    <row r="28926" spans="9:13" x14ac:dyDescent="0.3">
      <c r="I28926" s="82"/>
      <c r="M28926" s="85"/>
    </row>
    <row r="28927" spans="9:13" x14ac:dyDescent="0.3">
      <c r="I28927" s="82"/>
      <c r="M28927" s="85"/>
    </row>
    <row r="28928" spans="9:13" x14ac:dyDescent="0.3">
      <c r="I28928" s="82"/>
      <c r="M28928" s="85"/>
    </row>
    <row r="28929" spans="9:13" x14ac:dyDescent="0.3">
      <c r="I28929" s="82"/>
      <c r="M28929" s="85"/>
    </row>
    <row r="28930" spans="9:13" x14ac:dyDescent="0.3">
      <c r="I28930" s="82"/>
      <c r="M28930" s="85"/>
    </row>
    <row r="28931" spans="9:13" x14ac:dyDescent="0.3">
      <c r="I28931" s="82"/>
      <c r="M28931" s="85"/>
    </row>
    <row r="28932" spans="9:13" x14ac:dyDescent="0.3">
      <c r="I28932" s="82"/>
      <c r="M28932" s="85"/>
    </row>
    <row r="28933" spans="9:13" x14ac:dyDescent="0.3">
      <c r="I28933" s="82"/>
      <c r="M28933" s="85"/>
    </row>
    <row r="28934" spans="9:13" x14ac:dyDescent="0.3">
      <c r="I28934" s="82"/>
      <c r="M28934" s="85"/>
    </row>
    <row r="28935" spans="9:13" x14ac:dyDescent="0.3">
      <c r="I28935" s="82"/>
      <c r="M28935" s="85"/>
    </row>
    <row r="28936" spans="9:13" x14ac:dyDescent="0.3">
      <c r="I28936" s="82"/>
      <c r="M28936" s="85"/>
    </row>
    <row r="28937" spans="9:13" x14ac:dyDescent="0.3">
      <c r="I28937" s="82"/>
      <c r="M28937" s="85"/>
    </row>
    <row r="28938" spans="9:13" x14ac:dyDescent="0.3">
      <c r="I28938" s="82"/>
      <c r="M28938" s="85"/>
    </row>
    <row r="28939" spans="9:13" x14ac:dyDescent="0.3">
      <c r="I28939" s="82"/>
      <c r="M28939" s="85"/>
    </row>
    <row r="28940" spans="9:13" x14ac:dyDescent="0.3">
      <c r="I28940" s="82"/>
      <c r="M28940" s="85"/>
    </row>
    <row r="28941" spans="9:13" x14ac:dyDescent="0.3">
      <c r="I28941" s="82"/>
      <c r="M28941" s="85"/>
    </row>
    <row r="28942" spans="9:13" x14ac:dyDescent="0.3">
      <c r="I28942" s="82"/>
      <c r="M28942" s="85"/>
    </row>
    <row r="28943" spans="9:13" x14ac:dyDescent="0.3">
      <c r="I28943" s="82"/>
      <c r="M28943" s="85"/>
    </row>
    <row r="28944" spans="9:13" x14ac:dyDescent="0.3">
      <c r="I28944" s="82"/>
      <c r="M28944" s="85"/>
    </row>
    <row r="28945" spans="9:13" x14ac:dyDescent="0.3">
      <c r="I28945" s="82"/>
      <c r="M28945" s="85"/>
    </row>
    <row r="28946" spans="9:13" x14ac:dyDescent="0.3">
      <c r="I28946" s="82"/>
      <c r="M28946" s="85"/>
    </row>
    <row r="28947" spans="9:13" x14ac:dyDescent="0.3">
      <c r="I28947" s="82"/>
      <c r="M28947" s="85"/>
    </row>
    <row r="28948" spans="9:13" x14ac:dyDescent="0.3">
      <c r="I28948" s="82"/>
      <c r="M28948" s="85"/>
    </row>
    <row r="28949" spans="9:13" x14ac:dyDescent="0.3">
      <c r="I28949" s="82"/>
      <c r="M28949" s="85"/>
    </row>
    <row r="28950" spans="9:13" x14ac:dyDescent="0.3">
      <c r="I28950" s="82"/>
      <c r="M28950" s="85"/>
    </row>
    <row r="28951" spans="9:13" x14ac:dyDescent="0.3">
      <c r="I28951" s="82"/>
      <c r="M28951" s="85"/>
    </row>
    <row r="28952" spans="9:13" x14ac:dyDescent="0.3">
      <c r="I28952" s="82"/>
      <c r="M28952" s="85"/>
    </row>
    <row r="28953" spans="9:13" x14ac:dyDescent="0.3">
      <c r="I28953" s="82"/>
      <c r="M28953" s="85"/>
    </row>
    <row r="28954" spans="9:13" x14ac:dyDescent="0.3">
      <c r="I28954" s="82"/>
      <c r="M28954" s="85"/>
    </row>
    <row r="28955" spans="9:13" x14ac:dyDescent="0.3">
      <c r="I28955" s="82"/>
      <c r="M28955" s="85"/>
    </row>
    <row r="28956" spans="9:13" x14ac:dyDescent="0.3">
      <c r="I28956" s="82"/>
      <c r="M28956" s="85"/>
    </row>
    <row r="28957" spans="9:13" x14ac:dyDescent="0.3">
      <c r="I28957" s="82"/>
      <c r="M28957" s="85"/>
    </row>
    <row r="28958" spans="9:13" x14ac:dyDescent="0.3">
      <c r="I28958" s="82"/>
      <c r="M28958" s="85"/>
    </row>
    <row r="28959" spans="9:13" x14ac:dyDescent="0.3">
      <c r="I28959" s="82"/>
      <c r="M28959" s="85"/>
    </row>
    <row r="28960" spans="9:13" x14ac:dyDescent="0.3">
      <c r="I28960" s="82"/>
      <c r="M28960" s="85"/>
    </row>
    <row r="28961" spans="9:13" x14ac:dyDescent="0.3">
      <c r="I28961" s="82"/>
      <c r="M28961" s="85"/>
    </row>
    <row r="28962" spans="9:13" x14ac:dyDescent="0.3">
      <c r="I28962" s="82"/>
      <c r="M28962" s="85"/>
    </row>
    <row r="28963" spans="9:13" x14ac:dyDescent="0.3">
      <c r="I28963" s="82"/>
      <c r="M28963" s="85"/>
    </row>
    <row r="28964" spans="9:13" x14ac:dyDescent="0.3">
      <c r="I28964" s="82"/>
      <c r="M28964" s="85"/>
    </row>
    <row r="28965" spans="9:13" x14ac:dyDescent="0.3">
      <c r="I28965" s="82"/>
      <c r="M28965" s="85"/>
    </row>
    <row r="28966" spans="9:13" x14ac:dyDescent="0.3">
      <c r="I28966" s="82"/>
      <c r="M28966" s="85"/>
    </row>
    <row r="28967" spans="9:13" x14ac:dyDescent="0.3">
      <c r="I28967" s="82"/>
      <c r="M28967" s="85"/>
    </row>
    <row r="28968" spans="9:13" x14ac:dyDescent="0.3">
      <c r="I28968" s="82"/>
      <c r="M28968" s="85"/>
    </row>
    <row r="28969" spans="9:13" x14ac:dyDescent="0.3">
      <c r="I28969" s="82"/>
      <c r="M28969" s="85"/>
    </row>
    <row r="28970" spans="9:13" x14ac:dyDescent="0.3">
      <c r="I28970" s="82"/>
      <c r="M28970" s="85"/>
    </row>
    <row r="28971" spans="9:13" x14ac:dyDescent="0.3">
      <c r="I28971" s="82"/>
      <c r="M28971" s="85"/>
    </row>
    <row r="28972" spans="9:13" x14ac:dyDescent="0.3">
      <c r="I28972" s="82"/>
      <c r="M28972" s="85"/>
    </row>
    <row r="28973" spans="9:13" x14ac:dyDescent="0.3">
      <c r="I28973" s="82"/>
      <c r="M28973" s="85"/>
    </row>
    <row r="28974" spans="9:13" x14ac:dyDescent="0.3">
      <c r="I28974" s="82"/>
      <c r="M28974" s="85"/>
    </row>
    <row r="28975" spans="9:13" x14ac:dyDescent="0.3">
      <c r="I28975" s="82"/>
      <c r="M28975" s="85"/>
    </row>
    <row r="28976" spans="9:13" x14ac:dyDescent="0.3">
      <c r="I28976" s="82"/>
      <c r="M28976" s="85"/>
    </row>
    <row r="28977" spans="9:13" x14ac:dyDescent="0.3">
      <c r="I28977" s="82"/>
      <c r="M28977" s="85"/>
    </row>
    <row r="28978" spans="9:13" x14ac:dyDescent="0.3">
      <c r="I28978" s="82"/>
      <c r="M28978" s="85"/>
    </row>
    <row r="28979" spans="9:13" x14ac:dyDescent="0.3">
      <c r="I28979" s="82"/>
      <c r="M28979" s="85"/>
    </row>
    <row r="28980" spans="9:13" x14ac:dyDescent="0.3">
      <c r="I28980" s="82"/>
      <c r="M28980" s="85"/>
    </row>
    <row r="28981" spans="9:13" x14ac:dyDescent="0.3">
      <c r="I28981" s="82"/>
      <c r="M28981" s="85"/>
    </row>
    <row r="28982" spans="9:13" x14ac:dyDescent="0.3">
      <c r="I28982" s="82"/>
      <c r="M28982" s="85"/>
    </row>
    <row r="28983" spans="9:13" x14ac:dyDescent="0.3">
      <c r="I28983" s="82"/>
      <c r="M28983" s="85"/>
    </row>
    <row r="28984" spans="9:13" x14ac:dyDescent="0.3">
      <c r="I28984" s="82"/>
      <c r="M28984" s="85"/>
    </row>
    <row r="28985" spans="9:13" x14ac:dyDescent="0.3">
      <c r="I28985" s="82"/>
      <c r="M28985" s="85"/>
    </row>
    <row r="28986" spans="9:13" x14ac:dyDescent="0.3">
      <c r="I28986" s="82"/>
      <c r="M28986" s="85"/>
    </row>
    <row r="28987" spans="9:13" x14ac:dyDescent="0.3">
      <c r="I28987" s="82"/>
      <c r="M28987" s="85"/>
    </row>
    <row r="28988" spans="9:13" x14ac:dyDescent="0.3">
      <c r="I28988" s="82"/>
      <c r="M28988" s="85"/>
    </row>
    <row r="28989" spans="9:13" x14ac:dyDescent="0.3">
      <c r="I28989" s="82"/>
      <c r="M28989" s="85"/>
    </row>
    <row r="28990" spans="9:13" x14ac:dyDescent="0.3">
      <c r="I28990" s="82"/>
      <c r="M28990" s="85"/>
    </row>
    <row r="28991" spans="9:13" x14ac:dyDescent="0.3">
      <c r="I28991" s="82"/>
      <c r="M28991" s="85"/>
    </row>
    <row r="28992" spans="9:13" x14ac:dyDescent="0.3">
      <c r="I28992" s="82"/>
      <c r="M28992" s="85"/>
    </row>
    <row r="28993" spans="9:13" x14ac:dyDescent="0.3">
      <c r="I28993" s="82"/>
      <c r="M28993" s="85"/>
    </row>
    <row r="28994" spans="9:13" x14ac:dyDescent="0.3">
      <c r="I28994" s="82"/>
      <c r="M28994" s="85"/>
    </row>
    <row r="28995" spans="9:13" x14ac:dyDescent="0.3">
      <c r="I28995" s="82"/>
      <c r="M28995" s="85"/>
    </row>
    <row r="28996" spans="9:13" x14ac:dyDescent="0.3">
      <c r="I28996" s="82"/>
      <c r="M28996" s="85"/>
    </row>
    <row r="28997" spans="9:13" x14ac:dyDescent="0.3">
      <c r="I28997" s="82"/>
      <c r="M28997" s="85"/>
    </row>
    <row r="28998" spans="9:13" x14ac:dyDescent="0.3">
      <c r="I28998" s="82"/>
      <c r="M28998" s="85"/>
    </row>
    <row r="28999" spans="9:13" x14ac:dyDescent="0.3">
      <c r="I28999" s="82"/>
      <c r="M28999" s="85"/>
    </row>
    <row r="29000" spans="9:13" x14ac:dyDescent="0.3">
      <c r="I29000" s="82"/>
      <c r="M29000" s="85"/>
    </row>
    <row r="29001" spans="9:13" x14ac:dyDescent="0.3">
      <c r="I29001" s="82"/>
      <c r="M29001" s="85"/>
    </row>
    <row r="29002" spans="9:13" x14ac:dyDescent="0.3">
      <c r="I29002" s="82"/>
      <c r="M29002" s="85"/>
    </row>
    <row r="29003" spans="9:13" x14ac:dyDescent="0.3">
      <c r="I29003" s="82"/>
      <c r="M29003" s="85"/>
    </row>
    <row r="29004" spans="9:13" x14ac:dyDescent="0.3">
      <c r="I29004" s="82"/>
      <c r="M29004" s="85"/>
    </row>
    <row r="29005" spans="9:13" x14ac:dyDescent="0.3">
      <c r="I29005" s="82"/>
      <c r="M29005" s="85"/>
    </row>
    <row r="29006" spans="9:13" x14ac:dyDescent="0.3">
      <c r="I29006" s="82"/>
      <c r="M29006" s="85"/>
    </row>
    <row r="29007" spans="9:13" x14ac:dyDescent="0.3">
      <c r="I29007" s="82"/>
      <c r="M29007" s="85"/>
    </row>
    <row r="29008" spans="9:13" x14ac:dyDescent="0.3">
      <c r="I29008" s="82"/>
      <c r="M29008" s="85"/>
    </row>
    <row r="29009" spans="9:13" x14ac:dyDescent="0.3">
      <c r="I29009" s="82"/>
      <c r="M29009" s="85"/>
    </row>
    <row r="29010" spans="9:13" x14ac:dyDescent="0.3">
      <c r="I29010" s="82"/>
      <c r="M29010" s="85"/>
    </row>
    <row r="29011" spans="9:13" x14ac:dyDescent="0.3">
      <c r="I29011" s="82"/>
      <c r="M29011" s="85"/>
    </row>
    <row r="29012" spans="9:13" x14ac:dyDescent="0.3">
      <c r="I29012" s="82"/>
      <c r="M29012" s="85"/>
    </row>
    <row r="29013" spans="9:13" x14ac:dyDescent="0.3">
      <c r="I29013" s="82"/>
      <c r="M29013" s="85"/>
    </row>
    <row r="29014" spans="9:13" x14ac:dyDescent="0.3">
      <c r="I29014" s="82"/>
      <c r="M29014" s="85"/>
    </row>
    <row r="29015" spans="9:13" x14ac:dyDescent="0.3">
      <c r="I29015" s="82"/>
      <c r="M29015" s="85"/>
    </row>
    <row r="29016" spans="9:13" x14ac:dyDescent="0.3">
      <c r="I29016" s="82"/>
      <c r="M29016" s="85"/>
    </row>
    <row r="29017" spans="9:13" x14ac:dyDescent="0.3">
      <c r="I29017" s="82"/>
      <c r="M29017" s="85"/>
    </row>
    <row r="29018" spans="9:13" x14ac:dyDescent="0.3">
      <c r="I29018" s="82"/>
      <c r="M29018" s="85"/>
    </row>
    <row r="29019" spans="9:13" x14ac:dyDescent="0.3">
      <c r="I29019" s="82"/>
      <c r="M29019" s="85"/>
    </row>
    <row r="29020" spans="9:13" x14ac:dyDescent="0.3">
      <c r="I29020" s="82"/>
      <c r="M29020" s="85"/>
    </row>
    <row r="29021" spans="9:13" x14ac:dyDescent="0.3">
      <c r="I29021" s="82"/>
      <c r="M29021" s="85"/>
    </row>
    <row r="29022" spans="9:13" x14ac:dyDescent="0.3">
      <c r="I29022" s="82"/>
      <c r="M29022" s="85"/>
    </row>
    <row r="29023" spans="9:13" x14ac:dyDescent="0.3">
      <c r="I29023" s="82"/>
      <c r="M29023" s="85"/>
    </row>
    <row r="29024" spans="9:13" x14ac:dyDescent="0.3">
      <c r="I29024" s="82"/>
      <c r="M29024" s="85"/>
    </row>
    <row r="29025" spans="9:13" x14ac:dyDescent="0.3">
      <c r="I29025" s="82"/>
      <c r="M29025" s="85"/>
    </row>
    <row r="29026" spans="9:13" x14ac:dyDescent="0.3">
      <c r="I29026" s="82"/>
      <c r="M29026" s="85"/>
    </row>
    <row r="29027" spans="9:13" x14ac:dyDescent="0.3">
      <c r="I29027" s="82"/>
      <c r="M29027" s="85"/>
    </row>
    <row r="29028" spans="9:13" x14ac:dyDescent="0.3">
      <c r="I29028" s="82"/>
      <c r="M29028" s="85"/>
    </row>
    <row r="29029" spans="9:13" x14ac:dyDescent="0.3">
      <c r="I29029" s="82"/>
      <c r="M29029" s="85"/>
    </row>
    <row r="29030" spans="9:13" x14ac:dyDescent="0.3">
      <c r="I29030" s="82"/>
      <c r="M29030" s="85"/>
    </row>
    <row r="29031" spans="9:13" x14ac:dyDescent="0.3">
      <c r="I29031" s="82"/>
      <c r="M29031" s="85"/>
    </row>
    <row r="29032" spans="9:13" x14ac:dyDescent="0.3">
      <c r="I29032" s="82"/>
      <c r="M29032" s="85"/>
    </row>
    <row r="29033" spans="9:13" x14ac:dyDescent="0.3">
      <c r="I29033" s="82"/>
      <c r="M29033" s="85"/>
    </row>
    <row r="29034" spans="9:13" x14ac:dyDescent="0.3">
      <c r="I29034" s="82"/>
      <c r="M29034" s="85"/>
    </row>
    <row r="29035" spans="9:13" x14ac:dyDescent="0.3">
      <c r="I29035" s="82"/>
      <c r="M29035" s="85"/>
    </row>
    <row r="29036" spans="9:13" x14ac:dyDescent="0.3">
      <c r="I29036" s="82"/>
      <c r="M29036" s="85"/>
    </row>
    <row r="29037" spans="9:13" x14ac:dyDescent="0.3">
      <c r="I29037" s="82"/>
      <c r="M29037" s="85"/>
    </row>
    <row r="29038" spans="9:13" x14ac:dyDescent="0.3">
      <c r="I29038" s="82"/>
      <c r="M29038" s="85"/>
    </row>
    <row r="29039" spans="9:13" x14ac:dyDescent="0.3">
      <c r="I29039" s="82"/>
      <c r="M29039" s="85"/>
    </row>
    <row r="29040" spans="9:13" x14ac:dyDescent="0.3">
      <c r="I29040" s="82"/>
      <c r="M29040" s="85"/>
    </row>
    <row r="29041" spans="9:13" x14ac:dyDescent="0.3">
      <c r="I29041" s="82"/>
      <c r="M29041" s="85"/>
    </row>
    <row r="29042" spans="9:13" x14ac:dyDescent="0.3">
      <c r="I29042" s="82"/>
      <c r="M29042" s="85"/>
    </row>
    <row r="29043" spans="9:13" x14ac:dyDescent="0.3">
      <c r="I29043" s="82"/>
      <c r="M29043" s="85"/>
    </row>
    <row r="29044" spans="9:13" x14ac:dyDescent="0.3">
      <c r="I29044" s="82"/>
      <c r="M29044" s="85"/>
    </row>
    <row r="29045" spans="9:13" x14ac:dyDescent="0.3">
      <c r="I29045" s="82"/>
      <c r="M29045" s="85"/>
    </row>
    <row r="29046" spans="9:13" x14ac:dyDescent="0.3">
      <c r="I29046" s="82"/>
      <c r="M29046" s="85"/>
    </row>
    <row r="29047" spans="9:13" x14ac:dyDescent="0.3">
      <c r="I29047" s="82"/>
      <c r="M29047" s="85"/>
    </row>
    <row r="29048" spans="9:13" x14ac:dyDescent="0.3">
      <c r="I29048" s="82"/>
      <c r="M29048" s="85"/>
    </row>
    <row r="29049" spans="9:13" x14ac:dyDescent="0.3">
      <c r="I29049" s="82"/>
      <c r="M29049" s="85"/>
    </row>
    <row r="29050" spans="9:13" x14ac:dyDescent="0.3">
      <c r="I29050" s="82"/>
      <c r="M29050" s="85"/>
    </row>
    <row r="29051" spans="9:13" x14ac:dyDescent="0.3">
      <c r="I29051" s="82"/>
      <c r="M29051" s="85"/>
    </row>
    <row r="29052" spans="9:13" x14ac:dyDescent="0.3">
      <c r="I29052" s="82"/>
      <c r="M29052" s="85"/>
    </row>
    <row r="29053" spans="9:13" x14ac:dyDescent="0.3">
      <c r="I29053" s="82"/>
      <c r="M29053" s="85"/>
    </row>
    <row r="29054" spans="9:13" x14ac:dyDescent="0.3">
      <c r="I29054" s="82"/>
      <c r="M29054" s="85"/>
    </row>
    <row r="29055" spans="9:13" x14ac:dyDescent="0.3">
      <c r="I29055" s="82"/>
      <c r="M29055" s="85"/>
    </row>
    <row r="29056" spans="9:13" x14ac:dyDescent="0.3">
      <c r="I29056" s="82"/>
      <c r="M29056" s="85"/>
    </row>
    <row r="29057" spans="9:13" x14ac:dyDescent="0.3">
      <c r="I29057" s="82"/>
      <c r="M29057" s="85"/>
    </row>
    <row r="29058" spans="9:13" x14ac:dyDescent="0.3">
      <c r="I29058" s="82"/>
      <c r="M29058" s="85"/>
    </row>
    <row r="29059" spans="9:13" x14ac:dyDescent="0.3">
      <c r="I29059" s="82"/>
      <c r="M29059" s="85"/>
    </row>
    <row r="29060" spans="9:13" x14ac:dyDescent="0.3">
      <c r="I29060" s="82"/>
      <c r="M29060" s="85"/>
    </row>
    <row r="29061" spans="9:13" x14ac:dyDescent="0.3">
      <c r="I29061" s="82"/>
      <c r="M29061" s="85"/>
    </row>
    <row r="29062" spans="9:13" x14ac:dyDescent="0.3">
      <c r="I29062" s="82"/>
      <c r="M29062" s="85"/>
    </row>
    <row r="29063" spans="9:13" x14ac:dyDescent="0.3">
      <c r="I29063" s="82"/>
      <c r="M29063" s="85"/>
    </row>
    <row r="29064" spans="9:13" x14ac:dyDescent="0.3">
      <c r="I29064" s="82"/>
      <c r="M29064" s="85"/>
    </row>
    <row r="29065" spans="9:13" x14ac:dyDescent="0.3">
      <c r="I29065" s="82"/>
      <c r="M29065" s="85"/>
    </row>
    <row r="29066" spans="9:13" x14ac:dyDescent="0.3">
      <c r="I29066" s="82"/>
      <c r="M29066" s="85"/>
    </row>
    <row r="29067" spans="9:13" x14ac:dyDescent="0.3">
      <c r="I29067" s="82"/>
      <c r="M29067" s="85"/>
    </row>
    <row r="29068" spans="9:13" x14ac:dyDescent="0.3">
      <c r="I29068" s="82"/>
      <c r="M29068" s="85"/>
    </row>
    <row r="29069" spans="9:13" x14ac:dyDescent="0.3">
      <c r="I29069" s="82"/>
      <c r="M29069" s="85"/>
    </row>
    <row r="29070" spans="9:13" x14ac:dyDescent="0.3">
      <c r="I29070" s="82"/>
      <c r="M29070" s="85"/>
    </row>
    <row r="29071" spans="9:13" x14ac:dyDescent="0.3">
      <c r="I29071" s="82"/>
      <c r="M29071" s="85"/>
    </row>
    <row r="29072" spans="9:13" x14ac:dyDescent="0.3">
      <c r="I29072" s="82"/>
      <c r="M29072" s="85"/>
    </row>
    <row r="29073" spans="9:13" x14ac:dyDescent="0.3">
      <c r="I29073" s="82"/>
      <c r="M29073" s="85"/>
    </row>
    <row r="29074" spans="9:13" x14ac:dyDescent="0.3">
      <c r="I29074" s="82"/>
      <c r="M29074" s="85"/>
    </row>
    <row r="29075" spans="9:13" x14ac:dyDescent="0.3">
      <c r="I29075" s="82"/>
      <c r="M29075" s="85"/>
    </row>
    <row r="29076" spans="9:13" x14ac:dyDescent="0.3">
      <c r="I29076" s="82"/>
      <c r="M29076" s="85"/>
    </row>
    <row r="29077" spans="9:13" x14ac:dyDescent="0.3">
      <c r="I29077" s="82"/>
      <c r="M29077" s="85"/>
    </row>
    <row r="29078" spans="9:13" x14ac:dyDescent="0.3">
      <c r="I29078" s="82"/>
      <c r="M29078" s="85"/>
    </row>
    <row r="29079" spans="9:13" x14ac:dyDescent="0.3">
      <c r="I29079" s="82"/>
      <c r="M29079" s="85"/>
    </row>
    <row r="29080" spans="9:13" x14ac:dyDescent="0.3">
      <c r="I29080" s="82"/>
      <c r="M29080" s="85"/>
    </row>
    <row r="29081" spans="9:13" x14ac:dyDescent="0.3">
      <c r="I29081" s="82"/>
      <c r="M29081" s="85"/>
    </row>
    <row r="29082" spans="9:13" x14ac:dyDescent="0.3">
      <c r="I29082" s="82"/>
      <c r="M29082" s="85"/>
    </row>
    <row r="29083" spans="9:13" x14ac:dyDescent="0.3">
      <c r="I29083" s="82"/>
      <c r="M29083" s="85"/>
    </row>
    <row r="29084" spans="9:13" x14ac:dyDescent="0.3">
      <c r="I29084" s="82"/>
      <c r="M29084" s="85"/>
    </row>
    <row r="29085" spans="9:13" x14ac:dyDescent="0.3">
      <c r="I29085" s="82"/>
      <c r="M29085" s="85"/>
    </row>
    <row r="29086" spans="9:13" x14ac:dyDescent="0.3">
      <c r="I29086" s="82"/>
      <c r="M29086" s="85"/>
    </row>
    <row r="29087" spans="9:13" x14ac:dyDescent="0.3">
      <c r="I29087" s="82"/>
      <c r="M29087" s="85"/>
    </row>
    <row r="29088" spans="9:13" x14ac:dyDescent="0.3">
      <c r="I29088" s="82"/>
      <c r="M29088" s="85"/>
    </row>
    <row r="29089" spans="9:13" x14ac:dyDescent="0.3">
      <c r="I29089" s="82"/>
      <c r="M29089" s="85"/>
    </row>
    <row r="29090" spans="9:13" x14ac:dyDescent="0.3">
      <c r="I29090" s="82"/>
      <c r="M29090" s="85"/>
    </row>
    <row r="29091" spans="9:13" x14ac:dyDescent="0.3">
      <c r="I29091" s="82"/>
      <c r="M29091" s="85"/>
    </row>
    <row r="29092" spans="9:13" x14ac:dyDescent="0.3">
      <c r="I29092" s="82"/>
      <c r="M29092" s="85"/>
    </row>
    <row r="29093" spans="9:13" x14ac:dyDescent="0.3">
      <c r="I29093" s="82"/>
      <c r="M29093" s="85"/>
    </row>
    <row r="29094" spans="9:13" x14ac:dyDescent="0.3">
      <c r="I29094" s="82"/>
      <c r="M29094" s="85"/>
    </row>
    <row r="29095" spans="9:13" x14ac:dyDescent="0.3">
      <c r="I29095" s="82"/>
      <c r="M29095" s="85"/>
    </row>
    <row r="29096" spans="9:13" x14ac:dyDescent="0.3">
      <c r="I29096" s="82"/>
      <c r="M29096" s="85"/>
    </row>
    <row r="29097" spans="9:13" x14ac:dyDescent="0.3">
      <c r="I29097" s="82"/>
      <c r="M29097" s="85"/>
    </row>
    <row r="29098" spans="9:13" x14ac:dyDescent="0.3">
      <c r="I29098" s="82"/>
      <c r="M29098" s="85"/>
    </row>
    <row r="29099" spans="9:13" x14ac:dyDescent="0.3">
      <c r="I29099" s="82"/>
      <c r="M29099" s="85"/>
    </row>
    <row r="29100" spans="9:13" x14ac:dyDescent="0.3">
      <c r="I29100" s="82"/>
      <c r="M29100" s="85"/>
    </row>
    <row r="29101" spans="9:13" x14ac:dyDescent="0.3">
      <c r="I29101" s="82"/>
      <c r="M29101" s="85"/>
    </row>
    <row r="29102" spans="9:13" x14ac:dyDescent="0.3">
      <c r="I29102" s="82"/>
      <c r="M29102" s="85"/>
    </row>
    <row r="29103" spans="9:13" x14ac:dyDescent="0.3">
      <c r="I29103" s="82"/>
      <c r="M29103" s="85"/>
    </row>
    <row r="29104" spans="9:13" x14ac:dyDescent="0.3">
      <c r="I29104" s="82"/>
      <c r="M29104" s="85"/>
    </row>
    <row r="29105" spans="9:13" x14ac:dyDescent="0.3">
      <c r="I29105" s="82"/>
      <c r="M29105" s="85"/>
    </row>
    <row r="29106" spans="9:13" x14ac:dyDescent="0.3">
      <c r="I29106" s="82"/>
      <c r="M29106" s="85"/>
    </row>
    <row r="29107" spans="9:13" x14ac:dyDescent="0.3">
      <c r="I29107" s="82"/>
      <c r="M29107" s="85"/>
    </row>
    <row r="29108" spans="9:13" x14ac:dyDescent="0.3">
      <c r="I29108" s="82"/>
      <c r="M29108" s="85"/>
    </row>
    <row r="29109" spans="9:13" x14ac:dyDescent="0.3">
      <c r="I29109" s="82"/>
      <c r="M29109" s="85"/>
    </row>
    <row r="29110" spans="9:13" x14ac:dyDescent="0.3">
      <c r="I29110" s="82"/>
      <c r="M29110" s="85"/>
    </row>
    <row r="29111" spans="9:13" x14ac:dyDescent="0.3">
      <c r="I29111" s="82"/>
      <c r="M29111" s="85"/>
    </row>
    <row r="29112" spans="9:13" x14ac:dyDescent="0.3">
      <c r="I29112" s="82"/>
      <c r="M29112" s="85"/>
    </row>
    <row r="29113" spans="9:13" x14ac:dyDescent="0.3">
      <c r="I29113" s="82"/>
      <c r="M29113" s="85"/>
    </row>
    <row r="29114" spans="9:13" x14ac:dyDescent="0.3">
      <c r="I29114" s="82"/>
      <c r="M29114" s="85"/>
    </row>
    <row r="29115" spans="9:13" x14ac:dyDescent="0.3">
      <c r="I29115" s="82"/>
      <c r="M29115" s="85"/>
    </row>
    <row r="29116" spans="9:13" x14ac:dyDescent="0.3">
      <c r="I29116" s="82"/>
      <c r="M29116" s="85"/>
    </row>
    <row r="29117" spans="9:13" x14ac:dyDescent="0.3">
      <c r="I29117" s="82"/>
      <c r="M29117" s="85"/>
    </row>
    <row r="29118" spans="9:13" x14ac:dyDescent="0.3">
      <c r="I29118" s="82"/>
      <c r="M29118" s="85"/>
    </row>
    <row r="29119" spans="9:13" x14ac:dyDescent="0.3">
      <c r="I29119" s="82"/>
      <c r="M29119" s="85"/>
    </row>
    <row r="29120" spans="9:13" x14ac:dyDescent="0.3">
      <c r="I29120" s="82"/>
      <c r="M29120" s="85"/>
    </row>
    <row r="29121" spans="9:13" x14ac:dyDescent="0.3">
      <c r="I29121" s="82"/>
      <c r="M29121" s="85"/>
    </row>
    <row r="29122" spans="9:13" x14ac:dyDescent="0.3">
      <c r="I29122" s="82"/>
      <c r="M29122" s="85"/>
    </row>
    <row r="29123" spans="9:13" x14ac:dyDescent="0.3">
      <c r="I29123" s="82"/>
      <c r="M29123" s="85"/>
    </row>
    <row r="29124" spans="9:13" x14ac:dyDescent="0.3">
      <c r="I29124" s="82"/>
      <c r="M29124" s="85"/>
    </row>
    <row r="29125" spans="9:13" x14ac:dyDescent="0.3">
      <c r="I29125" s="82"/>
      <c r="M29125" s="85"/>
    </row>
    <row r="29126" spans="9:13" x14ac:dyDescent="0.3">
      <c r="I29126" s="82"/>
      <c r="M29126" s="85"/>
    </row>
    <row r="29127" spans="9:13" x14ac:dyDescent="0.3">
      <c r="I29127" s="82"/>
      <c r="M29127" s="85"/>
    </row>
    <row r="29128" spans="9:13" x14ac:dyDescent="0.3">
      <c r="I29128" s="82"/>
      <c r="M29128" s="85"/>
    </row>
    <row r="29129" spans="9:13" x14ac:dyDescent="0.3">
      <c r="I29129" s="82"/>
      <c r="M29129" s="85"/>
    </row>
    <row r="29130" spans="9:13" x14ac:dyDescent="0.3">
      <c r="I29130" s="82"/>
      <c r="M29130" s="85"/>
    </row>
    <row r="29131" spans="9:13" x14ac:dyDescent="0.3">
      <c r="I29131" s="82"/>
      <c r="M29131" s="85"/>
    </row>
    <row r="29132" spans="9:13" x14ac:dyDescent="0.3">
      <c r="I29132" s="82"/>
      <c r="M29132" s="85"/>
    </row>
    <row r="29133" spans="9:13" x14ac:dyDescent="0.3">
      <c r="I29133" s="82"/>
      <c r="M29133" s="85"/>
    </row>
    <row r="29134" spans="9:13" x14ac:dyDescent="0.3">
      <c r="I29134" s="82"/>
      <c r="M29134" s="85"/>
    </row>
    <row r="29135" spans="9:13" x14ac:dyDescent="0.3">
      <c r="I29135" s="82"/>
      <c r="M29135" s="85"/>
    </row>
    <row r="29136" spans="9:13" x14ac:dyDescent="0.3">
      <c r="I29136" s="82"/>
      <c r="M29136" s="85"/>
    </row>
    <row r="29137" spans="9:13" x14ac:dyDescent="0.3">
      <c r="I29137" s="82"/>
      <c r="M29137" s="85"/>
    </row>
    <row r="29138" spans="9:13" x14ac:dyDescent="0.3">
      <c r="I29138" s="82"/>
      <c r="M29138" s="85"/>
    </row>
    <row r="29139" spans="9:13" x14ac:dyDescent="0.3">
      <c r="I29139" s="82"/>
      <c r="M29139" s="85"/>
    </row>
    <row r="29140" spans="9:13" x14ac:dyDescent="0.3">
      <c r="I29140" s="82"/>
      <c r="M29140" s="85"/>
    </row>
    <row r="29141" spans="9:13" x14ac:dyDescent="0.3">
      <c r="I29141" s="82"/>
      <c r="M29141" s="85"/>
    </row>
    <row r="29142" spans="9:13" x14ac:dyDescent="0.3">
      <c r="I29142" s="82"/>
      <c r="M29142" s="85"/>
    </row>
    <row r="29143" spans="9:13" x14ac:dyDescent="0.3">
      <c r="I29143" s="82"/>
      <c r="M29143" s="85"/>
    </row>
    <row r="29144" spans="9:13" x14ac:dyDescent="0.3">
      <c r="I29144" s="82"/>
      <c r="M29144" s="85"/>
    </row>
    <row r="29145" spans="9:13" x14ac:dyDescent="0.3">
      <c r="I29145" s="82"/>
      <c r="M29145" s="85"/>
    </row>
    <row r="29146" spans="9:13" x14ac:dyDescent="0.3">
      <c r="I29146" s="82"/>
      <c r="M29146" s="85"/>
    </row>
    <row r="29147" spans="9:13" x14ac:dyDescent="0.3">
      <c r="I29147" s="82"/>
      <c r="M29147" s="85"/>
    </row>
    <row r="29148" spans="9:13" x14ac:dyDescent="0.3">
      <c r="I29148" s="82"/>
      <c r="M29148" s="85"/>
    </row>
    <row r="29149" spans="9:13" x14ac:dyDescent="0.3">
      <c r="I29149" s="82"/>
      <c r="M29149" s="85"/>
    </row>
    <row r="29150" spans="9:13" x14ac:dyDescent="0.3">
      <c r="I29150" s="82"/>
      <c r="M29150" s="85"/>
    </row>
    <row r="29151" spans="9:13" x14ac:dyDescent="0.3">
      <c r="I29151" s="82"/>
      <c r="M29151" s="85"/>
    </row>
    <row r="29152" spans="9:13" x14ac:dyDescent="0.3">
      <c r="I29152" s="82"/>
      <c r="M29152" s="85"/>
    </row>
    <row r="29153" spans="9:13" x14ac:dyDescent="0.3">
      <c r="I29153" s="82"/>
      <c r="M29153" s="85"/>
    </row>
    <row r="29154" spans="9:13" x14ac:dyDescent="0.3">
      <c r="I29154" s="82"/>
      <c r="M29154" s="85"/>
    </row>
    <row r="29155" spans="9:13" x14ac:dyDescent="0.3">
      <c r="I29155" s="82"/>
      <c r="M29155" s="85"/>
    </row>
    <row r="29156" spans="9:13" x14ac:dyDescent="0.3">
      <c r="I29156" s="82"/>
      <c r="M29156" s="85"/>
    </row>
    <row r="29157" spans="9:13" x14ac:dyDescent="0.3">
      <c r="I29157" s="82"/>
      <c r="M29157" s="85"/>
    </row>
    <row r="29158" spans="9:13" x14ac:dyDescent="0.3">
      <c r="I29158" s="82"/>
      <c r="M29158" s="85"/>
    </row>
    <row r="29159" spans="9:13" x14ac:dyDescent="0.3">
      <c r="I29159" s="82"/>
      <c r="M29159" s="85"/>
    </row>
    <row r="29160" spans="9:13" x14ac:dyDescent="0.3">
      <c r="I29160" s="82"/>
      <c r="M29160" s="85"/>
    </row>
    <row r="29161" spans="9:13" x14ac:dyDescent="0.3">
      <c r="I29161" s="82"/>
      <c r="M29161" s="85"/>
    </row>
    <row r="29162" spans="9:13" x14ac:dyDescent="0.3">
      <c r="I29162" s="82"/>
      <c r="M29162" s="85"/>
    </row>
    <row r="29163" spans="9:13" x14ac:dyDescent="0.3">
      <c r="I29163" s="82"/>
      <c r="M29163" s="85"/>
    </row>
    <row r="29164" spans="9:13" x14ac:dyDescent="0.3">
      <c r="I29164" s="82"/>
      <c r="M29164" s="85"/>
    </row>
    <row r="29165" spans="9:13" x14ac:dyDescent="0.3">
      <c r="I29165" s="82"/>
      <c r="M29165" s="85"/>
    </row>
    <row r="29166" spans="9:13" x14ac:dyDescent="0.3">
      <c r="I29166" s="82"/>
      <c r="M29166" s="85"/>
    </row>
    <row r="29167" spans="9:13" x14ac:dyDescent="0.3">
      <c r="I29167" s="82"/>
      <c r="M29167" s="85"/>
    </row>
    <row r="29168" spans="9:13" x14ac:dyDescent="0.3">
      <c r="I29168" s="82"/>
      <c r="M29168" s="85"/>
    </row>
    <row r="29169" spans="9:13" x14ac:dyDescent="0.3">
      <c r="I29169" s="82"/>
      <c r="M29169" s="85"/>
    </row>
    <row r="29170" spans="9:13" x14ac:dyDescent="0.3">
      <c r="I29170" s="82"/>
      <c r="M29170" s="85"/>
    </row>
    <row r="29171" spans="9:13" x14ac:dyDescent="0.3">
      <c r="I29171" s="82"/>
      <c r="M29171" s="85"/>
    </row>
    <row r="29172" spans="9:13" x14ac:dyDescent="0.3">
      <c r="I29172" s="82"/>
      <c r="M29172" s="85"/>
    </row>
    <row r="29173" spans="9:13" x14ac:dyDescent="0.3">
      <c r="I29173" s="82"/>
      <c r="M29173" s="85"/>
    </row>
    <row r="29174" spans="9:13" x14ac:dyDescent="0.3">
      <c r="I29174" s="82"/>
      <c r="M29174" s="85"/>
    </row>
    <row r="29175" spans="9:13" x14ac:dyDescent="0.3">
      <c r="I29175" s="82"/>
      <c r="M29175" s="85"/>
    </row>
    <row r="29176" spans="9:13" x14ac:dyDescent="0.3">
      <c r="I29176" s="82"/>
      <c r="M29176" s="85"/>
    </row>
    <row r="29177" spans="9:13" x14ac:dyDescent="0.3">
      <c r="I29177" s="82"/>
      <c r="M29177" s="85"/>
    </row>
    <row r="29178" spans="9:13" x14ac:dyDescent="0.3">
      <c r="I29178" s="82"/>
      <c r="M29178" s="85"/>
    </row>
    <row r="29179" spans="9:13" x14ac:dyDescent="0.3">
      <c r="I29179" s="82"/>
      <c r="M29179" s="85"/>
    </row>
    <row r="29180" spans="9:13" x14ac:dyDescent="0.3">
      <c r="I29180" s="82"/>
      <c r="M29180" s="85"/>
    </row>
    <row r="29181" spans="9:13" x14ac:dyDescent="0.3">
      <c r="I29181" s="82"/>
      <c r="M29181" s="85"/>
    </row>
    <row r="29182" spans="9:13" x14ac:dyDescent="0.3">
      <c r="I29182" s="82"/>
      <c r="M29182" s="85"/>
    </row>
    <row r="29183" spans="9:13" x14ac:dyDescent="0.3">
      <c r="I29183" s="82"/>
      <c r="M29183" s="85"/>
    </row>
    <row r="29184" spans="9:13" x14ac:dyDescent="0.3">
      <c r="I29184" s="82"/>
      <c r="M29184" s="85"/>
    </row>
    <row r="29185" spans="9:13" x14ac:dyDescent="0.3">
      <c r="I29185" s="82"/>
      <c r="M29185" s="85"/>
    </row>
    <row r="29186" spans="9:13" x14ac:dyDescent="0.3">
      <c r="I29186" s="82"/>
      <c r="M29186" s="85"/>
    </row>
    <row r="29187" spans="9:13" x14ac:dyDescent="0.3">
      <c r="I29187" s="82"/>
      <c r="M29187" s="85"/>
    </row>
    <row r="29188" spans="9:13" x14ac:dyDescent="0.3">
      <c r="I29188" s="82"/>
      <c r="M29188" s="85"/>
    </row>
    <row r="29189" spans="9:13" x14ac:dyDescent="0.3">
      <c r="I29189" s="82"/>
      <c r="M29189" s="85"/>
    </row>
    <row r="29190" spans="9:13" x14ac:dyDescent="0.3">
      <c r="I29190" s="82"/>
      <c r="M29190" s="85"/>
    </row>
    <row r="29191" spans="9:13" x14ac:dyDescent="0.3">
      <c r="I29191" s="82"/>
      <c r="M29191" s="85"/>
    </row>
    <row r="29192" spans="9:13" x14ac:dyDescent="0.3">
      <c r="I29192" s="82"/>
      <c r="M29192" s="85"/>
    </row>
    <row r="29193" spans="9:13" x14ac:dyDescent="0.3">
      <c r="I29193" s="82"/>
      <c r="M29193" s="85"/>
    </row>
    <row r="29194" spans="9:13" x14ac:dyDescent="0.3">
      <c r="I29194" s="82"/>
      <c r="M29194" s="85"/>
    </row>
    <row r="29195" spans="9:13" x14ac:dyDescent="0.3">
      <c r="I29195" s="82"/>
      <c r="M29195" s="85"/>
    </row>
    <row r="29196" spans="9:13" x14ac:dyDescent="0.3">
      <c r="I29196" s="82"/>
      <c r="M29196" s="85"/>
    </row>
    <row r="29197" spans="9:13" x14ac:dyDescent="0.3">
      <c r="I29197" s="82"/>
      <c r="M29197" s="85"/>
    </row>
    <row r="29198" spans="9:13" x14ac:dyDescent="0.3">
      <c r="I29198" s="82"/>
      <c r="M29198" s="85"/>
    </row>
    <row r="29199" spans="9:13" x14ac:dyDescent="0.3">
      <c r="I29199" s="82"/>
      <c r="M29199" s="85"/>
    </row>
    <row r="29200" spans="9:13" x14ac:dyDescent="0.3">
      <c r="I29200" s="82"/>
      <c r="M29200" s="85"/>
    </row>
    <row r="29201" spans="9:13" x14ac:dyDescent="0.3">
      <c r="I29201" s="82"/>
      <c r="M29201" s="85"/>
    </row>
    <row r="29202" spans="9:13" x14ac:dyDescent="0.3">
      <c r="I29202" s="82"/>
      <c r="M29202" s="85"/>
    </row>
    <row r="29203" spans="9:13" x14ac:dyDescent="0.3">
      <c r="I29203" s="82"/>
      <c r="M29203" s="85"/>
    </row>
    <row r="29204" spans="9:13" x14ac:dyDescent="0.3">
      <c r="I29204" s="82"/>
      <c r="M29204" s="85"/>
    </row>
    <row r="29205" spans="9:13" x14ac:dyDescent="0.3">
      <c r="I29205" s="82"/>
      <c r="M29205" s="85"/>
    </row>
    <row r="29206" spans="9:13" x14ac:dyDescent="0.3">
      <c r="I29206" s="82"/>
      <c r="M29206" s="85"/>
    </row>
    <row r="29207" spans="9:13" x14ac:dyDescent="0.3">
      <c r="I29207" s="82"/>
      <c r="M29207" s="85"/>
    </row>
    <row r="29208" spans="9:13" x14ac:dyDescent="0.3">
      <c r="I29208" s="82"/>
      <c r="M29208" s="85"/>
    </row>
    <row r="29209" spans="9:13" x14ac:dyDescent="0.3">
      <c r="I29209" s="82"/>
      <c r="M29209" s="85"/>
    </row>
    <row r="29210" spans="9:13" x14ac:dyDescent="0.3">
      <c r="I29210" s="82"/>
      <c r="M29210" s="85"/>
    </row>
    <row r="29211" spans="9:13" x14ac:dyDescent="0.3">
      <c r="I29211" s="82"/>
      <c r="M29211" s="85"/>
    </row>
    <row r="29212" spans="9:13" x14ac:dyDescent="0.3">
      <c r="I29212" s="82"/>
      <c r="M29212" s="85"/>
    </row>
    <row r="29213" spans="9:13" x14ac:dyDescent="0.3">
      <c r="I29213" s="82"/>
      <c r="M29213" s="85"/>
    </row>
    <row r="29214" spans="9:13" x14ac:dyDescent="0.3">
      <c r="I29214" s="82"/>
      <c r="M29214" s="85"/>
    </row>
    <row r="29215" spans="9:13" x14ac:dyDescent="0.3">
      <c r="I29215" s="82"/>
      <c r="M29215" s="85"/>
    </row>
    <row r="29216" spans="9:13" x14ac:dyDescent="0.3">
      <c r="I29216" s="82"/>
      <c r="M29216" s="85"/>
    </row>
    <row r="29217" spans="9:13" x14ac:dyDescent="0.3">
      <c r="I29217" s="82"/>
      <c r="M29217" s="85"/>
    </row>
    <row r="29218" spans="9:13" x14ac:dyDescent="0.3">
      <c r="I29218" s="82"/>
      <c r="M29218" s="85"/>
    </row>
    <row r="29219" spans="9:13" x14ac:dyDescent="0.3">
      <c r="I29219" s="82"/>
      <c r="M29219" s="85"/>
    </row>
    <row r="29220" spans="9:13" x14ac:dyDescent="0.3">
      <c r="I29220" s="82"/>
      <c r="M29220" s="85"/>
    </row>
    <row r="29221" spans="9:13" x14ac:dyDescent="0.3">
      <c r="I29221" s="82"/>
      <c r="M29221" s="85"/>
    </row>
    <row r="29222" spans="9:13" x14ac:dyDescent="0.3">
      <c r="I29222" s="82"/>
      <c r="M29222" s="85"/>
    </row>
    <row r="29223" spans="9:13" x14ac:dyDescent="0.3">
      <c r="I29223" s="82"/>
      <c r="M29223" s="85"/>
    </row>
    <row r="29224" spans="9:13" x14ac:dyDescent="0.3">
      <c r="I29224" s="82"/>
      <c r="M29224" s="85"/>
    </row>
    <row r="29225" spans="9:13" x14ac:dyDescent="0.3">
      <c r="I29225" s="82"/>
      <c r="M29225" s="85"/>
    </row>
    <row r="29226" spans="9:13" x14ac:dyDescent="0.3">
      <c r="I29226" s="82"/>
      <c r="M29226" s="85"/>
    </row>
    <row r="29227" spans="9:13" x14ac:dyDescent="0.3">
      <c r="I29227" s="82"/>
      <c r="M29227" s="85"/>
    </row>
    <row r="29228" spans="9:13" x14ac:dyDescent="0.3">
      <c r="I29228" s="82"/>
      <c r="M29228" s="85"/>
    </row>
    <row r="29229" spans="9:13" x14ac:dyDescent="0.3">
      <c r="I29229" s="82"/>
      <c r="M29229" s="85"/>
    </row>
    <row r="29230" spans="9:13" x14ac:dyDescent="0.3">
      <c r="I29230" s="82"/>
      <c r="M29230" s="85"/>
    </row>
    <row r="29231" spans="9:13" x14ac:dyDescent="0.3">
      <c r="I29231" s="82"/>
      <c r="M29231" s="85"/>
    </row>
    <row r="29232" spans="9:13" x14ac:dyDescent="0.3">
      <c r="I29232" s="82"/>
      <c r="M29232" s="85"/>
    </row>
    <row r="29233" spans="9:13" x14ac:dyDescent="0.3">
      <c r="I29233" s="82"/>
      <c r="M29233" s="85"/>
    </row>
    <row r="29234" spans="9:13" x14ac:dyDescent="0.3">
      <c r="I29234" s="82"/>
      <c r="M29234" s="85"/>
    </row>
    <row r="29235" spans="9:13" x14ac:dyDescent="0.3">
      <c r="I29235" s="82"/>
      <c r="M29235" s="85"/>
    </row>
    <row r="29236" spans="9:13" x14ac:dyDescent="0.3">
      <c r="I29236" s="82"/>
      <c r="M29236" s="85"/>
    </row>
    <row r="29237" spans="9:13" x14ac:dyDescent="0.3">
      <c r="I29237" s="82"/>
      <c r="M29237" s="85"/>
    </row>
    <row r="29238" spans="9:13" x14ac:dyDescent="0.3">
      <c r="I29238" s="82"/>
      <c r="M29238" s="85"/>
    </row>
    <row r="29239" spans="9:13" x14ac:dyDescent="0.3">
      <c r="I29239" s="82"/>
      <c r="M29239" s="85"/>
    </row>
    <row r="29240" spans="9:13" x14ac:dyDescent="0.3">
      <c r="I29240" s="82"/>
      <c r="M29240" s="85"/>
    </row>
    <row r="29241" spans="9:13" x14ac:dyDescent="0.3">
      <c r="I29241" s="82"/>
      <c r="M29241" s="85"/>
    </row>
    <row r="29242" spans="9:13" x14ac:dyDescent="0.3">
      <c r="I29242" s="82"/>
      <c r="M29242" s="85"/>
    </row>
    <row r="29243" spans="9:13" x14ac:dyDescent="0.3">
      <c r="I29243" s="82"/>
      <c r="M29243" s="85"/>
    </row>
    <row r="29244" spans="9:13" x14ac:dyDescent="0.3">
      <c r="I29244" s="82"/>
      <c r="M29244" s="85"/>
    </row>
    <row r="29245" spans="9:13" x14ac:dyDescent="0.3">
      <c r="I29245" s="82"/>
      <c r="M29245" s="85"/>
    </row>
    <row r="29246" spans="9:13" x14ac:dyDescent="0.3">
      <c r="I29246" s="82"/>
      <c r="M29246" s="85"/>
    </row>
    <row r="29247" spans="9:13" x14ac:dyDescent="0.3">
      <c r="I29247" s="82"/>
      <c r="M29247" s="85"/>
    </row>
    <row r="29248" spans="9:13" x14ac:dyDescent="0.3">
      <c r="I29248" s="82"/>
      <c r="M29248" s="85"/>
    </row>
    <row r="29249" spans="9:13" x14ac:dyDescent="0.3">
      <c r="I29249" s="82"/>
      <c r="M29249" s="85"/>
    </row>
    <row r="29250" spans="9:13" x14ac:dyDescent="0.3">
      <c r="I29250" s="82"/>
      <c r="M29250" s="85"/>
    </row>
    <row r="29251" spans="9:13" x14ac:dyDescent="0.3">
      <c r="I29251" s="82"/>
      <c r="M29251" s="85"/>
    </row>
    <row r="29252" spans="9:13" x14ac:dyDescent="0.3">
      <c r="I29252" s="82"/>
      <c r="M29252" s="85"/>
    </row>
    <row r="29253" spans="9:13" x14ac:dyDescent="0.3">
      <c r="I29253" s="82"/>
      <c r="M29253" s="85"/>
    </row>
    <row r="29254" spans="9:13" x14ac:dyDescent="0.3">
      <c r="I29254" s="82"/>
      <c r="M29254" s="85"/>
    </row>
    <row r="29255" spans="9:13" x14ac:dyDescent="0.3">
      <c r="I29255" s="82"/>
      <c r="M29255" s="85"/>
    </row>
    <row r="29256" spans="9:13" x14ac:dyDescent="0.3">
      <c r="I29256" s="82"/>
      <c r="M29256" s="85"/>
    </row>
    <row r="29257" spans="9:13" x14ac:dyDescent="0.3">
      <c r="I29257" s="82"/>
      <c r="M29257" s="85"/>
    </row>
    <row r="29258" spans="9:13" x14ac:dyDescent="0.3">
      <c r="I29258" s="82"/>
      <c r="M29258" s="85"/>
    </row>
    <row r="29259" spans="9:13" x14ac:dyDescent="0.3">
      <c r="I29259" s="82"/>
      <c r="M29259" s="85"/>
    </row>
    <row r="29260" spans="9:13" x14ac:dyDescent="0.3">
      <c r="I29260" s="82"/>
      <c r="M29260" s="85"/>
    </row>
    <row r="29261" spans="9:13" x14ac:dyDescent="0.3">
      <c r="I29261" s="82"/>
      <c r="M29261" s="85"/>
    </row>
    <row r="29262" spans="9:13" x14ac:dyDescent="0.3">
      <c r="I29262" s="82"/>
      <c r="M29262" s="85"/>
    </row>
    <row r="29263" spans="9:13" x14ac:dyDescent="0.3">
      <c r="I29263" s="82"/>
      <c r="M29263" s="85"/>
    </row>
    <row r="29264" spans="9:13" x14ac:dyDescent="0.3">
      <c r="I29264" s="82"/>
      <c r="M29264" s="85"/>
    </row>
    <row r="29265" spans="9:13" x14ac:dyDescent="0.3">
      <c r="I29265" s="82"/>
      <c r="M29265" s="85"/>
    </row>
    <row r="29266" spans="9:13" x14ac:dyDescent="0.3">
      <c r="I29266" s="82"/>
      <c r="M29266" s="85"/>
    </row>
    <row r="29267" spans="9:13" x14ac:dyDescent="0.3">
      <c r="I29267" s="82"/>
      <c r="M29267" s="85"/>
    </row>
    <row r="29268" spans="9:13" x14ac:dyDescent="0.3">
      <c r="I29268" s="82"/>
      <c r="M29268" s="85"/>
    </row>
    <row r="29269" spans="9:13" x14ac:dyDescent="0.3">
      <c r="I29269" s="82"/>
      <c r="M29269" s="85"/>
    </row>
    <row r="29270" spans="9:13" x14ac:dyDescent="0.3">
      <c r="I29270" s="82"/>
      <c r="M29270" s="85"/>
    </row>
    <row r="29271" spans="9:13" x14ac:dyDescent="0.3">
      <c r="I29271" s="82"/>
      <c r="M29271" s="85"/>
    </row>
    <row r="29272" spans="9:13" x14ac:dyDescent="0.3">
      <c r="I29272" s="82"/>
      <c r="M29272" s="85"/>
    </row>
    <row r="29273" spans="9:13" x14ac:dyDescent="0.3">
      <c r="I29273" s="82"/>
      <c r="M29273" s="85"/>
    </row>
    <row r="29274" spans="9:13" x14ac:dyDescent="0.3">
      <c r="I29274" s="82"/>
      <c r="M29274" s="85"/>
    </row>
    <row r="29275" spans="9:13" x14ac:dyDescent="0.3">
      <c r="I29275" s="82"/>
      <c r="M29275" s="85"/>
    </row>
    <row r="29276" spans="9:13" x14ac:dyDescent="0.3">
      <c r="I29276" s="82"/>
      <c r="M29276" s="85"/>
    </row>
    <row r="29277" spans="9:13" x14ac:dyDescent="0.3">
      <c r="I29277" s="82"/>
      <c r="M29277" s="85"/>
    </row>
    <row r="29278" spans="9:13" x14ac:dyDescent="0.3">
      <c r="I29278" s="82"/>
      <c r="M29278" s="85"/>
    </row>
    <row r="29279" spans="9:13" x14ac:dyDescent="0.3">
      <c r="I29279" s="82"/>
      <c r="M29279" s="85"/>
    </row>
    <row r="29280" spans="9:13" x14ac:dyDescent="0.3">
      <c r="I29280" s="82"/>
      <c r="M29280" s="85"/>
    </row>
    <row r="29281" spans="9:13" x14ac:dyDescent="0.3">
      <c r="I29281" s="82"/>
      <c r="M29281" s="85"/>
    </row>
    <row r="29282" spans="9:13" x14ac:dyDescent="0.3">
      <c r="I29282" s="82"/>
      <c r="M29282" s="85"/>
    </row>
    <row r="29283" spans="9:13" x14ac:dyDescent="0.3">
      <c r="I29283" s="82"/>
      <c r="M29283" s="85"/>
    </row>
    <row r="29284" spans="9:13" x14ac:dyDescent="0.3">
      <c r="I29284" s="82"/>
      <c r="M29284" s="85"/>
    </row>
    <row r="29285" spans="9:13" x14ac:dyDescent="0.3">
      <c r="I29285" s="82"/>
      <c r="M29285" s="85"/>
    </row>
    <row r="29286" spans="9:13" x14ac:dyDescent="0.3">
      <c r="I29286" s="82"/>
      <c r="M29286" s="85"/>
    </row>
    <row r="29287" spans="9:13" x14ac:dyDescent="0.3">
      <c r="I29287" s="82"/>
      <c r="M29287" s="85"/>
    </row>
    <row r="29288" spans="9:13" x14ac:dyDescent="0.3">
      <c r="I29288" s="82"/>
      <c r="M29288" s="85"/>
    </row>
    <row r="29289" spans="9:13" x14ac:dyDescent="0.3">
      <c r="I29289" s="82"/>
      <c r="M29289" s="85"/>
    </row>
    <row r="29290" spans="9:13" x14ac:dyDescent="0.3">
      <c r="I29290" s="82"/>
      <c r="M29290" s="85"/>
    </row>
    <row r="29291" spans="9:13" x14ac:dyDescent="0.3">
      <c r="I29291" s="82"/>
      <c r="M29291" s="85"/>
    </row>
    <row r="29292" spans="9:13" x14ac:dyDescent="0.3">
      <c r="I29292" s="82"/>
      <c r="M29292" s="85"/>
    </row>
    <row r="29293" spans="9:13" x14ac:dyDescent="0.3">
      <c r="I29293" s="82"/>
      <c r="M29293" s="85"/>
    </row>
    <row r="29294" spans="9:13" x14ac:dyDescent="0.3">
      <c r="I29294" s="82"/>
      <c r="M29294" s="85"/>
    </row>
    <row r="29295" spans="9:13" x14ac:dyDescent="0.3">
      <c r="I29295" s="82"/>
      <c r="M29295" s="85"/>
    </row>
    <row r="29296" spans="9:13" x14ac:dyDescent="0.3">
      <c r="I29296" s="82"/>
      <c r="M29296" s="85"/>
    </row>
    <row r="29297" spans="9:13" x14ac:dyDescent="0.3">
      <c r="I29297" s="82"/>
      <c r="M29297" s="85"/>
    </row>
    <row r="29298" spans="9:13" x14ac:dyDescent="0.3">
      <c r="I29298" s="82"/>
      <c r="M29298" s="85"/>
    </row>
    <row r="29299" spans="9:13" x14ac:dyDescent="0.3">
      <c r="I29299" s="82"/>
      <c r="M29299" s="85"/>
    </row>
    <row r="29300" spans="9:13" x14ac:dyDescent="0.3">
      <c r="I29300" s="82"/>
      <c r="M29300" s="85"/>
    </row>
    <row r="29301" spans="9:13" x14ac:dyDescent="0.3">
      <c r="I29301" s="82"/>
      <c r="M29301" s="85"/>
    </row>
    <row r="29302" spans="9:13" x14ac:dyDescent="0.3">
      <c r="I29302" s="82"/>
      <c r="M29302" s="85"/>
    </row>
    <row r="29303" spans="9:13" x14ac:dyDescent="0.3">
      <c r="I29303" s="82"/>
      <c r="M29303" s="85"/>
    </row>
    <row r="29304" spans="9:13" x14ac:dyDescent="0.3">
      <c r="I29304" s="82"/>
      <c r="M29304" s="85"/>
    </row>
    <row r="29305" spans="9:13" x14ac:dyDescent="0.3">
      <c r="I29305" s="82"/>
      <c r="M29305" s="85"/>
    </row>
    <row r="29306" spans="9:13" x14ac:dyDescent="0.3">
      <c r="I29306" s="82"/>
      <c r="M29306" s="85"/>
    </row>
    <row r="29307" spans="9:13" x14ac:dyDescent="0.3">
      <c r="I29307" s="82"/>
      <c r="M29307" s="85"/>
    </row>
    <row r="29308" spans="9:13" x14ac:dyDescent="0.3">
      <c r="I29308" s="82"/>
      <c r="M29308" s="85"/>
    </row>
    <row r="29309" spans="9:13" x14ac:dyDescent="0.3">
      <c r="I29309" s="82"/>
      <c r="M29309" s="85"/>
    </row>
    <row r="29310" spans="9:13" x14ac:dyDescent="0.3">
      <c r="I29310" s="82"/>
      <c r="M29310" s="85"/>
    </row>
    <row r="29311" spans="9:13" x14ac:dyDescent="0.3">
      <c r="I29311" s="82"/>
      <c r="M29311" s="85"/>
    </row>
    <row r="29312" spans="9:13" x14ac:dyDescent="0.3">
      <c r="I29312" s="82"/>
      <c r="M29312" s="85"/>
    </row>
    <row r="29313" spans="9:13" x14ac:dyDescent="0.3">
      <c r="I29313" s="82"/>
      <c r="M29313" s="85"/>
    </row>
    <row r="29314" spans="9:13" x14ac:dyDescent="0.3">
      <c r="I29314" s="82"/>
      <c r="M29314" s="85"/>
    </row>
    <row r="29315" spans="9:13" x14ac:dyDescent="0.3">
      <c r="I29315" s="82"/>
      <c r="M29315" s="85"/>
    </row>
    <row r="29316" spans="9:13" x14ac:dyDescent="0.3">
      <c r="I29316" s="82"/>
      <c r="M29316" s="85"/>
    </row>
    <row r="29317" spans="9:13" x14ac:dyDescent="0.3">
      <c r="I29317" s="82"/>
      <c r="M29317" s="85"/>
    </row>
    <row r="29318" spans="9:13" x14ac:dyDescent="0.3">
      <c r="I29318" s="82"/>
      <c r="M29318" s="85"/>
    </row>
    <row r="29319" spans="9:13" x14ac:dyDescent="0.3">
      <c r="I29319" s="82"/>
      <c r="M29319" s="85"/>
    </row>
    <row r="29320" spans="9:13" x14ac:dyDescent="0.3">
      <c r="I29320" s="82"/>
      <c r="M29320" s="85"/>
    </row>
    <row r="29321" spans="9:13" x14ac:dyDescent="0.3">
      <c r="I29321" s="82"/>
      <c r="M29321" s="85"/>
    </row>
    <row r="29322" spans="9:13" x14ac:dyDescent="0.3">
      <c r="I29322" s="82"/>
      <c r="M29322" s="85"/>
    </row>
    <row r="29323" spans="9:13" x14ac:dyDescent="0.3">
      <c r="I29323" s="82"/>
      <c r="M29323" s="85"/>
    </row>
    <row r="29324" spans="9:13" x14ac:dyDescent="0.3">
      <c r="I29324" s="82"/>
      <c r="M29324" s="85"/>
    </row>
    <row r="29325" spans="9:13" x14ac:dyDescent="0.3">
      <c r="I29325" s="82"/>
      <c r="M29325" s="85"/>
    </row>
    <row r="29326" spans="9:13" x14ac:dyDescent="0.3">
      <c r="I29326" s="82"/>
      <c r="M29326" s="85"/>
    </row>
    <row r="29327" spans="9:13" x14ac:dyDescent="0.3">
      <c r="I29327" s="82"/>
      <c r="M29327" s="85"/>
    </row>
    <row r="29328" spans="9:13" x14ac:dyDescent="0.3">
      <c r="I29328" s="82"/>
      <c r="M29328" s="85"/>
    </row>
    <row r="29329" spans="9:13" x14ac:dyDescent="0.3">
      <c r="I29329" s="82"/>
      <c r="M29329" s="85"/>
    </row>
    <row r="29330" spans="9:13" x14ac:dyDescent="0.3">
      <c r="I29330" s="82"/>
      <c r="M29330" s="85"/>
    </row>
    <row r="29331" spans="9:13" x14ac:dyDescent="0.3">
      <c r="I29331" s="82"/>
      <c r="M29331" s="85"/>
    </row>
    <row r="29332" spans="9:13" x14ac:dyDescent="0.3">
      <c r="I29332" s="82"/>
      <c r="M29332" s="85"/>
    </row>
    <row r="29333" spans="9:13" x14ac:dyDescent="0.3">
      <c r="I29333" s="82"/>
      <c r="M29333" s="85"/>
    </row>
    <row r="29334" spans="9:13" x14ac:dyDescent="0.3">
      <c r="I29334" s="82"/>
      <c r="M29334" s="85"/>
    </row>
    <row r="29335" spans="9:13" x14ac:dyDescent="0.3">
      <c r="I29335" s="82"/>
      <c r="M29335" s="85"/>
    </row>
    <row r="29336" spans="9:13" x14ac:dyDescent="0.3">
      <c r="I29336" s="82"/>
      <c r="M29336" s="85"/>
    </row>
    <row r="29337" spans="9:13" x14ac:dyDescent="0.3">
      <c r="I29337" s="82"/>
      <c r="M29337" s="85"/>
    </row>
    <row r="29338" spans="9:13" x14ac:dyDescent="0.3">
      <c r="I29338" s="82"/>
      <c r="M29338" s="85"/>
    </row>
    <row r="29339" spans="9:13" x14ac:dyDescent="0.3">
      <c r="I29339" s="82"/>
      <c r="M29339" s="85"/>
    </row>
    <row r="29340" spans="9:13" x14ac:dyDescent="0.3">
      <c r="I29340" s="82"/>
      <c r="M29340" s="85"/>
    </row>
    <row r="29341" spans="9:13" x14ac:dyDescent="0.3">
      <c r="I29341" s="82"/>
      <c r="M29341" s="85"/>
    </row>
    <row r="29342" spans="9:13" x14ac:dyDescent="0.3">
      <c r="I29342" s="82"/>
      <c r="M29342" s="85"/>
    </row>
    <row r="29343" spans="9:13" x14ac:dyDescent="0.3">
      <c r="I29343" s="82"/>
      <c r="M29343" s="85"/>
    </row>
    <row r="29344" spans="9:13" x14ac:dyDescent="0.3">
      <c r="I29344" s="82"/>
      <c r="M29344" s="85"/>
    </row>
    <row r="29345" spans="9:13" x14ac:dyDescent="0.3">
      <c r="I29345" s="82"/>
      <c r="M29345" s="85"/>
    </row>
    <row r="29346" spans="9:13" x14ac:dyDescent="0.3">
      <c r="I29346" s="82"/>
      <c r="M29346" s="85"/>
    </row>
    <row r="29347" spans="9:13" x14ac:dyDescent="0.3">
      <c r="I29347" s="82"/>
      <c r="M29347" s="85"/>
    </row>
    <row r="29348" spans="9:13" x14ac:dyDescent="0.3">
      <c r="I29348" s="82"/>
      <c r="M29348" s="85"/>
    </row>
    <row r="29349" spans="9:13" x14ac:dyDescent="0.3">
      <c r="I29349" s="82"/>
      <c r="M29349" s="85"/>
    </row>
    <row r="29350" spans="9:13" x14ac:dyDescent="0.3">
      <c r="I29350" s="82"/>
      <c r="M29350" s="85"/>
    </row>
    <row r="29351" spans="9:13" x14ac:dyDescent="0.3">
      <c r="I29351" s="82"/>
      <c r="M29351" s="85"/>
    </row>
    <row r="29352" spans="9:13" x14ac:dyDescent="0.3">
      <c r="I29352" s="82"/>
      <c r="M29352" s="85"/>
    </row>
    <row r="29353" spans="9:13" x14ac:dyDescent="0.3">
      <c r="I29353" s="82"/>
      <c r="M29353" s="85"/>
    </row>
    <row r="29354" spans="9:13" x14ac:dyDescent="0.3">
      <c r="I29354" s="82"/>
      <c r="M29354" s="85"/>
    </row>
    <row r="29355" spans="9:13" x14ac:dyDescent="0.3">
      <c r="I29355" s="82"/>
      <c r="M29355" s="85"/>
    </row>
    <row r="29356" spans="9:13" x14ac:dyDescent="0.3">
      <c r="I29356" s="82"/>
      <c r="M29356" s="85"/>
    </row>
    <row r="29357" spans="9:13" x14ac:dyDescent="0.3">
      <c r="I29357" s="82"/>
      <c r="M29357" s="85"/>
    </row>
    <row r="29358" spans="9:13" x14ac:dyDescent="0.3">
      <c r="I29358" s="82"/>
      <c r="M29358" s="85"/>
    </row>
    <row r="29359" spans="9:13" x14ac:dyDescent="0.3">
      <c r="I29359" s="82"/>
      <c r="M29359" s="85"/>
    </row>
    <row r="29360" spans="9:13" x14ac:dyDescent="0.3">
      <c r="I29360" s="82"/>
      <c r="M29360" s="85"/>
    </row>
    <row r="29361" spans="9:13" x14ac:dyDescent="0.3">
      <c r="I29361" s="82"/>
      <c r="M29361" s="85"/>
    </row>
    <row r="29362" spans="9:13" x14ac:dyDescent="0.3">
      <c r="I29362" s="82"/>
      <c r="M29362" s="85"/>
    </row>
    <row r="29363" spans="9:13" x14ac:dyDescent="0.3">
      <c r="I29363" s="82"/>
      <c r="M29363" s="85"/>
    </row>
    <row r="29364" spans="9:13" x14ac:dyDescent="0.3">
      <c r="I29364" s="82"/>
      <c r="M29364" s="85"/>
    </row>
    <row r="29365" spans="9:13" x14ac:dyDescent="0.3">
      <c r="I29365" s="82"/>
      <c r="M29365" s="85"/>
    </row>
    <row r="29366" spans="9:13" x14ac:dyDescent="0.3">
      <c r="I29366" s="82"/>
      <c r="M29366" s="85"/>
    </row>
    <row r="29367" spans="9:13" x14ac:dyDescent="0.3">
      <c r="I29367" s="82"/>
      <c r="M29367" s="85"/>
    </row>
    <row r="29368" spans="9:13" x14ac:dyDescent="0.3">
      <c r="I29368" s="82"/>
      <c r="M29368" s="85"/>
    </row>
    <row r="29369" spans="9:13" x14ac:dyDescent="0.3">
      <c r="I29369" s="82"/>
      <c r="M29369" s="85"/>
    </row>
    <row r="29370" spans="9:13" x14ac:dyDescent="0.3">
      <c r="I29370" s="82"/>
      <c r="M29370" s="85"/>
    </row>
    <row r="29371" spans="9:13" x14ac:dyDescent="0.3">
      <c r="I29371" s="82"/>
      <c r="M29371" s="85"/>
    </row>
    <row r="29372" spans="9:13" x14ac:dyDescent="0.3">
      <c r="I29372" s="82"/>
      <c r="M29372" s="85"/>
    </row>
    <row r="29373" spans="9:13" x14ac:dyDescent="0.3">
      <c r="I29373" s="82"/>
      <c r="M29373" s="85"/>
    </row>
    <row r="29374" spans="9:13" x14ac:dyDescent="0.3">
      <c r="I29374" s="82"/>
      <c r="M29374" s="85"/>
    </row>
    <row r="29375" spans="9:13" x14ac:dyDescent="0.3">
      <c r="I29375" s="82"/>
      <c r="M29375" s="85"/>
    </row>
    <row r="29376" spans="9:13" x14ac:dyDescent="0.3">
      <c r="I29376" s="82"/>
      <c r="M29376" s="85"/>
    </row>
    <row r="29377" spans="9:13" x14ac:dyDescent="0.3">
      <c r="I29377" s="82"/>
      <c r="M29377" s="85"/>
    </row>
    <row r="29378" spans="9:13" x14ac:dyDescent="0.3">
      <c r="I29378" s="82"/>
      <c r="M29378" s="85"/>
    </row>
    <row r="29379" spans="9:13" x14ac:dyDescent="0.3">
      <c r="I29379" s="82"/>
      <c r="M29379" s="85"/>
    </row>
    <row r="29380" spans="9:13" x14ac:dyDescent="0.3">
      <c r="I29380" s="82"/>
      <c r="M29380" s="85"/>
    </row>
    <row r="29381" spans="9:13" x14ac:dyDescent="0.3">
      <c r="I29381" s="82"/>
      <c r="M29381" s="85"/>
    </row>
    <row r="29382" spans="9:13" x14ac:dyDescent="0.3">
      <c r="I29382" s="82"/>
      <c r="M29382" s="85"/>
    </row>
    <row r="29383" spans="9:13" x14ac:dyDescent="0.3">
      <c r="I29383" s="82"/>
      <c r="M29383" s="85"/>
    </row>
    <row r="29384" spans="9:13" x14ac:dyDescent="0.3">
      <c r="I29384" s="82"/>
      <c r="M29384" s="85"/>
    </row>
    <row r="29385" spans="9:13" x14ac:dyDescent="0.3">
      <c r="I29385" s="82"/>
      <c r="M29385" s="85"/>
    </row>
    <row r="29386" spans="9:13" x14ac:dyDescent="0.3">
      <c r="I29386" s="82"/>
      <c r="M29386" s="85"/>
    </row>
    <row r="29387" spans="9:13" x14ac:dyDescent="0.3">
      <c r="I29387" s="82"/>
      <c r="M29387" s="85"/>
    </row>
    <row r="29388" spans="9:13" x14ac:dyDescent="0.3">
      <c r="I29388" s="82"/>
      <c r="M29388" s="85"/>
    </row>
    <row r="29389" spans="9:13" x14ac:dyDescent="0.3">
      <c r="I29389" s="82"/>
      <c r="M29389" s="85"/>
    </row>
    <row r="29390" spans="9:13" x14ac:dyDescent="0.3">
      <c r="I29390" s="82"/>
      <c r="M29390" s="85"/>
    </row>
    <row r="29391" spans="9:13" x14ac:dyDescent="0.3">
      <c r="I29391" s="82"/>
      <c r="M29391" s="85"/>
    </row>
    <row r="29392" spans="9:13" x14ac:dyDescent="0.3">
      <c r="I29392" s="82"/>
      <c r="M29392" s="85"/>
    </row>
    <row r="29393" spans="9:13" x14ac:dyDescent="0.3">
      <c r="I29393" s="82"/>
      <c r="M29393" s="85"/>
    </row>
    <row r="29394" spans="9:13" x14ac:dyDescent="0.3">
      <c r="I29394" s="82"/>
      <c r="M29394" s="85"/>
    </row>
    <row r="29395" spans="9:13" x14ac:dyDescent="0.3">
      <c r="I29395" s="82"/>
      <c r="M29395" s="85"/>
    </row>
    <row r="29396" spans="9:13" x14ac:dyDescent="0.3">
      <c r="I29396" s="82"/>
      <c r="M29396" s="85"/>
    </row>
    <row r="29397" spans="9:13" x14ac:dyDescent="0.3">
      <c r="I29397" s="82"/>
      <c r="M29397" s="85"/>
    </row>
    <row r="29398" spans="9:13" x14ac:dyDescent="0.3">
      <c r="I29398" s="82"/>
      <c r="M29398" s="85"/>
    </row>
    <row r="29399" spans="9:13" x14ac:dyDescent="0.3">
      <c r="I29399" s="82"/>
      <c r="M29399" s="85"/>
    </row>
    <row r="29400" spans="9:13" x14ac:dyDescent="0.3">
      <c r="I29400" s="82"/>
      <c r="M29400" s="85"/>
    </row>
    <row r="29401" spans="9:13" x14ac:dyDescent="0.3">
      <c r="I29401" s="82"/>
      <c r="M29401" s="85"/>
    </row>
    <row r="29402" spans="9:13" x14ac:dyDescent="0.3">
      <c r="I29402" s="82"/>
      <c r="M29402" s="85"/>
    </row>
    <row r="29403" spans="9:13" x14ac:dyDescent="0.3">
      <c r="I29403" s="82"/>
      <c r="M29403" s="85"/>
    </row>
    <row r="29404" spans="9:13" x14ac:dyDescent="0.3">
      <c r="I29404" s="82"/>
      <c r="M29404" s="85"/>
    </row>
    <row r="29405" spans="9:13" x14ac:dyDescent="0.3">
      <c r="I29405" s="82"/>
      <c r="M29405" s="85"/>
    </row>
    <row r="29406" spans="9:13" x14ac:dyDescent="0.3">
      <c r="I29406" s="82"/>
      <c r="M29406" s="85"/>
    </row>
    <row r="29407" spans="9:13" x14ac:dyDescent="0.3">
      <c r="I29407" s="82"/>
      <c r="M29407" s="85"/>
    </row>
    <row r="29408" spans="9:13" x14ac:dyDescent="0.3">
      <c r="I29408" s="82"/>
      <c r="M29408" s="85"/>
    </row>
    <row r="29409" spans="9:13" x14ac:dyDescent="0.3">
      <c r="I29409" s="82"/>
      <c r="M29409" s="85"/>
    </row>
    <row r="29410" spans="9:13" x14ac:dyDescent="0.3">
      <c r="I29410" s="82"/>
      <c r="M29410" s="85"/>
    </row>
    <row r="29411" spans="9:13" x14ac:dyDescent="0.3">
      <c r="I29411" s="82"/>
      <c r="M29411" s="85"/>
    </row>
    <row r="29412" spans="9:13" x14ac:dyDescent="0.3">
      <c r="I29412" s="82"/>
      <c r="M29412" s="85"/>
    </row>
    <row r="29413" spans="9:13" x14ac:dyDescent="0.3">
      <c r="I29413" s="82"/>
      <c r="M29413" s="85"/>
    </row>
    <row r="29414" spans="9:13" x14ac:dyDescent="0.3">
      <c r="I29414" s="82"/>
      <c r="M29414" s="85"/>
    </row>
    <row r="29415" spans="9:13" x14ac:dyDescent="0.3">
      <c r="I29415" s="82"/>
      <c r="M29415" s="85"/>
    </row>
    <row r="29416" spans="9:13" x14ac:dyDescent="0.3">
      <c r="I29416" s="82"/>
      <c r="M29416" s="85"/>
    </row>
    <row r="29417" spans="9:13" x14ac:dyDescent="0.3">
      <c r="I29417" s="82"/>
      <c r="M29417" s="85"/>
    </row>
    <row r="29418" spans="9:13" x14ac:dyDescent="0.3">
      <c r="I29418" s="82"/>
      <c r="M29418" s="85"/>
    </row>
    <row r="29419" spans="9:13" x14ac:dyDescent="0.3">
      <c r="I29419" s="82"/>
      <c r="M29419" s="85"/>
    </row>
    <row r="29420" spans="9:13" x14ac:dyDescent="0.3">
      <c r="I29420" s="82"/>
      <c r="M29420" s="85"/>
    </row>
    <row r="29421" spans="9:13" x14ac:dyDescent="0.3">
      <c r="I29421" s="82"/>
      <c r="M29421" s="85"/>
    </row>
    <row r="29422" spans="9:13" x14ac:dyDescent="0.3">
      <c r="I29422" s="82"/>
      <c r="M29422" s="85"/>
    </row>
    <row r="29423" spans="9:13" x14ac:dyDescent="0.3">
      <c r="I29423" s="82"/>
      <c r="M29423" s="85"/>
    </row>
    <row r="29424" spans="9:13" x14ac:dyDescent="0.3">
      <c r="I29424" s="82"/>
      <c r="M29424" s="85"/>
    </row>
    <row r="29425" spans="9:13" x14ac:dyDescent="0.3">
      <c r="I29425" s="82"/>
      <c r="M29425" s="85"/>
    </row>
    <row r="29426" spans="9:13" x14ac:dyDescent="0.3">
      <c r="I29426" s="82"/>
      <c r="M29426" s="85"/>
    </row>
    <row r="29427" spans="9:13" x14ac:dyDescent="0.3">
      <c r="I29427" s="82"/>
      <c r="M29427" s="85"/>
    </row>
    <row r="29428" spans="9:13" x14ac:dyDescent="0.3">
      <c r="I29428" s="82"/>
      <c r="M29428" s="85"/>
    </row>
    <row r="29429" spans="9:13" x14ac:dyDescent="0.3">
      <c r="I29429" s="82"/>
      <c r="M29429" s="85"/>
    </row>
    <row r="29430" spans="9:13" x14ac:dyDescent="0.3">
      <c r="I29430" s="82"/>
      <c r="M29430" s="85"/>
    </row>
    <row r="29431" spans="9:13" x14ac:dyDescent="0.3">
      <c r="I29431" s="82"/>
      <c r="M29431" s="85"/>
    </row>
    <row r="29432" spans="9:13" x14ac:dyDescent="0.3">
      <c r="I29432" s="82"/>
      <c r="M29432" s="85"/>
    </row>
    <row r="29433" spans="9:13" x14ac:dyDescent="0.3">
      <c r="I29433" s="82"/>
      <c r="M29433" s="85"/>
    </row>
    <row r="29434" spans="9:13" x14ac:dyDescent="0.3">
      <c r="I29434" s="82"/>
      <c r="M29434" s="85"/>
    </row>
    <row r="29435" spans="9:13" x14ac:dyDescent="0.3">
      <c r="I29435" s="82"/>
      <c r="M29435" s="85"/>
    </row>
    <row r="29436" spans="9:13" x14ac:dyDescent="0.3">
      <c r="I29436" s="82"/>
      <c r="M29436" s="85"/>
    </row>
    <row r="29437" spans="9:13" x14ac:dyDescent="0.3">
      <c r="I29437" s="82"/>
      <c r="M29437" s="85"/>
    </row>
    <row r="29438" spans="9:13" x14ac:dyDescent="0.3">
      <c r="I29438" s="82"/>
      <c r="M29438" s="85"/>
    </row>
    <row r="29439" spans="9:13" x14ac:dyDescent="0.3">
      <c r="I29439" s="82"/>
      <c r="M29439" s="85"/>
    </row>
    <row r="29440" spans="9:13" x14ac:dyDescent="0.3">
      <c r="I29440" s="82"/>
      <c r="M29440" s="85"/>
    </row>
    <row r="29441" spans="9:13" x14ac:dyDescent="0.3">
      <c r="I29441" s="82"/>
      <c r="M29441" s="85"/>
    </row>
    <row r="29442" spans="9:13" x14ac:dyDescent="0.3">
      <c r="I29442" s="82"/>
      <c r="M29442" s="85"/>
    </row>
    <row r="29443" spans="9:13" x14ac:dyDescent="0.3">
      <c r="I29443" s="82"/>
      <c r="M29443" s="85"/>
    </row>
    <row r="29444" spans="9:13" x14ac:dyDescent="0.3">
      <c r="I29444" s="82"/>
      <c r="M29444" s="85"/>
    </row>
    <row r="29445" spans="9:13" x14ac:dyDescent="0.3">
      <c r="I29445" s="82"/>
      <c r="M29445" s="85"/>
    </row>
    <row r="29446" spans="9:13" x14ac:dyDescent="0.3">
      <c r="I29446" s="82"/>
      <c r="M29446" s="85"/>
    </row>
    <row r="29447" spans="9:13" x14ac:dyDescent="0.3">
      <c r="I29447" s="82"/>
      <c r="M29447" s="85"/>
    </row>
    <row r="29448" spans="9:13" x14ac:dyDescent="0.3">
      <c r="I29448" s="82"/>
      <c r="M29448" s="85"/>
    </row>
    <row r="29449" spans="9:13" x14ac:dyDescent="0.3">
      <c r="I29449" s="82"/>
      <c r="M29449" s="85"/>
    </row>
    <row r="29450" spans="9:13" x14ac:dyDescent="0.3">
      <c r="I29450" s="82"/>
      <c r="M29450" s="85"/>
    </row>
    <row r="29451" spans="9:13" x14ac:dyDescent="0.3">
      <c r="I29451" s="82"/>
      <c r="M29451" s="85"/>
    </row>
    <row r="29452" spans="9:13" x14ac:dyDescent="0.3">
      <c r="I29452" s="82"/>
      <c r="M29452" s="85"/>
    </row>
    <row r="29453" spans="9:13" x14ac:dyDescent="0.3">
      <c r="I29453" s="82"/>
      <c r="M29453" s="85"/>
    </row>
    <row r="29454" spans="9:13" x14ac:dyDescent="0.3">
      <c r="I29454" s="82"/>
      <c r="M29454" s="85"/>
    </row>
    <row r="29455" spans="9:13" x14ac:dyDescent="0.3">
      <c r="I29455" s="82"/>
      <c r="M29455" s="85"/>
    </row>
    <row r="29456" spans="9:13" x14ac:dyDescent="0.3">
      <c r="I29456" s="82"/>
      <c r="M29456" s="85"/>
    </row>
    <row r="29457" spans="9:13" x14ac:dyDescent="0.3">
      <c r="I29457" s="82"/>
      <c r="M29457" s="85"/>
    </row>
    <row r="29458" spans="9:13" x14ac:dyDescent="0.3">
      <c r="I29458" s="82"/>
      <c r="M29458" s="85"/>
    </row>
    <row r="29459" spans="9:13" x14ac:dyDescent="0.3">
      <c r="I29459" s="82"/>
      <c r="M29459" s="85"/>
    </row>
    <row r="29460" spans="9:13" x14ac:dyDescent="0.3">
      <c r="I29460" s="82"/>
      <c r="M29460" s="85"/>
    </row>
    <row r="29461" spans="9:13" x14ac:dyDescent="0.3">
      <c r="I29461" s="82"/>
      <c r="M29461" s="85"/>
    </row>
    <row r="29462" spans="9:13" x14ac:dyDescent="0.3">
      <c r="I29462" s="82"/>
      <c r="M29462" s="85"/>
    </row>
    <row r="29463" spans="9:13" x14ac:dyDescent="0.3">
      <c r="I29463" s="82"/>
      <c r="M29463" s="85"/>
    </row>
    <row r="29464" spans="9:13" x14ac:dyDescent="0.3">
      <c r="I29464" s="82"/>
      <c r="M29464" s="85"/>
    </row>
    <row r="29465" spans="9:13" x14ac:dyDescent="0.3">
      <c r="I29465" s="82"/>
      <c r="M29465" s="85"/>
    </row>
    <row r="29466" spans="9:13" x14ac:dyDescent="0.3">
      <c r="I29466" s="82"/>
      <c r="M29466" s="85"/>
    </row>
    <row r="29467" spans="9:13" x14ac:dyDescent="0.3">
      <c r="I29467" s="82"/>
      <c r="M29467" s="85"/>
    </row>
    <row r="29468" spans="9:13" x14ac:dyDescent="0.3">
      <c r="I29468" s="82"/>
      <c r="M29468" s="85"/>
    </row>
    <row r="29469" spans="9:13" x14ac:dyDescent="0.3">
      <c r="I29469" s="82"/>
      <c r="M29469" s="85"/>
    </row>
    <row r="29470" spans="9:13" x14ac:dyDescent="0.3">
      <c r="I29470" s="82"/>
      <c r="M29470" s="85"/>
    </row>
    <row r="29471" spans="9:13" x14ac:dyDescent="0.3">
      <c r="I29471" s="82"/>
      <c r="M29471" s="85"/>
    </row>
    <row r="29472" spans="9:13" x14ac:dyDescent="0.3">
      <c r="I29472" s="82"/>
      <c r="M29472" s="85"/>
    </row>
    <row r="29473" spans="9:13" x14ac:dyDescent="0.3">
      <c r="I29473" s="82"/>
      <c r="M29473" s="85"/>
    </row>
    <row r="29474" spans="9:13" x14ac:dyDescent="0.3">
      <c r="I29474" s="82"/>
      <c r="M29474" s="85"/>
    </row>
    <row r="29475" spans="9:13" x14ac:dyDescent="0.3">
      <c r="I29475" s="82"/>
      <c r="M29475" s="85"/>
    </row>
    <row r="29476" spans="9:13" x14ac:dyDescent="0.3">
      <c r="I29476" s="82"/>
      <c r="M29476" s="85"/>
    </row>
    <row r="29477" spans="9:13" x14ac:dyDescent="0.3">
      <c r="I29477" s="82"/>
      <c r="M29477" s="85"/>
    </row>
    <row r="29478" spans="9:13" x14ac:dyDescent="0.3">
      <c r="I29478" s="82"/>
      <c r="M29478" s="85"/>
    </row>
    <row r="29479" spans="9:13" x14ac:dyDescent="0.3">
      <c r="I29479" s="82"/>
      <c r="M29479" s="85"/>
    </row>
    <row r="29480" spans="9:13" x14ac:dyDescent="0.3">
      <c r="I29480" s="82"/>
      <c r="M29480" s="85"/>
    </row>
    <row r="29481" spans="9:13" x14ac:dyDescent="0.3">
      <c r="I29481" s="82"/>
      <c r="M29481" s="85"/>
    </row>
    <row r="29482" spans="9:13" x14ac:dyDescent="0.3">
      <c r="I29482" s="82"/>
      <c r="M29482" s="85"/>
    </row>
    <row r="29483" spans="9:13" x14ac:dyDescent="0.3">
      <c r="I29483" s="82"/>
      <c r="M29483" s="85"/>
    </row>
    <row r="29484" spans="9:13" x14ac:dyDescent="0.3">
      <c r="I29484" s="82"/>
      <c r="M29484" s="85"/>
    </row>
    <row r="29485" spans="9:13" x14ac:dyDescent="0.3">
      <c r="I29485" s="82"/>
      <c r="M29485" s="85"/>
    </row>
    <row r="29486" spans="9:13" x14ac:dyDescent="0.3">
      <c r="I29486" s="82"/>
      <c r="M29486" s="85"/>
    </row>
    <row r="29487" spans="9:13" x14ac:dyDescent="0.3">
      <c r="I29487" s="82"/>
      <c r="M29487" s="85"/>
    </row>
    <row r="29488" spans="9:13" x14ac:dyDescent="0.3">
      <c r="I29488" s="82"/>
      <c r="M29488" s="85"/>
    </row>
    <row r="29489" spans="9:13" x14ac:dyDescent="0.3">
      <c r="I29489" s="82"/>
      <c r="M29489" s="85"/>
    </row>
    <row r="29490" spans="9:13" x14ac:dyDescent="0.3">
      <c r="I29490" s="82"/>
      <c r="M29490" s="85"/>
    </row>
    <row r="29491" spans="9:13" x14ac:dyDescent="0.3">
      <c r="I29491" s="82"/>
      <c r="M29491" s="85"/>
    </row>
    <row r="29492" spans="9:13" x14ac:dyDescent="0.3">
      <c r="I29492" s="82"/>
      <c r="M29492" s="85"/>
    </row>
    <row r="29493" spans="9:13" x14ac:dyDescent="0.3">
      <c r="I29493" s="82"/>
      <c r="M29493" s="85"/>
    </row>
    <row r="29494" spans="9:13" x14ac:dyDescent="0.3">
      <c r="I29494" s="82"/>
      <c r="M29494" s="85"/>
    </row>
    <row r="29495" spans="9:13" x14ac:dyDescent="0.3">
      <c r="I29495" s="82"/>
      <c r="M29495" s="85"/>
    </row>
    <row r="29496" spans="9:13" x14ac:dyDescent="0.3">
      <c r="I29496" s="82"/>
      <c r="M29496" s="85"/>
    </row>
    <row r="29497" spans="9:13" x14ac:dyDescent="0.3">
      <c r="I29497" s="82"/>
      <c r="M29497" s="85"/>
    </row>
    <row r="29498" spans="9:13" x14ac:dyDescent="0.3">
      <c r="I29498" s="82"/>
      <c r="M29498" s="85"/>
    </row>
    <row r="29499" spans="9:13" x14ac:dyDescent="0.3">
      <c r="I29499" s="82"/>
      <c r="M29499" s="85"/>
    </row>
    <row r="29500" spans="9:13" x14ac:dyDescent="0.3">
      <c r="I29500" s="82"/>
      <c r="M29500" s="85"/>
    </row>
    <row r="29501" spans="9:13" x14ac:dyDescent="0.3">
      <c r="I29501" s="82"/>
      <c r="M29501" s="85"/>
    </row>
    <row r="29502" spans="9:13" x14ac:dyDescent="0.3">
      <c r="I29502" s="82"/>
      <c r="M29502" s="85"/>
    </row>
    <row r="29503" spans="9:13" x14ac:dyDescent="0.3">
      <c r="I29503" s="82"/>
      <c r="M29503" s="85"/>
    </row>
    <row r="29504" spans="9:13" x14ac:dyDescent="0.3">
      <c r="I29504" s="82"/>
      <c r="M29504" s="85"/>
    </row>
    <row r="29505" spans="9:13" x14ac:dyDescent="0.3">
      <c r="I29505" s="82"/>
      <c r="M29505" s="85"/>
    </row>
    <row r="29506" spans="9:13" x14ac:dyDescent="0.3">
      <c r="I29506" s="82"/>
      <c r="M29506" s="85"/>
    </row>
    <row r="29507" spans="9:13" x14ac:dyDescent="0.3">
      <c r="I29507" s="82"/>
      <c r="M29507" s="85"/>
    </row>
    <row r="29508" spans="9:13" x14ac:dyDescent="0.3">
      <c r="I29508" s="82"/>
      <c r="M29508" s="85"/>
    </row>
    <row r="29509" spans="9:13" x14ac:dyDescent="0.3">
      <c r="I29509" s="82"/>
      <c r="M29509" s="85"/>
    </row>
    <row r="29510" spans="9:13" x14ac:dyDescent="0.3">
      <c r="I29510" s="82"/>
      <c r="M29510" s="85"/>
    </row>
    <row r="29511" spans="9:13" x14ac:dyDescent="0.3">
      <c r="I29511" s="82"/>
      <c r="M29511" s="85"/>
    </row>
    <row r="29512" spans="9:13" x14ac:dyDescent="0.3">
      <c r="I29512" s="82"/>
      <c r="M29512" s="85"/>
    </row>
    <row r="29513" spans="9:13" x14ac:dyDescent="0.3">
      <c r="I29513" s="82"/>
      <c r="M29513" s="85"/>
    </row>
    <row r="29514" spans="9:13" x14ac:dyDescent="0.3">
      <c r="I29514" s="82"/>
      <c r="M29514" s="85"/>
    </row>
    <row r="29515" spans="9:13" x14ac:dyDescent="0.3">
      <c r="I29515" s="82"/>
      <c r="M29515" s="85"/>
    </row>
    <row r="29516" spans="9:13" x14ac:dyDescent="0.3">
      <c r="I29516" s="82"/>
      <c r="M29516" s="85"/>
    </row>
    <row r="29517" spans="9:13" x14ac:dyDescent="0.3">
      <c r="I29517" s="82"/>
      <c r="M29517" s="85"/>
    </row>
    <row r="29518" spans="9:13" x14ac:dyDescent="0.3">
      <c r="I29518" s="82"/>
      <c r="M29518" s="85"/>
    </row>
    <row r="29519" spans="9:13" x14ac:dyDescent="0.3">
      <c r="I29519" s="82"/>
      <c r="M29519" s="85"/>
    </row>
    <row r="29520" spans="9:13" x14ac:dyDescent="0.3">
      <c r="I29520" s="82"/>
      <c r="M29520" s="85"/>
    </row>
    <row r="29521" spans="9:13" x14ac:dyDescent="0.3">
      <c r="I29521" s="82"/>
      <c r="M29521" s="85"/>
    </row>
    <row r="29522" spans="9:13" x14ac:dyDescent="0.3">
      <c r="I29522" s="82"/>
      <c r="M29522" s="85"/>
    </row>
    <row r="29523" spans="9:13" x14ac:dyDescent="0.3">
      <c r="I29523" s="82"/>
      <c r="M29523" s="85"/>
    </row>
    <row r="29524" spans="9:13" x14ac:dyDescent="0.3">
      <c r="I29524" s="82"/>
      <c r="M29524" s="85"/>
    </row>
    <row r="29525" spans="9:13" x14ac:dyDescent="0.3">
      <c r="I29525" s="82"/>
      <c r="M29525" s="85"/>
    </row>
    <row r="29526" spans="9:13" x14ac:dyDescent="0.3">
      <c r="I29526" s="82"/>
      <c r="M29526" s="85"/>
    </row>
    <row r="29527" spans="9:13" x14ac:dyDescent="0.3">
      <c r="I29527" s="82"/>
      <c r="M29527" s="85"/>
    </row>
    <row r="29528" spans="9:13" x14ac:dyDescent="0.3">
      <c r="I29528" s="82"/>
      <c r="M29528" s="85"/>
    </row>
    <row r="29529" spans="9:13" x14ac:dyDescent="0.3">
      <c r="I29529" s="82"/>
      <c r="M29529" s="85"/>
    </row>
    <row r="29530" spans="9:13" x14ac:dyDescent="0.3">
      <c r="I29530" s="82"/>
      <c r="M29530" s="85"/>
    </row>
    <row r="29531" spans="9:13" x14ac:dyDescent="0.3">
      <c r="I29531" s="82"/>
      <c r="M29531" s="85"/>
    </row>
    <row r="29532" spans="9:13" x14ac:dyDescent="0.3">
      <c r="I29532" s="82"/>
      <c r="M29532" s="85"/>
    </row>
    <row r="29533" spans="9:13" x14ac:dyDescent="0.3">
      <c r="I29533" s="82"/>
      <c r="M29533" s="85"/>
    </row>
    <row r="29534" spans="9:13" x14ac:dyDescent="0.3">
      <c r="I29534" s="82"/>
      <c r="M29534" s="85"/>
    </row>
    <row r="29535" spans="9:13" x14ac:dyDescent="0.3">
      <c r="I29535" s="82"/>
      <c r="M29535" s="85"/>
    </row>
    <row r="29536" spans="9:13" x14ac:dyDescent="0.3">
      <c r="I29536" s="82"/>
      <c r="M29536" s="85"/>
    </row>
    <row r="29537" spans="9:13" x14ac:dyDescent="0.3">
      <c r="I29537" s="82"/>
      <c r="M29537" s="85"/>
    </row>
    <row r="29538" spans="9:13" x14ac:dyDescent="0.3">
      <c r="I29538" s="82"/>
      <c r="M29538" s="85"/>
    </row>
    <row r="29539" spans="9:13" x14ac:dyDescent="0.3">
      <c r="I29539" s="82"/>
      <c r="M29539" s="85"/>
    </row>
    <row r="29540" spans="9:13" x14ac:dyDescent="0.3">
      <c r="I29540" s="82"/>
      <c r="M29540" s="85"/>
    </row>
    <row r="29541" spans="9:13" x14ac:dyDescent="0.3">
      <c r="I29541" s="82"/>
      <c r="M29541" s="85"/>
    </row>
    <row r="29542" spans="9:13" x14ac:dyDescent="0.3">
      <c r="I29542" s="82"/>
      <c r="M29542" s="85"/>
    </row>
    <row r="29543" spans="9:13" x14ac:dyDescent="0.3">
      <c r="I29543" s="82"/>
      <c r="M29543" s="85"/>
    </row>
    <row r="29544" spans="9:13" x14ac:dyDescent="0.3">
      <c r="I29544" s="82"/>
      <c r="M29544" s="85"/>
    </row>
    <row r="29545" spans="9:13" x14ac:dyDescent="0.3">
      <c r="I29545" s="82"/>
      <c r="M29545" s="85"/>
    </row>
    <row r="29546" spans="9:13" x14ac:dyDescent="0.3">
      <c r="I29546" s="82"/>
      <c r="M29546" s="85"/>
    </row>
    <row r="29547" spans="9:13" x14ac:dyDescent="0.3">
      <c r="I29547" s="82"/>
      <c r="M29547" s="85"/>
    </row>
    <row r="29548" spans="9:13" x14ac:dyDescent="0.3">
      <c r="I29548" s="82"/>
      <c r="M29548" s="85"/>
    </row>
    <row r="29549" spans="9:13" x14ac:dyDescent="0.3">
      <c r="I29549" s="82"/>
      <c r="M29549" s="85"/>
    </row>
    <row r="29550" spans="9:13" x14ac:dyDescent="0.3">
      <c r="I29550" s="82"/>
      <c r="M29550" s="85"/>
    </row>
    <row r="29551" spans="9:13" x14ac:dyDescent="0.3">
      <c r="I29551" s="82"/>
      <c r="M29551" s="85"/>
    </row>
    <row r="29552" spans="9:13" x14ac:dyDescent="0.3">
      <c r="I29552" s="82"/>
      <c r="M29552" s="85"/>
    </row>
    <row r="29553" spans="9:13" x14ac:dyDescent="0.3">
      <c r="I29553" s="82"/>
      <c r="M29553" s="85"/>
    </row>
    <row r="29554" spans="9:13" x14ac:dyDescent="0.3">
      <c r="I29554" s="82"/>
      <c r="M29554" s="85"/>
    </row>
    <row r="29555" spans="9:13" x14ac:dyDescent="0.3">
      <c r="I29555" s="82"/>
      <c r="M29555" s="85"/>
    </row>
    <row r="29556" spans="9:13" x14ac:dyDescent="0.3">
      <c r="I29556" s="82"/>
      <c r="M29556" s="85"/>
    </row>
    <row r="29557" spans="9:13" x14ac:dyDescent="0.3">
      <c r="I29557" s="82"/>
      <c r="M29557" s="85"/>
    </row>
    <row r="29558" spans="9:13" x14ac:dyDescent="0.3">
      <c r="I29558" s="82"/>
      <c r="M29558" s="85"/>
    </row>
    <row r="29559" spans="9:13" x14ac:dyDescent="0.3">
      <c r="I29559" s="82"/>
      <c r="M29559" s="85"/>
    </row>
    <row r="29560" spans="9:13" x14ac:dyDescent="0.3">
      <c r="I29560" s="82"/>
      <c r="M29560" s="85"/>
    </row>
    <row r="29561" spans="9:13" x14ac:dyDescent="0.3">
      <c r="I29561" s="82"/>
      <c r="M29561" s="85"/>
    </row>
    <row r="29562" spans="9:13" x14ac:dyDescent="0.3">
      <c r="I29562" s="82"/>
      <c r="M29562" s="85"/>
    </row>
    <row r="29563" spans="9:13" x14ac:dyDescent="0.3">
      <c r="I29563" s="82"/>
      <c r="M29563" s="85"/>
    </row>
    <row r="29564" spans="9:13" x14ac:dyDescent="0.3">
      <c r="I29564" s="82"/>
      <c r="M29564" s="85"/>
    </row>
    <row r="29565" spans="9:13" x14ac:dyDescent="0.3">
      <c r="I29565" s="82"/>
      <c r="M29565" s="85"/>
    </row>
    <row r="29566" spans="9:13" x14ac:dyDescent="0.3">
      <c r="I29566" s="82"/>
      <c r="M29566" s="85"/>
    </row>
    <row r="29567" spans="9:13" x14ac:dyDescent="0.3">
      <c r="I29567" s="82"/>
      <c r="M29567" s="85"/>
    </row>
    <row r="29568" spans="9:13" x14ac:dyDescent="0.3">
      <c r="I29568" s="82"/>
      <c r="M29568" s="85"/>
    </row>
    <row r="29569" spans="9:13" x14ac:dyDescent="0.3">
      <c r="I29569" s="82"/>
      <c r="M29569" s="85"/>
    </row>
    <row r="29570" spans="9:13" x14ac:dyDescent="0.3">
      <c r="I29570" s="82"/>
      <c r="M29570" s="85"/>
    </row>
    <row r="29571" spans="9:13" x14ac:dyDescent="0.3">
      <c r="I29571" s="82"/>
      <c r="M29571" s="85"/>
    </row>
    <row r="29572" spans="9:13" x14ac:dyDescent="0.3">
      <c r="I29572" s="82"/>
      <c r="M29572" s="85"/>
    </row>
    <row r="29573" spans="9:13" x14ac:dyDescent="0.3">
      <c r="I29573" s="82"/>
      <c r="M29573" s="85"/>
    </row>
    <row r="29574" spans="9:13" x14ac:dyDescent="0.3">
      <c r="I29574" s="82"/>
      <c r="M29574" s="85"/>
    </row>
    <row r="29575" spans="9:13" x14ac:dyDescent="0.3">
      <c r="I29575" s="82"/>
      <c r="M29575" s="85"/>
    </row>
    <row r="29576" spans="9:13" x14ac:dyDescent="0.3">
      <c r="I29576" s="82"/>
      <c r="M29576" s="85"/>
    </row>
    <row r="29577" spans="9:13" x14ac:dyDescent="0.3">
      <c r="I29577" s="82"/>
      <c r="M29577" s="85"/>
    </row>
    <row r="29578" spans="9:13" x14ac:dyDescent="0.3">
      <c r="I29578" s="82"/>
      <c r="M29578" s="85"/>
    </row>
    <row r="29579" spans="9:13" x14ac:dyDescent="0.3">
      <c r="I29579" s="82"/>
      <c r="M29579" s="85"/>
    </row>
    <row r="29580" spans="9:13" x14ac:dyDescent="0.3">
      <c r="I29580" s="82"/>
      <c r="M29580" s="85"/>
    </row>
    <row r="29581" spans="9:13" x14ac:dyDescent="0.3">
      <c r="I29581" s="82"/>
      <c r="M29581" s="85"/>
    </row>
    <row r="29582" spans="9:13" x14ac:dyDescent="0.3">
      <c r="I29582" s="82"/>
      <c r="M29582" s="85"/>
    </row>
    <row r="29583" spans="9:13" x14ac:dyDescent="0.3">
      <c r="I29583" s="82"/>
      <c r="M29583" s="85"/>
    </row>
    <row r="29584" spans="9:13" x14ac:dyDescent="0.3">
      <c r="I29584" s="82"/>
      <c r="M29584" s="85"/>
    </row>
    <row r="29585" spans="9:13" x14ac:dyDescent="0.3">
      <c r="I29585" s="82"/>
      <c r="M29585" s="85"/>
    </row>
    <row r="29586" spans="9:13" x14ac:dyDescent="0.3">
      <c r="I29586" s="82"/>
      <c r="M29586" s="85"/>
    </row>
    <row r="29587" spans="9:13" x14ac:dyDescent="0.3">
      <c r="I29587" s="82"/>
      <c r="M29587" s="85"/>
    </row>
    <row r="29588" spans="9:13" x14ac:dyDescent="0.3">
      <c r="I29588" s="82"/>
      <c r="M29588" s="85"/>
    </row>
    <row r="29589" spans="9:13" x14ac:dyDescent="0.3">
      <c r="I29589" s="82"/>
      <c r="M29589" s="85"/>
    </row>
    <row r="29590" spans="9:13" x14ac:dyDescent="0.3">
      <c r="I29590" s="82"/>
      <c r="M29590" s="85"/>
    </row>
    <row r="29591" spans="9:13" x14ac:dyDescent="0.3">
      <c r="I29591" s="82"/>
      <c r="M29591" s="85"/>
    </row>
    <row r="29592" spans="9:13" x14ac:dyDescent="0.3">
      <c r="I29592" s="82"/>
      <c r="M29592" s="85"/>
    </row>
    <row r="29593" spans="9:13" x14ac:dyDescent="0.3">
      <c r="I29593" s="82"/>
      <c r="M29593" s="85"/>
    </row>
    <row r="29594" spans="9:13" x14ac:dyDescent="0.3">
      <c r="I29594" s="82"/>
      <c r="M29594" s="85"/>
    </row>
    <row r="29595" spans="9:13" x14ac:dyDescent="0.3">
      <c r="I29595" s="82"/>
      <c r="M29595" s="85"/>
    </row>
    <row r="29596" spans="9:13" x14ac:dyDescent="0.3">
      <c r="I29596" s="82"/>
      <c r="M29596" s="85"/>
    </row>
    <row r="29597" spans="9:13" x14ac:dyDescent="0.3">
      <c r="I29597" s="82"/>
      <c r="M29597" s="85"/>
    </row>
    <row r="29598" spans="9:13" x14ac:dyDescent="0.3">
      <c r="I29598" s="82"/>
      <c r="M29598" s="85"/>
    </row>
    <row r="29599" spans="9:13" x14ac:dyDescent="0.3">
      <c r="I29599" s="82"/>
      <c r="M29599" s="85"/>
    </row>
    <row r="29600" spans="9:13" x14ac:dyDescent="0.3">
      <c r="I29600" s="82"/>
      <c r="M29600" s="85"/>
    </row>
    <row r="29601" spans="9:13" x14ac:dyDescent="0.3">
      <c r="I29601" s="82"/>
      <c r="M29601" s="85"/>
    </row>
    <row r="29602" spans="9:13" x14ac:dyDescent="0.3">
      <c r="I29602" s="82"/>
      <c r="M29602" s="85"/>
    </row>
    <row r="29603" spans="9:13" x14ac:dyDescent="0.3">
      <c r="I29603" s="82"/>
      <c r="M29603" s="85"/>
    </row>
    <row r="29604" spans="9:13" x14ac:dyDescent="0.3">
      <c r="I29604" s="82"/>
      <c r="M29604" s="85"/>
    </row>
    <row r="29605" spans="9:13" x14ac:dyDescent="0.3">
      <c r="I29605" s="82"/>
      <c r="M29605" s="85"/>
    </row>
    <row r="29606" spans="9:13" x14ac:dyDescent="0.3">
      <c r="I29606" s="82"/>
      <c r="M29606" s="85"/>
    </row>
    <row r="29607" spans="9:13" x14ac:dyDescent="0.3">
      <c r="I29607" s="82"/>
      <c r="M29607" s="85"/>
    </row>
    <row r="29608" spans="9:13" x14ac:dyDescent="0.3">
      <c r="I29608" s="82"/>
      <c r="M29608" s="85"/>
    </row>
    <row r="29609" spans="9:13" x14ac:dyDescent="0.3">
      <c r="I29609" s="82"/>
      <c r="M29609" s="85"/>
    </row>
    <row r="29610" spans="9:13" x14ac:dyDescent="0.3">
      <c r="I29610" s="82"/>
      <c r="M29610" s="85"/>
    </row>
    <row r="29611" spans="9:13" x14ac:dyDescent="0.3">
      <c r="I29611" s="82"/>
      <c r="M29611" s="85"/>
    </row>
    <row r="29612" spans="9:13" x14ac:dyDescent="0.3">
      <c r="I29612" s="82"/>
      <c r="M29612" s="85"/>
    </row>
    <row r="29613" spans="9:13" x14ac:dyDescent="0.3">
      <c r="I29613" s="82"/>
      <c r="M29613" s="85"/>
    </row>
    <row r="29614" spans="9:13" x14ac:dyDescent="0.3">
      <c r="I29614" s="82"/>
      <c r="M29614" s="85"/>
    </row>
    <row r="29615" spans="9:13" x14ac:dyDescent="0.3">
      <c r="I29615" s="82"/>
      <c r="M29615" s="85"/>
    </row>
    <row r="29616" spans="9:13" x14ac:dyDescent="0.3">
      <c r="I29616" s="82"/>
      <c r="M29616" s="85"/>
    </row>
    <row r="29617" spans="9:13" x14ac:dyDescent="0.3">
      <c r="I29617" s="82"/>
      <c r="M29617" s="85"/>
    </row>
    <row r="29618" spans="9:13" x14ac:dyDescent="0.3">
      <c r="I29618" s="82"/>
      <c r="M29618" s="85"/>
    </row>
    <row r="29619" spans="9:13" x14ac:dyDescent="0.3">
      <c r="I29619" s="82"/>
      <c r="M29619" s="85"/>
    </row>
    <row r="29620" spans="9:13" x14ac:dyDescent="0.3">
      <c r="I29620" s="82"/>
      <c r="M29620" s="85"/>
    </row>
    <row r="29621" spans="9:13" x14ac:dyDescent="0.3">
      <c r="I29621" s="82"/>
      <c r="M29621" s="85"/>
    </row>
    <row r="29622" spans="9:13" x14ac:dyDescent="0.3">
      <c r="I29622" s="82"/>
      <c r="M29622" s="85"/>
    </row>
    <row r="29623" spans="9:13" x14ac:dyDescent="0.3">
      <c r="I29623" s="82"/>
      <c r="M29623" s="85"/>
    </row>
    <row r="29624" spans="9:13" x14ac:dyDescent="0.3">
      <c r="I29624" s="82"/>
      <c r="M29624" s="85"/>
    </row>
    <row r="29625" spans="9:13" x14ac:dyDescent="0.3">
      <c r="I29625" s="82"/>
      <c r="M29625" s="85"/>
    </row>
    <row r="29626" spans="9:13" x14ac:dyDescent="0.3">
      <c r="I29626" s="82"/>
      <c r="M29626" s="85"/>
    </row>
    <row r="29627" spans="9:13" x14ac:dyDescent="0.3">
      <c r="I29627" s="82"/>
      <c r="M29627" s="85"/>
    </row>
    <row r="29628" spans="9:13" x14ac:dyDescent="0.3">
      <c r="I29628" s="82"/>
      <c r="M29628" s="85"/>
    </row>
    <row r="29629" spans="9:13" x14ac:dyDescent="0.3">
      <c r="I29629" s="82"/>
      <c r="M29629" s="85"/>
    </row>
    <row r="29630" spans="9:13" x14ac:dyDescent="0.3">
      <c r="I29630" s="82"/>
      <c r="M29630" s="85"/>
    </row>
    <row r="29631" spans="9:13" x14ac:dyDescent="0.3">
      <c r="I29631" s="82"/>
      <c r="M29631" s="85"/>
    </row>
    <row r="29632" spans="9:13" x14ac:dyDescent="0.3">
      <c r="I29632" s="82"/>
      <c r="M29632" s="85"/>
    </row>
    <row r="29633" spans="9:13" x14ac:dyDescent="0.3">
      <c r="I29633" s="82"/>
      <c r="M29633" s="85"/>
    </row>
    <row r="29634" spans="9:13" x14ac:dyDescent="0.3">
      <c r="I29634" s="82"/>
      <c r="M29634" s="85"/>
    </row>
    <row r="29635" spans="9:13" x14ac:dyDescent="0.3">
      <c r="I29635" s="82"/>
      <c r="M29635" s="85"/>
    </row>
    <row r="29636" spans="9:13" x14ac:dyDescent="0.3">
      <c r="I29636" s="82"/>
      <c r="M29636" s="85"/>
    </row>
    <row r="29637" spans="9:13" x14ac:dyDescent="0.3">
      <c r="I29637" s="82"/>
      <c r="M29637" s="85"/>
    </row>
    <row r="29638" spans="9:13" x14ac:dyDescent="0.3">
      <c r="I29638" s="82"/>
      <c r="M29638" s="85"/>
    </row>
    <row r="29639" spans="9:13" x14ac:dyDescent="0.3">
      <c r="I29639" s="82"/>
      <c r="M29639" s="85"/>
    </row>
    <row r="29640" spans="9:13" x14ac:dyDescent="0.3">
      <c r="I29640" s="82"/>
      <c r="M29640" s="85"/>
    </row>
    <row r="29641" spans="9:13" x14ac:dyDescent="0.3">
      <c r="I29641" s="82"/>
      <c r="M29641" s="85"/>
    </row>
    <row r="29642" spans="9:13" x14ac:dyDescent="0.3">
      <c r="I29642" s="82"/>
      <c r="M29642" s="85"/>
    </row>
    <row r="29643" spans="9:13" x14ac:dyDescent="0.3">
      <c r="I29643" s="82"/>
      <c r="M29643" s="85"/>
    </row>
    <row r="29644" spans="9:13" x14ac:dyDescent="0.3">
      <c r="I29644" s="82"/>
      <c r="M29644" s="85"/>
    </row>
    <row r="29645" spans="9:13" x14ac:dyDescent="0.3">
      <c r="I29645" s="82"/>
      <c r="M29645" s="85"/>
    </row>
    <row r="29646" spans="9:13" x14ac:dyDescent="0.3">
      <c r="I29646" s="82"/>
      <c r="M29646" s="85"/>
    </row>
    <row r="29647" spans="9:13" x14ac:dyDescent="0.3">
      <c r="I29647" s="82"/>
      <c r="M29647" s="85"/>
    </row>
    <row r="29648" spans="9:13" x14ac:dyDescent="0.3">
      <c r="I29648" s="82"/>
      <c r="M29648" s="85"/>
    </row>
    <row r="29649" spans="9:13" x14ac:dyDescent="0.3">
      <c r="I29649" s="82"/>
      <c r="M29649" s="85"/>
    </row>
    <row r="29650" spans="9:13" x14ac:dyDescent="0.3">
      <c r="I29650" s="82"/>
      <c r="M29650" s="85"/>
    </row>
    <row r="29651" spans="9:13" x14ac:dyDescent="0.3">
      <c r="I29651" s="82"/>
      <c r="M29651" s="85"/>
    </row>
    <row r="29652" spans="9:13" x14ac:dyDescent="0.3">
      <c r="I29652" s="82"/>
      <c r="M29652" s="85"/>
    </row>
    <row r="29653" spans="9:13" x14ac:dyDescent="0.3">
      <c r="I29653" s="82"/>
      <c r="M29653" s="85"/>
    </row>
    <row r="29654" spans="9:13" x14ac:dyDescent="0.3">
      <c r="I29654" s="82"/>
      <c r="M29654" s="85"/>
    </row>
    <row r="29655" spans="9:13" x14ac:dyDescent="0.3">
      <c r="I29655" s="82"/>
      <c r="M29655" s="85"/>
    </row>
    <row r="29656" spans="9:13" x14ac:dyDescent="0.3">
      <c r="I29656" s="82"/>
      <c r="M29656" s="85"/>
    </row>
    <row r="29657" spans="9:13" x14ac:dyDescent="0.3">
      <c r="I29657" s="82"/>
      <c r="M29657" s="85"/>
    </row>
    <row r="29658" spans="9:13" x14ac:dyDescent="0.3">
      <c r="I29658" s="82"/>
      <c r="M29658" s="85"/>
    </row>
    <row r="29659" spans="9:13" x14ac:dyDescent="0.3">
      <c r="I29659" s="82"/>
      <c r="M29659" s="85"/>
    </row>
    <row r="29660" spans="9:13" x14ac:dyDescent="0.3">
      <c r="I29660" s="82"/>
      <c r="M29660" s="85"/>
    </row>
    <row r="29661" spans="9:13" x14ac:dyDescent="0.3">
      <c r="I29661" s="82"/>
      <c r="M29661" s="85"/>
    </row>
    <row r="29662" spans="9:13" x14ac:dyDescent="0.3">
      <c r="I29662" s="82"/>
      <c r="M29662" s="85"/>
    </row>
    <row r="29663" spans="9:13" x14ac:dyDescent="0.3">
      <c r="I29663" s="82"/>
      <c r="M29663" s="85"/>
    </row>
    <row r="29664" spans="9:13" x14ac:dyDescent="0.3">
      <c r="I29664" s="82"/>
      <c r="M29664" s="85"/>
    </row>
    <row r="29665" spans="9:13" x14ac:dyDescent="0.3">
      <c r="I29665" s="82"/>
      <c r="M29665" s="85"/>
    </row>
    <row r="29666" spans="9:13" x14ac:dyDescent="0.3">
      <c r="I29666" s="82"/>
      <c r="M29666" s="85"/>
    </row>
    <row r="29667" spans="9:13" x14ac:dyDescent="0.3">
      <c r="I29667" s="82"/>
      <c r="M29667" s="85"/>
    </row>
    <row r="29668" spans="9:13" x14ac:dyDescent="0.3">
      <c r="I29668" s="82"/>
      <c r="M29668" s="85"/>
    </row>
    <row r="29669" spans="9:13" x14ac:dyDescent="0.3">
      <c r="I29669" s="82"/>
      <c r="M29669" s="85"/>
    </row>
    <row r="29670" spans="9:13" x14ac:dyDescent="0.3">
      <c r="I29670" s="82"/>
      <c r="M29670" s="85"/>
    </row>
    <row r="29671" spans="9:13" x14ac:dyDescent="0.3">
      <c r="I29671" s="82"/>
      <c r="M29671" s="85"/>
    </row>
    <row r="29672" spans="9:13" x14ac:dyDescent="0.3">
      <c r="I29672" s="82"/>
      <c r="M29672" s="85"/>
    </row>
    <row r="29673" spans="9:13" x14ac:dyDescent="0.3">
      <c r="I29673" s="82"/>
      <c r="M29673" s="85"/>
    </row>
    <row r="29674" spans="9:13" x14ac:dyDescent="0.3">
      <c r="I29674" s="82"/>
      <c r="M29674" s="85"/>
    </row>
    <row r="29675" spans="9:13" x14ac:dyDescent="0.3">
      <c r="I29675" s="82"/>
      <c r="M29675" s="85"/>
    </row>
    <row r="29676" spans="9:13" x14ac:dyDescent="0.3">
      <c r="I29676" s="82"/>
      <c r="M29676" s="85"/>
    </row>
    <row r="29677" spans="9:13" x14ac:dyDescent="0.3">
      <c r="I29677" s="82"/>
      <c r="M29677" s="85"/>
    </row>
    <row r="29678" spans="9:13" x14ac:dyDescent="0.3">
      <c r="I29678" s="82"/>
      <c r="M29678" s="85"/>
    </row>
    <row r="29679" spans="9:13" x14ac:dyDescent="0.3">
      <c r="I29679" s="82"/>
      <c r="M29679" s="85"/>
    </row>
    <row r="29680" spans="9:13" x14ac:dyDescent="0.3">
      <c r="I29680" s="82"/>
      <c r="M29680" s="85"/>
    </row>
    <row r="29681" spans="9:13" x14ac:dyDescent="0.3">
      <c r="I29681" s="82"/>
      <c r="M29681" s="85"/>
    </row>
    <row r="29682" spans="9:13" x14ac:dyDescent="0.3">
      <c r="I29682" s="82"/>
      <c r="M29682" s="85"/>
    </row>
    <row r="29683" spans="9:13" x14ac:dyDescent="0.3">
      <c r="I29683" s="82"/>
      <c r="M29683" s="85"/>
    </row>
    <row r="29684" spans="9:13" x14ac:dyDescent="0.3">
      <c r="I29684" s="82"/>
      <c r="M29684" s="85"/>
    </row>
    <row r="29685" spans="9:13" x14ac:dyDescent="0.3">
      <c r="I29685" s="82"/>
      <c r="M29685" s="85"/>
    </row>
    <row r="29686" spans="9:13" x14ac:dyDescent="0.3">
      <c r="I29686" s="82"/>
      <c r="M29686" s="85"/>
    </row>
    <row r="29687" spans="9:13" x14ac:dyDescent="0.3">
      <c r="I29687" s="82"/>
      <c r="M29687" s="85"/>
    </row>
    <row r="29688" spans="9:13" x14ac:dyDescent="0.3">
      <c r="I29688" s="82"/>
      <c r="M29688" s="85"/>
    </row>
    <row r="29689" spans="9:13" x14ac:dyDescent="0.3">
      <c r="I29689" s="82"/>
      <c r="M29689" s="85"/>
    </row>
    <row r="29690" spans="9:13" x14ac:dyDescent="0.3">
      <c r="I29690" s="82"/>
      <c r="M29690" s="85"/>
    </row>
    <row r="29691" spans="9:13" x14ac:dyDescent="0.3">
      <c r="I29691" s="82"/>
      <c r="M29691" s="85"/>
    </row>
    <row r="29692" spans="9:13" x14ac:dyDescent="0.3">
      <c r="I29692" s="82"/>
      <c r="M29692" s="85"/>
    </row>
    <row r="29693" spans="9:13" x14ac:dyDescent="0.3">
      <c r="I29693" s="82"/>
      <c r="M29693" s="85"/>
    </row>
    <row r="29694" spans="9:13" x14ac:dyDescent="0.3">
      <c r="I29694" s="82"/>
      <c r="M29694" s="85"/>
    </row>
    <row r="29695" spans="9:13" x14ac:dyDescent="0.3">
      <c r="I29695" s="82"/>
      <c r="M29695" s="85"/>
    </row>
    <row r="29696" spans="9:13" x14ac:dyDescent="0.3">
      <c r="I29696" s="82"/>
      <c r="M29696" s="85"/>
    </row>
    <row r="29697" spans="9:13" x14ac:dyDescent="0.3">
      <c r="I29697" s="82"/>
      <c r="M29697" s="85"/>
    </row>
    <row r="29698" spans="9:13" x14ac:dyDescent="0.3">
      <c r="I29698" s="82"/>
      <c r="M29698" s="85"/>
    </row>
    <row r="29699" spans="9:13" x14ac:dyDescent="0.3">
      <c r="I29699" s="82"/>
      <c r="M29699" s="85"/>
    </row>
    <row r="29700" spans="9:13" x14ac:dyDescent="0.3">
      <c r="I29700" s="82"/>
      <c r="M29700" s="85"/>
    </row>
    <row r="29701" spans="9:13" x14ac:dyDescent="0.3">
      <c r="I29701" s="82"/>
      <c r="M29701" s="85"/>
    </row>
    <row r="29702" spans="9:13" x14ac:dyDescent="0.3">
      <c r="I29702" s="82"/>
      <c r="M29702" s="85"/>
    </row>
    <row r="29703" spans="9:13" x14ac:dyDescent="0.3">
      <c r="I29703" s="82"/>
      <c r="M29703" s="85"/>
    </row>
    <row r="29704" spans="9:13" x14ac:dyDescent="0.3">
      <c r="I29704" s="82"/>
      <c r="M29704" s="85"/>
    </row>
    <row r="29705" spans="9:13" x14ac:dyDescent="0.3">
      <c r="I29705" s="82"/>
      <c r="M29705" s="85"/>
    </row>
    <row r="29706" spans="9:13" x14ac:dyDescent="0.3">
      <c r="I29706" s="82"/>
      <c r="M29706" s="85"/>
    </row>
    <row r="29707" spans="9:13" x14ac:dyDescent="0.3">
      <c r="I29707" s="82"/>
      <c r="M29707" s="85"/>
    </row>
    <row r="29708" spans="9:13" x14ac:dyDescent="0.3">
      <c r="I29708" s="82"/>
      <c r="M29708" s="85"/>
    </row>
    <row r="29709" spans="9:13" x14ac:dyDescent="0.3">
      <c r="I29709" s="82"/>
      <c r="M29709" s="85"/>
    </row>
    <row r="29710" spans="9:13" x14ac:dyDescent="0.3">
      <c r="I29710" s="82"/>
      <c r="M29710" s="85"/>
    </row>
    <row r="29711" spans="9:13" x14ac:dyDescent="0.3">
      <c r="I29711" s="82"/>
      <c r="M29711" s="85"/>
    </row>
    <row r="29712" spans="9:13" x14ac:dyDescent="0.3">
      <c r="I29712" s="82"/>
      <c r="M29712" s="85"/>
    </row>
    <row r="29713" spans="9:13" x14ac:dyDescent="0.3">
      <c r="I29713" s="82"/>
      <c r="M29713" s="85"/>
    </row>
    <row r="29714" spans="9:13" x14ac:dyDescent="0.3">
      <c r="I29714" s="82"/>
      <c r="M29714" s="85"/>
    </row>
    <row r="29715" spans="9:13" x14ac:dyDescent="0.3">
      <c r="I29715" s="82"/>
      <c r="M29715" s="85"/>
    </row>
    <row r="29716" spans="9:13" x14ac:dyDescent="0.3">
      <c r="I29716" s="82"/>
      <c r="M29716" s="85"/>
    </row>
    <row r="29717" spans="9:13" x14ac:dyDescent="0.3">
      <c r="I29717" s="82"/>
      <c r="M29717" s="85"/>
    </row>
    <row r="29718" spans="9:13" x14ac:dyDescent="0.3">
      <c r="I29718" s="82"/>
      <c r="M29718" s="85"/>
    </row>
    <row r="29719" spans="9:13" x14ac:dyDescent="0.3">
      <c r="I29719" s="82"/>
      <c r="M29719" s="85"/>
    </row>
    <row r="29720" spans="9:13" x14ac:dyDescent="0.3">
      <c r="I29720" s="82"/>
      <c r="M29720" s="85"/>
    </row>
    <row r="29721" spans="9:13" x14ac:dyDescent="0.3">
      <c r="I29721" s="82"/>
      <c r="M29721" s="85"/>
    </row>
    <row r="29722" spans="9:13" x14ac:dyDescent="0.3">
      <c r="I29722" s="82"/>
      <c r="M29722" s="85"/>
    </row>
    <row r="29723" spans="9:13" x14ac:dyDescent="0.3">
      <c r="I29723" s="82"/>
      <c r="M29723" s="85"/>
    </row>
    <row r="29724" spans="9:13" x14ac:dyDescent="0.3">
      <c r="I29724" s="82"/>
      <c r="M29724" s="85"/>
    </row>
    <row r="29725" spans="9:13" x14ac:dyDescent="0.3">
      <c r="I29725" s="82"/>
      <c r="M29725" s="85"/>
    </row>
    <row r="29726" spans="9:13" x14ac:dyDescent="0.3">
      <c r="I29726" s="82"/>
      <c r="M29726" s="85"/>
    </row>
    <row r="29727" spans="9:13" x14ac:dyDescent="0.3">
      <c r="I29727" s="82"/>
      <c r="M29727" s="85"/>
    </row>
    <row r="29728" spans="9:13" x14ac:dyDescent="0.3">
      <c r="I29728" s="82"/>
      <c r="M29728" s="85"/>
    </row>
    <row r="29729" spans="9:13" x14ac:dyDescent="0.3">
      <c r="I29729" s="82"/>
      <c r="M29729" s="85"/>
    </row>
    <row r="29730" spans="9:13" x14ac:dyDescent="0.3">
      <c r="I29730" s="82"/>
      <c r="M29730" s="85"/>
    </row>
    <row r="29731" spans="9:13" x14ac:dyDescent="0.3">
      <c r="I29731" s="82"/>
      <c r="M29731" s="85"/>
    </row>
    <row r="29732" spans="9:13" x14ac:dyDescent="0.3">
      <c r="I29732" s="82"/>
      <c r="M29732" s="85"/>
    </row>
    <row r="29733" spans="9:13" x14ac:dyDescent="0.3">
      <c r="I29733" s="82"/>
      <c r="M29733" s="85"/>
    </row>
    <row r="29734" spans="9:13" x14ac:dyDescent="0.3">
      <c r="I29734" s="82"/>
      <c r="M29734" s="85"/>
    </row>
    <row r="29735" spans="9:13" x14ac:dyDescent="0.3">
      <c r="I29735" s="82"/>
      <c r="M29735" s="85"/>
    </row>
    <row r="29736" spans="9:13" x14ac:dyDescent="0.3">
      <c r="I29736" s="82"/>
      <c r="M29736" s="85"/>
    </row>
    <row r="29737" spans="9:13" x14ac:dyDescent="0.3">
      <c r="I29737" s="82"/>
      <c r="M29737" s="85"/>
    </row>
    <row r="29738" spans="9:13" x14ac:dyDescent="0.3">
      <c r="I29738" s="82"/>
      <c r="M29738" s="85"/>
    </row>
    <row r="29739" spans="9:13" x14ac:dyDescent="0.3">
      <c r="I29739" s="82"/>
      <c r="M29739" s="85"/>
    </row>
    <row r="29740" spans="9:13" x14ac:dyDescent="0.3">
      <c r="I29740" s="82"/>
      <c r="M29740" s="85"/>
    </row>
    <row r="29741" spans="9:13" x14ac:dyDescent="0.3">
      <c r="I29741" s="82"/>
      <c r="M29741" s="85"/>
    </row>
    <row r="29742" spans="9:13" x14ac:dyDescent="0.3">
      <c r="I29742" s="82"/>
      <c r="M29742" s="85"/>
    </row>
    <row r="29743" spans="9:13" x14ac:dyDescent="0.3">
      <c r="I29743" s="82"/>
      <c r="M29743" s="85"/>
    </row>
    <row r="29744" spans="9:13" x14ac:dyDescent="0.3">
      <c r="I29744" s="82"/>
      <c r="M29744" s="85"/>
    </row>
    <row r="29745" spans="9:13" x14ac:dyDescent="0.3">
      <c r="I29745" s="82"/>
      <c r="M29745" s="85"/>
    </row>
    <row r="29746" spans="9:13" x14ac:dyDescent="0.3">
      <c r="I29746" s="82"/>
      <c r="M29746" s="85"/>
    </row>
    <row r="29747" spans="9:13" x14ac:dyDescent="0.3">
      <c r="I29747" s="82"/>
      <c r="M29747" s="85"/>
    </row>
    <row r="29748" spans="9:13" x14ac:dyDescent="0.3">
      <c r="I29748" s="82"/>
      <c r="M29748" s="85"/>
    </row>
    <row r="29749" spans="9:13" x14ac:dyDescent="0.3">
      <c r="I29749" s="82"/>
      <c r="M29749" s="85"/>
    </row>
    <row r="29750" spans="9:13" x14ac:dyDescent="0.3">
      <c r="I29750" s="82"/>
      <c r="M29750" s="85"/>
    </row>
    <row r="29751" spans="9:13" x14ac:dyDescent="0.3">
      <c r="I29751" s="82"/>
      <c r="M29751" s="85"/>
    </row>
    <row r="29752" spans="9:13" x14ac:dyDescent="0.3">
      <c r="I29752" s="82"/>
      <c r="M29752" s="85"/>
    </row>
    <row r="29753" spans="9:13" x14ac:dyDescent="0.3">
      <c r="I29753" s="82"/>
      <c r="M29753" s="85"/>
    </row>
    <row r="29754" spans="9:13" x14ac:dyDescent="0.3">
      <c r="I29754" s="82"/>
      <c r="M29754" s="85"/>
    </row>
    <row r="29755" spans="9:13" x14ac:dyDescent="0.3">
      <c r="I29755" s="82"/>
      <c r="M29755" s="85"/>
    </row>
    <row r="29756" spans="9:13" x14ac:dyDescent="0.3">
      <c r="I29756" s="82"/>
      <c r="M29756" s="85"/>
    </row>
    <row r="29757" spans="9:13" x14ac:dyDescent="0.3">
      <c r="I29757" s="82"/>
      <c r="M29757" s="85"/>
    </row>
    <row r="29758" spans="9:13" x14ac:dyDescent="0.3">
      <c r="I29758" s="82"/>
      <c r="M29758" s="85"/>
    </row>
    <row r="29759" spans="9:13" x14ac:dyDescent="0.3">
      <c r="I29759" s="82"/>
      <c r="M29759" s="85"/>
    </row>
    <row r="29760" spans="9:13" x14ac:dyDescent="0.3">
      <c r="I29760" s="82"/>
      <c r="M29760" s="85"/>
    </row>
    <row r="29761" spans="9:13" x14ac:dyDescent="0.3">
      <c r="I29761" s="82"/>
      <c r="M29761" s="85"/>
    </row>
    <row r="29762" spans="9:13" x14ac:dyDescent="0.3">
      <c r="I29762" s="82"/>
      <c r="M29762" s="85"/>
    </row>
    <row r="29763" spans="9:13" x14ac:dyDescent="0.3">
      <c r="I29763" s="82"/>
      <c r="M29763" s="85"/>
    </row>
    <row r="29764" spans="9:13" x14ac:dyDescent="0.3">
      <c r="I29764" s="82"/>
      <c r="M29764" s="85"/>
    </row>
    <row r="29765" spans="9:13" x14ac:dyDescent="0.3">
      <c r="I29765" s="82"/>
      <c r="M29765" s="85"/>
    </row>
    <row r="29766" spans="9:13" x14ac:dyDescent="0.3">
      <c r="I29766" s="82"/>
      <c r="M29766" s="85"/>
    </row>
    <row r="29767" spans="9:13" x14ac:dyDescent="0.3">
      <c r="I29767" s="82"/>
      <c r="M29767" s="85"/>
    </row>
    <row r="29768" spans="9:13" x14ac:dyDescent="0.3">
      <c r="I29768" s="82"/>
      <c r="M29768" s="85"/>
    </row>
    <row r="29769" spans="9:13" x14ac:dyDescent="0.3">
      <c r="I29769" s="82"/>
      <c r="M29769" s="85"/>
    </row>
    <row r="29770" spans="9:13" x14ac:dyDescent="0.3">
      <c r="I29770" s="82"/>
      <c r="M29770" s="85"/>
    </row>
    <row r="29771" spans="9:13" x14ac:dyDescent="0.3">
      <c r="I29771" s="82"/>
      <c r="M29771" s="85"/>
    </row>
    <row r="29772" spans="9:13" x14ac:dyDescent="0.3">
      <c r="I29772" s="82"/>
      <c r="M29772" s="85"/>
    </row>
    <row r="29773" spans="9:13" x14ac:dyDescent="0.3">
      <c r="I29773" s="82"/>
      <c r="M29773" s="85"/>
    </row>
    <row r="29774" spans="9:13" x14ac:dyDescent="0.3">
      <c r="I29774" s="82"/>
      <c r="M29774" s="85"/>
    </row>
    <row r="29775" spans="9:13" x14ac:dyDescent="0.3">
      <c r="I29775" s="82"/>
      <c r="M29775" s="85"/>
    </row>
    <row r="29776" spans="9:13" x14ac:dyDescent="0.3">
      <c r="I29776" s="82"/>
      <c r="M29776" s="85"/>
    </row>
    <row r="29777" spans="9:13" x14ac:dyDescent="0.3">
      <c r="I29777" s="82"/>
      <c r="M29777" s="85"/>
    </row>
    <row r="29778" spans="9:13" x14ac:dyDescent="0.3">
      <c r="I29778" s="82"/>
      <c r="M29778" s="85"/>
    </row>
    <row r="29779" spans="9:13" x14ac:dyDescent="0.3">
      <c r="I29779" s="82"/>
      <c r="M29779" s="85"/>
    </row>
    <row r="29780" spans="9:13" x14ac:dyDescent="0.3">
      <c r="I29780" s="82"/>
      <c r="M29780" s="85"/>
    </row>
    <row r="29781" spans="9:13" x14ac:dyDescent="0.3">
      <c r="I29781" s="82"/>
      <c r="M29781" s="85"/>
    </row>
    <row r="29782" spans="9:13" x14ac:dyDescent="0.3">
      <c r="I29782" s="82"/>
      <c r="M29782" s="85"/>
    </row>
    <row r="29783" spans="9:13" x14ac:dyDescent="0.3">
      <c r="I29783" s="82"/>
      <c r="M29783" s="85"/>
    </row>
    <row r="29784" spans="9:13" x14ac:dyDescent="0.3">
      <c r="I29784" s="82"/>
      <c r="M29784" s="85"/>
    </row>
    <row r="29785" spans="9:13" x14ac:dyDescent="0.3">
      <c r="I29785" s="82"/>
      <c r="M29785" s="85"/>
    </row>
    <row r="29786" spans="9:13" x14ac:dyDescent="0.3">
      <c r="I29786" s="82"/>
      <c r="M29786" s="85"/>
    </row>
    <row r="29787" spans="9:13" x14ac:dyDescent="0.3">
      <c r="I29787" s="82"/>
      <c r="M29787" s="85"/>
    </row>
    <row r="29788" spans="9:13" x14ac:dyDescent="0.3">
      <c r="I29788" s="82"/>
      <c r="M29788" s="85"/>
    </row>
    <row r="29789" spans="9:13" x14ac:dyDescent="0.3">
      <c r="I29789" s="82"/>
      <c r="M29789" s="85"/>
    </row>
    <row r="29790" spans="9:13" x14ac:dyDescent="0.3">
      <c r="I29790" s="82"/>
      <c r="M29790" s="85"/>
    </row>
    <row r="29791" spans="9:13" x14ac:dyDescent="0.3">
      <c r="I29791" s="82"/>
      <c r="M29791" s="85"/>
    </row>
    <row r="29792" spans="9:13" x14ac:dyDescent="0.3">
      <c r="I29792" s="82"/>
      <c r="M29792" s="85"/>
    </row>
    <row r="29793" spans="9:13" x14ac:dyDescent="0.3">
      <c r="I29793" s="82"/>
      <c r="M29793" s="85"/>
    </row>
    <row r="29794" spans="9:13" x14ac:dyDescent="0.3">
      <c r="I29794" s="82"/>
      <c r="M29794" s="85"/>
    </row>
    <row r="29795" spans="9:13" x14ac:dyDescent="0.3">
      <c r="I29795" s="82"/>
      <c r="M29795" s="85"/>
    </row>
    <row r="29796" spans="9:13" x14ac:dyDescent="0.3">
      <c r="I29796" s="82"/>
      <c r="M29796" s="85"/>
    </row>
    <row r="29797" spans="9:13" x14ac:dyDescent="0.3">
      <c r="I29797" s="82"/>
      <c r="M29797" s="85"/>
    </row>
    <row r="29798" spans="9:13" x14ac:dyDescent="0.3">
      <c r="I29798" s="82"/>
      <c r="M29798" s="85"/>
    </row>
    <row r="29799" spans="9:13" x14ac:dyDescent="0.3">
      <c r="I29799" s="82"/>
      <c r="M29799" s="85"/>
    </row>
    <row r="29800" spans="9:13" x14ac:dyDescent="0.3">
      <c r="I29800" s="82"/>
      <c r="M29800" s="85"/>
    </row>
    <row r="29801" spans="9:13" x14ac:dyDescent="0.3">
      <c r="I29801" s="82"/>
      <c r="M29801" s="85"/>
    </row>
    <row r="29802" spans="9:13" x14ac:dyDescent="0.3">
      <c r="I29802" s="82"/>
      <c r="M29802" s="85"/>
    </row>
    <row r="29803" spans="9:13" x14ac:dyDescent="0.3">
      <c r="I29803" s="82"/>
      <c r="M29803" s="85"/>
    </row>
    <row r="29804" spans="9:13" x14ac:dyDescent="0.3">
      <c r="I29804" s="82"/>
      <c r="M29804" s="85"/>
    </row>
    <row r="29805" spans="9:13" x14ac:dyDescent="0.3">
      <c r="I29805" s="82"/>
      <c r="M29805" s="85"/>
    </row>
    <row r="29806" spans="9:13" x14ac:dyDescent="0.3">
      <c r="I29806" s="82"/>
      <c r="M29806" s="85"/>
    </row>
    <row r="29807" spans="9:13" x14ac:dyDescent="0.3">
      <c r="I29807" s="82"/>
      <c r="M29807" s="85"/>
    </row>
    <row r="29808" spans="9:13" x14ac:dyDescent="0.3">
      <c r="I29808" s="82"/>
      <c r="M29808" s="85"/>
    </row>
    <row r="29809" spans="9:13" x14ac:dyDescent="0.3">
      <c r="I29809" s="82"/>
      <c r="M29809" s="85"/>
    </row>
    <row r="29810" spans="9:13" x14ac:dyDescent="0.3">
      <c r="I29810" s="82"/>
      <c r="M29810" s="85"/>
    </row>
    <row r="29811" spans="9:13" x14ac:dyDescent="0.3">
      <c r="I29811" s="82"/>
      <c r="M29811" s="85"/>
    </row>
    <row r="29812" spans="9:13" x14ac:dyDescent="0.3">
      <c r="I29812" s="82"/>
      <c r="M29812" s="85"/>
    </row>
    <row r="29813" spans="9:13" x14ac:dyDescent="0.3">
      <c r="I29813" s="82"/>
      <c r="M29813" s="85"/>
    </row>
    <row r="29814" spans="9:13" x14ac:dyDescent="0.3">
      <c r="I29814" s="82"/>
      <c r="M29814" s="85"/>
    </row>
    <row r="29815" spans="9:13" x14ac:dyDescent="0.3">
      <c r="I29815" s="82"/>
      <c r="M29815" s="85"/>
    </row>
    <row r="29816" spans="9:13" x14ac:dyDescent="0.3">
      <c r="I29816" s="82"/>
      <c r="M29816" s="85"/>
    </row>
    <row r="29817" spans="9:13" x14ac:dyDescent="0.3">
      <c r="I29817" s="82"/>
      <c r="M29817" s="85"/>
    </row>
    <row r="29818" spans="9:13" x14ac:dyDescent="0.3">
      <c r="I29818" s="82"/>
      <c r="M29818" s="85"/>
    </row>
    <row r="29819" spans="9:13" x14ac:dyDescent="0.3">
      <c r="I29819" s="82"/>
      <c r="M29819" s="85"/>
    </row>
    <row r="29820" spans="9:13" x14ac:dyDescent="0.3">
      <c r="I29820" s="82"/>
      <c r="M29820" s="85"/>
    </row>
    <row r="29821" spans="9:13" x14ac:dyDescent="0.3">
      <c r="I29821" s="82"/>
      <c r="M29821" s="85"/>
    </row>
    <row r="29822" spans="9:13" x14ac:dyDescent="0.3">
      <c r="I29822" s="82"/>
      <c r="M29822" s="85"/>
    </row>
    <row r="29823" spans="9:13" x14ac:dyDescent="0.3">
      <c r="I29823" s="82"/>
      <c r="M29823" s="85"/>
    </row>
    <row r="29824" spans="9:13" x14ac:dyDescent="0.3">
      <c r="I29824" s="82"/>
      <c r="M29824" s="85"/>
    </row>
    <row r="29825" spans="9:13" x14ac:dyDescent="0.3">
      <c r="I29825" s="82"/>
      <c r="M29825" s="85"/>
    </row>
    <row r="29826" spans="9:13" x14ac:dyDescent="0.3">
      <c r="I29826" s="82"/>
      <c r="M29826" s="85"/>
    </row>
    <row r="29827" spans="9:13" x14ac:dyDescent="0.3">
      <c r="I29827" s="82"/>
      <c r="M29827" s="85"/>
    </row>
    <row r="29828" spans="9:13" x14ac:dyDescent="0.3">
      <c r="I29828" s="82"/>
      <c r="M29828" s="85"/>
    </row>
    <row r="29829" spans="9:13" x14ac:dyDescent="0.3">
      <c r="I29829" s="82"/>
      <c r="M29829" s="85"/>
    </row>
    <row r="29830" spans="9:13" x14ac:dyDescent="0.3">
      <c r="I29830" s="82"/>
      <c r="M29830" s="85"/>
    </row>
    <row r="29831" spans="9:13" x14ac:dyDescent="0.3">
      <c r="I29831" s="82"/>
      <c r="M29831" s="85"/>
    </row>
    <row r="29832" spans="9:13" x14ac:dyDescent="0.3">
      <c r="I29832" s="82"/>
      <c r="M29832" s="85"/>
    </row>
    <row r="29833" spans="9:13" x14ac:dyDescent="0.3">
      <c r="I29833" s="82"/>
      <c r="M29833" s="85"/>
    </row>
    <row r="29834" spans="9:13" x14ac:dyDescent="0.3">
      <c r="I29834" s="82"/>
      <c r="M29834" s="85"/>
    </row>
    <row r="29835" spans="9:13" x14ac:dyDescent="0.3">
      <c r="I29835" s="82"/>
      <c r="M29835" s="85"/>
    </row>
    <row r="29836" spans="9:13" x14ac:dyDescent="0.3">
      <c r="I29836" s="82"/>
      <c r="M29836" s="85"/>
    </row>
    <row r="29837" spans="9:13" x14ac:dyDescent="0.3">
      <c r="I29837" s="82"/>
      <c r="M29837" s="85"/>
    </row>
    <row r="29838" spans="9:13" x14ac:dyDescent="0.3">
      <c r="I29838" s="82"/>
      <c r="M29838" s="85"/>
    </row>
    <row r="29839" spans="9:13" x14ac:dyDescent="0.3">
      <c r="I29839" s="82"/>
      <c r="M29839" s="85"/>
    </row>
    <row r="29840" spans="9:13" x14ac:dyDescent="0.3">
      <c r="I29840" s="82"/>
      <c r="M29840" s="85"/>
    </row>
    <row r="29841" spans="9:13" x14ac:dyDescent="0.3">
      <c r="I29841" s="82"/>
      <c r="M29841" s="85"/>
    </row>
    <row r="29842" spans="9:13" x14ac:dyDescent="0.3">
      <c r="I29842" s="82"/>
      <c r="M29842" s="85"/>
    </row>
    <row r="29843" spans="9:13" x14ac:dyDescent="0.3">
      <c r="I29843" s="82"/>
      <c r="M29843" s="85"/>
    </row>
    <row r="29844" spans="9:13" x14ac:dyDescent="0.3">
      <c r="I29844" s="82"/>
      <c r="M29844" s="85"/>
    </row>
    <row r="29845" spans="9:13" x14ac:dyDescent="0.3">
      <c r="I29845" s="82"/>
      <c r="M29845" s="85"/>
    </row>
    <row r="29846" spans="9:13" x14ac:dyDescent="0.3">
      <c r="I29846" s="82"/>
      <c r="M29846" s="85"/>
    </row>
    <row r="29847" spans="9:13" x14ac:dyDescent="0.3">
      <c r="I29847" s="82"/>
      <c r="M29847" s="85"/>
    </row>
    <row r="29848" spans="9:13" x14ac:dyDescent="0.3">
      <c r="I29848" s="82"/>
      <c r="M29848" s="85"/>
    </row>
    <row r="29849" spans="9:13" x14ac:dyDescent="0.3">
      <c r="I29849" s="82"/>
      <c r="M29849" s="85"/>
    </row>
    <row r="29850" spans="9:13" x14ac:dyDescent="0.3">
      <c r="I29850" s="82"/>
      <c r="M29850" s="85"/>
    </row>
    <row r="29851" spans="9:13" x14ac:dyDescent="0.3">
      <c r="I29851" s="82"/>
      <c r="M29851" s="85"/>
    </row>
    <row r="29852" spans="9:13" x14ac:dyDescent="0.3">
      <c r="I29852" s="82"/>
      <c r="M29852" s="85"/>
    </row>
    <row r="29853" spans="9:13" x14ac:dyDescent="0.3">
      <c r="I29853" s="82"/>
      <c r="M29853" s="85"/>
    </row>
    <row r="29854" spans="9:13" x14ac:dyDescent="0.3">
      <c r="I29854" s="82"/>
      <c r="M29854" s="85"/>
    </row>
    <row r="29855" spans="9:13" x14ac:dyDescent="0.3">
      <c r="I29855" s="82"/>
      <c r="M29855" s="85"/>
    </row>
    <row r="29856" spans="9:13" x14ac:dyDescent="0.3">
      <c r="I29856" s="82"/>
      <c r="M29856" s="85"/>
    </row>
    <row r="29857" spans="9:13" x14ac:dyDescent="0.3">
      <c r="I29857" s="82"/>
      <c r="M29857" s="85"/>
    </row>
    <row r="29858" spans="9:13" x14ac:dyDescent="0.3">
      <c r="I29858" s="82"/>
      <c r="M29858" s="85"/>
    </row>
    <row r="29859" spans="9:13" x14ac:dyDescent="0.3">
      <c r="I29859" s="82"/>
      <c r="M29859" s="85"/>
    </row>
    <row r="29860" spans="9:13" x14ac:dyDescent="0.3">
      <c r="I29860" s="82"/>
      <c r="M29860" s="85"/>
    </row>
    <row r="29861" spans="9:13" x14ac:dyDescent="0.3">
      <c r="I29861" s="82"/>
      <c r="M29861" s="85"/>
    </row>
    <row r="29862" spans="9:13" x14ac:dyDescent="0.3">
      <c r="I29862" s="82"/>
      <c r="M29862" s="85"/>
    </row>
    <row r="29863" spans="9:13" x14ac:dyDescent="0.3">
      <c r="I29863" s="82"/>
      <c r="M29863" s="85"/>
    </row>
    <row r="29864" spans="9:13" x14ac:dyDescent="0.3">
      <c r="I29864" s="82"/>
      <c r="M29864" s="85"/>
    </row>
    <row r="29865" spans="9:13" x14ac:dyDescent="0.3">
      <c r="I29865" s="82"/>
      <c r="M29865" s="85"/>
    </row>
    <row r="29866" spans="9:13" x14ac:dyDescent="0.3">
      <c r="I29866" s="82"/>
      <c r="M29866" s="85"/>
    </row>
    <row r="29867" spans="9:13" x14ac:dyDescent="0.3">
      <c r="I29867" s="82"/>
      <c r="M29867" s="85"/>
    </row>
    <row r="29868" spans="9:13" x14ac:dyDescent="0.3">
      <c r="I29868" s="82"/>
      <c r="M29868" s="85"/>
    </row>
    <row r="29869" spans="9:13" x14ac:dyDescent="0.3">
      <c r="I29869" s="82"/>
      <c r="M29869" s="85"/>
    </row>
    <row r="29870" spans="9:13" x14ac:dyDescent="0.3">
      <c r="I29870" s="82"/>
      <c r="M29870" s="85"/>
    </row>
    <row r="29871" spans="9:13" x14ac:dyDescent="0.3">
      <c r="I29871" s="82"/>
      <c r="M29871" s="85"/>
    </row>
    <row r="29872" spans="9:13" x14ac:dyDescent="0.3">
      <c r="I29872" s="82"/>
      <c r="M29872" s="85"/>
    </row>
    <row r="29873" spans="9:13" x14ac:dyDescent="0.3">
      <c r="I29873" s="82"/>
      <c r="M29873" s="85"/>
    </row>
    <row r="29874" spans="9:13" x14ac:dyDescent="0.3">
      <c r="I29874" s="82"/>
      <c r="M29874" s="85"/>
    </row>
    <row r="29875" spans="9:13" x14ac:dyDescent="0.3">
      <c r="I29875" s="82"/>
      <c r="M29875" s="85"/>
    </row>
    <row r="29876" spans="9:13" x14ac:dyDescent="0.3">
      <c r="I29876" s="82"/>
      <c r="M29876" s="85"/>
    </row>
    <row r="29877" spans="9:13" x14ac:dyDescent="0.3">
      <c r="I29877" s="82"/>
      <c r="M29877" s="85"/>
    </row>
    <row r="29878" spans="9:13" x14ac:dyDescent="0.3">
      <c r="I29878" s="82"/>
      <c r="M29878" s="85"/>
    </row>
    <row r="29879" spans="9:13" x14ac:dyDescent="0.3">
      <c r="I29879" s="82"/>
      <c r="M29879" s="85"/>
    </row>
    <row r="29880" spans="9:13" x14ac:dyDescent="0.3">
      <c r="I29880" s="82"/>
      <c r="M29880" s="85"/>
    </row>
    <row r="29881" spans="9:13" x14ac:dyDescent="0.3">
      <c r="I29881" s="82"/>
      <c r="M29881" s="85"/>
    </row>
    <row r="29882" spans="9:13" x14ac:dyDescent="0.3">
      <c r="I29882" s="82"/>
      <c r="M29882" s="85"/>
    </row>
    <row r="29883" spans="9:13" x14ac:dyDescent="0.3">
      <c r="I29883" s="82"/>
      <c r="M29883" s="85"/>
    </row>
    <row r="29884" spans="9:13" x14ac:dyDescent="0.3">
      <c r="I29884" s="82"/>
      <c r="M29884" s="85"/>
    </row>
    <row r="29885" spans="9:13" x14ac:dyDescent="0.3">
      <c r="I29885" s="82"/>
      <c r="M29885" s="85"/>
    </row>
    <row r="29886" spans="9:13" x14ac:dyDescent="0.3">
      <c r="I29886" s="82"/>
      <c r="M29886" s="85"/>
    </row>
    <row r="29887" spans="9:13" x14ac:dyDescent="0.3">
      <c r="I29887" s="82"/>
      <c r="M29887" s="85"/>
    </row>
    <row r="29888" spans="9:13" x14ac:dyDescent="0.3">
      <c r="I29888" s="82"/>
      <c r="M29888" s="85"/>
    </row>
    <row r="29889" spans="9:13" x14ac:dyDescent="0.3">
      <c r="I29889" s="82"/>
      <c r="M29889" s="85"/>
    </row>
    <row r="29890" spans="9:13" x14ac:dyDescent="0.3">
      <c r="I29890" s="82"/>
      <c r="M29890" s="85"/>
    </row>
    <row r="29891" spans="9:13" x14ac:dyDescent="0.3">
      <c r="I29891" s="82"/>
      <c r="M29891" s="85"/>
    </row>
    <row r="29892" spans="9:13" x14ac:dyDescent="0.3">
      <c r="I29892" s="82"/>
      <c r="M29892" s="85"/>
    </row>
    <row r="29893" spans="9:13" x14ac:dyDescent="0.3">
      <c r="I29893" s="82"/>
      <c r="M29893" s="85"/>
    </row>
    <row r="29894" spans="9:13" x14ac:dyDescent="0.3">
      <c r="I29894" s="82"/>
      <c r="M29894" s="85"/>
    </row>
    <row r="29895" spans="9:13" x14ac:dyDescent="0.3">
      <c r="I29895" s="82"/>
      <c r="M29895" s="85"/>
    </row>
    <row r="29896" spans="9:13" x14ac:dyDescent="0.3">
      <c r="I29896" s="82"/>
      <c r="M29896" s="85"/>
    </row>
    <row r="29897" spans="9:13" x14ac:dyDescent="0.3">
      <c r="I29897" s="82"/>
      <c r="M29897" s="85"/>
    </row>
    <row r="29898" spans="9:13" x14ac:dyDescent="0.3">
      <c r="I29898" s="82"/>
      <c r="M29898" s="85"/>
    </row>
    <row r="29899" spans="9:13" x14ac:dyDescent="0.3">
      <c r="I29899" s="82"/>
      <c r="M29899" s="85"/>
    </row>
    <row r="29900" spans="9:13" x14ac:dyDescent="0.3">
      <c r="I29900" s="82"/>
      <c r="M29900" s="85"/>
    </row>
    <row r="29901" spans="9:13" x14ac:dyDescent="0.3">
      <c r="I29901" s="82"/>
      <c r="M29901" s="85"/>
    </row>
    <row r="29902" spans="9:13" x14ac:dyDescent="0.3">
      <c r="I29902" s="82"/>
      <c r="M29902" s="85"/>
    </row>
    <row r="29903" spans="9:13" x14ac:dyDescent="0.3">
      <c r="I29903" s="82"/>
      <c r="M29903" s="85"/>
    </row>
    <row r="29904" spans="9:13" x14ac:dyDescent="0.3">
      <c r="I29904" s="82"/>
      <c r="M29904" s="85"/>
    </row>
    <row r="29905" spans="9:13" x14ac:dyDescent="0.3">
      <c r="I29905" s="82"/>
      <c r="M29905" s="85"/>
    </row>
    <row r="29906" spans="9:13" x14ac:dyDescent="0.3">
      <c r="I29906" s="82"/>
      <c r="M29906" s="85"/>
    </row>
    <row r="29907" spans="9:13" x14ac:dyDescent="0.3">
      <c r="I29907" s="82"/>
      <c r="M29907" s="85"/>
    </row>
    <row r="29908" spans="9:13" x14ac:dyDescent="0.3">
      <c r="I29908" s="82"/>
      <c r="M29908" s="85"/>
    </row>
    <row r="29909" spans="9:13" x14ac:dyDescent="0.3">
      <c r="I29909" s="82"/>
      <c r="M29909" s="85"/>
    </row>
    <row r="29910" spans="9:13" x14ac:dyDescent="0.3">
      <c r="I29910" s="82"/>
      <c r="M29910" s="85"/>
    </row>
    <row r="29911" spans="9:13" x14ac:dyDescent="0.3">
      <c r="I29911" s="82"/>
      <c r="M29911" s="85"/>
    </row>
    <row r="29912" spans="9:13" x14ac:dyDescent="0.3">
      <c r="I29912" s="82"/>
      <c r="M29912" s="85"/>
    </row>
    <row r="29913" spans="9:13" x14ac:dyDescent="0.3">
      <c r="I29913" s="82"/>
      <c r="M29913" s="85"/>
    </row>
    <row r="29914" spans="9:13" x14ac:dyDescent="0.3">
      <c r="I29914" s="82"/>
      <c r="M29914" s="85"/>
    </row>
    <row r="29915" spans="9:13" x14ac:dyDescent="0.3">
      <c r="I29915" s="82"/>
      <c r="M29915" s="85"/>
    </row>
    <row r="29916" spans="9:13" x14ac:dyDescent="0.3">
      <c r="I29916" s="82"/>
      <c r="M29916" s="85"/>
    </row>
    <row r="29917" spans="9:13" x14ac:dyDescent="0.3">
      <c r="I29917" s="82"/>
      <c r="M29917" s="85"/>
    </row>
    <row r="29918" spans="9:13" x14ac:dyDescent="0.3">
      <c r="I29918" s="82"/>
      <c r="M29918" s="85"/>
    </row>
    <row r="29919" spans="9:13" x14ac:dyDescent="0.3">
      <c r="I29919" s="82"/>
      <c r="M29919" s="85"/>
    </row>
    <row r="29920" spans="9:13" x14ac:dyDescent="0.3">
      <c r="I29920" s="82"/>
      <c r="M29920" s="85"/>
    </row>
    <row r="29921" spans="9:13" x14ac:dyDescent="0.3">
      <c r="I29921" s="82"/>
      <c r="M29921" s="85"/>
    </row>
    <row r="29922" spans="9:13" x14ac:dyDescent="0.3">
      <c r="I29922" s="82"/>
      <c r="M29922" s="85"/>
    </row>
    <row r="29923" spans="9:13" x14ac:dyDescent="0.3">
      <c r="I29923" s="82"/>
      <c r="M29923" s="85"/>
    </row>
    <row r="29924" spans="9:13" x14ac:dyDescent="0.3">
      <c r="I29924" s="82"/>
      <c r="M29924" s="85"/>
    </row>
    <row r="29925" spans="9:13" x14ac:dyDescent="0.3">
      <c r="I29925" s="82"/>
      <c r="M29925" s="85"/>
    </row>
    <row r="29926" spans="9:13" x14ac:dyDescent="0.3">
      <c r="I29926" s="82"/>
      <c r="M29926" s="85"/>
    </row>
    <row r="29927" spans="9:13" x14ac:dyDescent="0.3">
      <c r="I29927" s="82"/>
      <c r="M29927" s="85"/>
    </row>
    <row r="29928" spans="9:13" x14ac:dyDescent="0.3">
      <c r="I29928" s="82"/>
      <c r="M29928" s="85"/>
    </row>
    <row r="29929" spans="9:13" x14ac:dyDescent="0.3">
      <c r="I29929" s="82"/>
      <c r="M29929" s="85"/>
    </row>
    <row r="29930" spans="9:13" x14ac:dyDescent="0.3">
      <c r="I29930" s="82"/>
      <c r="M29930" s="85"/>
    </row>
    <row r="29931" spans="9:13" x14ac:dyDescent="0.3">
      <c r="I29931" s="82"/>
      <c r="M29931" s="85"/>
    </row>
    <row r="29932" spans="9:13" x14ac:dyDescent="0.3">
      <c r="I29932" s="82"/>
      <c r="M29932" s="85"/>
    </row>
    <row r="29933" spans="9:13" x14ac:dyDescent="0.3">
      <c r="I29933" s="82"/>
      <c r="M29933" s="85"/>
    </row>
    <row r="29934" spans="9:13" x14ac:dyDescent="0.3">
      <c r="I29934" s="82"/>
      <c r="M29934" s="85"/>
    </row>
    <row r="29935" spans="9:13" x14ac:dyDescent="0.3">
      <c r="I29935" s="82"/>
      <c r="M29935" s="85"/>
    </row>
    <row r="29936" spans="9:13" x14ac:dyDescent="0.3">
      <c r="I29936" s="82"/>
      <c r="M29936" s="85"/>
    </row>
    <row r="29937" spans="9:13" x14ac:dyDescent="0.3">
      <c r="I29937" s="82"/>
      <c r="M29937" s="85"/>
    </row>
    <row r="29938" spans="9:13" x14ac:dyDescent="0.3">
      <c r="I29938" s="82"/>
      <c r="M29938" s="85"/>
    </row>
    <row r="29939" spans="9:13" x14ac:dyDescent="0.3">
      <c r="I29939" s="82"/>
      <c r="M29939" s="85"/>
    </row>
    <row r="29940" spans="9:13" x14ac:dyDescent="0.3">
      <c r="I29940" s="82"/>
      <c r="M29940" s="85"/>
    </row>
    <row r="29941" spans="9:13" x14ac:dyDescent="0.3">
      <c r="I29941" s="82"/>
      <c r="M29941" s="85"/>
    </row>
    <row r="29942" spans="9:13" x14ac:dyDescent="0.3">
      <c r="I29942" s="82"/>
      <c r="M29942" s="85"/>
    </row>
    <row r="29943" spans="9:13" x14ac:dyDescent="0.3">
      <c r="I29943" s="82"/>
      <c r="M29943" s="85"/>
    </row>
    <row r="29944" spans="9:13" x14ac:dyDescent="0.3">
      <c r="I29944" s="82"/>
      <c r="M29944" s="85"/>
    </row>
    <row r="29945" spans="9:13" x14ac:dyDescent="0.3">
      <c r="I29945" s="82"/>
      <c r="M29945" s="85"/>
    </row>
    <row r="29946" spans="9:13" x14ac:dyDescent="0.3">
      <c r="I29946" s="82"/>
      <c r="M29946" s="85"/>
    </row>
    <row r="29947" spans="9:13" x14ac:dyDescent="0.3">
      <c r="I29947" s="82"/>
      <c r="M29947" s="85"/>
    </row>
    <row r="29948" spans="9:13" x14ac:dyDescent="0.3">
      <c r="I29948" s="82"/>
      <c r="M29948" s="85"/>
    </row>
    <row r="29949" spans="9:13" x14ac:dyDescent="0.3">
      <c r="I29949" s="82"/>
      <c r="M29949" s="85"/>
    </row>
    <row r="29950" spans="9:13" x14ac:dyDescent="0.3">
      <c r="I29950" s="82"/>
      <c r="M29950" s="85"/>
    </row>
    <row r="29951" spans="9:13" x14ac:dyDescent="0.3">
      <c r="I29951" s="82"/>
      <c r="M29951" s="85"/>
    </row>
    <row r="29952" spans="9:13" x14ac:dyDescent="0.3">
      <c r="I29952" s="82"/>
      <c r="M29952" s="85"/>
    </row>
    <row r="29953" spans="9:13" x14ac:dyDescent="0.3">
      <c r="I29953" s="82"/>
      <c r="M29953" s="85"/>
    </row>
    <row r="29954" spans="9:13" x14ac:dyDescent="0.3">
      <c r="I29954" s="82"/>
      <c r="M29954" s="85"/>
    </row>
    <row r="29955" spans="9:13" x14ac:dyDescent="0.3">
      <c r="I29955" s="82"/>
      <c r="M29955" s="85"/>
    </row>
    <row r="29956" spans="9:13" x14ac:dyDescent="0.3">
      <c r="I29956" s="82"/>
      <c r="M29956" s="85"/>
    </row>
    <row r="29957" spans="9:13" x14ac:dyDescent="0.3">
      <c r="I29957" s="82"/>
      <c r="M29957" s="85"/>
    </row>
    <row r="29958" spans="9:13" x14ac:dyDescent="0.3">
      <c r="I29958" s="82"/>
      <c r="M29958" s="85"/>
    </row>
    <row r="29959" spans="9:13" x14ac:dyDescent="0.3">
      <c r="I29959" s="82"/>
      <c r="M29959" s="85"/>
    </row>
    <row r="29960" spans="9:13" x14ac:dyDescent="0.3">
      <c r="I29960" s="82"/>
      <c r="M29960" s="85"/>
    </row>
    <row r="29961" spans="9:13" x14ac:dyDescent="0.3">
      <c r="I29961" s="82"/>
      <c r="M29961" s="85"/>
    </row>
    <row r="29962" spans="9:13" x14ac:dyDescent="0.3">
      <c r="I29962" s="82"/>
      <c r="M29962" s="85"/>
    </row>
    <row r="29963" spans="9:13" x14ac:dyDescent="0.3">
      <c r="I29963" s="82"/>
      <c r="M29963" s="85"/>
    </row>
    <row r="29964" spans="9:13" x14ac:dyDescent="0.3">
      <c r="I29964" s="82"/>
      <c r="M29964" s="85"/>
    </row>
    <row r="29965" spans="9:13" x14ac:dyDescent="0.3">
      <c r="I29965" s="82"/>
      <c r="M29965" s="85"/>
    </row>
    <row r="29966" spans="9:13" x14ac:dyDescent="0.3">
      <c r="I29966" s="82"/>
      <c r="M29966" s="85"/>
    </row>
    <row r="29967" spans="9:13" x14ac:dyDescent="0.3">
      <c r="I29967" s="82"/>
      <c r="M29967" s="85"/>
    </row>
    <row r="29968" spans="9:13" x14ac:dyDescent="0.3">
      <c r="I29968" s="82"/>
      <c r="M29968" s="85"/>
    </row>
    <row r="29969" spans="9:13" x14ac:dyDescent="0.3">
      <c r="I29969" s="82"/>
      <c r="M29969" s="85"/>
    </row>
    <row r="29970" spans="9:13" x14ac:dyDescent="0.3">
      <c r="I29970" s="82"/>
      <c r="M29970" s="85"/>
    </row>
    <row r="29971" spans="9:13" x14ac:dyDescent="0.3">
      <c r="I29971" s="82"/>
      <c r="M29971" s="85"/>
    </row>
    <row r="29972" spans="9:13" x14ac:dyDescent="0.3">
      <c r="I29972" s="82"/>
      <c r="M29972" s="85"/>
    </row>
    <row r="29973" spans="9:13" x14ac:dyDescent="0.3">
      <c r="I29973" s="82"/>
      <c r="M29973" s="85"/>
    </row>
    <row r="29974" spans="9:13" x14ac:dyDescent="0.3">
      <c r="I29974" s="82"/>
      <c r="M29974" s="85"/>
    </row>
    <row r="29975" spans="9:13" x14ac:dyDescent="0.3">
      <c r="I29975" s="82"/>
      <c r="M29975" s="85"/>
    </row>
    <row r="29976" spans="9:13" x14ac:dyDescent="0.3">
      <c r="I29976" s="82"/>
      <c r="M29976" s="85"/>
    </row>
    <row r="29977" spans="9:13" x14ac:dyDescent="0.3">
      <c r="I29977" s="82"/>
      <c r="M29977" s="85"/>
    </row>
    <row r="29978" spans="9:13" x14ac:dyDescent="0.3">
      <c r="I29978" s="82"/>
      <c r="M29978" s="85"/>
    </row>
    <row r="29979" spans="9:13" x14ac:dyDescent="0.3">
      <c r="I29979" s="82"/>
      <c r="M29979" s="85"/>
    </row>
    <row r="29980" spans="9:13" x14ac:dyDescent="0.3">
      <c r="I29980" s="82"/>
      <c r="M29980" s="85"/>
    </row>
    <row r="29981" spans="9:13" x14ac:dyDescent="0.3">
      <c r="I29981" s="82"/>
      <c r="M29981" s="85"/>
    </row>
    <row r="29982" spans="9:13" x14ac:dyDescent="0.3">
      <c r="I29982" s="82"/>
      <c r="M29982" s="85"/>
    </row>
    <row r="29983" spans="9:13" x14ac:dyDescent="0.3">
      <c r="I29983" s="82"/>
      <c r="M29983" s="85"/>
    </row>
    <row r="29984" spans="9:13" x14ac:dyDescent="0.3">
      <c r="I29984" s="82"/>
      <c r="M29984" s="85"/>
    </row>
    <row r="29985" spans="9:13" x14ac:dyDescent="0.3">
      <c r="I29985" s="82"/>
      <c r="M29985" s="85"/>
    </row>
    <row r="29986" spans="9:13" x14ac:dyDescent="0.3">
      <c r="I29986" s="82"/>
      <c r="M29986" s="85"/>
    </row>
    <row r="29987" spans="9:13" x14ac:dyDescent="0.3">
      <c r="I29987" s="82"/>
      <c r="M29987" s="85"/>
    </row>
    <row r="29988" spans="9:13" x14ac:dyDescent="0.3">
      <c r="I29988" s="82"/>
      <c r="M29988" s="85"/>
    </row>
    <row r="29989" spans="9:13" x14ac:dyDescent="0.3">
      <c r="I29989" s="82"/>
      <c r="M29989" s="85"/>
    </row>
    <row r="29990" spans="9:13" x14ac:dyDescent="0.3">
      <c r="I29990" s="82"/>
      <c r="M29990" s="85"/>
    </row>
    <row r="29991" spans="9:13" x14ac:dyDescent="0.3">
      <c r="I29991" s="82"/>
      <c r="M29991" s="85"/>
    </row>
    <row r="29992" spans="9:13" x14ac:dyDescent="0.3">
      <c r="I29992" s="82"/>
      <c r="M29992" s="85"/>
    </row>
    <row r="29993" spans="9:13" x14ac:dyDescent="0.3">
      <c r="I29993" s="82"/>
      <c r="M29993" s="85"/>
    </row>
    <row r="29994" spans="9:13" x14ac:dyDescent="0.3">
      <c r="I29994" s="82"/>
      <c r="M29994" s="85"/>
    </row>
    <row r="29995" spans="9:13" x14ac:dyDescent="0.3">
      <c r="I29995" s="82"/>
      <c r="M29995" s="85"/>
    </row>
    <row r="29996" spans="9:13" x14ac:dyDescent="0.3">
      <c r="I29996" s="82"/>
      <c r="M29996" s="85"/>
    </row>
    <row r="29997" spans="9:13" x14ac:dyDescent="0.3">
      <c r="I29997" s="82"/>
      <c r="M29997" s="85"/>
    </row>
    <row r="29998" spans="9:13" x14ac:dyDescent="0.3">
      <c r="I29998" s="82"/>
      <c r="M29998" s="85"/>
    </row>
    <row r="29999" spans="9:13" x14ac:dyDescent="0.3">
      <c r="I29999" s="82"/>
      <c r="M29999" s="85"/>
    </row>
    <row r="30000" spans="9:13" x14ac:dyDescent="0.3">
      <c r="I30000" s="82"/>
      <c r="M30000" s="85"/>
    </row>
    <row r="30001" spans="9:13" x14ac:dyDescent="0.3">
      <c r="I30001" s="82"/>
      <c r="M30001" s="85"/>
    </row>
    <row r="30002" spans="9:13" x14ac:dyDescent="0.3">
      <c r="I30002" s="82"/>
      <c r="M30002" s="85"/>
    </row>
    <row r="30003" spans="9:13" x14ac:dyDescent="0.3">
      <c r="I30003" s="82"/>
      <c r="M30003" s="85"/>
    </row>
    <row r="30004" spans="9:13" x14ac:dyDescent="0.3">
      <c r="I30004" s="82"/>
      <c r="M30004" s="85"/>
    </row>
    <row r="30005" spans="9:13" x14ac:dyDescent="0.3">
      <c r="I30005" s="82"/>
      <c r="M30005" s="85"/>
    </row>
    <row r="30006" spans="9:13" x14ac:dyDescent="0.3">
      <c r="I30006" s="82"/>
      <c r="M30006" s="85"/>
    </row>
    <row r="30007" spans="9:13" x14ac:dyDescent="0.3">
      <c r="I30007" s="82"/>
      <c r="M30007" s="85"/>
    </row>
    <row r="30008" spans="9:13" x14ac:dyDescent="0.3">
      <c r="I30008" s="82"/>
      <c r="M30008" s="85"/>
    </row>
    <row r="30009" spans="9:13" x14ac:dyDescent="0.3">
      <c r="I30009" s="82"/>
      <c r="M30009" s="85"/>
    </row>
    <row r="30010" spans="9:13" x14ac:dyDescent="0.3">
      <c r="I30010" s="82"/>
      <c r="M30010" s="85"/>
    </row>
    <row r="30011" spans="9:13" x14ac:dyDescent="0.3">
      <c r="I30011" s="82"/>
      <c r="M30011" s="85"/>
    </row>
    <row r="30012" spans="9:13" x14ac:dyDescent="0.3">
      <c r="I30012" s="82"/>
      <c r="M30012" s="85"/>
    </row>
    <row r="30013" spans="9:13" x14ac:dyDescent="0.3">
      <c r="I30013" s="82"/>
      <c r="M30013" s="85"/>
    </row>
    <row r="30014" spans="9:13" x14ac:dyDescent="0.3">
      <c r="I30014" s="82"/>
      <c r="M30014" s="85"/>
    </row>
    <row r="30015" spans="9:13" x14ac:dyDescent="0.3">
      <c r="I30015" s="82"/>
      <c r="M30015" s="85"/>
    </row>
    <row r="30016" spans="9:13" x14ac:dyDescent="0.3">
      <c r="I30016" s="82"/>
      <c r="M30016" s="85"/>
    </row>
    <row r="30017" spans="9:13" x14ac:dyDescent="0.3">
      <c r="I30017" s="82"/>
      <c r="M30017" s="85"/>
    </row>
    <row r="30018" spans="9:13" x14ac:dyDescent="0.3">
      <c r="I30018" s="82"/>
      <c r="M30018" s="85"/>
    </row>
    <row r="30019" spans="9:13" x14ac:dyDescent="0.3">
      <c r="I30019" s="82"/>
      <c r="M30019" s="85"/>
    </row>
    <row r="30020" spans="9:13" x14ac:dyDescent="0.3">
      <c r="I30020" s="82"/>
      <c r="M30020" s="85"/>
    </row>
    <row r="30021" spans="9:13" x14ac:dyDescent="0.3">
      <c r="I30021" s="82"/>
      <c r="M30021" s="85"/>
    </row>
    <row r="30022" spans="9:13" x14ac:dyDescent="0.3">
      <c r="I30022" s="82"/>
      <c r="M30022" s="85"/>
    </row>
    <row r="30023" spans="9:13" x14ac:dyDescent="0.3">
      <c r="I30023" s="82"/>
      <c r="M30023" s="85"/>
    </row>
    <row r="30024" spans="9:13" x14ac:dyDescent="0.3">
      <c r="I30024" s="82"/>
      <c r="M30024" s="85"/>
    </row>
    <row r="30025" spans="9:13" x14ac:dyDescent="0.3">
      <c r="I30025" s="82"/>
      <c r="M30025" s="85"/>
    </row>
    <row r="30026" spans="9:13" x14ac:dyDescent="0.3">
      <c r="I30026" s="82"/>
      <c r="M30026" s="85"/>
    </row>
    <row r="30027" spans="9:13" x14ac:dyDescent="0.3">
      <c r="I30027" s="82"/>
      <c r="M30027" s="85"/>
    </row>
    <row r="30028" spans="9:13" x14ac:dyDescent="0.3">
      <c r="I30028" s="82"/>
      <c r="M30028" s="85"/>
    </row>
    <row r="30029" spans="9:13" x14ac:dyDescent="0.3">
      <c r="I30029" s="82"/>
      <c r="M30029" s="85"/>
    </row>
    <row r="30030" spans="9:13" x14ac:dyDescent="0.3">
      <c r="I30030" s="82"/>
      <c r="M30030" s="85"/>
    </row>
    <row r="30031" spans="9:13" x14ac:dyDescent="0.3">
      <c r="I30031" s="82"/>
      <c r="M30031" s="85"/>
    </row>
    <row r="30032" spans="9:13" x14ac:dyDescent="0.3">
      <c r="I30032" s="82"/>
      <c r="M30032" s="85"/>
    </row>
    <row r="30033" spans="9:13" x14ac:dyDescent="0.3">
      <c r="I30033" s="82"/>
      <c r="M30033" s="85"/>
    </row>
    <row r="30034" spans="9:13" x14ac:dyDescent="0.3">
      <c r="I30034" s="82"/>
      <c r="M30034" s="85"/>
    </row>
    <row r="30035" spans="9:13" x14ac:dyDescent="0.3">
      <c r="I30035" s="82"/>
      <c r="M30035" s="85"/>
    </row>
    <row r="30036" spans="9:13" x14ac:dyDescent="0.3">
      <c r="I30036" s="82"/>
      <c r="M30036" s="85"/>
    </row>
    <row r="30037" spans="9:13" x14ac:dyDescent="0.3">
      <c r="I30037" s="82"/>
      <c r="M30037" s="85"/>
    </row>
    <row r="30038" spans="9:13" x14ac:dyDescent="0.3">
      <c r="I30038" s="82"/>
      <c r="M30038" s="85"/>
    </row>
    <row r="30039" spans="9:13" x14ac:dyDescent="0.3">
      <c r="I30039" s="82"/>
      <c r="M30039" s="85"/>
    </row>
    <row r="30040" spans="9:13" x14ac:dyDescent="0.3">
      <c r="I30040" s="82"/>
      <c r="M30040" s="85"/>
    </row>
    <row r="30041" spans="9:13" x14ac:dyDescent="0.3">
      <c r="I30041" s="82"/>
      <c r="M30041" s="85"/>
    </row>
    <row r="30042" spans="9:13" x14ac:dyDescent="0.3">
      <c r="I30042" s="82"/>
      <c r="M30042" s="85"/>
    </row>
    <row r="30043" spans="9:13" x14ac:dyDescent="0.3">
      <c r="I30043" s="82"/>
      <c r="M30043" s="85"/>
    </row>
    <row r="30044" spans="9:13" x14ac:dyDescent="0.3">
      <c r="I30044" s="82"/>
      <c r="M30044" s="85"/>
    </row>
    <row r="30045" spans="9:13" x14ac:dyDescent="0.3">
      <c r="I30045" s="82"/>
      <c r="M30045" s="85"/>
    </row>
    <row r="30046" spans="9:13" x14ac:dyDescent="0.3">
      <c r="I30046" s="82"/>
      <c r="M30046" s="85"/>
    </row>
    <row r="30047" spans="9:13" x14ac:dyDescent="0.3">
      <c r="I30047" s="82"/>
      <c r="M30047" s="85"/>
    </row>
    <row r="30048" spans="9:13" x14ac:dyDescent="0.3">
      <c r="I30048" s="82"/>
      <c r="M30048" s="85"/>
    </row>
    <row r="30049" spans="9:13" x14ac:dyDescent="0.3">
      <c r="I30049" s="82"/>
      <c r="M30049" s="85"/>
    </row>
    <row r="30050" spans="9:13" x14ac:dyDescent="0.3">
      <c r="I30050" s="82"/>
      <c r="M30050" s="85"/>
    </row>
    <row r="30051" spans="9:13" x14ac:dyDescent="0.3">
      <c r="I30051" s="82"/>
      <c r="M30051" s="85"/>
    </row>
    <row r="30052" spans="9:13" x14ac:dyDescent="0.3">
      <c r="I30052" s="82"/>
      <c r="M30052" s="85"/>
    </row>
    <row r="30053" spans="9:13" x14ac:dyDescent="0.3">
      <c r="I30053" s="82"/>
      <c r="M30053" s="85"/>
    </row>
    <row r="30054" spans="9:13" x14ac:dyDescent="0.3">
      <c r="I30054" s="82"/>
      <c r="M30054" s="85"/>
    </row>
    <row r="30055" spans="9:13" x14ac:dyDescent="0.3">
      <c r="I30055" s="82"/>
      <c r="M30055" s="85"/>
    </row>
    <row r="30056" spans="9:13" x14ac:dyDescent="0.3">
      <c r="I30056" s="82"/>
      <c r="M30056" s="85"/>
    </row>
    <row r="30057" spans="9:13" x14ac:dyDescent="0.3">
      <c r="I30057" s="82"/>
      <c r="M30057" s="85"/>
    </row>
    <row r="30058" spans="9:13" x14ac:dyDescent="0.3">
      <c r="I30058" s="82"/>
      <c r="M30058" s="85"/>
    </row>
    <row r="30059" spans="9:13" x14ac:dyDescent="0.3">
      <c r="I30059" s="82"/>
      <c r="M30059" s="85"/>
    </row>
    <row r="30060" spans="9:13" x14ac:dyDescent="0.3">
      <c r="I30060" s="82"/>
      <c r="M30060" s="85"/>
    </row>
    <row r="30061" spans="9:13" x14ac:dyDescent="0.3">
      <c r="I30061" s="82"/>
      <c r="M30061" s="85"/>
    </row>
    <row r="30062" spans="9:13" x14ac:dyDescent="0.3">
      <c r="I30062" s="82"/>
      <c r="M30062" s="85"/>
    </row>
    <row r="30063" spans="9:13" x14ac:dyDescent="0.3">
      <c r="I30063" s="82"/>
      <c r="M30063" s="85"/>
    </row>
    <row r="30064" spans="9:13" x14ac:dyDescent="0.3">
      <c r="I30064" s="82"/>
      <c r="M30064" s="85"/>
    </row>
    <row r="30065" spans="9:13" x14ac:dyDescent="0.3">
      <c r="I30065" s="82"/>
      <c r="M30065" s="85"/>
    </row>
    <row r="30066" spans="9:13" x14ac:dyDescent="0.3">
      <c r="I30066" s="82"/>
      <c r="M30066" s="85"/>
    </row>
    <row r="30067" spans="9:13" x14ac:dyDescent="0.3">
      <c r="I30067" s="82"/>
      <c r="M30067" s="85"/>
    </row>
    <row r="30068" spans="9:13" x14ac:dyDescent="0.3">
      <c r="I30068" s="82"/>
      <c r="M30068" s="85"/>
    </row>
    <row r="30069" spans="9:13" x14ac:dyDescent="0.3">
      <c r="I30069" s="82"/>
      <c r="M30069" s="85"/>
    </row>
    <row r="30070" spans="9:13" x14ac:dyDescent="0.3">
      <c r="I30070" s="82"/>
      <c r="M30070" s="85"/>
    </row>
    <row r="30071" spans="9:13" x14ac:dyDescent="0.3">
      <c r="I30071" s="82"/>
      <c r="M30071" s="85"/>
    </row>
    <row r="30072" spans="9:13" x14ac:dyDescent="0.3">
      <c r="I30072" s="82"/>
      <c r="M30072" s="85"/>
    </row>
    <row r="30073" spans="9:13" x14ac:dyDescent="0.3">
      <c r="I30073" s="82"/>
      <c r="M30073" s="85"/>
    </row>
    <row r="30074" spans="9:13" x14ac:dyDescent="0.3">
      <c r="I30074" s="82"/>
      <c r="M30074" s="85"/>
    </row>
    <row r="30075" spans="9:13" x14ac:dyDescent="0.3">
      <c r="I30075" s="82"/>
      <c r="M30075" s="85"/>
    </row>
    <row r="30076" spans="9:13" x14ac:dyDescent="0.3">
      <c r="I30076" s="82"/>
      <c r="M30076" s="85"/>
    </row>
    <row r="30077" spans="9:13" x14ac:dyDescent="0.3">
      <c r="I30077" s="82"/>
      <c r="M30077" s="85"/>
    </row>
    <row r="30078" spans="9:13" x14ac:dyDescent="0.3">
      <c r="I30078" s="82"/>
      <c r="M30078" s="85"/>
    </row>
    <row r="30079" spans="9:13" x14ac:dyDescent="0.3">
      <c r="I30079" s="82"/>
      <c r="M30079" s="85"/>
    </row>
    <row r="30080" spans="9:13" x14ac:dyDescent="0.3">
      <c r="I30080" s="82"/>
      <c r="M30080" s="85"/>
    </row>
    <row r="30081" spans="9:13" x14ac:dyDescent="0.3">
      <c r="I30081" s="82"/>
      <c r="M30081" s="85"/>
    </row>
    <row r="30082" spans="9:13" x14ac:dyDescent="0.3">
      <c r="I30082" s="82"/>
      <c r="M30082" s="85"/>
    </row>
    <row r="30083" spans="9:13" x14ac:dyDescent="0.3">
      <c r="I30083" s="82"/>
      <c r="M30083" s="85"/>
    </row>
    <row r="30084" spans="9:13" x14ac:dyDescent="0.3">
      <c r="I30084" s="82"/>
      <c r="M30084" s="85"/>
    </row>
    <row r="30085" spans="9:13" x14ac:dyDescent="0.3">
      <c r="I30085" s="82"/>
      <c r="M30085" s="85"/>
    </row>
    <row r="30086" spans="9:13" x14ac:dyDescent="0.3">
      <c r="I30086" s="82"/>
      <c r="M30086" s="85"/>
    </row>
    <row r="30087" spans="9:13" x14ac:dyDescent="0.3">
      <c r="I30087" s="82"/>
      <c r="M30087" s="85"/>
    </row>
    <row r="30088" spans="9:13" x14ac:dyDescent="0.3">
      <c r="I30088" s="82"/>
      <c r="M30088" s="85"/>
    </row>
    <row r="30089" spans="9:13" x14ac:dyDescent="0.3">
      <c r="I30089" s="82"/>
      <c r="M30089" s="85"/>
    </row>
    <row r="30090" spans="9:13" x14ac:dyDescent="0.3">
      <c r="I30090" s="82"/>
      <c r="M30090" s="85"/>
    </row>
    <row r="30091" spans="9:13" x14ac:dyDescent="0.3">
      <c r="I30091" s="82"/>
      <c r="M30091" s="85"/>
    </row>
    <row r="30092" spans="9:13" x14ac:dyDescent="0.3">
      <c r="I30092" s="82"/>
      <c r="M30092" s="85"/>
    </row>
    <row r="30093" spans="9:13" x14ac:dyDescent="0.3">
      <c r="I30093" s="82"/>
      <c r="M30093" s="85"/>
    </row>
    <row r="30094" spans="9:13" x14ac:dyDescent="0.3">
      <c r="I30094" s="82"/>
      <c r="M30094" s="85"/>
    </row>
    <row r="30095" spans="9:13" x14ac:dyDescent="0.3">
      <c r="I30095" s="82"/>
      <c r="M30095" s="85"/>
    </row>
    <row r="30096" spans="9:13" x14ac:dyDescent="0.3">
      <c r="I30096" s="82"/>
      <c r="M30096" s="85"/>
    </row>
    <row r="30097" spans="9:13" x14ac:dyDescent="0.3">
      <c r="I30097" s="82"/>
      <c r="M30097" s="85"/>
    </row>
    <row r="30098" spans="9:13" x14ac:dyDescent="0.3">
      <c r="I30098" s="82"/>
      <c r="M30098" s="85"/>
    </row>
    <row r="30099" spans="9:13" x14ac:dyDescent="0.3">
      <c r="I30099" s="82"/>
      <c r="M30099" s="85"/>
    </row>
    <row r="30100" spans="9:13" x14ac:dyDescent="0.3">
      <c r="I30100" s="82"/>
      <c r="M30100" s="85"/>
    </row>
    <row r="30101" spans="9:13" x14ac:dyDescent="0.3">
      <c r="I30101" s="82"/>
      <c r="M30101" s="85"/>
    </row>
    <row r="30102" spans="9:13" x14ac:dyDescent="0.3">
      <c r="I30102" s="82"/>
      <c r="M30102" s="85"/>
    </row>
    <row r="30103" spans="9:13" x14ac:dyDescent="0.3">
      <c r="I30103" s="82"/>
      <c r="M30103" s="85"/>
    </row>
    <row r="30104" spans="9:13" x14ac:dyDescent="0.3">
      <c r="I30104" s="82"/>
      <c r="M30104" s="85"/>
    </row>
    <row r="30105" spans="9:13" x14ac:dyDescent="0.3">
      <c r="I30105" s="82"/>
      <c r="M30105" s="85"/>
    </row>
    <row r="30106" spans="9:13" x14ac:dyDescent="0.3">
      <c r="I30106" s="82"/>
      <c r="M30106" s="85"/>
    </row>
    <row r="30107" spans="9:13" x14ac:dyDescent="0.3">
      <c r="I30107" s="82"/>
      <c r="M30107" s="85"/>
    </row>
    <row r="30108" spans="9:13" x14ac:dyDescent="0.3">
      <c r="I30108" s="82"/>
      <c r="M30108" s="85"/>
    </row>
    <row r="30109" spans="9:13" x14ac:dyDescent="0.3">
      <c r="I30109" s="82"/>
      <c r="M30109" s="85"/>
    </row>
    <row r="30110" spans="9:13" x14ac:dyDescent="0.3">
      <c r="I30110" s="82"/>
      <c r="M30110" s="85"/>
    </row>
    <row r="30111" spans="9:13" x14ac:dyDescent="0.3">
      <c r="I30111" s="82"/>
      <c r="M30111" s="85"/>
    </row>
    <row r="30112" spans="9:13" x14ac:dyDescent="0.3">
      <c r="I30112" s="82"/>
      <c r="M30112" s="85"/>
    </row>
    <row r="30113" spans="9:13" x14ac:dyDescent="0.3">
      <c r="I30113" s="82"/>
      <c r="M30113" s="85"/>
    </row>
    <row r="30114" spans="9:13" x14ac:dyDescent="0.3">
      <c r="I30114" s="82"/>
      <c r="M30114" s="85"/>
    </row>
    <row r="30115" spans="9:13" x14ac:dyDescent="0.3">
      <c r="I30115" s="82"/>
      <c r="M30115" s="85"/>
    </row>
    <row r="30116" spans="9:13" x14ac:dyDescent="0.3">
      <c r="I30116" s="82"/>
      <c r="M30116" s="85"/>
    </row>
    <row r="30117" spans="9:13" x14ac:dyDescent="0.3">
      <c r="I30117" s="82"/>
      <c r="M30117" s="85"/>
    </row>
    <row r="30118" spans="9:13" x14ac:dyDescent="0.3">
      <c r="I30118" s="82"/>
      <c r="M30118" s="85"/>
    </row>
    <row r="30119" spans="9:13" x14ac:dyDescent="0.3">
      <c r="I30119" s="82"/>
      <c r="M30119" s="85"/>
    </row>
    <row r="30120" spans="9:13" x14ac:dyDescent="0.3">
      <c r="I30120" s="82"/>
      <c r="M30120" s="85"/>
    </row>
    <row r="30121" spans="9:13" x14ac:dyDescent="0.3">
      <c r="I30121" s="82"/>
      <c r="M30121" s="85"/>
    </row>
    <row r="30122" spans="9:13" x14ac:dyDescent="0.3">
      <c r="I30122" s="82"/>
      <c r="M30122" s="85"/>
    </row>
    <row r="30123" spans="9:13" x14ac:dyDescent="0.3">
      <c r="I30123" s="82"/>
      <c r="M30123" s="85"/>
    </row>
    <row r="30124" spans="9:13" x14ac:dyDescent="0.3">
      <c r="I30124" s="82"/>
      <c r="M30124" s="85"/>
    </row>
    <row r="30125" spans="9:13" x14ac:dyDescent="0.3">
      <c r="I30125" s="82"/>
      <c r="M30125" s="85"/>
    </row>
    <row r="30126" spans="9:13" x14ac:dyDescent="0.3">
      <c r="I30126" s="82"/>
      <c r="M30126" s="85"/>
    </row>
    <row r="30127" spans="9:13" x14ac:dyDescent="0.3">
      <c r="I30127" s="82"/>
      <c r="M30127" s="85"/>
    </row>
    <row r="30128" spans="9:13" x14ac:dyDescent="0.3">
      <c r="I30128" s="82"/>
      <c r="M30128" s="85"/>
    </row>
    <row r="30129" spans="9:13" x14ac:dyDescent="0.3">
      <c r="I30129" s="82"/>
      <c r="M30129" s="85"/>
    </row>
    <row r="30130" spans="9:13" x14ac:dyDescent="0.3">
      <c r="I30130" s="82"/>
      <c r="M30130" s="85"/>
    </row>
    <row r="30131" spans="9:13" x14ac:dyDescent="0.3">
      <c r="I30131" s="82"/>
      <c r="M30131" s="85"/>
    </row>
    <row r="30132" spans="9:13" x14ac:dyDescent="0.3">
      <c r="I30132" s="82"/>
      <c r="M30132" s="85"/>
    </row>
    <row r="30133" spans="9:13" x14ac:dyDescent="0.3">
      <c r="I30133" s="82"/>
      <c r="M30133" s="85"/>
    </row>
    <row r="30134" spans="9:13" x14ac:dyDescent="0.3">
      <c r="I30134" s="82"/>
      <c r="M30134" s="85"/>
    </row>
    <row r="30135" spans="9:13" x14ac:dyDescent="0.3">
      <c r="I30135" s="82"/>
      <c r="M30135" s="85"/>
    </row>
    <row r="30136" spans="9:13" x14ac:dyDescent="0.3">
      <c r="I30136" s="82"/>
      <c r="M30136" s="85"/>
    </row>
    <row r="30137" spans="9:13" x14ac:dyDescent="0.3">
      <c r="I30137" s="82"/>
      <c r="M30137" s="85"/>
    </row>
    <row r="30138" spans="9:13" x14ac:dyDescent="0.3">
      <c r="I30138" s="82"/>
      <c r="M30138" s="85"/>
    </row>
    <row r="30139" spans="9:13" x14ac:dyDescent="0.3">
      <c r="I30139" s="82"/>
      <c r="M30139" s="85"/>
    </row>
    <row r="30140" spans="9:13" x14ac:dyDescent="0.3">
      <c r="I30140" s="82"/>
      <c r="M30140" s="85"/>
    </row>
    <row r="30141" spans="9:13" x14ac:dyDescent="0.3">
      <c r="I30141" s="82"/>
      <c r="M30141" s="85"/>
    </row>
    <row r="30142" spans="9:13" x14ac:dyDescent="0.3">
      <c r="I30142" s="82"/>
      <c r="M30142" s="85"/>
    </row>
    <row r="30143" spans="9:13" x14ac:dyDescent="0.3">
      <c r="I30143" s="82"/>
      <c r="M30143" s="85"/>
    </row>
    <row r="30144" spans="9:13" x14ac:dyDescent="0.3">
      <c r="I30144" s="82"/>
      <c r="M30144" s="85"/>
    </row>
    <row r="30145" spans="9:13" x14ac:dyDescent="0.3">
      <c r="I30145" s="82"/>
      <c r="M30145" s="85"/>
    </row>
    <row r="30146" spans="9:13" x14ac:dyDescent="0.3">
      <c r="I30146" s="82"/>
      <c r="M30146" s="85"/>
    </row>
    <row r="30147" spans="9:13" x14ac:dyDescent="0.3">
      <c r="I30147" s="82"/>
      <c r="M30147" s="85"/>
    </row>
    <row r="30148" spans="9:13" x14ac:dyDescent="0.3">
      <c r="I30148" s="82"/>
      <c r="M30148" s="85"/>
    </row>
    <row r="30149" spans="9:13" x14ac:dyDescent="0.3">
      <c r="I30149" s="82"/>
      <c r="M30149" s="85"/>
    </row>
    <row r="30150" spans="9:13" x14ac:dyDescent="0.3">
      <c r="I30150" s="82"/>
      <c r="M30150" s="85"/>
    </row>
    <row r="30151" spans="9:13" x14ac:dyDescent="0.3">
      <c r="I30151" s="82"/>
      <c r="M30151" s="85"/>
    </row>
    <row r="30152" spans="9:13" x14ac:dyDescent="0.3">
      <c r="I30152" s="82"/>
      <c r="M30152" s="85"/>
    </row>
    <row r="30153" spans="9:13" x14ac:dyDescent="0.3">
      <c r="I30153" s="82"/>
      <c r="M30153" s="85"/>
    </row>
    <row r="30154" spans="9:13" x14ac:dyDescent="0.3">
      <c r="I30154" s="82"/>
      <c r="M30154" s="85"/>
    </row>
    <row r="30155" spans="9:13" x14ac:dyDescent="0.3">
      <c r="I30155" s="82"/>
      <c r="M30155" s="85"/>
    </row>
    <row r="30156" spans="9:13" x14ac:dyDescent="0.3">
      <c r="I30156" s="82"/>
      <c r="M30156" s="85"/>
    </row>
    <row r="30157" spans="9:13" x14ac:dyDescent="0.3">
      <c r="I30157" s="82"/>
      <c r="M30157" s="85"/>
    </row>
    <row r="30158" spans="9:13" x14ac:dyDescent="0.3">
      <c r="I30158" s="82"/>
      <c r="M30158" s="85"/>
    </row>
    <row r="30159" spans="9:13" x14ac:dyDescent="0.3">
      <c r="I30159" s="82"/>
      <c r="M30159" s="85"/>
    </row>
    <row r="30160" spans="9:13" x14ac:dyDescent="0.3">
      <c r="I30160" s="82"/>
      <c r="M30160" s="85"/>
    </row>
    <row r="30161" spans="9:13" x14ac:dyDescent="0.3">
      <c r="I30161" s="82"/>
      <c r="M30161" s="85"/>
    </row>
    <row r="30162" spans="9:13" x14ac:dyDescent="0.3">
      <c r="I30162" s="82"/>
      <c r="M30162" s="85"/>
    </row>
    <row r="30163" spans="9:13" x14ac:dyDescent="0.3">
      <c r="I30163" s="82"/>
      <c r="M30163" s="85"/>
    </row>
    <row r="30164" spans="9:13" x14ac:dyDescent="0.3">
      <c r="I30164" s="82"/>
      <c r="M30164" s="85"/>
    </row>
    <row r="30165" spans="9:13" x14ac:dyDescent="0.3">
      <c r="I30165" s="82"/>
      <c r="M30165" s="85"/>
    </row>
    <row r="30166" spans="9:13" x14ac:dyDescent="0.3">
      <c r="I30166" s="82"/>
      <c r="M30166" s="85"/>
    </row>
    <row r="30167" spans="9:13" x14ac:dyDescent="0.3">
      <c r="I30167" s="82"/>
      <c r="M30167" s="85"/>
    </row>
    <row r="30168" spans="9:13" x14ac:dyDescent="0.3">
      <c r="I30168" s="82"/>
      <c r="M30168" s="85"/>
    </row>
    <row r="30169" spans="9:13" x14ac:dyDescent="0.3">
      <c r="I30169" s="82"/>
      <c r="M30169" s="85"/>
    </row>
    <row r="30170" spans="9:13" x14ac:dyDescent="0.3">
      <c r="I30170" s="82"/>
      <c r="M30170" s="85"/>
    </row>
    <row r="30171" spans="9:13" x14ac:dyDescent="0.3">
      <c r="I30171" s="82"/>
      <c r="M30171" s="85"/>
    </row>
    <row r="30172" spans="9:13" x14ac:dyDescent="0.3">
      <c r="I30172" s="82"/>
      <c r="M30172" s="85"/>
    </row>
    <row r="30173" spans="9:13" x14ac:dyDescent="0.3">
      <c r="I30173" s="82"/>
      <c r="M30173" s="85"/>
    </row>
    <row r="30174" spans="9:13" x14ac:dyDescent="0.3">
      <c r="I30174" s="82"/>
      <c r="M30174" s="85"/>
    </row>
    <row r="30175" spans="9:13" x14ac:dyDescent="0.3">
      <c r="I30175" s="82"/>
      <c r="M30175" s="85"/>
    </row>
    <row r="30176" spans="9:13" x14ac:dyDescent="0.3">
      <c r="I30176" s="82"/>
      <c r="M30176" s="85"/>
    </row>
    <row r="30177" spans="9:13" x14ac:dyDescent="0.3">
      <c r="I30177" s="82"/>
      <c r="M30177" s="85"/>
    </row>
    <row r="30178" spans="9:13" x14ac:dyDescent="0.3">
      <c r="I30178" s="82"/>
      <c r="M30178" s="85"/>
    </row>
    <row r="30179" spans="9:13" x14ac:dyDescent="0.3">
      <c r="I30179" s="82"/>
      <c r="M30179" s="85"/>
    </row>
    <row r="30180" spans="9:13" x14ac:dyDescent="0.3">
      <c r="I30180" s="82"/>
      <c r="M30180" s="85"/>
    </row>
    <row r="30181" spans="9:13" x14ac:dyDescent="0.3">
      <c r="I30181" s="82"/>
      <c r="M30181" s="85"/>
    </row>
    <row r="30182" spans="9:13" x14ac:dyDescent="0.3">
      <c r="I30182" s="82"/>
      <c r="M30182" s="85"/>
    </row>
    <row r="30183" spans="9:13" x14ac:dyDescent="0.3">
      <c r="I30183" s="82"/>
      <c r="M30183" s="85"/>
    </row>
    <row r="30184" spans="9:13" x14ac:dyDescent="0.3">
      <c r="I30184" s="82"/>
      <c r="M30184" s="85"/>
    </row>
    <row r="30185" spans="9:13" x14ac:dyDescent="0.3">
      <c r="I30185" s="82"/>
      <c r="M30185" s="85"/>
    </row>
    <row r="30186" spans="9:13" x14ac:dyDescent="0.3">
      <c r="I30186" s="82"/>
      <c r="M30186" s="85"/>
    </row>
    <row r="30187" spans="9:13" x14ac:dyDescent="0.3">
      <c r="I30187" s="82"/>
      <c r="M30187" s="85"/>
    </row>
    <row r="30188" spans="9:13" x14ac:dyDescent="0.3">
      <c r="I30188" s="82"/>
      <c r="M30188" s="85"/>
    </row>
    <row r="30189" spans="9:13" x14ac:dyDescent="0.3">
      <c r="I30189" s="82"/>
      <c r="M30189" s="85"/>
    </row>
    <row r="30190" spans="9:13" x14ac:dyDescent="0.3">
      <c r="I30190" s="82"/>
      <c r="M30190" s="85"/>
    </row>
    <row r="30191" spans="9:13" x14ac:dyDescent="0.3">
      <c r="I30191" s="82"/>
      <c r="M30191" s="85"/>
    </row>
    <row r="30192" spans="9:13" x14ac:dyDescent="0.3">
      <c r="I30192" s="82"/>
      <c r="M30192" s="85"/>
    </row>
    <row r="30193" spans="9:13" x14ac:dyDescent="0.3">
      <c r="I30193" s="82"/>
      <c r="M30193" s="85"/>
    </row>
    <row r="30194" spans="9:13" x14ac:dyDescent="0.3">
      <c r="I30194" s="82"/>
      <c r="M30194" s="85"/>
    </row>
    <row r="30195" spans="9:13" x14ac:dyDescent="0.3">
      <c r="I30195" s="82"/>
      <c r="M30195" s="85"/>
    </row>
    <row r="30196" spans="9:13" x14ac:dyDescent="0.3">
      <c r="I30196" s="82"/>
      <c r="M30196" s="85"/>
    </row>
    <row r="30197" spans="9:13" x14ac:dyDescent="0.3">
      <c r="I30197" s="82"/>
      <c r="M30197" s="85"/>
    </row>
    <row r="30198" spans="9:13" x14ac:dyDescent="0.3">
      <c r="I30198" s="82"/>
      <c r="M30198" s="85"/>
    </row>
    <row r="30199" spans="9:13" x14ac:dyDescent="0.3">
      <c r="I30199" s="82"/>
      <c r="M30199" s="85"/>
    </row>
    <row r="30200" spans="9:13" x14ac:dyDescent="0.3">
      <c r="I30200" s="82"/>
      <c r="M30200" s="85"/>
    </row>
    <row r="30201" spans="9:13" x14ac:dyDescent="0.3">
      <c r="I30201" s="82"/>
      <c r="M30201" s="85"/>
    </row>
    <row r="30202" spans="9:13" x14ac:dyDescent="0.3">
      <c r="I30202" s="82"/>
      <c r="M30202" s="85"/>
    </row>
    <row r="30203" spans="9:13" x14ac:dyDescent="0.3">
      <c r="I30203" s="82"/>
      <c r="M30203" s="85"/>
    </row>
    <row r="30204" spans="9:13" x14ac:dyDescent="0.3">
      <c r="I30204" s="82"/>
      <c r="M30204" s="85"/>
    </row>
    <row r="30205" spans="9:13" x14ac:dyDescent="0.3">
      <c r="I30205" s="82"/>
      <c r="M30205" s="85"/>
    </row>
    <row r="30206" spans="9:13" x14ac:dyDescent="0.3">
      <c r="I30206" s="82"/>
      <c r="M30206" s="85"/>
    </row>
    <row r="30207" spans="9:13" x14ac:dyDescent="0.3">
      <c r="I30207" s="82"/>
      <c r="M30207" s="85"/>
    </row>
    <row r="30208" spans="9:13" x14ac:dyDescent="0.3">
      <c r="I30208" s="82"/>
      <c r="M30208" s="85"/>
    </row>
    <row r="30209" spans="9:13" x14ac:dyDescent="0.3">
      <c r="I30209" s="82"/>
      <c r="M30209" s="85"/>
    </row>
    <row r="30210" spans="9:13" x14ac:dyDescent="0.3">
      <c r="I30210" s="82"/>
      <c r="M30210" s="85"/>
    </row>
    <row r="30211" spans="9:13" x14ac:dyDescent="0.3">
      <c r="I30211" s="82"/>
      <c r="M30211" s="85"/>
    </row>
    <row r="30212" spans="9:13" x14ac:dyDescent="0.3">
      <c r="I30212" s="82"/>
      <c r="M30212" s="85"/>
    </row>
    <row r="30213" spans="9:13" x14ac:dyDescent="0.3">
      <c r="I30213" s="82"/>
      <c r="M30213" s="85"/>
    </row>
    <row r="30214" spans="9:13" x14ac:dyDescent="0.3">
      <c r="I30214" s="82"/>
      <c r="M30214" s="85"/>
    </row>
    <row r="30215" spans="9:13" x14ac:dyDescent="0.3">
      <c r="I30215" s="82"/>
      <c r="M30215" s="85"/>
    </row>
    <row r="30216" spans="9:13" x14ac:dyDescent="0.3">
      <c r="I30216" s="82"/>
      <c r="M30216" s="85"/>
    </row>
    <row r="30217" spans="9:13" x14ac:dyDescent="0.3">
      <c r="I30217" s="82"/>
      <c r="M30217" s="85"/>
    </row>
    <row r="30218" spans="9:13" x14ac:dyDescent="0.3">
      <c r="I30218" s="82"/>
      <c r="M30218" s="85"/>
    </row>
    <row r="30219" spans="9:13" x14ac:dyDescent="0.3">
      <c r="I30219" s="82"/>
      <c r="M30219" s="85"/>
    </row>
    <row r="30220" spans="9:13" x14ac:dyDescent="0.3">
      <c r="I30220" s="82"/>
      <c r="M30220" s="85"/>
    </row>
    <row r="30221" spans="9:13" x14ac:dyDescent="0.3">
      <c r="I30221" s="82"/>
      <c r="M30221" s="85"/>
    </row>
    <row r="30222" spans="9:13" x14ac:dyDescent="0.3">
      <c r="I30222" s="82"/>
      <c r="M30222" s="85"/>
    </row>
    <row r="30223" spans="9:13" x14ac:dyDescent="0.3">
      <c r="I30223" s="82"/>
      <c r="M30223" s="85"/>
    </row>
    <row r="30224" spans="9:13" x14ac:dyDescent="0.3">
      <c r="I30224" s="82"/>
      <c r="M30224" s="85"/>
    </row>
    <row r="30225" spans="9:13" x14ac:dyDescent="0.3">
      <c r="I30225" s="82"/>
      <c r="M30225" s="85"/>
    </row>
    <row r="30226" spans="9:13" x14ac:dyDescent="0.3">
      <c r="I30226" s="82"/>
      <c r="M30226" s="85"/>
    </row>
    <row r="30227" spans="9:13" x14ac:dyDescent="0.3">
      <c r="I30227" s="82"/>
      <c r="M30227" s="85"/>
    </row>
    <row r="30228" spans="9:13" x14ac:dyDescent="0.3">
      <c r="I30228" s="82"/>
      <c r="M30228" s="85"/>
    </row>
    <row r="30229" spans="9:13" x14ac:dyDescent="0.3">
      <c r="I30229" s="82"/>
      <c r="M30229" s="85"/>
    </row>
    <row r="30230" spans="9:13" x14ac:dyDescent="0.3">
      <c r="I30230" s="82"/>
      <c r="M30230" s="85"/>
    </row>
    <row r="30231" spans="9:13" x14ac:dyDescent="0.3">
      <c r="I30231" s="82"/>
      <c r="M30231" s="85"/>
    </row>
    <row r="30232" spans="9:13" x14ac:dyDescent="0.3">
      <c r="I30232" s="82"/>
      <c r="M30232" s="85"/>
    </row>
    <row r="30233" spans="9:13" x14ac:dyDescent="0.3">
      <c r="I30233" s="82"/>
      <c r="M30233" s="85"/>
    </row>
    <row r="30234" spans="9:13" x14ac:dyDescent="0.3">
      <c r="I30234" s="82"/>
      <c r="M30234" s="85"/>
    </row>
    <row r="30235" spans="9:13" x14ac:dyDescent="0.3">
      <c r="I30235" s="82"/>
      <c r="M30235" s="85"/>
    </row>
    <row r="30236" spans="9:13" x14ac:dyDescent="0.3">
      <c r="I30236" s="82"/>
      <c r="M30236" s="85"/>
    </row>
    <row r="30237" spans="9:13" x14ac:dyDescent="0.3">
      <c r="I30237" s="82"/>
      <c r="M30237" s="85"/>
    </row>
    <row r="30238" spans="9:13" x14ac:dyDescent="0.3">
      <c r="I30238" s="82"/>
      <c r="M30238" s="85"/>
    </row>
    <row r="30239" spans="9:13" x14ac:dyDescent="0.3">
      <c r="I30239" s="82"/>
      <c r="M30239" s="85"/>
    </row>
    <row r="30240" spans="9:13" x14ac:dyDescent="0.3">
      <c r="I30240" s="82"/>
      <c r="M30240" s="85"/>
    </row>
    <row r="30241" spans="9:13" x14ac:dyDescent="0.3">
      <c r="I30241" s="82"/>
      <c r="M30241" s="85"/>
    </row>
    <row r="30242" spans="9:13" x14ac:dyDescent="0.3">
      <c r="I30242" s="82"/>
      <c r="M30242" s="85"/>
    </row>
    <row r="30243" spans="9:13" x14ac:dyDescent="0.3">
      <c r="I30243" s="82"/>
      <c r="M30243" s="85"/>
    </row>
    <row r="30244" spans="9:13" x14ac:dyDescent="0.3">
      <c r="I30244" s="82"/>
      <c r="M30244" s="85"/>
    </row>
    <row r="30245" spans="9:13" x14ac:dyDescent="0.3">
      <c r="I30245" s="82"/>
      <c r="M30245" s="85"/>
    </row>
    <row r="30246" spans="9:13" x14ac:dyDescent="0.3">
      <c r="I30246" s="82"/>
      <c r="M30246" s="85"/>
    </row>
    <row r="30247" spans="9:13" x14ac:dyDescent="0.3">
      <c r="I30247" s="82"/>
      <c r="M30247" s="85"/>
    </row>
    <row r="30248" spans="9:13" x14ac:dyDescent="0.3">
      <c r="I30248" s="82"/>
      <c r="M30248" s="85"/>
    </row>
    <row r="30249" spans="9:13" x14ac:dyDescent="0.3">
      <c r="I30249" s="82"/>
      <c r="M30249" s="85"/>
    </row>
    <row r="30250" spans="9:13" x14ac:dyDescent="0.3">
      <c r="I30250" s="82"/>
      <c r="M30250" s="85"/>
    </row>
    <row r="30251" spans="9:13" x14ac:dyDescent="0.3">
      <c r="I30251" s="82"/>
      <c r="M30251" s="85"/>
    </row>
    <row r="30252" spans="9:13" x14ac:dyDescent="0.3">
      <c r="I30252" s="82"/>
      <c r="M30252" s="85"/>
    </row>
    <row r="30253" spans="9:13" x14ac:dyDescent="0.3">
      <c r="I30253" s="82"/>
      <c r="M30253" s="85"/>
    </row>
    <row r="30254" spans="9:13" x14ac:dyDescent="0.3">
      <c r="I30254" s="82"/>
      <c r="M30254" s="85"/>
    </row>
    <row r="30255" spans="9:13" x14ac:dyDescent="0.3">
      <c r="I30255" s="82"/>
      <c r="M30255" s="85"/>
    </row>
    <row r="30256" spans="9:13" x14ac:dyDescent="0.3">
      <c r="I30256" s="82"/>
      <c r="M30256" s="85"/>
    </row>
    <row r="30257" spans="9:13" x14ac:dyDescent="0.3">
      <c r="I30257" s="82"/>
      <c r="M30257" s="85"/>
    </row>
    <row r="30258" spans="9:13" x14ac:dyDescent="0.3">
      <c r="I30258" s="82"/>
      <c r="M30258" s="85"/>
    </row>
    <row r="30259" spans="9:13" x14ac:dyDescent="0.3">
      <c r="I30259" s="82"/>
      <c r="M30259" s="85"/>
    </row>
    <row r="30260" spans="9:13" x14ac:dyDescent="0.3">
      <c r="I30260" s="82"/>
      <c r="M30260" s="85"/>
    </row>
    <row r="30261" spans="9:13" x14ac:dyDescent="0.3">
      <c r="I30261" s="82"/>
      <c r="M30261" s="85"/>
    </row>
    <row r="30262" spans="9:13" x14ac:dyDescent="0.3">
      <c r="I30262" s="82"/>
      <c r="M30262" s="85"/>
    </row>
    <row r="30263" spans="9:13" x14ac:dyDescent="0.3">
      <c r="I30263" s="82"/>
      <c r="M30263" s="85"/>
    </row>
    <row r="30264" spans="9:13" x14ac:dyDescent="0.3">
      <c r="I30264" s="82"/>
      <c r="M30264" s="85"/>
    </row>
    <row r="30265" spans="9:13" x14ac:dyDescent="0.3">
      <c r="I30265" s="82"/>
      <c r="M30265" s="85"/>
    </row>
    <row r="30266" spans="9:13" x14ac:dyDescent="0.3">
      <c r="I30266" s="82"/>
      <c r="M30266" s="85"/>
    </row>
    <row r="30267" spans="9:13" x14ac:dyDescent="0.3">
      <c r="I30267" s="82"/>
      <c r="M30267" s="85"/>
    </row>
    <row r="30268" spans="9:13" x14ac:dyDescent="0.3">
      <c r="I30268" s="82"/>
      <c r="M30268" s="85"/>
    </row>
    <row r="30269" spans="9:13" x14ac:dyDescent="0.3">
      <c r="I30269" s="82"/>
      <c r="M30269" s="85"/>
    </row>
    <row r="30270" spans="9:13" x14ac:dyDescent="0.3">
      <c r="I30270" s="82"/>
      <c r="M30270" s="85"/>
    </row>
    <row r="30271" spans="9:13" x14ac:dyDescent="0.3">
      <c r="I30271" s="82"/>
      <c r="M30271" s="85"/>
    </row>
    <row r="30272" spans="9:13" x14ac:dyDescent="0.3">
      <c r="I30272" s="82"/>
      <c r="M30272" s="85"/>
    </row>
    <row r="30273" spans="9:13" x14ac:dyDescent="0.3">
      <c r="I30273" s="82"/>
      <c r="M30273" s="85"/>
    </row>
    <row r="30274" spans="9:13" x14ac:dyDescent="0.3">
      <c r="I30274" s="82"/>
      <c r="M30274" s="85"/>
    </row>
    <row r="30275" spans="9:13" x14ac:dyDescent="0.3">
      <c r="I30275" s="82"/>
      <c r="M30275" s="85"/>
    </row>
    <row r="30276" spans="9:13" x14ac:dyDescent="0.3">
      <c r="I30276" s="82"/>
      <c r="M30276" s="85"/>
    </row>
    <row r="30277" spans="9:13" x14ac:dyDescent="0.3">
      <c r="I30277" s="82"/>
      <c r="M30277" s="85"/>
    </row>
    <row r="30278" spans="9:13" x14ac:dyDescent="0.3">
      <c r="I30278" s="82"/>
      <c r="M30278" s="85"/>
    </row>
    <row r="30279" spans="9:13" x14ac:dyDescent="0.3">
      <c r="I30279" s="82"/>
      <c r="M30279" s="85"/>
    </row>
    <row r="30280" spans="9:13" x14ac:dyDescent="0.3">
      <c r="I30280" s="82"/>
      <c r="M30280" s="85"/>
    </row>
    <row r="30281" spans="9:13" x14ac:dyDescent="0.3">
      <c r="I30281" s="82"/>
      <c r="M30281" s="85"/>
    </row>
    <row r="30282" spans="9:13" x14ac:dyDescent="0.3">
      <c r="I30282" s="82"/>
      <c r="M30282" s="85"/>
    </row>
    <row r="30283" spans="9:13" x14ac:dyDescent="0.3">
      <c r="I30283" s="82"/>
      <c r="M30283" s="85"/>
    </row>
    <row r="30284" spans="9:13" x14ac:dyDescent="0.3">
      <c r="I30284" s="82"/>
      <c r="M30284" s="85"/>
    </row>
    <row r="30285" spans="9:13" x14ac:dyDescent="0.3">
      <c r="I30285" s="82"/>
      <c r="M30285" s="85"/>
    </row>
    <row r="30286" spans="9:13" x14ac:dyDescent="0.3">
      <c r="I30286" s="82"/>
      <c r="M30286" s="85"/>
    </row>
    <row r="30287" spans="9:13" x14ac:dyDescent="0.3">
      <c r="I30287" s="82"/>
      <c r="M30287" s="85"/>
    </row>
    <row r="30288" spans="9:13" x14ac:dyDescent="0.3">
      <c r="I30288" s="82"/>
      <c r="M30288" s="85"/>
    </row>
    <row r="30289" spans="9:13" x14ac:dyDescent="0.3">
      <c r="I30289" s="82"/>
      <c r="M30289" s="85"/>
    </row>
    <row r="30290" spans="9:13" x14ac:dyDescent="0.3">
      <c r="I30290" s="82"/>
      <c r="M30290" s="85"/>
    </row>
    <row r="30291" spans="9:13" x14ac:dyDescent="0.3">
      <c r="I30291" s="82"/>
      <c r="M30291" s="85"/>
    </row>
    <row r="30292" spans="9:13" x14ac:dyDescent="0.3">
      <c r="I30292" s="82"/>
      <c r="M30292" s="85"/>
    </row>
    <row r="30293" spans="9:13" x14ac:dyDescent="0.3">
      <c r="I30293" s="82"/>
      <c r="M30293" s="85"/>
    </row>
    <row r="30294" spans="9:13" x14ac:dyDescent="0.3">
      <c r="I30294" s="82"/>
      <c r="M30294" s="85"/>
    </row>
    <row r="30295" spans="9:13" x14ac:dyDescent="0.3">
      <c r="I30295" s="82"/>
      <c r="M30295" s="85"/>
    </row>
    <row r="30296" spans="9:13" x14ac:dyDescent="0.3">
      <c r="I30296" s="82"/>
      <c r="M30296" s="85"/>
    </row>
    <row r="30297" spans="9:13" x14ac:dyDescent="0.3">
      <c r="I30297" s="82"/>
      <c r="M30297" s="85"/>
    </row>
    <row r="30298" spans="9:13" x14ac:dyDescent="0.3">
      <c r="I30298" s="82"/>
      <c r="M30298" s="85"/>
    </row>
    <row r="30299" spans="9:13" x14ac:dyDescent="0.3">
      <c r="I30299" s="82"/>
      <c r="M30299" s="85"/>
    </row>
    <row r="30300" spans="9:13" x14ac:dyDescent="0.3">
      <c r="I30300" s="82"/>
      <c r="M30300" s="85"/>
    </row>
    <row r="30301" spans="9:13" x14ac:dyDescent="0.3">
      <c r="I30301" s="82"/>
      <c r="M30301" s="85"/>
    </row>
    <row r="30302" spans="9:13" x14ac:dyDescent="0.3">
      <c r="I30302" s="82"/>
      <c r="M30302" s="85"/>
    </row>
    <row r="30303" spans="9:13" x14ac:dyDescent="0.3">
      <c r="I30303" s="82"/>
      <c r="M30303" s="85"/>
    </row>
    <row r="30304" spans="9:13" x14ac:dyDescent="0.3">
      <c r="I30304" s="82"/>
      <c r="M30304" s="85"/>
    </row>
    <row r="30305" spans="9:13" x14ac:dyDescent="0.3">
      <c r="I30305" s="82"/>
      <c r="M30305" s="85"/>
    </row>
    <row r="30306" spans="9:13" x14ac:dyDescent="0.3">
      <c r="I30306" s="82"/>
      <c r="M30306" s="85"/>
    </row>
    <row r="30307" spans="9:13" x14ac:dyDescent="0.3">
      <c r="I30307" s="82"/>
      <c r="M30307" s="85"/>
    </row>
    <row r="30308" spans="9:13" x14ac:dyDescent="0.3">
      <c r="I30308" s="82"/>
      <c r="M30308" s="85"/>
    </row>
    <row r="30309" spans="9:13" x14ac:dyDescent="0.3">
      <c r="I30309" s="82"/>
      <c r="M30309" s="85"/>
    </row>
    <row r="30310" spans="9:13" x14ac:dyDescent="0.3">
      <c r="I30310" s="82"/>
      <c r="M30310" s="85"/>
    </row>
    <row r="30311" spans="9:13" x14ac:dyDescent="0.3">
      <c r="I30311" s="82"/>
      <c r="M30311" s="85"/>
    </row>
    <row r="30312" spans="9:13" x14ac:dyDescent="0.3">
      <c r="I30312" s="82"/>
      <c r="M30312" s="85"/>
    </row>
    <row r="30313" spans="9:13" x14ac:dyDescent="0.3">
      <c r="I30313" s="82"/>
      <c r="M30313" s="85"/>
    </row>
    <row r="30314" spans="9:13" x14ac:dyDescent="0.3">
      <c r="I30314" s="82"/>
      <c r="M30314" s="85"/>
    </row>
    <row r="30315" spans="9:13" x14ac:dyDescent="0.3">
      <c r="I30315" s="82"/>
      <c r="M30315" s="85"/>
    </row>
    <row r="30316" spans="9:13" x14ac:dyDescent="0.3">
      <c r="I30316" s="82"/>
      <c r="M30316" s="85"/>
    </row>
    <row r="30317" spans="9:13" x14ac:dyDescent="0.3">
      <c r="I30317" s="82"/>
      <c r="M30317" s="85"/>
    </row>
    <row r="30318" spans="9:13" x14ac:dyDescent="0.3">
      <c r="I30318" s="82"/>
      <c r="M30318" s="85"/>
    </row>
    <row r="30319" spans="9:13" x14ac:dyDescent="0.3">
      <c r="I30319" s="82"/>
      <c r="M30319" s="85"/>
    </row>
    <row r="30320" spans="9:13" x14ac:dyDescent="0.3">
      <c r="I30320" s="82"/>
      <c r="M30320" s="85"/>
    </row>
    <row r="30321" spans="9:13" x14ac:dyDescent="0.3">
      <c r="I30321" s="82"/>
      <c r="M30321" s="85"/>
    </row>
    <row r="30322" spans="9:13" x14ac:dyDescent="0.3">
      <c r="I30322" s="82"/>
      <c r="M30322" s="85"/>
    </row>
    <row r="30323" spans="9:13" x14ac:dyDescent="0.3">
      <c r="I30323" s="82"/>
      <c r="M30323" s="85"/>
    </row>
    <row r="30324" spans="9:13" x14ac:dyDescent="0.3">
      <c r="I30324" s="82"/>
      <c r="M30324" s="85"/>
    </row>
    <row r="30325" spans="9:13" x14ac:dyDescent="0.3">
      <c r="I30325" s="82"/>
      <c r="M30325" s="85"/>
    </row>
    <row r="30326" spans="9:13" x14ac:dyDescent="0.3">
      <c r="I30326" s="82"/>
      <c r="M30326" s="85"/>
    </row>
    <row r="30327" spans="9:13" x14ac:dyDescent="0.3">
      <c r="I30327" s="82"/>
      <c r="M30327" s="85"/>
    </row>
    <row r="30328" spans="9:13" x14ac:dyDescent="0.3">
      <c r="I30328" s="82"/>
      <c r="M30328" s="85"/>
    </row>
    <row r="30329" spans="9:13" x14ac:dyDescent="0.3">
      <c r="I30329" s="82"/>
      <c r="M30329" s="85"/>
    </row>
    <row r="30330" spans="9:13" x14ac:dyDescent="0.3">
      <c r="I30330" s="82"/>
      <c r="M30330" s="85"/>
    </row>
    <row r="30331" spans="9:13" x14ac:dyDescent="0.3">
      <c r="I30331" s="82"/>
      <c r="M30331" s="85"/>
    </row>
    <row r="30332" spans="9:13" x14ac:dyDescent="0.3">
      <c r="I30332" s="82"/>
      <c r="M30332" s="85"/>
    </row>
    <row r="30333" spans="9:13" x14ac:dyDescent="0.3">
      <c r="I30333" s="82"/>
      <c r="M30333" s="85"/>
    </row>
    <row r="30334" spans="9:13" x14ac:dyDescent="0.3">
      <c r="I30334" s="82"/>
      <c r="M30334" s="85"/>
    </row>
    <row r="30335" spans="9:13" x14ac:dyDescent="0.3">
      <c r="I30335" s="82"/>
      <c r="M30335" s="85"/>
    </row>
    <row r="30336" spans="9:13" x14ac:dyDescent="0.3">
      <c r="I30336" s="82"/>
      <c r="M30336" s="85"/>
    </row>
    <row r="30337" spans="9:13" x14ac:dyDescent="0.3">
      <c r="I30337" s="82"/>
      <c r="M30337" s="85"/>
    </row>
    <row r="30338" spans="9:13" x14ac:dyDescent="0.3">
      <c r="I30338" s="82"/>
      <c r="M30338" s="85"/>
    </row>
    <row r="30339" spans="9:13" x14ac:dyDescent="0.3">
      <c r="I30339" s="82"/>
      <c r="M30339" s="85"/>
    </row>
    <row r="30340" spans="9:13" x14ac:dyDescent="0.3">
      <c r="I30340" s="82"/>
      <c r="M30340" s="85"/>
    </row>
    <row r="30341" spans="9:13" x14ac:dyDescent="0.3">
      <c r="I30341" s="82"/>
      <c r="M30341" s="85"/>
    </row>
    <row r="30342" spans="9:13" x14ac:dyDescent="0.3">
      <c r="I30342" s="82"/>
      <c r="M30342" s="85"/>
    </row>
    <row r="30343" spans="9:13" x14ac:dyDescent="0.3">
      <c r="I30343" s="82"/>
      <c r="M30343" s="85"/>
    </row>
    <row r="30344" spans="9:13" x14ac:dyDescent="0.3">
      <c r="I30344" s="82"/>
      <c r="M30344" s="85"/>
    </row>
    <row r="30345" spans="9:13" x14ac:dyDescent="0.3">
      <c r="I30345" s="82"/>
      <c r="M30345" s="85"/>
    </row>
    <row r="30346" spans="9:13" x14ac:dyDescent="0.3">
      <c r="I30346" s="82"/>
      <c r="M30346" s="85"/>
    </row>
    <row r="30347" spans="9:13" x14ac:dyDescent="0.3">
      <c r="I30347" s="82"/>
      <c r="M30347" s="85"/>
    </row>
    <row r="30348" spans="9:13" x14ac:dyDescent="0.3">
      <c r="I30348" s="82"/>
      <c r="M30348" s="85"/>
    </row>
    <row r="30349" spans="9:13" x14ac:dyDescent="0.3">
      <c r="I30349" s="82"/>
      <c r="M30349" s="85"/>
    </row>
    <row r="30350" spans="9:13" x14ac:dyDescent="0.3">
      <c r="I30350" s="82"/>
      <c r="M30350" s="85"/>
    </row>
    <row r="30351" spans="9:13" x14ac:dyDescent="0.3">
      <c r="I30351" s="82"/>
      <c r="M30351" s="85"/>
    </row>
    <row r="30352" spans="9:13" x14ac:dyDescent="0.3">
      <c r="I30352" s="82"/>
      <c r="M30352" s="85"/>
    </row>
    <row r="30353" spans="9:13" x14ac:dyDescent="0.3">
      <c r="I30353" s="82"/>
      <c r="M30353" s="85"/>
    </row>
    <row r="30354" spans="9:13" x14ac:dyDescent="0.3">
      <c r="I30354" s="82"/>
      <c r="M30354" s="85"/>
    </row>
    <row r="30355" spans="9:13" x14ac:dyDescent="0.3">
      <c r="I30355" s="82"/>
      <c r="M30355" s="85"/>
    </row>
    <row r="30356" spans="9:13" x14ac:dyDescent="0.3">
      <c r="I30356" s="82"/>
      <c r="M30356" s="85"/>
    </row>
    <row r="30357" spans="9:13" x14ac:dyDescent="0.3">
      <c r="I30357" s="82"/>
      <c r="M30357" s="85"/>
    </row>
    <row r="30358" spans="9:13" x14ac:dyDescent="0.3">
      <c r="I30358" s="82"/>
      <c r="M30358" s="85"/>
    </row>
    <row r="30359" spans="9:13" x14ac:dyDescent="0.3">
      <c r="I30359" s="82"/>
      <c r="M30359" s="85"/>
    </row>
    <row r="30360" spans="9:13" x14ac:dyDescent="0.3">
      <c r="I30360" s="82"/>
      <c r="M30360" s="85"/>
    </row>
    <row r="30361" spans="9:13" x14ac:dyDescent="0.3">
      <c r="I30361" s="82"/>
      <c r="M30361" s="85"/>
    </row>
    <row r="30362" spans="9:13" x14ac:dyDescent="0.3">
      <c r="I30362" s="82"/>
      <c r="M30362" s="85"/>
    </row>
    <row r="30363" spans="9:13" x14ac:dyDescent="0.3">
      <c r="I30363" s="82"/>
      <c r="M30363" s="85"/>
    </row>
    <row r="30364" spans="9:13" x14ac:dyDescent="0.3">
      <c r="I30364" s="82"/>
      <c r="M30364" s="85"/>
    </row>
    <row r="30365" spans="9:13" x14ac:dyDescent="0.3">
      <c r="I30365" s="82"/>
      <c r="M30365" s="85"/>
    </row>
    <row r="30366" spans="9:13" x14ac:dyDescent="0.3">
      <c r="I30366" s="82"/>
      <c r="M30366" s="85"/>
    </row>
    <row r="30367" spans="9:13" x14ac:dyDescent="0.3">
      <c r="I30367" s="82"/>
      <c r="M30367" s="85"/>
    </row>
    <row r="30368" spans="9:13" x14ac:dyDescent="0.3">
      <c r="I30368" s="82"/>
      <c r="M30368" s="85"/>
    </row>
    <row r="30369" spans="9:13" x14ac:dyDescent="0.3">
      <c r="I30369" s="82"/>
      <c r="M30369" s="85"/>
    </row>
    <row r="30370" spans="9:13" x14ac:dyDescent="0.3">
      <c r="I30370" s="82"/>
      <c r="M30370" s="85"/>
    </row>
    <row r="30371" spans="9:13" x14ac:dyDescent="0.3">
      <c r="I30371" s="82"/>
      <c r="M30371" s="85"/>
    </row>
    <row r="30372" spans="9:13" x14ac:dyDescent="0.3">
      <c r="I30372" s="82"/>
      <c r="M30372" s="85"/>
    </row>
    <row r="30373" spans="9:13" x14ac:dyDescent="0.3">
      <c r="I30373" s="82"/>
      <c r="M30373" s="85"/>
    </row>
    <row r="30374" spans="9:13" x14ac:dyDescent="0.3">
      <c r="I30374" s="82"/>
      <c r="M30374" s="85"/>
    </row>
    <row r="30375" spans="9:13" x14ac:dyDescent="0.3">
      <c r="I30375" s="82"/>
      <c r="M30375" s="85"/>
    </row>
    <row r="30376" spans="9:13" x14ac:dyDescent="0.3">
      <c r="I30376" s="82"/>
      <c r="M30376" s="85"/>
    </row>
    <row r="30377" spans="9:13" x14ac:dyDescent="0.3">
      <c r="I30377" s="82"/>
      <c r="M30377" s="85"/>
    </row>
    <row r="30378" spans="9:13" x14ac:dyDescent="0.3">
      <c r="I30378" s="82"/>
      <c r="M30378" s="85"/>
    </row>
    <row r="30379" spans="9:13" x14ac:dyDescent="0.3">
      <c r="I30379" s="82"/>
      <c r="M30379" s="85"/>
    </row>
    <row r="30380" spans="9:13" x14ac:dyDescent="0.3">
      <c r="I30380" s="82"/>
      <c r="M30380" s="85"/>
    </row>
    <row r="30381" spans="9:13" x14ac:dyDescent="0.3">
      <c r="I30381" s="82"/>
      <c r="M30381" s="85"/>
    </row>
    <row r="30382" spans="9:13" x14ac:dyDescent="0.3">
      <c r="I30382" s="82"/>
      <c r="M30382" s="85"/>
    </row>
    <row r="30383" spans="9:13" x14ac:dyDescent="0.3">
      <c r="I30383" s="82"/>
      <c r="M30383" s="85"/>
    </row>
    <row r="30384" spans="9:13" x14ac:dyDescent="0.3">
      <c r="I30384" s="82"/>
      <c r="M30384" s="85"/>
    </row>
    <row r="30385" spans="9:13" x14ac:dyDescent="0.3">
      <c r="I30385" s="82"/>
      <c r="M30385" s="85"/>
    </row>
    <row r="30386" spans="9:13" x14ac:dyDescent="0.3">
      <c r="I30386" s="82"/>
      <c r="M30386" s="85"/>
    </row>
    <row r="30387" spans="9:13" x14ac:dyDescent="0.3">
      <c r="I30387" s="82"/>
      <c r="M30387" s="85"/>
    </row>
    <row r="30388" spans="9:13" x14ac:dyDescent="0.3">
      <c r="I30388" s="82"/>
      <c r="M30388" s="85"/>
    </row>
    <row r="30389" spans="9:13" x14ac:dyDescent="0.3">
      <c r="I30389" s="82"/>
      <c r="M30389" s="85"/>
    </row>
    <row r="30390" spans="9:13" x14ac:dyDescent="0.3">
      <c r="I30390" s="82"/>
      <c r="M30390" s="85"/>
    </row>
    <row r="30391" spans="9:13" x14ac:dyDescent="0.3">
      <c r="I30391" s="82"/>
      <c r="M30391" s="85"/>
    </row>
    <row r="30392" spans="9:13" x14ac:dyDescent="0.3">
      <c r="I30392" s="82"/>
      <c r="M30392" s="85"/>
    </row>
    <row r="30393" spans="9:13" x14ac:dyDescent="0.3">
      <c r="I30393" s="82"/>
      <c r="M30393" s="85"/>
    </row>
    <row r="30394" spans="9:13" x14ac:dyDescent="0.3">
      <c r="I30394" s="82"/>
      <c r="M30394" s="85"/>
    </row>
    <row r="30395" spans="9:13" x14ac:dyDescent="0.3">
      <c r="I30395" s="82"/>
      <c r="M30395" s="85"/>
    </row>
    <row r="30396" spans="9:13" x14ac:dyDescent="0.3">
      <c r="I30396" s="82"/>
      <c r="M30396" s="85"/>
    </row>
    <row r="30397" spans="9:13" x14ac:dyDescent="0.3">
      <c r="I30397" s="82"/>
      <c r="M30397" s="85"/>
    </row>
    <row r="30398" spans="9:13" x14ac:dyDescent="0.3">
      <c r="I30398" s="82"/>
      <c r="M30398" s="85"/>
    </row>
    <row r="30399" spans="9:13" x14ac:dyDescent="0.3">
      <c r="I30399" s="82"/>
      <c r="M30399" s="85"/>
    </row>
    <row r="30400" spans="9:13" x14ac:dyDescent="0.3">
      <c r="I30400" s="82"/>
      <c r="M30400" s="85"/>
    </row>
    <row r="30401" spans="9:13" x14ac:dyDescent="0.3">
      <c r="I30401" s="82"/>
      <c r="M30401" s="85"/>
    </row>
    <row r="30402" spans="9:13" x14ac:dyDescent="0.3">
      <c r="I30402" s="82"/>
      <c r="M30402" s="85"/>
    </row>
    <row r="30403" spans="9:13" x14ac:dyDescent="0.3">
      <c r="I30403" s="82"/>
      <c r="M30403" s="85"/>
    </row>
    <row r="30404" spans="9:13" x14ac:dyDescent="0.3">
      <c r="I30404" s="82"/>
      <c r="M30404" s="85"/>
    </row>
    <row r="30405" spans="9:13" x14ac:dyDescent="0.3">
      <c r="I30405" s="82"/>
      <c r="M30405" s="85"/>
    </row>
    <row r="30406" spans="9:13" x14ac:dyDescent="0.3">
      <c r="I30406" s="82"/>
      <c r="M30406" s="85"/>
    </row>
    <row r="30407" spans="9:13" x14ac:dyDescent="0.3">
      <c r="I30407" s="82"/>
      <c r="M30407" s="85"/>
    </row>
    <row r="30408" spans="9:13" x14ac:dyDescent="0.3">
      <c r="I30408" s="82"/>
      <c r="M30408" s="85"/>
    </row>
    <row r="30409" spans="9:13" x14ac:dyDescent="0.3">
      <c r="I30409" s="82"/>
      <c r="M30409" s="85"/>
    </row>
    <row r="30410" spans="9:13" x14ac:dyDescent="0.3">
      <c r="I30410" s="82"/>
      <c r="M30410" s="85"/>
    </row>
    <row r="30411" spans="9:13" x14ac:dyDescent="0.3">
      <c r="I30411" s="82"/>
      <c r="M30411" s="85"/>
    </row>
    <row r="30412" spans="9:13" x14ac:dyDescent="0.3">
      <c r="I30412" s="82"/>
      <c r="M30412" s="85"/>
    </row>
    <row r="30413" spans="9:13" x14ac:dyDescent="0.3">
      <c r="I30413" s="82"/>
      <c r="M30413" s="85"/>
    </row>
    <row r="30414" spans="9:13" x14ac:dyDescent="0.3">
      <c r="I30414" s="82"/>
      <c r="M30414" s="85"/>
    </row>
    <row r="30415" spans="9:13" x14ac:dyDescent="0.3">
      <c r="I30415" s="82"/>
      <c r="M30415" s="85"/>
    </row>
    <row r="30416" spans="9:13" x14ac:dyDescent="0.3">
      <c r="I30416" s="82"/>
      <c r="M30416" s="85"/>
    </row>
    <row r="30417" spans="9:13" x14ac:dyDescent="0.3">
      <c r="I30417" s="82"/>
      <c r="M30417" s="85"/>
    </row>
    <row r="30418" spans="9:13" x14ac:dyDescent="0.3">
      <c r="I30418" s="82"/>
      <c r="M30418" s="85"/>
    </row>
    <row r="30419" spans="9:13" x14ac:dyDescent="0.3">
      <c r="I30419" s="82"/>
      <c r="M30419" s="85"/>
    </row>
    <row r="30420" spans="9:13" x14ac:dyDescent="0.3">
      <c r="I30420" s="82"/>
      <c r="M30420" s="85"/>
    </row>
    <row r="30421" spans="9:13" x14ac:dyDescent="0.3">
      <c r="I30421" s="82"/>
      <c r="M30421" s="85"/>
    </row>
    <row r="30422" spans="9:13" x14ac:dyDescent="0.3">
      <c r="I30422" s="82"/>
      <c r="M30422" s="85"/>
    </row>
    <row r="30423" spans="9:13" x14ac:dyDescent="0.3">
      <c r="I30423" s="82"/>
      <c r="M30423" s="85"/>
    </row>
    <row r="30424" spans="9:13" x14ac:dyDescent="0.3">
      <c r="I30424" s="82"/>
      <c r="M30424" s="85"/>
    </row>
    <row r="30425" spans="9:13" x14ac:dyDescent="0.3">
      <c r="I30425" s="82"/>
      <c r="M30425" s="85"/>
    </row>
    <row r="30426" spans="9:13" x14ac:dyDescent="0.3">
      <c r="I30426" s="82"/>
      <c r="M30426" s="85"/>
    </row>
    <row r="30427" spans="9:13" x14ac:dyDescent="0.3">
      <c r="I30427" s="82"/>
      <c r="M30427" s="85"/>
    </row>
    <row r="30428" spans="9:13" x14ac:dyDescent="0.3">
      <c r="I30428" s="82"/>
      <c r="M30428" s="85"/>
    </row>
    <row r="30429" spans="9:13" x14ac:dyDescent="0.3">
      <c r="I30429" s="82"/>
      <c r="M30429" s="85"/>
    </row>
    <row r="30430" spans="9:13" x14ac:dyDescent="0.3">
      <c r="I30430" s="82"/>
      <c r="M30430" s="85"/>
    </row>
    <row r="30431" spans="9:13" x14ac:dyDescent="0.3">
      <c r="I30431" s="82"/>
      <c r="M30431" s="85"/>
    </row>
    <row r="30432" spans="9:13" x14ac:dyDescent="0.3">
      <c r="I30432" s="82"/>
      <c r="M30432" s="85"/>
    </row>
    <row r="30433" spans="9:13" x14ac:dyDescent="0.3">
      <c r="I30433" s="82"/>
      <c r="M30433" s="85"/>
    </row>
    <row r="30434" spans="9:13" x14ac:dyDescent="0.3">
      <c r="I30434" s="82"/>
      <c r="M30434" s="85"/>
    </row>
    <row r="30435" spans="9:13" x14ac:dyDescent="0.3">
      <c r="I30435" s="82"/>
      <c r="M30435" s="85"/>
    </row>
    <row r="30436" spans="9:13" x14ac:dyDescent="0.3">
      <c r="I30436" s="82"/>
      <c r="M30436" s="85"/>
    </row>
    <row r="30437" spans="9:13" x14ac:dyDescent="0.3">
      <c r="I30437" s="82"/>
      <c r="M30437" s="85"/>
    </row>
    <row r="30438" spans="9:13" x14ac:dyDescent="0.3">
      <c r="I30438" s="82"/>
      <c r="M30438" s="85"/>
    </row>
    <row r="30439" spans="9:13" x14ac:dyDescent="0.3">
      <c r="I30439" s="82"/>
      <c r="M30439" s="85"/>
    </row>
    <row r="30440" spans="9:13" x14ac:dyDescent="0.3">
      <c r="I30440" s="82"/>
      <c r="M30440" s="85"/>
    </row>
    <row r="30441" spans="9:13" x14ac:dyDescent="0.3">
      <c r="I30441" s="82"/>
      <c r="M30441" s="85"/>
    </row>
    <row r="30442" spans="9:13" x14ac:dyDescent="0.3">
      <c r="I30442" s="82"/>
      <c r="M30442" s="85"/>
    </row>
    <row r="30443" spans="9:13" x14ac:dyDescent="0.3">
      <c r="I30443" s="82"/>
      <c r="M30443" s="85"/>
    </row>
    <row r="30444" spans="9:13" x14ac:dyDescent="0.3">
      <c r="I30444" s="82"/>
      <c r="M30444" s="85"/>
    </row>
    <row r="30445" spans="9:13" x14ac:dyDescent="0.3">
      <c r="I30445" s="82"/>
      <c r="M30445" s="85"/>
    </row>
    <row r="30446" spans="9:13" x14ac:dyDescent="0.3">
      <c r="I30446" s="82"/>
      <c r="M30446" s="85"/>
    </row>
    <row r="30447" spans="9:13" x14ac:dyDescent="0.3">
      <c r="I30447" s="82"/>
      <c r="M30447" s="85"/>
    </row>
    <row r="30448" spans="9:13" x14ac:dyDescent="0.3">
      <c r="I30448" s="82"/>
      <c r="M30448" s="85"/>
    </row>
    <row r="30449" spans="9:13" x14ac:dyDescent="0.3">
      <c r="I30449" s="82"/>
      <c r="M30449" s="85"/>
    </row>
    <row r="30450" spans="9:13" x14ac:dyDescent="0.3">
      <c r="I30450" s="82"/>
      <c r="M30450" s="85"/>
    </row>
    <row r="30451" spans="9:13" x14ac:dyDescent="0.3">
      <c r="I30451" s="82"/>
      <c r="M30451" s="85"/>
    </row>
    <row r="30452" spans="9:13" x14ac:dyDescent="0.3">
      <c r="I30452" s="82"/>
      <c r="M30452" s="85"/>
    </row>
    <row r="30453" spans="9:13" x14ac:dyDescent="0.3">
      <c r="I30453" s="82"/>
      <c r="M30453" s="85"/>
    </row>
    <row r="30454" spans="9:13" x14ac:dyDescent="0.3">
      <c r="I30454" s="82"/>
      <c r="M30454" s="85"/>
    </row>
    <row r="30455" spans="9:13" x14ac:dyDescent="0.3">
      <c r="I30455" s="82"/>
      <c r="M30455" s="85"/>
    </row>
    <row r="30456" spans="9:13" x14ac:dyDescent="0.3">
      <c r="I30456" s="82"/>
      <c r="M30456" s="85"/>
    </row>
    <row r="30457" spans="9:13" x14ac:dyDescent="0.3">
      <c r="I30457" s="82"/>
      <c r="M30457" s="85"/>
    </row>
    <row r="30458" spans="9:13" x14ac:dyDescent="0.3">
      <c r="I30458" s="82"/>
      <c r="M30458" s="85"/>
    </row>
    <row r="30459" spans="9:13" x14ac:dyDescent="0.3">
      <c r="I30459" s="82"/>
      <c r="M30459" s="85"/>
    </row>
    <row r="30460" spans="9:13" x14ac:dyDescent="0.3">
      <c r="I30460" s="82"/>
      <c r="M30460" s="85"/>
    </row>
    <row r="30461" spans="9:13" x14ac:dyDescent="0.3">
      <c r="I30461" s="82"/>
      <c r="M30461" s="85"/>
    </row>
    <row r="30462" spans="9:13" x14ac:dyDescent="0.3">
      <c r="I30462" s="82"/>
      <c r="M30462" s="85"/>
    </row>
    <row r="30463" spans="9:13" x14ac:dyDescent="0.3">
      <c r="I30463" s="82"/>
      <c r="M30463" s="85"/>
    </row>
    <row r="30464" spans="9:13" x14ac:dyDescent="0.3">
      <c r="I30464" s="82"/>
      <c r="M30464" s="85"/>
    </row>
    <row r="30465" spans="9:13" x14ac:dyDescent="0.3">
      <c r="I30465" s="82"/>
      <c r="M30465" s="85"/>
    </row>
    <row r="30466" spans="9:13" x14ac:dyDescent="0.3">
      <c r="I30466" s="82"/>
      <c r="M30466" s="85"/>
    </row>
    <row r="30467" spans="9:13" x14ac:dyDescent="0.3">
      <c r="I30467" s="82"/>
      <c r="M30467" s="85"/>
    </row>
    <row r="30468" spans="9:13" x14ac:dyDescent="0.3">
      <c r="I30468" s="82"/>
      <c r="M30468" s="85"/>
    </row>
    <row r="30469" spans="9:13" x14ac:dyDescent="0.3">
      <c r="I30469" s="82"/>
      <c r="M30469" s="85"/>
    </row>
    <row r="30470" spans="9:13" x14ac:dyDescent="0.3">
      <c r="I30470" s="82"/>
      <c r="M30470" s="85"/>
    </row>
    <row r="30471" spans="9:13" x14ac:dyDescent="0.3">
      <c r="I30471" s="82"/>
      <c r="M30471" s="85"/>
    </row>
    <row r="30472" spans="9:13" x14ac:dyDescent="0.3">
      <c r="I30472" s="82"/>
      <c r="M30472" s="85"/>
    </row>
    <row r="30473" spans="9:13" x14ac:dyDescent="0.3">
      <c r="I30473" s="82"/>
      <c r="M30473" s="85"/>
    </row>
    <row r="30474" spans="9:13" x14ac:dyDescent="0.3">
      <c r="I30474" s="82"/>
      <c r="M30474" s="85"/>
    </row>
    <row r="30475" spans="9:13" x14ac:dyDescent="0.3">
      <c r="I30475" s="82"/>
      <c r="M30475" s="85"/>
    </row>
    <row r="30476" spans="9:13" x14ac:dyDescent="0.3">
      <c r="I30476" s="82"/>
      <c r="M30476" s="85"/>
    </row>
    <row r="30477" spans="9:13" x14ac:dyDescent="0.3">
      <c r="I30477" s="82"/>
      <c r="M30477" s="85"/>
    </row>
    <row r="30478" spans="9:13" x14ac:dyDescent="0.3">
      <c r="I30478" s="82"/>
      <c r="M30478" s="85"/>
    </row>
    <row r="30479" spans="9:13" x14ac:dyDescent="0.3">
      <c r="I30479" s="82"/>
      <c r="M30479" s="85"/>
    </row>
    <row r="30480" spans="9:13" x14ac:dyDescent="0.3">
      <c r="I30480" s="82"/>
      <c r="M30480" s="85"/>
    </row>
    <row r="30481" spans="9:13" x14ac:dyDescent="0.3">
      <c r="I30481" s="82"/>
      <c r="M30481" s="85"/>
    </row>
    <row r="30482" spans="9:13" x14ac:dyDescent="0.3">
      <c r="I30482" s="82"/>
      <c r="M30482" s="85"/>
    </row>
    <row r="30483" spans="9:13" x14ac:dyDescent="0.3">
      <c r="I30483" s="82"/>
      <c r="M30483" s="85"/>
    </row>
    <row r="30484" spans="9:13" x14ac:dyDescent="0.3">
      <c r="I30484" s="82"/>
      <c r="M30484" s="85"/>
    </row>
    <row r="30485" spans="9:13" x14ac:dyDescent="0.3">
      <c r="I30485" s="82"/>
      <c r="M30485" s="85"/>
    </row>
    <row r="30486" spans="9:13" x14ac:dyDescent="0.3">
      <c r="I30486" s="82"/>
      <c r="M30486" s="85"/>
    </row>
    <row r="30487" spans="9:13" x14ac:dyDescent="0.3">
      <c r="I30487" s="82"/>
      <c r="M30487" s="85"/>
    </row>
    <row r="30488" spans="9:13" x14ac:dyDescent="0.3">
      <c r="I30488" s="82"/>
      <c r="M30488" s="85"/>
    </row>
    <row r="30489" spans="9:13" x14ac:dyDescent="0.3">
      <c r="I30489" s="82"/>
      <c r="M30489" s="85"/>
    </row>
    <row r="30490" spans="9:13" x14ac:dyDescent="0.3">
      <c r="I30490" s="82"/>
      <c r="M30490" s="85"/>
    </row>
    <row r="30491" spans="9:13" x14ac:dyDescent="0.3">
      <c r="I30491" s="82"/>
      <c r="M30491" s="85"/>
    </row>
    <row r="30492" spans="9:13" x14ac:dyDescent="0.3">
      <c r="I30492" s="82"/>
      <c r="M30492" s="85"/>
    </row>
    <row r="30493" spans="9:13" x14ac:dyDescent="0.3">
      <c r="I30493" s="82"/>
      <c r="M30493" s="85"/>
    </row>
    <row r="30494" spans="9:13" x14ac:dyDescent="0.3">
      <c r="I30494" s="82"/>
      <c r="M30494" s="85"/>
    </row>
    <row r="30495" spans="9:13" x14ac:dyDescent="0.3">
      <c r="I30495" s="82"/>
      <c r="M30495" s="85"/>
    </row>
    <row r="30496" spans="9:13" x14ac:dyDescent="0.3">
      <c r="I30496" s="82"/>
      <c r="M30496" s="85"/>
    </row>
    <row r="30497" spans="9:13" x14ac:dyDescent="0.3">
      <c r="I30497" s="82"/>
      <c r="M30497" s="85"/>
    </row>
    <row r="30498" spans="9:13" x14ac:dyDescent="0.3">
      <c r="I30498" s="82"/>
      <c r="M30498" s="85"/>
    </row>
    <row r="30499" spans="9:13" x14ac:dyDescent="0.3">
      <c r="I30499" s="82"/>
      <c r="M30499" s="85"/>
    </row>
    <row r="30500" spans="9:13" x14ac:dyDescent="0.3">
      <c r="I30500" s="82"/>
      <c r="M30500" s="85"/>
    </row>
    <row r="30501" spans="9:13" x14ac:dyDescent="0.3">
      <c r="I30501" s="82"/>
      <c r="M30501" s="85"/>
    </row>
    <row r="30502" spans="9:13" x14ac:dyDescent="0.3">
      <c r="I30502" s="82"/>
      <c r="M30502" s="85"/>
    </row>
    <row r="30503" spans="9:13" x14ac:dyDescent="0.3">
      <c r="I30503" s="82"/>
      <c r="M30503" s="85"/>
    </row>
    <row r="30504" spans="9:13" x14ac:dyDescent="0.3">
      <c r="I30504" s="82"/>
      <c r="M30504" s="85"/>
    </row>
    <row r="30505" spans="9:13" x14ac:dyDescent="0.3">
      <c r="I30505" s="82"/>
      <c r="M30505" s="85"/>
    </row>
    <row r="30506" spans="9:13" x14ac:dyDescent="0.3">
      <c r="I30506" s="82"/>
      <c r="M30506" s="85"/>
    </row>
    <row r="30507" spans="9:13" x14ac:dyDescent="0.3">
      <c r="I30507" s="82"/>
      <c r="M30507" s="85"/>
    </row>
    <row r="30508" spans="9:13" x14ac:dyDescent="0.3">
      <c r="I30508" s="82"/>
      <c r="M30508" s="85"/>
    </row>
    <row r="30509" spans="9:13" x14ac:dyDescent="0.3">
      <c r="I30509" s="82"/>
      <c r="M30509" s="85"/>
    </row>
    <row r="30510" spans="9:13" x14ac:dyDescent="0.3">
      <c r="I30510" s="82"/>
      <c r="M30510" s="85"/>
    </row>
    <row r="30511" spans="9:13" x14ac:dyDescent="0.3">
      <c r="I30511" s="82"/>
      <c r="M30511" s="85"/>
    </row>
    <row r="30512" spans="9:13" x14ac:dyDescent="0.3">
      <c r="I30512" s="82"/>
      <c r="M30512" s="85"/>
    </row>
    <row r="30513" spans="9:13" x14ac:dyDescent="0.3">
      <c r="I30513" s="82"/>
      <c r="M30513" s="85"/>
    </row>
    <row r="30514" spans="9:13" x14ac:dyDescent="0.3">
      <c r="I30514" s="82"/>
      <c r="M30514" s="85"/>
    </row>
    <row r="30515" spans="9:13" x14ac:dyDescent="0.3">
      <c r="I30515" s="82"/>
      <c r="M30515" s="85"/>
    </row>
    <row r="30516" spans="9:13" x14ac:dyDescent="0.3">
      <c r="I30516" s="82"/>
      <c r="M30516" s="85"/>
    </row>
    <row r="30517" spans="9:13" x14ac:dyDescent="0.3">
      <c r="I30517" s="82"/>
      <c r="M30517" s="85"/>
    </row>
    <row r="30518" spans="9:13" x14ac:dyDescent="0.3">
      <c r="I30518" s="82"/>
      <c r="M30518" s="85"/>
    </row>
    <row r="30519" spans="9:13" x14ac:dyDescent="0.3">
      <c r="I30519" s="82"/>
      <c r="M30519" s="85"/>
    </row>
    <row r="30520" spans="9:13" x14ac:dyDescent="0.3">
      <c r="I30520" s="82"/>
      <c r="M30520" s="85"/>
    </row>
    <row r="30521" spans="9:13" x14ac:dyDescent="0.3">
      <c r="I30521" s="82"/>
      <c r="M30521" s="85"/>
    </row>
    <row r="30522" spans="9:13" x14ac:dyDescent="0.3">
      <c r="I30522" s="82"/>
      <c r="M30522" s="85"/>
    </row>
    <row r="30523" spans="9:13" x14ac:dyDescent="0.3">
      <c r="I30523" s="82"/>
      <c r="M30523" s="85"/>
    </row>
    <row r="30524" spans="9:13" x14ac:dyDescent="0.3">
      <c r="I30524" s="82"/>
      <c r="M30524" s="85"/>
    </row>
    <row r="30525" spans="9:13" x14ac:dyDescent="0.3">
      <c r="I30525" s="82"/>
      <c r="M30525" s="85"/>
    </row>
    <row r="30526" spans="9:13" x14ac:dyDescent="0.3">
      <c r="I30526" s="82"/>
      <c r="M30526" s="85"/>
    </row>
    <row r="30527" spans="9:13" x14ac:dyDescent="0.3">
      <c r="I30527" s="82"/>
      <c r="M30527" s="85"/>
    </row>
    <row r="30528" spans="9:13" x14ac:dyDescent="0.3">
      <c r="I30528" s="82"/>
      <c r="M30528" s="85"/>
    </row>
    <row r="30529" spans="9:13" x14ac:dyDescent="0.3">
      <c r="I30529" s="82"/>
      <c r="M30529" s="85"/>
    </row>
    <row r="30530" spans="9:13" x14ac:dyDescent="0.3">
      <c r="I30530" s="82"/>
      <c r="M30530" s="85"/>
    </row>
    <row r="30531" spans="9:13" x14ac:dyDescent="0.3">
      <c r="I30531" s="82"/>
      <c r="M30531" s="85"/>
    </row>
    <row r="30532" spans="9:13" x14ac:dyDescent="0.3">
      <c r="I30532" s="82"/>
      <c r="M30532" s="85"/>
    </row>
    <row r="30533" spans="9:13" x14ac:dyDescent="0.3">
      <c r="I30533" s="82"/>
      <c r="M30533" s="85"/>
    </row>
    <row r="30534" spans="9:13" x14ac:dyDescent="0.3">
      <c r="I30534" s="82"/>
      <c r="M30534" s="85"/>
    </row>
    <row r="30535" spans="9:13" x14ac:dyDescent="0.3">
      <c r="I30535" s="82"/>
      <c r="M30535" s="85"/>
    </row>
    <row r="30536" spans="9:13" x14ac:dyDescent="0.3">
      <c r="I30536" s="82"/>
      <c r="M30536" s="85"/>
    </row>
    <row r="30537" spans="9:13" x14ac:dyDescent="0.3">
      <c r="I30537" s="82"/>
      <c r="M30537" s="85"/>
    </row>
    <row r="30538" spans="9:13" x14ac:dyDescent="0.3">
      <c r="I30538" s="82"/>
      <c r="M30538" s="85"/>
    </row>
    <row r="30539" spans="9:13" x14ac:dyDescent="0.3">
      <c r="I30539" s="82"/>
      <c r="M30539" s="85"/>
    </row>
    <row r="30540" spans="9:13" x14ac:dyDescent="0.3">
      <c r="I30540" s="82"/>
      <c r="M30540" s="85"/>
    </row>
    <row r="30541" spans="9:13" x14ac:dyDescent="0.3">
      <c r="I30541" s="82"/>
      <c r="M30541" s="85"/>
    </row>
    <row r="30542" spans="9:13" x14ac:dyDescent="0.3">
      <c r="I30542" s="82"/>
      <c r="M30542" s="85"/>
    </row>
    <row r="30543" spans="9:13" x14ac:dyDescent="0.3">
      <c r="I30543" s="82"/>
      <c r="M30543" s="85"/>
    </row>
    <row r="30544" spans="9:13" x14ac:dyDescent="0.3">
      <c r="I30544" s="82"/>
      <c r="M30544" s="85"/>
    </row>
    <row r="30545" spans="9:13" x14ac:dyDescent="0.3">
      <c r="I30545" s="82"/>
      <c r="M30545" s="85"/>
    </row>
    <row r="30546" spans="9:13" x14ac:dyDescent="0.3">
      <c r="I30546" s="82"/>
      <c r="M30546" s="85"/>
    </row>
    <row r="30547" spans="9:13" x14ac:dyDescent="0.3">
      <c r="I30547" s="82"/>
      <c r="M30547" s="85"/>
    </row>
    <row r="30548" spans="9:13" x14ac:dyDescent="0.3">
      <c r="I30548" s="82"/>
      <c r="M30548" s="85"/>
    </row>
    <row r="30549" spans="9:13" x14ac:dyDescent="0.3">
      <c r="I30549" s="82"/>
      <c r="M30549" s="85"/>
    </row>
    <row r="30550" spans="9:13" x14ac:dyDescent="0.3">
      <c r="I30550" s="82"/>
      <c r="M30550" s="85"/>
    </row>
    <row r="30551" spans="9:13" x14ac:dyDescent="0.3">
      <c r="I30551" s="82"/>
      <c r="M30551" s="85"/>
    </row>
    <row r="30552" spans="9:13" x14ac:dyDescent="0.3">
      <c r="I30552" s="82"/>
      <c r="M30552" s="85"/>
    </row>
    <row r="30553" spans="9:13" x14ac:dyDescent="0.3">
      <c r="I30553" s="82"/>
      <c r="M30553" s="85"/>
    </row>
    <row r="30554" spans="9:13" x14ac:dyDescent="0.3">
      <c r="I30554" s="82"/>
      <c r="M30554" s="85"/>
    </row>
    <row r="30555" spans="9:13" x14ac:dyDescent="0.3">
      <c r="I30555" s="82"/>
      <c r="M30555" s="85"/>
    </row>
    <row r="30556" spans="9:13" x14ac:dyDescent="0.3">
      <c r="I30556" s="82"/>
      <c r="M30556" s="85"/>
    </row>
    <row r="30557" spans="9:13" x14ac:dyDescent="0.3">
      <c r="I30557" s="82"/>
      <c r="M30557" s="85"/>
    </row>
    <row r="30558" spans="9:13" x14ac:dyDescent="0.3">
      <c r="I30558" s="82"/>
      <c r="M30558" s="85"/>
    </row>
    <row r="30559" spans="9:13" x14ac:dyDescent="0.3">
      <c r="I30559" s="82"/>
      <c r="M30559" s="85"/>
    </row>
    <row r="30560" spans="9:13" x14ac:dyDescent="0.3">
      <c r="I30560" s="82"/>
      <c r="M30560" s="85"/>
    </row>
    <row r="30561" spans="9:13" x14ac:dyDescent="0.3">
      <c r="I30561" s="82"/>
      <c r="M30561" s="85"/>
    </row>
    <row r="30562" spans="9:13" x14ac:dyDescent="0.3">
      <c r="I30562" s="82"/>
      <c r="M30562" s="85"/>
    </row>
    <row r="30563" spans="9:13" x14ac:dyDescent="0.3">
      <c r="I30563" s="82"/>
      <c r="M30563" s="85"/>
    </row>
    <row r="30564" spans="9:13" x14ac:dyDescent="0.3">
      <c r="I30564" s="82"/>
      <c r="M30564" s="85"/>
    </row>
    <row r="30565" spans="9:13" x14ac:dyDescent="0.3">
      <c r="I30565" s="82"/>
      <c r="M30565" s="85"/>
    </row>
    <row r="30566" spans="9:13" x14ac:dyDescent="0.3">
      <c r="I30566" s="82"/>
      <c r="M30566" s="85"/>
    </row>
    <row r="30567" spans="9:13" x14ac:dyDescent="0.3">
      <c r="I30567" s="82"/>
      <c r="M30567" s="85"/>
    </row>
    <row r="30568" spans="9:13" x14ac:dyDescent="0.3">
      <c r="I30568" s="82"/>
      <c r="M30568" s="85"/>
    </row>
    <row r="30569" spans="9:13" x14ac:dyDescent="0.3">
      <c r="I30569" s="82"/>
      <c r="M30569" s="85"/>
    </row>
    <row r="30570" spans="9:13" x14ac:dyDescent="0.3">
      <c r="I30570" s="82"/>
      <c r="M30570" s="85"/>
    </row>
    <row r="30571" spans="9:13" x14ac:dyDescent="0.3">
      <c r="I30571" s="82"/>
      <c r="M30571" s="85"/>
    </row>
    <row r="30572" spans="9:13" x14ac:dyDescent="0.3">
      <c r="I30572" s="82"/>
      <c r="M30572" s="85"/>
    </row>
    <row r="30573" spans="9:13" x14ac:dyDescent="0.3">
      <c r="I30573" s="82"/>
      <c r="M30573" s="85"/>
    </row>
    <row r="30574" spans="9:13" x14ac:dyDescent="0.3">
      <c r="I30574" s="82"/>
      <c r="M30574" s="85"/>
    </row>
    <row r="30575" spans="9:13" x14ac:dyDescent="0.3">
      <c r="I30575" s="82"/>
      <c r="M30575" s="85"/>
    </row>
    <row r="30576" spans="9:13" x14ac:dyDescent="0.3">
      <c r="I30576" s="82"/>
      <c r="M30576" s="85"/>
    </row>
    <row r="30577" spans="9:13" x14ac:dyDescent="0.3">
      <c r="I30577" s="82"/>
      <c r="M30577" s="85"/>
    </row>
    <row r="30578" spans="9:13" x14ac:dyDescent="0.3">
      <c r="I30578" s="82"/>
      <c r="M30578" s="85"/>
    </row>
    <row r="30579" spans="9:13" x14ac:dyDescent="0.3">
      <c r="I30579" s="82"/>
      <c r="M30579" s="85"/>
    </row>
    <row r="30580" spans="9:13" x14ac:dyDescent="0.3">
      <c r="I30580" s="82"/>
      <c r="M30580" s="85"/>
    </row>
    <row r="30581" spans="9:13" x14ac:dyDescent="0.3">
      <c r="I30581" s="82"/>
      <c r="M30581" s="85"/>
    </row>
    <row r="30582" spans="9:13" x14ac:dyDescent="0.3">
      <c r="I30582" s="82"/>
      <c r="M30582" s="85"/>
    </row>
    <row r="30583" spans="9:13" x14ac:dyDescent="0.3">
      <c r="I30583" s="82"/>
      <c r="M30583" s="85"/>
    </row>
    <row r="30584" spans="9:13" x14ac:dyDescent="0.3">
      <c r="I30584" s="82"/>
      <c r="M30584" s="85"/>
    </row>
    <row r="30585" spans="9:13" x14ac:dyDescent="0.3">
      <c r="I30585" s="82"/>
      <c r="M30585" s="85"/>
    </row>
    <row r="30586" spans="9:13" x14ac:dyDescent="0.3">
      <c r="I30586" s="82"/>
      <c r="M30586" s="85"/>
    </row>
    <row r="30587" spans="9:13" x14ac:dyDescent="0.3">
      <c r="I30587" s="82"/>
      <c r="M30587" s="85"/>
    </row>
    <row r="30588" spans="9:13" x14ac:dyDescent="0.3">
      <c r="I30588" s="82"/>
      <c r="M30588" s="85"/>
    </row>
    <row r="30589" spans="9:13" x14ac:dyDescent="0.3">
      <c r="I30589" s="82"/>
      <c r="M30589" s="85"/>
    </row>
    <row r="30590" spans="9:13" x14ac:dyDescent="0.3">
      <c r="I30590" s="82"/>
      <c r="M30590" s="85"/>
    </row>
    <row r="30591" spans="9:13" x14ac:dyDescent="0.3">
      <c r="I30591" s="82"/>
      <c r="M30591" s="85"/>
    </row>
    <row r="30592" spans="9:13" x14ac:dyDescent="0.3">
      <c r="I30592" s="82"/>
      <c r="M30592" s="85"/>
    </row>
    <row r="30593" spans="9:13" x14ac:dyDescent="0.3">
      <c r="I30593" s="82"/>
      <c r="M30593" s="85"/>
    </row>
    <row r="30594" spans="9:13" x14ac:dyDescent="0.3">
      <c r="I30594" s="82"/>
      <c r="M30594" s="85"/>
    </row>
    <row r="30595" spans="9:13" x14ac:dyDescent="0.3">
      <c r="I30595" s="82"/>
      <c r="M30595" s="85"/>
    </row>
    <row r="30596" spans="9:13" x14ac:dyDescent="0.3">
      <c r="I30596" s="82"/>
      <c r="M30596" s="85"/>
    </row>
    <row r="30597" spans="9:13" x14ac:dyDescent="0.3">
      <c r="I30597" s="82"/>
      <c r="M30597" s="85"/>
    </row>
    <row r="30598" spans="9:13" x14ac:dyDescent="0.3">
      <c r="I30598" s="82"/>
      <c r="M30598" s="85"/>
    </row>
    <row r="30599" spans="9:13" x14ac:dyDescent="0.3">
      <c r="I30599" s="82"/>
      <c r="M30599" s="85"/>
    </row>
    <row r="30600" spans="9:13" x14ac:dyDescent="0.3">
      <c r="I30600" s="82"/>
      <c r="M30600" s="85"/>
    </row>
    <row r="30601" spans="9:13" x14ac:dyDescent="0.3">
      <c r="I30601" s="82"/>
      <c r="M30601" s="85"/>
    </row>
    <row r="30602" spans="9:13" x14ac:dyDescent="0.3">
      <c r="I30602" s="82"/>
      <c r="M30602" s="85"/>
    </row>
    <row r="30603" spans="9:13" x14ac:dyDescent="0.3">
      <c r="I30603" s="82"/>
      <c r="M30603" s="85"/>
    </row>
    <row r="30604" spans="9:13" x14ac:dyDescent="0.3">
      <c r="I30604" s="82"/>
      <c r="M30604" s="85"/>
    </row>
    <row r="30605" spans="9:13" x14ac:dyDescent="0.3">
      <c r="I30605" s="82"/>
      <c r="M30605" s="85"/>
    </row>
    <row r="30606" spans="9:13" x14ac:dyDescent="0.3">
      <c r="I30606" s="82"/>
      <c r="M30606" s="85"/>
    </row>
    <row r="30607" spans="9:13" x14ac:dyDescent="0.3">
      <c r="I30607" s="82"/>
      <c r="M30607" s="85"/>
    </row>
    <row r="30608" spans="9:13" x14ac:dyDescent="0.3">
      <c r="I30608" s="82"/>
      <c r="M30608" s="85"/>
    </row>
    <row r="30609" spans="9:13" x14ac:dyDescent="0.3">
      <c r="I30609" s="82"/>
      <c r="M30609" s="85"/>
    </row>
    <row r="30610" spans="9:13" x14ac:dyDescent="0.3">
      <c r="I30610" s="82"/>
      <c r="M30610" s="85"/>
    </row>
    <row r="30611" spans="9:13" x14ac:dyDescent="0.3">
      <c r="I30611" s="82"/>
      <c r="M30611" s="85"/>
    </row>
    <row r="30612" spans="9:13" x14ac:dyDescent="0.3">
      <c r="I30612" s="82"/>
      <c r="M30612" s="85"/>
    </row>
    <row r="30613" spans="9:13" x14ac:dyDescent="0.3">
      <c r="I30613" s="82"/>
      <c r="M30613" s="85"/>
    </row>
    <row r="30614" spans="9:13" x14ac:dyDescent="0.3">
      <c r="I30614" s="82"/>
      <c r="M30614" s="85"/>
    </row>
    <row r="30615" spans="9:13" x14ac:dyDescent="0.3">
      <c r="I30615" s="82"/>
      <c r="M30615" s="85"/>
    </row>
    <row r="30616" spans="9:13" x14ac:dyDescent="0.3">
      <c r="I30616" s="82"/>
      <c r="M30616" s="85"/>
    </row>
    <row r="30617" spans="9:13" x14ac:dyDescent="0.3">
      <c r="I30617" s="82"/>
      <c r="M30617" s="85"/>
    </row>
    <row r="30618" spans="9:13" x14ac:dyDescent="0.3">
      <c r="I30618" s="82"/>
      <c r="M30618" s="85"/>
    </row>
    <row r="30619" spans="9:13" x14ac:dyDescent="0.3">
      <c r="I30619" s="82"/>
      <c r="M30619" s="85"/>
    </row>
    <row r="30620" spans="9:13" x14ac:dyDescent="0.3">
      <c r="I30620" s="82"/>
      <c r="M30620" s="85"/>
    </row>
    <row r="30621" spans="9:13" x14ac:dyDescent="0.3">
      <c r="I30621" s="82"/>
      <c r="M30621" s="85"/>
    </row>
    <row r="30622" spans="9:13" x14ac:dyDescent="0.3">
      <c r="I30622" s="82"/>
      <c r="M30622" s="85"/>
    </row>
    <row r="30623" spans="9:13" x14ac:dyDescent="0.3">
      <c r="I30623" s="82"/>
      <c r="M30623" s="85"/>
    </row>
    <row r="30624" spans="9:13" x14ac:dyDescent="0.3">
      <c r="I30624" s="82"/>
      <c r="M30624" s="85"/>
    </row>
    <row r="30625" spans="9:13" x14ac:dyDescent="0.3">
      <c r="I30625" s="82"/>
      <c r="M30625" s="85"/>
    </row>
    <row r="30626" spans="9:13" x14ac:dyDescent="0.3">
      <c r="I30626" s="82"/>
      <c r="M30626" s="85"/>
    </row>
    <row r="30627" spans="9:13" x14ac:dyDescent="0.3">
      <c r="I30627" s="82"/>
      <c r="M30627" s="85"/>
    </row>
    <row r="30628" spans="9:13" x14ac:dyDescent="0.3">
      <c r="I30628" s="82"/>
      <c r="M30628" s="85"/>
    </row>
    <row r="30629" spans="9:13" x14ac:dyDescent="0.3">
      <c r="I30629" s="82"/>
      <c r="M30629" s="85"/>
    </row>
    <row r="30630" spans="9:13" x14ac:dyDescent="0.3">
      <c r="I30630" s="82"/>
      <c r="M30630" s="85"/>
    </row>
    <row r="30631" spans="9:13" x14ac:dyDescent="0.3">
      <c r="I30631" s="82"/>
      <c r="M30631" s="85"/>
    </row>
    <row r="30632" spans="9:13" x14ac:dyDescent="0.3">
      <c r="I30632" s="82"/>
      <c r="M30632" s="85"/>
    </row>
    <row r="30633" spans="9:13" x14ac:dyDescent="0.3">
      <c r="I30633" s="82"/>
      <c r="M30633" s="85"/>
    </row>
    <row r="30634" spans="9:13" x14ac:dyDescent="0.3">
      <c r="I30634" s="82"/>
      <c r="M30634" s="85"/>
    </row>
    <row r="30635" spans="9:13" x14ac:dyDescent="0.3">
      <c r="I30635" s="82"/>
      <c r="M30635" s="85"/>
    </row>
    <row r="30636" spans="9:13" x14ac:dyDescent="0.3">
      <c r="I30636" s="82"/>
      <c r="M30636" s="85"/>
    </row>
    <row r="30637" spans="9:13" x14ac:dyDescent="0.3">
      <c r="I30637" s="82"/>
      <c r="M30637" s="85"/>
    </row>
    <row r="30638" spans="9:13" x14ac:dyDescent="0.3">
      <c r="I30638" s="82"/>
      <c r="M30638" s="85"/>
    </row>
    <row r="30639" spans="9:13" x14ac:dyDescent="0.3">
      <c r="I30639" s="82"/>
      <c r="M30639" s="85"/>
    </row>
    <row r="30640" spans="9:13" x14ac:dyDescent="0.3">
      <c r="I30640" s="82"/>
      <c r="M30640" s="85"/>
    </row>
    <row r="30641" spans="9:13" x14ac:dyDescent="0.3">
      <c r="I30641" s="82"/>
      <c r="M30641" s="85"/>
    </row>
    <row r="30642" spans="9:13" x14ac:dyDescent="0.3">
      <c r="I30642" s="82"/>
      <c r="M30642" s="85"/>
    </row>
    <row r="30643" spans="9:13" x14ac:dyDescent="0.3">
      <c r="I30643" s="82"/>
      <c r="M30643" s="85"/>
    </row>
    <row r="30644" spans="9:13" x14ac:dyDescent="0.3">
      <c r="I30644" s="82"/>
      <c r="M30644" s="85"/>
    </row>
    <row r="30645" spans="9:13" x14ac:dyDescent="0.3">
      <c r="I30645" s="82"/>
      <c r="M30645" s="85"/>
    </row>
    <row r="30646" spans="9:13" x14ac:dyDescent="0.3">
      <c r="I30646" s="82"/>
      <c r="M30646" s="85"/>
    </row>
    <row r="30647" spans="9:13" x14ac:dyDescent="0.3">
      <c r="I30647" s="82"/>
      <c r="M30647" s="85"/>
    </row>
    <row r="30648" spans="9:13" x14ac:dyDescent="0.3">
      <c r="I30648" s="82"/>
      <c r="M30648" s="85"/>
    </row>
    <row r="30649" spans="9:13" x14ac:dyDescent="0.3">
      <c r="I30649" s="82"/>
      <c r="M30649" s="85"/>
    </row>
    <row r="30650" spans="9:13" x14ac:dyDescent="0.3">
      <c r="I30650" s="82"/>
      <c r="M30650" s="85"/>
    </row>
    <row r="30651" spans="9:13" x14ac:dyDescent="0.3">
      <c r="I30651" s="82"/>
      <c r="M30651" s="85"/>
    </row>
    <row r="30652" spans="9:13" x14ac:dyDescent="0.3">
      <c r="I30652" s="82"/>
      <c r="M30652" s="85"/>
    </row>
    <row r="30653" spans="9:13" x14ac:dyDescent="0.3">
      <c r="I30653" s="82"/>
      <c r="M30653" s="85"/>
    </row>
    <row r="30654" spans="9:13" x14ac:dyDescent="0.3">
      <c r="I30654" s="82"/>
      <c r="M30654" s="85"/>
    </row>
    <row r="30655" spans="9:13" x14ac:dyDescent="0.3">
      <c r="I30655" s="82"/>
      <c r="M30655" s="85"/>
    </row>
    <row r="30656" spans="9:13" x14ac:dyDescent="0.3">
      <c r="I30656" s="82"/>
      <c r="M30656" s="85"/>
    </row>
    <row r="30657" spans="9:13" x14ac:dyDescent="0.3">
      <c r="I30657" s="82"/>
      <c r="M30657" s="85"/>
    </row>
    <row r="30658" spans="9:13" x14ac:dyDescent="0.3">
      <c r="I30658" s="82"/>
      <c r="M30658" s="85"/>
    </row>
    <row r="30659" spans="9:13" x14ac:dyDescent="0.3">
      <c r="I30659" s="82"/>
      <c r="M30659" s="85"/>
    </row>
    <row r="30660" spans="9:13" x14ac:dyDescent="0.3">
      <c r="I30660" s="82"/>
      <c r="M30660" s="85"/>
    </row>
    <row r="30661" spans="9:13" x14ac:dyDescent="0.3">
      <c r="I30661" s="82"/>
      <c r="M30661" s="85"/>
    </row>
    <row r="30662" spans="9:13" x14ac:dyDescent="0.3">
      <c r="I30662" s="82"/>
      <c r="M30662" s="85"/>
    </row>
    <row r="30663" spans="9:13" x14ac:dyDescent="0.3">
      <c r="I30663" s="82"/>
      <c r="M30663" s="85"/>
    </row>
    <row r="30664" spans="9:13" x14ac:dyDescent="0.3">
      <c r="I30664" s="82"/>
      <c r="M30664" s="85"/>
    </row>
    <row r="30665" spans="9:13" x14ac:dyDescent="0.3">
      <c r="I30665" s="82"/>
      <c r="M30665" s="85"/>
    </row>
    <row r="30666" spans="9:13" x14ac:dyDescent="0.3">
      <c r="I30666" s="82"/>
      <c r="M30666" s="85"/>
    </row>
    <row r="30667" spans="9:13" x14ac:dyDescent="0.3">
      <c r="I30667" s="82"/>
      <c r="M30667" s="85"/>
    </row>
    <row r="30668" spans="9:13" x14ac:dyDescent="0.3">
      <c r="I30668" s="82"/>
      <c r="M30668" s="85"/>
    </row>
    <row r="30669" spans="9:13" x14ac:dyDescent="0.3">
      <c r="I30669" s="82"/>
      <c r="M30669" s="85"/>
    </row>
    <row r="30670" spans="9:13" x14ac:dyDescent="0.3">
      <c r="I30670" s="82"/>
      <c r="M30670" s="85"/>
    </row>
    <row r="30671" spans="9:13" x14ac:dyDescent="0.3">
      <c r="I30671" s="82"/>
      <c r="M30671" s="85"/>
    </row>
    <row r="30672" spans="9:13" x14ac:dyDescent="0.3">
      <c r="I30672" s="82"/>
      <c r="M30672" s="85"/>
    </row>
    <row r="30673" spans="9:13" x14ac:dyDescent="0.3">
      <c r="I30673" s="82"/>
      <c r="M30673" s="85"/>
    </row>
    <row r="30674" spans="9:13" x14ac:dyDescent="0.3">
      <c r="I30674" s="82"/>
      <c r="M30674" s="85"/>
    </row>
    <row r="30675" spans="9:13" x14ac:dyDescent="0.3">
      <c r="I30675" s="82"/>
      <c r="M30675" s="85"/>
    </row>
    <row r="30676" spans="9:13" x14ac:dyDescent="0.3">
      <c r="I30676" s="82"/>
      <c r="M30676" s="85"/>
    </row>
    <row r="30677" spans="9:13" x14ac:dyDescent="0.3">
      <c r="I30677" s="82"/>
      <c r="M30677" s="85"/>
    </row>
    <row r="30678" spans="9:13" x14ac:dyDescent="0.3">
      <c r="I30678" s="82"/>
      <c r="M30678" s="85"/>
    </row>
    <row r="30679" spans="9:13" x14ac:dyDescent="0.3">
      <c r="I30679" s="82"/>
      <c r="M30679" s="85"/>
    </row>
    <row r="30680" spans="9:13" x14ac:dyDescent="0.3">
      <c r="I30680" s="82"/>
      <c r="M30680" s="85"/>
    </row>
    <row r="30681" spans="9:13" x14ac:dyDescent="0.3">
      <c r="I30681" s="82"/>
      <c r="M30681" s="85"/>
    </row>
    <row r="30682" spans="9:13" x14ac:dyDescent="0.3">
      <c r="I30682" s="82"/>
      <c r="M30682" s="85"/>
    </row>
    <row r="30683" spans="9:13" x14ac:dyDescent="0.3">
      <c r="I30683" s="82"/>
      <c r="M30683" s="85"/>
    </row>
    <row r="30684" spans="9:13" x14ac:dyDescent="0.3">
      <c r="I30684" s="82"/>
      <c r="M30684" s="85"/>
    </row>
    <row r="30685" spans="9:13" x14ac:dyDescent="0.3">
      <c r="I30685" s="82"/>
      <c r="M30685" s="85"/>
    </row>
    <row r="30686" spans="9:13" x14ac:dyDescent="0.3">
      <c r="I30686" s="82"/>
      <c r="M30686" s="85"/>
    </row>
    <row r="30687" spans="9:13" x14ac:dyDescent="0.3">
      <c r="I30687" s="82"/>
      <c r="M30687" s="85"/>
    </row>
    <row r="30688" spans="9:13" x14ac:dyDescent="0.3">
      <c r="I30688" s="82"/>
      <c r="M30688" s="85"/>
    </row>
    <row r="30689" spans="9:13" x14ac:dyDescent="0.3">
      <c r="I30689" s="82"/>
      <c r="M30689" s="85"/>
    </row>
    <row r="30690" spans="9:13" x14ac:dyDescent="0.3">
      <c r="I30690" s="82"/>
      <c r="M30690" s="85"/>
    </row>
    <row r="30691" spans="9:13" x14ac:dyDescent="0.3">
      <c r="I30691" s="82"/>
      <c r="M30691" s="85"/>
    </row>
    <row r="30692" spans="9:13" x14ac:dyDescent="0.3">
      <c r="I30692" s="82"/>
      <c r="M30692" s="85"/>
    </row>
    <row r="30693" spans="9:13" x14ac:dyDescent="0.3">
      <c r="I30693" s="82"/>
      <c r="M30693" s="85"/>
    </row>
    <row r="30694" spans="9:13" x14ac:dyDescent="0.3">
      <c r="I30694" s="82"/>
      <c r="M30694" s="85"/>
    </row>
    <row r="30695" spans="9:13" x14ac:dyDescent="0.3">
      <c r="I30695" s="82"/>
      <c r="M30695" s="85"/>
    </row>
    <row r="30696" spans="9:13" x14ac:dyDescent="0.3">
      <c r="I30696" s="82"/>
      <c r="M30696" s="85"/>
    </row>
    <row r="30697" spans="9:13" x14ac:dyDescent="0.3">
      <c r="I30697" s="82"/>
      <c r="M30697" s="85"/>
    </row>
    <row r="30698" spans="9:13" x14ac:dyDescent="0.3">
      <c r="I30698" s="82"/>
      <c r="M30698" s="85"/>
    </row>
    <row r="30699" spans="9:13" x14ac:dyDescent="0.3">
      <c r="I30699" s="82"/>
      <c r="M30699" s="85"/>
    </row>
    <row r="30700" spans="9:13" x14ac:dyDescent="0.3">
      <c r="I30700" s="82"/>
      <c r="M30700" s="85"/>
    </row>
    <row r="30701" spans="9:13" x14ac:dyDescent="0.3">
      <c r="I30701" s="82"/>
      <c r="M30701" s="85"/>
    </row>
    <row r="30702" spans="9:13" x14ac:dyDescent="0.3">
      <c r="I30702" s="82"/>
      <c r="M30702" s="85"/>
    </row>
    <row r="30703" spans="9:13" x14ac:dyDescent="0.3">
      <c r="I30703" s="82"/>
      <c r="M30703" s="85"/>
    </row>
    <row r="30704" spans="9:13" x14ac:dyDescent="0.3">
      <c r="I30704" s="82"/>
      <c r="M30704" s="85"/>
    </row>
    <row r="30705" spans="9:13" x14ac:dyDescent="0.3">
      <c r="I30705" s="82"/>
      <c r="M30705" s="85"/>
    </row>
    <row r="30706" spans="9:13" x14ac:dyDescent="0.3">
      <c r="I30706" s="82"/>
      <c r="M30706" s="85"/>
    </row>
    <row r="30707" spans="9:13" x14ac:dyDescent="0.3">
      <c r="I30707" s="82"/>
      <c r="M30707" s="85"/>
    </row>
    <row r="30708" spans="9:13" x14ac:dyDescent="0.3">
      <c r="I30708" s="82"/>
      <c r="M30708" s="85"/>
    </row>
    <row r="30709" spans="9:13" x14ac:dyDescent="0.3">
      <c r="I30709" s="82"/>
      <c r="M30709" s="85"/>
    </row>
    <row r="30710" spans="9:13" x14ac:dyDescent="0.3">
      <c r="I30710" s="82"/>
      <c r="M30710" s="85"/>
    </row>
    <row r="30711" spans="9:13" x14ac:dyDescent="0.3">
      <c r="I30711" s="82"/>
      <c r="M30711" s="85"/>
    </row>
    <row r="30712" spans="9:13" x14ac:dyDescent="0.3">
      <c r="I30712" s="82"/>
      <c r="M30712" s="85"/>
    </row>
    <row r="30713" spans="9:13" x14ac:dyDescent="0.3">
      <c r="I30713" s="82"/>
      <c r="M30713" s="85"/>
    </row>
    <row r="30714" spans="9:13" x14ac:dyDescent="0.3">
      <c r="I30714" s="82"/>
      <c r="M30714" s="85"/>
    </row>
    <row r="30715" spans="9:13" x14ac:dyDescent="0.3">
      <c r="I30715" s="82"/>
      <c r="M30715" s="85"/>
    </row>
    <row r="30716" spans="9:13" x14ac:dyDescent="0.3">
      <c r="I30716" s="82"/>
      <c r="M30716" s="85"/>
    </row>
    <row r="30717" spans="9:13" x14ac:dyDescent="0.3">
      <c r="I30717" s="82"/>
      <c r="M30717" s="85"/>
    </row>
    <row r="30718" spans="9:13" x14ac:dyDescent="0.3">
      <c r="I30718" s="82"/>
      <c r="M30718" s="85"/>
    </row>
    <row r="30719" spans="9:13" x14ac:dyDescent="0.3">
      <c r="I30719" s="82"/>
      <c r="M30719" s="85"/>
    </row>
    <row r="30720" spans="9:13" x14ac:dyDescent="0.3">
      <c r="I30720" s="82"/>
      <c r="M30720" s="85"/>
    </row>
    <row r="30721" spans="9:13" x14ac:dyDescent="0.3">
      <c r="I30721" s="82"/>
      <c r="M30721" s="85"/>
    </row>
    <row r="30722" spans="9:13" x14ac:dyDescent="0.3">
      <c r="I30722" s="82"/>
      <c r="M30722" s="85"/>
    </row>
    <row r="30723" spans="9:13" x14ac:dyDescent="0.3">
      <c r="I30723" s="82"/>
      <c r="M30723" s="85"/>
    </row>
    <row r="30724" spans="9:13" x14ac:dyDescent="0.3">
      <c r="I30724" s="82"/>
      <c r="M30724" s="85"/>
    </row>
    <row r="30725" spans="9:13" x14ac:dyDescent="0.3">
      <c r="I30725" s="82"/>
      <c r="M30725" s="85"/>
    </row>
    <row r="30726" spans="9:13" x14ac:dyDescent="0.3">
      <c r="I30726" s="82"/>
      <c r="M30726" s="85"/>
    </row>
    <row r="30727" spans="9:13" x14ac:dyDescent="0.3">
      <c r="I30727" s="82"/>
      <c r="M30727" s="85"/>
    </row>
    <row r="30728" spans="9:13" x14ac:dyDescent="0.3">
      <c r="I30728" s="82"/>
      <c r="M30728" s="85"/>
    </row>
    <row r="30729" spans="9:13" x14ac:dyDescent="0.3">
      <c r="I30729" s="82"/>
      <c r="M30729" s="85"/>
    </row>
    <row r="30730" spans="9:13" x14ac:dyDescent="0.3">
      <c r="I30730" s="82"/>
      <c r="M30730" s="85"/>
    </row>
    <row r="30731" spans="9:13" x14ac:dyDescent="0.3">
      <c r="I30731" s="82"/>
      <c r="M30731" s="85"/>
    </row>
    <row r="30732" spans="9:13" x14ac:dyDescent="0.3">
      <c r="I30732" s="82"/>
      <c r="M30732" s="85"/>
    </row>
    <row r="30733" spans="9:13" x14ac:dyDescent="0.3">
      <c r="I30733" s="82"/>
      <c r="M30733" s="85"/>
    </row>
    <row r="30734" spans="9:13" x14ac:dyDescent="0.3">
      <c r="I30734" s="82"/>
      <c r="M30734" s="85"/>
    </row>
    <row r="30735" spans="9:13" x14ac:dyDescent="0.3">
      <c r="I30735" s="82"/>
      <c r="M30735" s="85"/>
    </row>
    <row r="30736" spans="9:13" x14ac:dyDescent="0.3">
      <c r="I30736" s="82"/>
      <c r="M30736" s="85"/>
    </row>
    <row r="30737" spans="9:13" x14ac:dyDescent="0.3">
      <c r="I30737" s="82"/>
      <c r="M30737" s="85"/>
    </row>
    <row r="30738" spans="9:13" x14ac:dyDescent="0.3">
      <c r="I30738" s="82"/>
      <c r="M30738" s="85"/>
    </row>
    <row r="30739" spans="9:13" x14ac:dyDescent="0.3">
      <c r="I30739" s="82"/>
      <c r="M30739" s="85"/>
    </row>
    <row r="30740" spans="9:13" x14ac:dyDescent="0.3">
      <c r="I30740" s="82"/>
      <c r="M30740" s="85"/>
    </row>
    <row r="30741" spans="9:13" x14ac:dyDescent="0.3">
      <c r="I30741" s="82"/>
      <c r="M30741" s="85"/>
    </row>
    <row r="30742" spans="9:13" x14ac:dyDescent="0.3">
      <c r="I30742" s="82"/>
      <c r="M30742" s="85"/>
    </row>
    <row r="30743" spans="9:13" x14ac:dyDescent="0.3">
      <c r="I30743" s="82"/>
      <c r="M30743" s="85"/>
    </row>
    <row r="30744" spans="9:13" x14ac:dyDescent="0.3">
      <c r="I30744" s="82"/>
      <c r="M30744" s="85"/>
    </row>
    <row r="30745" spans="9:13" x14ac:dyDescent="0.3">
      <c r="I30745" s="82"/>
      <c r="M30745" s="85"/>
    </row>
    <row r="30746" spans="9:13" x14ac:dyDescent="0.3">
      <c r="I30746" s="82"/>
      <c r="M30746" s="85"/>
    </row>
    <row r="30747" spans="9:13" x14ac:dyDescent="0.3">
      <c r="I30747" s="82"/>
      <c r="M30747" s="85"/>
    </row>
    <row r="30748" spans="9:13" x14ac:dyDescent="0.3">
      <c r="I30748" s="82"/>
      <c r="M30748" s="85"/>
    </row>
    <row r="30749" spans="9:13" x14ac:dyDescent="0.3">
      <c r="I30749" s="82"/>
      <c r="M30749" s="85"/>
    </row>
    <row r="30750" spans="9:13" x14ac:dyDescent="0.3">
      <c r="I30750" s="82"/>
      <c r="M30750" s="85"/>
    </row>
    <row r="30751" spans="9:13" x14ac:dyDescent="0.3">
      <c r="I30751" s="82"/>
      <c r="M30751" s="85"/>
    </row>
    <row r="30752" spans="9:13" x14ac:dyDescent="0.3">
      <c r="I30752" s="82"/>
      <c r="M30752" s="85"/>
    </row>
    <row r="30753" spans="9:13" x14ac:dyDescent="0.3">
      <c r="I30753" s="82"/>
      <c r="M30753" s="85"/>
    </row>
    <row r="30754" spans="9:13" x14ac:dyDescent="0.3">
      <c r="I30754" s="82"/>
      <c r="M30754" s="85"/>
    </row>
    <row r="30755" spans="9:13" x14ac:dyDescent="0.3">
      <c r="I30755" s="82"/>
      <c r="M30755" s="85"/>
    </row>
    <row r="30756" spans="9:13" x14ac:dyDescent="0.3">
      <c r="I30756" s="82"/>
      <c r="M30756" s="85"/>
    </row>
    <row r="30757" spans="9:13" x14ac:dyDescent="0.3">
      <c r="I30757" s="82"/>
      <c r="M30757" s="85"/>
    </row>
    <row r="30758" spans="9:13" x14ac:dyDescent="0.3">
      <c r="I30758" s="82"/>
      <c r="M30758" s="85"/>
    </row>
    <row r="30759" spans="9:13" x14ac:dyDescent="0.3">
      <c r="I30759" s="82"/>
      <c r="M30759" s="85"/>
    </row>
    <row r="30760" spans="9:13" x14ac:dyDescent="0.3">
      <c r="I30760" s="82"/>
      <c r="M30760" s="85"/>
    </row>
    <row r="30761" spans="9:13" x14ac:dyDescent="0.3">
      <c r="I30761" s="82"/>
      <c r="M30761" s="85"/>
    </row>
    <row r="30762" spans="9:13" x14ac:dyDescent="0.3">
      <c r="I30762" s="82"/>
      <c r="M30762" s="85"/>
    </row>
    <row r="30763" spans="9:13" x14ac:dyDescent="0.3">
      <c r="I30763" s="82"/>
      <c r="M30763" s="85"/>
    </row>
    <row r="30764" spans="9:13" x14ac:dyDescent="0.3">
      <c r="I30764" s="82"/>
      <c r="M30764" s="85"/>
    </row>
    <row r="30765" spans="9:13" x14ac:dyDescent="0.3">
      <c r="I30765" s="82"/>
      <c r="M30765" s="85"/>
    </row>
    <row r="30766" spans="9:13" x14ac:dyDescent="0.3">
      <c r="I30766" s="82"/>
      <c r="M30766" s="85"/>
    </row>
    <row r="30767" spans="9:13" x14ac:dyDescent="0.3">
      <c r="I30767" s="82"/>
      <c r="M30767" s="85"/>
    </row>
    <row r="30768" spans="9:13" x14ac:dyDescent="0.3">
      <c r="I30768" s="82"/>
      <c r="M30768" s="85"/>
    </row>
    <row r="30769" spans="9:13" x14ac:dyDescent="0.3">
      <c r="I30769" s="82"/>
      <c r="M30769" s="85"/>
    </row>
    <row r="30770" spans="9:13" x14ac:dyDescent="0.3">
      <c r="I30770" s="82"/>
      <c r="M30770" s="85"/>
    </row>
    <row r="30771" spans="9:13" x14ac:dyDescent="0.3">
      <c r="I30771" s="82"/>
      <c r="M30771" s="85"/>
    </row>
    <row r="30772" spans="9:13" x14ac:dyDescent="0.3">
      <c r="I30772" s="82"/>
      <c r="M30772" s="85"/>
    </row>
    <row r="30773" spans="9:13" x14ac:dyDescent="0.3">
      <c r="I30773" s="82"/>
      <c r="M30773" s="85"/>
    </row>
    <row r="30774" spans="9:13" x14ac:dyDescent="0.3">
      <c r="I30774" s="82"/>
      <c r="M30774" s="85"/>
    </row>
    <row r="30775" spans="9:13" x14ac:dyDescent="0.3">
      <c r="I30775" s="82"/>
      <c r="M30775" s="85"/>
    </row>
    <row r="30776" spans="9:13" x14ac:dyDescent="0.3">
      <c r="I30776" s="82"/>
      <c r="M30776" s="85"/>
    </row>
    <row r="30777" spans="9:13" x14ac:dyDescent="0.3">
      <c r="I30777" s="82"/>
      <c r="M30777" s="85"/>
    </row>
    <row r="30778" spans="9:13" x14ac:dyDescent="0.3">
      <c r="I30778" s="82"/>
      <c r="M30778" s="85"/>
    </row>
    <row r="30779" spans="9:13" x14ac:dyDescent="0.3">
      <c r="I30779" s="82"/>
      <c r="M30779" s="85"/>
    </row>
    <row r="30780" spans="9:13" x14ac:dyDescent="0.3">
      <c r="I30780" s="82"/>
      <c r="M30780" s="85"/>
    </row>
    <row r="30781" spans="9:13" x14ac:dyDescent="0.3">
      <c r="I30781" s="82"/>
      <c r="M30781" s="85"/>
    </row>
    <row r="30782" spans="9:13" x14ac:dyDescent="0.3">
      <c r="I30782" s="82"/>
      <c r="M30782" s="85"/>
    </row>
    <row r="30783" spans="9:13" x14ac:dyDescent="0.3">
      <c r="I30783" s="82"/>
      <c r="M30783" s="85"/>
    </row>
    <row r="30784" spans="9:13" x14ac:dyDescent="0.3">
      <c r="I30784" s="82"/>
      <c r="M30784" s="85"/>
    </row>
    <row r="30785" spans="9:13" x14ac:dyDescent="0.3">
      <c r="I30785" s="82"/>
      <c r="M30785" s="85"/>
    </row>
    <row r="30786" spans="9:13" x14ac:dyDescent="0.3">
      <c r="I30786" s="82"/>
      <c r="M30786" s="85"/>
    </row>
    <row r="30787" spans="9:13" x14ac:dyDescent="0.3">
      <c r="I30787" s="82"/>
      <c r="M30787" s="85"/>
    </row>
    <row r="30788" spans="9:13" x14ac:dyDescent="0.3">
      <c r="I30788" s="82"/>
      <c r="M30788" s="85"/>
    </row>
    <row r="30789" spans="9:13" x14ac:dyDescent="0.3">
      <c r="I30789" s="82"/>
      <c r="M30789" s="85"/>
    </row>
    <row r="30790" spans="9:13" x14ac:dyDescent="0.3">
      <c r="I30790" s="82"/>
      <c r="M30790" s="85"/>
    </row>
    <row r="30791" spans="9:13" x14ac:dyDescent="0.3">
      <c r="I30791" s="82"/>
      <c r="M30791" s="85"/>
    </row>
    <row r="30792" spans="9:13" x14ac:dyDescent="0.3">
      <c r="I30792" s="82"/>
      <c r="M30792" s="85"/>
    </row>
    <row r="30793" spans="9:13" x14ac:dyDescent="0.3">
      <c r="I30793" s="82"/>
      <c r="M30793" s="85"/>
    </row>
    <row r="30794" spans="9:13" x14ac:dyDescent="0.3">
      <c r="I30794" s="82"/>
      <c r="M30794" s="85"/>
    </row>
    <row r="30795" spans="9:13" x14ac:dyDescent="0.3">
      <c r="I30795" s="82"/>
      <c r="M30795" s="85"/>
    </row>
    <row r="30796" spans="9:13" x14ac:dyDescent="0.3">
      <c r="I30796" s="82"/>
      <c r="M30796" s="85"/>
    </row>
    <row r="30797" spans="9:13" x14ac:dyDescent="0.3">
      <c r="I30797" s="82"/>
      <c r="M30797" s="85"/>
    </row>
    <row r="30798" spans="9:13" x14ac:dyDescent="0.3">
      <c r="I30798" s="82"/>
      <c r="M30798" s="85"/>
    </row>
    <row r="30799" spans="9:13" x14ac:dyDescent="0.3">
      <c r="I30799" s="82"/>
      <c r="M30799" s="85"/>
    </row>
    <row r="30800" spans="9:13" x14ac:dyDescent="0.3">
      <c r="I30800" s="82"/>
      <c r="M30800" s="85"/>
    </row>
    <row r="30801" spans="9:13" x14ac:dyDescent="0.3">
      <c r="I30801" s="82"/>
      <c r="M30801" s="85"/>
    </row>
    <row r="30802" spans="9:13" x14ac:dyDescent="0.3">
      <c r="I30802" s="82"/>
      <c r="M30802" s="85"/>
    </row>
    <row r="30803" spans="9:13" x14ac:dyDescent="0.3">
      <c r="I30803" s="82"/>
      <c r="M30803" s="85"/>
    </row>
    <row r="30804" spans="9:13" x14ac:dyDescent="0.3">
      <c r="I30804" s="82"/>
      <c r="M30804" s="85"/>
    </row>
    <row r="30805" spans="9:13" x14ac:dyDescent="0.3">
      <c r="I30805" s="82"/>
      <c r="M30805" s="85"/>
    </row>
    <row r="30806" spans="9:13" x14ac:dyDescent="0.3">
      <c r="I30806" s="82"/>
      <c r="M30806" s="85"/>
    </row>
    <row r="30807" spans="9:13" x14ac:dyDescent="0.3">
      <c r="I30807" s="82"/>
      <c r="M30807" s="85"/>
    </row>
    <row r="30808" spans="9:13" x14ac:dyDescent="0.3">
      <c r="I30808" s="82"/>
      <c r="M30808" s="85"/>
    </row>
    <row r="30809" spans="9:13" x14ac:dyDescent="0.3">
      <c r="I30809" s="82"/>
      <c r="M30809" s="85"/>
    </row>
    <row r="30810" spans="9:13" x14ac:dyDescent="0.3">
      <c r="I30810" s="82"/>
      <c r="M30810" s="85"/>
    </row>
    <row r="30811" spans="9:13" x14ac:dyDescent="0.3">
      <c r="I30811" s="82"/>
      <c r="M30811" s="85"/>
    </row>
    <row r="30812" spans="9:13" x14ac:dyDescent="0.3">
      <c r="I30812" s="82"/>
      <c r="M30812" s="85"/>
    </row>
    <row r="30813" spans="9:13" x14ac:dyDescent="0.3">
      <c r="I30813" s="82"/>
      <c r="M30813" s="85"/>
    </row>
    <row r="30814" spans="9:13" x14ac:dyDescent="0.3">
      <c r="I30814" s="82"/>
      <c r="M30814" s="85"/>
    </row>
    <row r="30815" spans="9:13" x14ac:dyDescent="0.3">
      <c r="I30815" s="82"/>
      <c r="M30815" s="85"/>
    </row>
    <row r="30816" spans="9:13" x14ac:dyDescent="0.3">
      <c r="I30816" s="82"/>
      <c r="M30816" s="85"/>
    </row>
    <row r="30817" spans="9:13" x14ac:dyDescent="0.3">
      <c r="I30817" s="82"/>
      <c r="M30817" s="85"/>
    </row>
    <row r="30818" spans="9:13" x14ac:dyDescent="0.3">
      <c r="I30818" s="82"/>
      <c r="M30818" s="85"/>
    </row>
    <row r="30819" spans="9:13" x14ac:dyDescent="0.3">
      <c r="I30819" s="82"/>
      <c r="M30819" s="85"/>
    </row>
    <row r="30820" spans="9:13" x14ac:dyDescent="0.3">
      <c r="I30820" s="82"/>
      <c r="M30820" s="85"/>
    </row>
    <row r="30821" spans="9:13" x14ac:dyDescent="0.3">
      <c r="I30821" s="82"/>
      <c r="M30821" s="85"/>
    </row>
    <row r="30822" spans="9:13" x14ac:dyDescent="0.3">
      <c r="I30822" s="82"/>
      <c r="M30822" s="85"/>
    </row>
    <row r="30823" spans="9:13" x14ac:dyDescent="0.3">
      <c r="I30823" s="82"/>
      <c r="M30823" s="85"/>
    </row>
    <row r="30824" spans="9:13" x14ac:dyDescent="0.3">
      <c r="I30824" s="82"/>
      <c r="M30824" s="85"/>
    </row>
    <row r="30825" spans="9:13" x14ac:dyDescent="0.3">
      <c r="I30825" s="82"/>
      <c r="M30825" s="85"/>
    </row>
    <row r="30826" spans="9:13" x14ac:dyDescent="0.3">
      <c r="I30826" s="82"/>
      <c r="M30826" s="85"/>
    </row>
    <row r="30827" spans="9:13" x14ac:dyDescent="0.3">
      <c r="I30827" s="82"/>
      <c r="M30827" s="85"/>
    </row>
    <row r="30828" spans="9:13" x14ac:dyDescent="0.3">
      <c r="I30828" s="82"/>
      <c r="M30828" s="85"/>
    </row>
    <row r="30829" spans="9:13" x14ac:dyDescent="0.3">
      <c r="I30829" s="82"/>
      <c r="M30829" s="85"/>
    </row>
    <row r="30830" spans="9:13" x14ac:dyDescent="0.3">
      <c r="I30830" s="82"/>
      <c r="M30830" s="85"/>
    </row>
    <row r="30831" spans="9:13" x14ac:dyDescent="0.3">
      <c r="I30831" s="82"/>
      <c r="M30831" s="85"/>
    </row>
    <row r="30832" spans="9:13" x14ac:dyDescent="0.3">
      <c r="I30832" s="82"/>
      <c r="M30832" s="85"/>
    </row>
    <row r="30833" spans="9:13" x14ac:dyDescent="0.3">
      <c r="I30833" s="82"/>
      <c r="M30833" s="85"/>
    </row>
    <row r="30834" spans="9:13" x14ac:dyDescent="0.3">
      <c r="I30834" s="82"/>
      <c r="M30834" s="85"/>
    </row>
    <row r="30835" spans="9:13" x14ac:dyDescent="0.3">
      <c r="I30835" s="82"/>
      <c r="M30835" s="85"/>
    </row>
    <row r="30836" spans="9:13" x14ac:dyDescent="0.3">
      <c r="I30836" s="82"/>
      <c r="M30836" s="85"/>
    </row>
    <row r="30837" spans="9:13" x14ac:dyDescent="0.3">
      <c r="I30837" s="82"/>
      <c r="M30837" s="85"/>
    </row>
    <row r="30838" spans="9:13" x14ac:dyDescent="0.3">
      <c r="I30838" s="82"/>
      <c r="M30838" s="85"/>
    </row>
    <row r="30839" spans="9:13" x14ac:dyDescent="0.3">
      <c r="I30839" s="82"/>
      <c r="M30839" s="85"/>
    </row>
    <row r="30840" spans="9:13" x14ac:dyDescent="0.3">
      <c r="I30840" s="82"/>
      <c r="M30840" s="85"/>
    </row>
    <row r="30841" spans="9:13" x14ac:dyDescent="0.3">
      <c r="I30841" s="82"/>
      <c r="M30841" s="85"/>
    </row>
    <row r="30842" spans="9:13" x14ac:dyDescent="0.3">
      <c r="I30842" s="82"/>
      <c r="M30842" s="85"/>
    </row>
    <row r="30843" spans="9:13" x14ac:dyDescent="0.3">
      <c r="I30843" s="82"/>
      <c r="M30843" s="85"/>
    </row>
    <row r="30844" spans="9:13" x14ac:dyDescent="0.3">
      <c r="I30844" s="82"/>
      <c r="M30844" s="85"/>
    </row>
    <row r="30845" spans="9:13" x14ac:dyDescent="0.3">
      <c r="I30845" s="82"/>
      <c r="M30845" s="85"/>
    </row>
    <row r="30846" spans="9:13" x14ac:dyDescent="0.3">
      <c r="I30846" s="82"/>
      <c r="M30846" s="85"/>
    </row>
    <row r="30847" spans="9:13" x14ac:dyDescent="0.3">
      <c r="I30847" s="82"/>
      <c r="M30847" s="85"/>
    </row>
    <row r="30848" spans="9:13" x14ac:dyDescent="0.3">
      <c r="I30848" s="82"/>
      <c r="M30848" s="85"/>
    </row>
    <row r="30849" spans="9:13" x14ac:dyDescent="0.3">
      <c r="I30849" s="82"/>
      <c r="M30849" s="85"/>
    </row>
    <row r="30850" spans="9:13" x14ac:dyDescent="0.3">
      <c r="I30850" s="82"/>
      <c r="M30850" s="85"/>
    </row>
    <row r="30851" spans="9:13" x14ac:dyDescent="0.3">
      <c r="I30851" s="82"/>
      <c r="M30851" s="85"/>
    </row>
    <row r="30852" spans="9:13" x14ac:dyDescent="0.3">
      <c r="I30852" s="82"/>
      <c r="M30852" s="85"/>
    </row>
    <row r="30853" spans="9:13" x14ac:dyDescent="0.3">
      <c r="I30853" s="82"/>
      <c r="M30853" s="85"/>
    </row>
    <row r="30854" spans="9:13" x14ac:dyDescent="0.3">
      <c r="I30854" s="82"/>
      <c r="M30854" s="85"/>
    </row>
    <row r="30855" spans="9:13" x14ac:dyDescent="0.3">
      <c r="I30855" s="82"/>
      <c r="M30855" s="85"/>
    </row>
    <row r="30856" spans="9:13" x14ac:dyDescent="0.3">
      <c r="I30856" s="82"/>
      <c r="M30856" s="85"/>
    </row>
    <row r="30857" spans="9:13" x14ac:dyDescent="0.3">
      <c r="I30857" s="82"/>
      <c r="M30857" s="85"/>
    </row>
    <row r="30858" spans="9:13" x14ac:dyDescent="0.3">
      <c r="I30858" s="82"/>
      <c r="M30858" s="85"/>
    </row>
    <row r="30859" spans="9:13" x14ac:dyDescent="0.3">
      <c r="I30859" s="82"/>
      <c r="M30859" s="85"/>
    </row>
    <row r="30860" spans="9:13" x14ac:dyDescent="0.3">
      <c r="I30860" s="82"/>
      <c r="M30860" s="85"/>
    </row>
    <row r="30861" spans="9:13" x14ac:dyDescent="0.3">
      <c r="I30861" s="82"/>
      <c r="M30861" s="85"/>
    </row>
    <row r="30862" spans="9:13" x14ac:dyDescent="0.3">
      <c r="I30862" s="82"/>
      <c r="M30862" s="85"/>
    </row>
    <row r="30863" spans="9:13" x14ac:dyDescent="0.3">
      <c r="I30863" s="82"/>
      <c r="M30863" s="85"/>
    </row>
    <row r="30864" spans="9:13" x14ac:dyDescent="0.3">
      <c r="I30864" s="82"/>
      <c r="M30864" s="85"/>
    </row>
    <row r="30865" spans="9:13" x14ac:dyDescent="0.3">
      <c r="I30865" s="82"/>
      <c r="M30865" s="85"/>
    </row>
    <row r="30866" spans="9:13" x14ac:dyDescent="0.3">
      <c r="I30866" s="82"/>
      <c r="M30866" s="85"/>
    </row>
    <row r="30867" spans="9:13" x14ac:dyDescent="0.3">
      <c r="I30867" s="82"/>
      <c r="M30867" s="85"/>
    </row>
    <row r="30868" spans="9:13" x14ac:dyDescent="0.3">
      <c r="I30868" s="82"/>
      <c r="M30868" s="85"/>
    </row>
    <row r="30869" spans="9:13" x14ac:dyDescent="0.3">
      <c r="I30869" s="82"/>
      <c r="M30869" s="85"/>
    </row>
    <row r="30870" spans="9:13" x14ac:dyDescent="0.3">
      <c r="I30870" s="82"/>
      <c r="M30870" s="85"/>
    </row>
    <row r="30871" spans="9:13" x14ac:dyDescent="0.3">
      <c r="I30871" s="82"/>
      <c r="M30871" s="85"/>
    </row>
    <row r="30872" spans="9:13" x14ac:dyDescent="0.3">
      <c r="I30872" s="82"/>
      <c r="M30872" s="85"/>
    </row>
    <row r="30873" spans="9:13" x14ac:dyDescent="0.3">
      <c r="I30873" s="82"/>
      <c r="M30873" s="85"/>
    </row>
    <row r="30874" spans="9:13" x14ac:dyDescent="0.3">
      <c r="I30874" s="82"/>
      <c r="M30874" s="85"/>
    </row>
    <row r="30875" spans="9:13" x14ac:dyDescent="0.3">
      <c r="I30875" s="82"/>
      <c r="M30875" s="85"/>
    </row>
    <row r="30876" spans="9:13" x14ac:dyDescent="0.3">
      <c r="I30876" s="82"/>
      <c r="M30876" s="85"/>
    </row>
    <row r="30877" spans="9:13" x14ac:dyDescent="0.3">
      <c r="I30877" s="82"/>
      <c r="M30877" s="85"/>
    </row>
    <row r="30878" spans="9:13" x14ac:dyDescent="0.3">
      <c r="I30878" s="82"/>
      <c r="M30878" s="85"/>
    </row>
    <row r="30879" spans="9:13" x14ac:dyDescent="0.3">
      <c r="I30879" s="82"/>
      <c r="M30879" s="85"/>
    </row>
    <row r="30880" spans="9:13" x14ac:dyDescent="0.3">
      <c r="I30880" s="82"/>
      <c r="M30880" s="85"/>
    </row>
    <row r="30881" spans="9:13" x14ac:dyDescent="0.3">
      <c r="I30881" s="82"/>
      <c r="M30881" s="85"/>
    </row>
    <row r="30882" spans="9:13" x14ac:dyDescent="0.3">
      <c r="I30882" s="82"/>
      <c r="M30882" s="85"/>
    </row>
    <row r="30883" spans="9:13" x14ac:dyDescent="0.3">
      <c r="I30883" s="82"/>
      <c r="M30883" s="85"/>
    </row>
    <row r="30884" spans="9:13" x14ac:dyDescent="0.3">
      <c r="I30884" s="82"/>
      <c r="M30884" s="85"/>
    </row>
    <row r="30885" spans="9:13" x14ac:dyDescent="0.3">
      <c r="I30885" s="82"/>
      <c r="M30885" s="85"/>
    </row>
    <row r="30886" spans="9:13" x14ac:dyDescent="0.3">
      <c r="I30886" s="82"/>
      <c r="M30886" s="85"/>
    </row>
    <row r="30887" spans="9:13" x14ac:dyDescent="0.3">
      <c r="I30887" s="82"/>
      <c r="M30887" s="85"/>
    </row>
    <row r="30888" spans="9:13" x14ac:dyDescent="0.3">
      <c r="I30888" s="82"/>
      <c r="M30888" s="85"/>
    </row>
    <row r="30889" spans="9:13" x14ac:dyDescent="0.3">
      <c r="I30889" s="82"/>
      <c r="M30889" s="85"/>
    </row>
    <row r="30890" spans="9:13" x14ac:dyDescent="0.3">
      <c r="I30890" s="82"/>
      <c r="M30890" s="85"/>
    </row>
    <row r="30891" spans="9:13" x14ac:dyDescent="0.3">
      <c r="I30891" s="82"/>
      <c r="M30891" s="85"/>
    </row>
    <row r="30892" spans="9:13" x14ac:dyDescent="0.3">
      <c r="I30892" s="82"/>
      <c r="M30892" s="85"/>
    </row>
    <row r="30893" spans="9:13" x14ac:dyDescent="0.3">
      <c r="I30893" s="82"/>
      <c r="M30893" s="85"/>
    </row>
    <row r="30894" spans="9:13" x14ac:dyDescent="0.3">
      <c r="I30894" s="82"/>
      <c r="M30894" s="85"/>
    </row>
    <row r="30895" spans="9:13" x14ac:dyDescent="0.3">
      <c r="I30895" s="82"/>
      <c r="M30895" s="85"/>
    </row>
    <row r="30896" spans="9:13" x14ac:dyDescent="0.3">
      <c r="I30896" s="82"/>
      <c r="M30896" s="85"/>
    </row>
    <row r="30897" spans="9:13" x14ac:dyDescent="0.3">
      <c r="I30897" s="82"/>
      <c r="M30897" s="85"/>
    </row>
    <row r="30898" spans="9:13" x14ac:dyDescent="0.3">
      <c r="I30898" s="82"/>
      <c r="M30898" s="85"/>
    </row>
    <row r="30899" spans="9:13" x14ac:dyDescent="0.3">
      <c r="I30899" s="82"/>
      <c r="M30899" s="85"/>
    </row>
    <row r="30900" spans="9:13" x14ac:dyDescent="0.3">
      <c r="I30900" s="82"/>
      <c r="M30900" s="85"/>
    </row>
    <row r="30901" spans="9:13" x14ac:dyDescent="0.3">
      <c r="I30901" s="82"/>
      <c r="M30901" s="85"/>
    </row>
    <row r="30902" spans="9:13" x14ac:dyDescent="0.3">
      <c r="I30902" s="82"/>
      <c r="M30902" s="85"/>
    </row>
    <row r="30903" spans="9:13" x14ac:dyDescent="0.3">
      <c r="I30903" s="82"/>
      <c r="M30903" s="85"/>
    </row>
    <row r="30904" spans="9:13" x14ac:dyDescent="0.3">
      <c r="I30904" s="82"/>
      <c r="M30904" s="85"/>
    </row>
    <row r="30905" spans="9:13" x14ac:dyDescent="0.3">
      <c r="I30905" s="82"/>
      <c r="M30905" s="85"/>
    </row>
    <row r="30906" spans="9:13" x14ac:dyDescent="0.3">
      <c r="I30906" s="82"/>
      <c r="M30906" s="85"/>
    </row>
    <row r="30907" spans="9:13" x14ac:dyDescent="0.3">
      <c r="I30907" s="82"/>
      <c r="M30907" s="85"/>
    </row>
    <row r="30908" spans="9:13" x14ac:dyDescent="0.3">
      <c r="I30908" s="82"/>
      <c r="M30908" s="85"/>
    </row>
    <row r="30909" spans="9:13" x14ac:dyDescent="0.3">
      <c r="I30909" s="82"/>
      <c r="M30909" s="85"/>
    </row>
    <row r="30910" spans="9:13" x14ac:dyDescent="0.3">
      <c r="I30910" s="82"/>
      <c r="M30910" s="85"/>
    </row>
    <row r="30911" spans="9:13" x14ac:dyDescent="0.3">
      <c r="I30911" s="82"/>
      <c r="M30911" s="85"/>
    </row>
    <row r="30912" spans="9:13" x14ac:dyDescent="0.3">
      <c r="I30912" s="82"/>
      <c r="M30912" s="85"/>
    </row>
    <row r="30913" spans="9:13" x14ac:dyDescent="0.3">
      <c r="I30913" s="82"/>
      <c r="M30913" s="85"/>
    </row>
    <row r="30914" spans="9:13" x14ac:dyDescent="0.3">
      <c r="I30914" s="82"/>
      <c r="M30914" s="85"/>
    </row>
    <row r="30915" spans="9:13" x14ac:dyDescent="0.3">
      <c r="I30915" s="82"/>
      <c r="M30915" s="85"/>
    </row>
    <row r="30916" spans="9:13" x14ac:dyDescent="0.3">
      <c r="I30916" s="82"/>
      <c r="M30916" s="85"/>
    </row>
    <row r="30917" spans="9:13" x14ac:dyDescent="0.3">
      <c r="I30917" s="82"/>
      <c r="M30917" s="85"/>
    </row>
    <row r="30918" spans="9:13" x14ac:dyDescent="0.3">
      <c r="I30918" s="82"/>
      <c r="M30918" s="85"/>
    </row>
    <row r="30919" spans="9:13" x14ac:dyDescent="0.3">
      <c r="I30919" s="82"/>
      <c r="M30919" s="85"/>
    </row>
    <row r="30920" spans="9:13" x14ac:dyDescent="0.3">
      <c r="I30920" s="82"/>
      <c r="M30920" s="85"/>
    </row>
    <row r="30921" spans="9:13" x14ac:dyDescent="0.3">
      <c r="I30921" s="82"/>
      <c r="M30921" s="85"/>
    </row>
    <row r="30922" spans="9:13" x14ac:dyDescent="0.3">
      <c r="I30922" s="82"/>
      <c r="M30922" s="85"/>
    </row>
    <row r="30923" spans="9:13" x14ac:dyDescent="0.3">
      <c r="I30923" s="82"/>
      <c r="M30923" s="85"/>
    </row>
    <row r="30924" spans="9:13" x14ac:dyDescent="0.3">
      <c r="I30924" s="82"/>
      <c r="M30924" s="85"/>
    </row>
    <row r="30925" spans="9:13" x14ac:dyDescent="0.3">
      <c r="I30925" s="82"/>
      <c r="M30925" s="85"/>
    </row>
    <row r="30926" spans="9:13" x14ac:dyDescent="0.3">
      <c r="I30926" s="82"/>
      <c r="M30926" s="85"/>
    </row>
    <row r="30927" spans="9:13" x14ac:dyDescent="0.3">
      <c r="I30927" s="82"/>
      <c r="M30927" s="85"/>
    </row>
    <row r="30928" spans="9:13" x14ac:dyDescent="0.3">
      <c r="I30928" s="82"/>
      <c r="M30928" s="85"/>
    </row>
    <row r="30929" spans="9:13" x14ac:dyDescent="0.3">
      <c r="I30929" s="82"/>
      <c r="M30929" s="85"/>
    </row>
    <row r="30930" spans="9:13" x14ac:dyDescent="0.3">
      <c r="I30930" s="82"/>
      <c r="M30930" s="85"/>
    </row>
    <row r="30931" spans="9:13" x14ac:dyDescent="0.3">
      <c r="I30931" s="82"/>
      <c r="M30931" s="85"/>
    </row>
    <row r="30932" spans="9:13" x14ac:dyDescent="0.3">
      <c r="I30932" s="82"/>
      <c r="M30932" s="85"/>
    </row>
    <row r="30933" spans="9:13" x14ac:dyDescent="0.3">
      <c r="I30933" s="82"/>
      <c r="M30933" s="85"/>
    </row>
    <row r="30934" spans="9:13" x14ac:dyDescent="0.3">
      <c r="I30934" s="82"/>
      <c r="M30934" s="85"/>
    </row>
    <row r="30935" spans="9:13" x14ac:dyDescent="0.3">
      <c r="I30935" s="82"/>
      <c r="M30935" s="85"/>
    </row>
    <row r="30936" spans="9:13" x14ac:dyDescent="0.3">
      <c r="I30936" s="82"/>
      <c r="M30936" s="85"/>
    </row>
    <row r="30937" spans="9:13" x14ac:dyDescent="0.3">
      <c r="I30937" s="82"/>
      <c r="M30937" s="85"/>
    </row>
    <row r="30938" spans="9:13" x14ac:dyDescent="0.3">
      <c r="I30938" s="82"/>
      <c r="M30938" s="85"/>
    </row>
    <row r="30939" spans="9:13" x14ac:dyDescent="0.3">
      <c r="I30939" s="82"/>
      <c r="M30939" s="85"/>
    </row>
    <row r="30940" spans="9:13" x14ac:dyDescent="0.3">
      <c r="I30940" s="82"/>
      <c r="M30940" s="85"/>
    </row>
    <row r="30941" spans="9:13" x14ac:dyDescent="0.3">
      <c r="I30941" s="82"/>
      <c r="M30941" s="85"/>
    </row>
    <row r="30942" spans="9:13" x14ac:dyDescent="0.3">
      <c r="I30942" s="82"/>
      <c r="M30942" s="85"/>
    </row>
    <row r="30943" spans="9:13" x14ac:dyDescent="0.3">
      <c r="I30943" s="82"/>
      <c r="M30943" s="85"/>
    </row>
    <row r="30944" spans="9:13" x14ac:dyDescent="0.3">
      <c r="I30944" s="82"/>
      <c r="M30944" s="85"/>
    </row>
    <row r="30945" spans="9:13" x14ac:dyDescent="0.3">
      <c r="I30945" s="82"/>
      <c r="M30945" s="85"/>
    </row>
    <row r="30946" spans="9:13" x14ac:dyDescent="0.3">
      <c r="I30946" s="82"/>
      <c r="M30946" s="85"/>
    </row>
    <row r="30947" spans="9:13" x14ac:dyDescent="0.3">
      <c r="I30947" s="82"/>
      <c r="M30947" s="85"/>
    </row>
    <row r="30948" spans="9:13" x14ac:dyDescent="0.3">
      <c r="I30948" s="82"/>
      <c r="M30948" s="85"/>
    </row>
    <row r="30949" spans="9:13" x14ac:dyDescent="0.3">
      <c r="I30949" s="82"/>
      <c r="M30949" s="85"/>
    </row>
    <row r="30950" spans="9:13" x14ac:dyDescent="0.3">
      <c r="I30950" s="82"/>
      <c r="M30950" s="85"/>
    </row>
    <row r="30951" spans="9:13" x14ac:dyDescent="0.3">
      <c r="I30951" s="82"/>
      <c r="M30951" s="85"/>
    </row>
    <row r="30952" spans="9:13" x14ac:dyDescent="0.3">
      <c r="I30952" s="82"/>
      <c r="M30952" s="85"/>
    </row>
    <row r="30953" spans="9:13" x14ac:dyDescent="0.3">
      <c r="I30953" s="82"/>
      <c r="M30953" s="85"/>
    </row>
    <row r="30954" spans="9:13" x14ac:dyDescent="0.3">
      <c r="I30954" s="82"/>
      <c r="M30954" s="85"/>
    </row>
    <row r="30955" spans="9:13" x14ac:dyDescent="0.3">
      <c r="I30955" s="82"/>
      <c r="M30955" s="85"/>
    </row>
    <row r="30956" spans="9:13" x14ac:dyDescent="0.3">
      <c r="I30956" s="82"/>
      <c r="M30956" s="85"/>
    </row>
    <row r="30957" spans="9:13" x14ac:dyDescent="0.3">
      <c r="I30957" s="82"/>
      <c r="M30957" s="85"/>
    </row>
    <row r="30958" spans="9:13" x14ac:dyDescent="0.3">
      <c r="I30958" s="82"/>
      <c r="M30958" s="85"/>
    </row>
    <row r="30959" spans="9:13" x14ac:dyDescent="0.3">
      <c r="I30959" s="82"/>
      <c r="M30959" s="85"/>
    </row>
    <row r="30960" spans="9:13" x14ac:dyDescent="0.3">
      <c r="I30960" s="82"/>
      <c r="M30960" s="85"/>
    </row>
    <row r="30961" spans="9:13" x14ac:dyDescent="0.3">
      <c r="I30961" s="82"/>
      <c r="M30961" s="85"/>
    </row>
    <row r="30962" spans="9:13" x14ac:dyDescent="0.3">
      <c r="I30962" s="82"/>
      <c r="M30962" s="85"/>
    </row>
    <row r="30963" spans="9:13" x14ac:dyDescent="0.3">
      <c r="I30963" s="82"/>
      <c r="M30963" s="85"/>
    </row>
    <row r="30964" spans="9:13" x14ac:dyDescent="0.3">
      <c r="I30964" s="82"/>
      <c r="M30964" s="85"/>
    </row>
    <row r="30965" spans="9:13" x14ac:dyDescent="0.3">
      <c r="I30965" s="82"/>
      <c r="M30965" s="85"/>
    </row>
    <row r="30966" spans="9:13" x14ac:dyDescent="0.3">
      <c r="I30966" s="82"/>
      <c r="M30966" s="85"/>
    </row>
    <row r="30967" spans="9:13" x14ac:dyDescent="0.3">
      <c r="I30967" s="82"/>
      <c r="M30967" s="85"/>
    </row>
    <row r="30968" spans="9:13" x14ac:dyDescent="0.3">
      <c r="I30968" s="82"/>
      <c r="M30968" s="85"/>
    </row>
    <row r="30969" spans="9:13" x14ac:dyDescent="0.3">
      <c r="I30969" s="82"/>
      <c r="M30969" s="85"/>
    </row>
    <row r="30970" spans="9:13" x14ac:dyDescent="0.3">
      <c r="I30970" s="82"/>
      <c r="M30970" s="85"/>
    </row>
    <row r="30971" spans="9:13" x14ac:dyDescent="0.3">
      <c r="I30971" s="82"/>
      <c r="M30971" s="85"/>
    </row>
    <row r="30972" spans="9:13" x14ac:dyDescent="0.3">
      <c r="I30972" s="82"/>
      <c r="M30972" s="85"/>
    </row>
    <row r="30973" spans="9:13" x14ac:dyDescent="0.3">
      <c r="I30973" s="82"/>
      <c r="M30973" s="85"/>
    </row>
    <row r="30974" spans="9:13" x14ac:dyDescent="0.3">
      <c r="I30974" s="82"/>
      <c r="M30974" s="85"/>
    </row>
    <row r="30975" spans="9:13" x14ac:dyDescent="0.3">
      <c r="I30975" s="82"/>
      <c r="M30975" s="85"/>
    </row>
    <row r="30976" spans="9:13" x14ac:dyDescent="0.3">
      <c r="I30976" s="82"/>
      <c r="M30976" s="85"/>
    </row>
    <row r="30977" spans="9:13" x14ac:dyDescent="0.3">
      <c r="I30977" s="82"/>
      <c r="M30977" s="85"/>
    </row>
    <row r="30978" spans="9:13" x14ac:dyDescent="0.3">
      <c r="I30978" s="82"/>
      <c r="M30978" s="85"/>
    </row>
    <row r="30979" spans="9:13" x14ac:dyDescent="0.3">
      <c r="I30979" s="82"/>
      <c r="M30979" s="85"/>
    </row>
    <row r="30980" spans="9:13" x14ac:dyDescent="0.3">
      <c r="I30980" s="82"/>
      <c r="M30980" s="85"/>
    </row>
    <row r="30981" spans="9:13" x14ac:dyDescent="0.3">
      <c r="I30981" s="82"/>
      <c r="M30981" s="85"/>
    </row>
    <row r="30982" spans="9:13" x14ac:dyDescent="0.3">
      <c r="I30982" s="82"/>
      <c r="M30982" s="85"/>
    </row>
    <row r="30983" spans="9:13" x14ac:dyDescent="0.3">
      <c r="I30983" s="82"/>
      <c r="M30983" s="85"/>
    </row>
    <row r="30984" spans="9:13" x14ac:dyDescent="0.3">
      <c r="I30984" s="82"/>
      <c r="M30984" s="85"/>
    </row>
    <row r="30985" spans="9:13" x14ac:dyDescent="0.3">
      <c r="I30985" s="82"/>
      <c r="M30985" s="85"/>
    </row>
    <row r="30986" spans="9:13" x14ac:dyDescent="0.3">
      <c r="I30986" s="82"/>
      <c r="M30986" s="85"/>
    </row>
    <row r="30987" spans="9:13" x14ac:dyDescent="0.3">
      <c r="I30987" s="82"/>
      <c r="M30987" s="85"/>
    </row>
    <row r="30988" spans="9:13" x14ac:dyDescent="0.3">
      <c r="I30988" s="82"/>
      <c r="M30988" s="85"/>
    </row>
    <row r="30989" spans="9:13" x14ac:dyDescent="0.3">
      <c r="I30989" s="82"/>
      <c r="M30989" s="85"/>
    </row>
    <row r="30990" spans="9:13" x14ac:dyDescent="0.3">
      <c r="I30990" s="82"/>
      <c r="M30990" s="85"/>
    </row>
    <row r="30991" spans="9:13" x14ac:dyDescent="0.3">
      <c r="I30991" s="82"/>
      <c r="M30991" s="85"/>
    </row>
    <row r="30992" spans="9:13" x14ac:dyDescent="0.3">
      <c r="I30992" s="82"/>
      <c r="M30992" s="85"/>
    </row>
    <row r="30993" spans="9:13" x14ac:dyDescent="0.3">
      <c r="I30993" s="82"/>
      <c r="M30993" s="85"/>
    </row>
    <row r="30994" spans="9:13" x14ac:dyDescent="0.3">
      <c r="I30994" s="82"/>
      <c r="M30994" s="85"/>
    </row>
    <row r="30995" spans="9:13" x14ac:dyDescent="0.3">
      <c r="I30995" s="82"/>
      <c r="M30995" s="85"/>
    </row>
    <row r="30996" spans="9:13" x14ac:dyDescent="0.3">
      <c r="I30996" s="82"/>
      <c r="M30996" s="85"/>
    </row>
    <row r="30997" spans="9:13" x14ac:dyDescent="0.3">
      <c r="I30997" s="82"/>
      <c r="M30997" s="85"/>
    </row>
    <row r="30998" spans="9:13" x14ac:dyDescent="0.3">
      <c r="I30998" s="82"/>
      <c r="M30998" s="85"/>
    </row>
    <row r="30999" spans="9:13" x14ac:dyDescent="0.3">
      <c r="I30999" s="82"/>
      <c r="M30999" s="85"/>
    </row>
    <row r="31000" spans="9:13" x14ac:dyDescent="0.3">
      <c r="I31000" s="82"/>
      <c r="M31000" s="85"/>
    </row>
    <row r="31001" spans="9:13" x14ac:dyDescent="0.3">
      <c r="I31001" s="82"/>
      <c r="M31001" s="85"/>
    </row>
    <row r="31002" spans="9:13" x14ac:dyDescent="0.3">
      <c r="I31002" s="82"/>
      <c r="M31002" s="85"/>
    </row>
    <row r="31003" spans="9:13" x14ac:dyDescent="0.3">
      <c r="I31003" s="82"/>
      <c r="M31003" s="85"/>
    </row>
    <row r="31004" spans="9:13" x14ac:dyDescent="0.3">
      <c r="I31004" s="82"/>
      <c r="M31004" s="85"/>
    </row>
    <row r="31005" spans="9:13" x14ac:dyDescent="0.3">
      <c r="I31005" s="82"/>
      <c r="M31005" s="85"/>
    </row>
    <row r="31006" spans="9:13" x14ac:dyDescent="0.3">
      <c r="I31006" s="82"/>
      <c r="M31006" s="85"/>
    </row>
    <row r="31007" spans="9:13" x14ac:dyDescent="0.3">
      <c r="I31007" s="82"/>
      <c r="M31007" s="85"/>
    </row>
    <row r="31008" spans="9:13" x14ac:dyDescent="0.3">
      <c r="I31008" s="82"/>
      <c r="M31008" s="85"/>
    </row>
    <row r="31009" spans="9:13" x14ac:dyDescent="0.3">
      <c r="I31009" s="82"/>
      <c r="M31009" s="85"/>
    </row>
    <row r="31010" spans="9:13" x14ac:dyDescent="0.3">
      <c r="I31010" s="82"/>
      <c r="M31010" s="85"/>
    </row>
    <row r="31011" spans="9:13" x14ac:dyDescent="0.3">
      <c r="I31011" s="82"/>
      <c r="M31011" s="85"/>
    </row>
    <row r="31012" spans="9:13" x14ac:dyDescent="0.3">
      <c r="I31012" s="82"/>
      <c r="M31012" s="85"/>
    </row>
    <row r="31013" spans="9:13" x14ac:dyDescent="0.3">
      <c r="I31013" s="82"/>
      <c r="M31013" s="85"/>
    </row>
    <row r="31014" spans="9:13" x14ac:dyDescent="0.3">
      <c r="I31014" s="82"/>
      <c r="M31014" s="85"/>
    </row>
    <row r="31015" spans="9:13" x14ac:dyDescent="0.3">
      <c r="I31015" s="82"/>
      <c r="M31015" s="85"/>
    </row>
    <row r="31016" spans="9:13" x14ac:dyDescent="0.3">
      <c r="I31016" s="82"/>
      <c r="M31016" s="85"/>
    </row>
    <row r="31017" spans="9:13" x14ac:dyDescent="0.3">
      <c r="I31017" s="82"/>
      <c r="M31017" s="85"/>
    </row>
    <row r="31018" spans="9:13" x14ac:dyDescent="0.3">
      <c r="I31018" s="82"/>
      <c r="M31018" s="85"/>
    </row>
    <row r="31019" spans="9:13" x14ac:dyDescent="0.3">
      <c r="I31019" s="82"/>
      <c r="M31019" s="85"/>
    </row>
    <row r="31020" spans="9:13" x14ac:dyDescent="0.3">
      <c r="I31020" s="82"/>
      <c r="M31020" s="85"/>
    </row>
    <row r="31021" spans="9:13" x14ac:dyDescent="0.3">
      <c r="I31021" s="82"/>
      <c r="M31021" s="85"/>
    </row>
    <row r="31022" spans="9:13" x14ac:dyDescent="0.3">
      <c r="I31022" s="82"/>
      <c r="M31022" s="85"/>
    </row>
    <row r="31023" spans="9:13" x14ac:dyDescent="0.3">
      <c r="I31023" s="82"/>
      <c r="M31023" s="85"/>
    </row>
    <row r="31024" spans="9:13" x14ac:dyDescent="0.3">
      <c r="I31024" s="82"/>
      <c r="M31024" s="85"/>
    </row>
    <row r="31025" spans="9:13" x14ac:dyDescent="0.3">
      <c r="I31025" s="82"/>
      <c r="M31025" s="85"/>
    </row>
    <row r="31026" spans="9:13" x14ac:dyDescent="0.3">
      <c r="I31026" s="82"/>
      <c r="M31026" s="85"/>
    </row>
    <row r="31027" spans="9:13" x14ac:dyDescent="0.3">
      <c r="I31027" s="82"/>
      <c r="M31027" s="85"/>
    </row>
    <row r="31028" spans="9:13" x14ac:dyDescent="0.3">
      <c r="I31028" s="82"/>
      <c r="M31028" s="85"/>
    </row>
    <row r="31029" spans="9:13" x14ac:dyDescent="0.3">
      <c r="I31029" s="82"/>
      <c r="M31029" s="85"/>
    </row>
    <row r="31030" spans="9:13" x14ac:dyDescent="0.3">
      <c r="I31030" s="82"/>
      <c r="M31030" s="85"/>
    </row>
    <row r="31031" spans="9:13" x14ac:dyDescent="0.3">
      <c r="I31031" s="82"/>
      <c r="M31031" s="85"/>
    </row>
    <row r="31032" spans="9:13" x14ac:dyDescent="0.3">
      <c r="I31032" s="82"/>
      <c r="M31032" s="85"/>
    </row>
    <row r="31033" spans="9:13" x14ac:dyDescent="0.3">
      <c r="I31033" s="82"/>
      <c r="M31033" s="85"/>
    </row>
    <row r="31034" spans="9:13" x14ac:dyDescent="0.3">
      <c r="I31034" s="82"/>
      <c r="M31034" s="85"/>
    </row>
    <row r="31035" spans="9:13" x14ac:dyDescent="0.3">
      <c r="I31035" s="82"/>
      <c r="M31035" s="85"/>
    </row>
    <row r="31036" spans="9:13" x14ac:dyDescent="0.3">
      <c r="I31036" s="82"/>
      <c r="M31036" s="85"/>
    </row>
    <row r="31037" spans="9:13" x14ac:dyDescent="0.3">
      <c r="I31037" s="82"/>
      <c r="M31037" s="85"/>
    </row>
    <row r="31038" spans="9:13" x14ac:dyDescent="0.3">
      <c r="I31038" s="82"/>
      <c r="M31038" s="85"/>
    </row>
    <row r="31039" spans="9:13" x14ac:dyDescent="0.3">
      <c r="I31039" s="82"/>
      <c r="M31039" s="85"/>
    </row>
    <row r="31040" spans="9:13" x14ac:dyDescent="0.3">
      <c r="I31040" s="82"/>
      <c r="M31040" s="85"/>
    </row>
    <row r="31041" spans="9:13" x14ac:dyDescent="0.3">
      <c r="I31041" s="82"/>
      <c r="M31041" s="85"/>
    </row>
    <row r="31042" spans="9:13" x14ac:dyDescent="0.3">
      <c r="I31042" s="82"/>
      <c r="M31042" s="85"/>
    </row>
    <row r="31043" spans="9:13" x14ac:dyDescent="0.3">
      <c r="I31043" s="82"/>
      <c r="M31043" s="85"/>
    </row>
    <row r="31044" spans="9:13" x14ac:dyDescent="0.3">
      <c r="I31044" s="82"/>
      <c r="M31044" s="85"/>
    </row>
    <row r="31045" spans="9:13" x14ac:dyDescent="0.3">
      <c r="I31045" s="82"/>
      <c r="M31045" s="85"/>
    </row>
    <row r="31046" spans="9:13" x14ac:dyDescent="0.3">
      <c r="I31046" s="82"/>
      <c r="M31046" s="85"/>
    </row>
    <row r="31047" spans="9:13" x14ac:dyDescent="0.3">
      <c r="I31047" s="82"/>
      <c r="M31047" s="85"/>
    </row>
    <row r="31048" spans="9:13" x14ac:dyDescent="0.3">
      <c r="I31048" s="82"/>
      <c r="M31048" s="85"/>
    </row>
    <row r="31049" spans="9:13" x14ac:dyDescent="0.3">
      <c r="I31049" s="82"/>
      <c r="M31049" s="85"/>
    </row>
    <row r="31050" spans="9:13" x14ac:dyDescent="0.3">
      <c r="I31050" s="82"/>
      <c r="M31050" s="85"/>
    </row>
    <row r="31051" spans="9:13" x14ac:dyDescent="0.3">
      <c r="I31051" s="82"/>
      <c r="M31051" s="85"/>
    </row>
    <row r="31052" spans="9:13" x14ac:dyDescent="0.3">
      <c r="I31052" s="82"/>
      <c r="M31052" s="85"/>
    </row>
    <row r="31053" spans="9:13" x14ac:dyDescent="0.3">
      <c r="I31053" s="82"/>
      <c r="M31053" s="85"/>
    </row>
    <row r="31054" spans="9:13" x14ac:dyDescent="0.3">
      <c r="I31054" s="82"/>
      <c r="M31054" s="85"/>
    </row>
    <row r="31055" spans="9:13" x14ac:dyDescent="0.3">
      <c r="I31055" s="82"/>
      <c r="M31055" s="85"/>
    </row>
    <row r="31056" spans="9:13" x14ac:dyDescent="0.3">
      <c r="I31056" s="82"/>
      <c r="M31056" s="85"/>
    </row>
    <row r="31057" spans="9:13" x14ac:dyDescent="0.3">
      <c r="I31057" s="82"/>
      <c r="M31057" s="85"/>
    </row>
    <row r="31058" spans="9:13" x14ac:dyDescent="0.3">
      <c r="I31058" s="82"/>
      <c r="M31058" s="85"/>
    </row>
    <row r="31059" spans="9:13" x14ac:dyDescent="0.3">
      <c r="I31059" s="82"/>
      <c r="M31059" s="85"/>
    </row>
    <row r="31060" spans="9:13" x14ac:dyDescent="0.3">
      <c r="I31060" s="82"/>
      <c r="M31060" s="85"/>
    </row>
    <row r="31061" spans="9:13" x14ac:dyDescent="0.3">
      <c r="I31061" s="82"/>
      <c r="M31061" s="85"/>
    </row>
    <row r="31062" spans="9:13" x14ac:dyDescent="0.3">
      <c r="I31062" s="82"/>
      <c r="M31062" s="85"/>
    </row>
    <row r="31063" spans="9:13" x14ac:dyDescent="0.3">
      <c r="I31063" s="82"/>
      <c r="M31063" s="85"/>
    </row>
    <row r="31064" spans="9:13" x14ac:dyDescent="0.3">
      <c r="I31064" s="82"/>
      <c r="M31064" s="85"/>
    </row>
    <row r="31065" spans="9:13" x14ac:dyDescent="0.3">
      <c r="I31065" s="82"/>
      <c r="M31065" s="85"/>
    </row>
    <row r="31066" spans="9:13" x14ac:dyDescent="0.3">
      <c r="I31066" s="82"/>
      <c r="M31066" s="85"/>
    </row>
    <row r="31067" spans="9:13" x14ac:dyDescent="0.3">
      <c r="I31067" s="82"/>
      <c r="M31067" s="85"/>
    </row>
    <row r="31068" spans="9:13" x14ac:dyDescent="0.3">
      <c r="I31068" s="82"/>
      <c r="M31068" s="85"/>
    </row>
    <row r="31069" spans="9:13" x14ac:dyDescent="0.3">
      <c r="I31069" s="82"/>
      <c r="M31069" s="85"/>
    </row>
    <row r="31070" spans="9:13" x14ac:dyDescent="0.3">
      <c r="I31070" s="82"/>
      <c r="M31070" s="85"/>
    </row>
    <row r="31071" spans="9:13" x14ac:dyDescent="0.3">
      <c r="I31071" s="82"/>
      <c r="M31071" s="85"/>
    </row>
    <row r="31072" spans="9:13" x14ac:dyDescent="0.3">
      <c r="I31072" s="82"/>
      <c r="M31072" s="85"/>
    </row>
    <row r="31073" spans="9:13" x14ac:dyDescent="0.3">
      <c r="I31073" s="82"/>
      <c r="M31073" s="85"/>
    </row>
    <row r="31074" spans="9:13" x14ac:dyDescent="0.3">
      <c r="I31074" s="82"/>
      <c r="M31074" s="85"/>
    </row>
    <row r="31075" spans="9:13" x14ac:dyDescent="0.3">
      <c r="I31075" s="82"/>
      <c r="M31075" s="85"/>
    </row>
    <row r="31076" spans="9:13" x14ac:dyDescent="0.3">
      <c r="I31076" s="82"/>
      <c r="M31076" s="85"/>
    </row>
    <row r="31077" spans="9:13" x14ac:dyDescent="0.3">
      <c r="I31077" s="82"/>
      <c r="M31077" s="85"/>
    </row>
    <row r="31078" spans="9:13" x14ac:dyDescent="0.3">
      <c r="I31078" s="82"/>
      <c r="M31078" s="85"/>
    </row>
    <row r="31079" spans="9:13" x14ac:dyDescent="0.3">
      <c r="I31079" s="82"/>
      <c r="M31079" s="85"/>
    </row>
    <row r="31080" spans="9:13" x14ac:dyDescent="0.3">
      <c r="I31080" s="82"/>
      <c r="M31080" s="85"/>
    </row>
    <row r="31081" spans="9:13" x14ac:dyDescent="0.3">
      <c r="I31081" s="82"/>
      <c r="M31081" s="85"/>
    </row>
    <row r="31082" spans="9:13" x14ac:dyDescent="0.3">
      <c r="I31082" s="82"/>
      <c r="M31082" s="85"/>
    </row>
    <row r="31083" spans="9:13" x14ac:dyDescent="0.3">
      <c r="I31083" s="82"/>
      <c r="M31083" s="85"/>
    </row>
    <row r="31084" spans="9:13" x14ac:dyDescent="0.3">
      <c r="I31084" s="82"/>
      <c r="M31084" s="85"/>
    </row>
    <row r="31085" spans="9:13" x14ac:dyDescent="0.3">
      <c r="I31085" s="82"/>
      <c r="M31085" s="85"/>
    </row>
    <row r="31086" spans="9:13" x14ac:dyDescent="0.3">
      <c r="I31086" s="82"/>
      <c r="M31086" s="85"/>
    </row>
    <row r="31087" spans="9:13" x14ac:dyDescent="0.3">
      <c r="I31087" s="82"/>
      <c r="M31087" s="85"/>
    </row>
    <row r="31088" spans="9:13" x14ac:dyDescent="0.3">
      <c r="I31088" s="82"/>
      <c r="M31088" s="85"/>
    </row>
    <row r="31089" spans="9:13" x14ac:dyDescent="0.3">
      <c r="I31089" s="82"/>
      <c r="M31089" s="85"/>
    </row>
    <row r="31090" spans="9:13" x14ac:dyDescent="0.3">
      <c r="I31090" s="82"/>
      <c r="M31090" s="85"/>
    </row>
    <row r="31091" spans="9:13" x14ac:dyDescent="0.3">
      <c r="I31091" s="82"/>
      <c r="M31091" s="85"/>
    </row>
    <row r="31092" spans="9:13" x14ac:dyDescent="0.3">
      <c r="I31092" s="82"/>
      <c r="M31092" s="85"/>
    </row>
    <row r="31093" spans="9:13" x14ac:dyDescent="0.3">
      <c r="I31093" s="82"/>
      <c r="M31093" s="85"/>
    </row>
    <row r="31094" spans="9:13" x14ac:dyDescent="0.3">
      <c r="I31094" s="82"/>
      <c r="M31094" s="85"/>
    </row>
    <row r="31095" spans="9:13" x14ac:dyDescent="0.3">
      <c r="I31095" s="82"/>
      <c r="M31095" s="85"/>
    </row>
    <row r="31096" spans="9:13" x14ac:dyDescent="0.3">
      <c r="I31096" s="82"/>
      <c r="M31096" s="85"/>
    </row>
    <row r="31097" spans="9:13" x14ac:dyDescent="0.3">
      <c r="I31097" s="82"/>
      <c r="M31097" s="85"/>
    </row>
    <row r="31098" spans="9:13" x14ac:dyDescent="0.3">
      <c r="I31098" s="82"/>
      <c r="M31098" s="85"/>
    </row>
    <row r="31099" spans="9:13" x14ac:dyDescent="0.3">
      <c r="I31099" s="82"/>
      <c r="M31099" s="85"/>
    </row>
    <row r="31100" spans="9:13" x14ac:dyDescent="0.3">
      <c r="I31100" s="82"/>
      <c r="M31100" s="85"/>
    </row>
    <row r="31101" spans="9:13" x14ac:dyDescent="0.3">
      <c r="I31101" s="82"/>
      <c r="M31101" s="85"/>
    </row>
    <row r="31102" spans="9:13" x14ac:dyDescent="0.3">
      <c r="I31102" s="82"/>
      <c r="M31102" s="85"/>
    </row>
    <row r="31103" spans="9:13" x14ac:dyDescent="0.3">
      <c r="I31103" s="82"/>
      <c r="M31103" s="85"/>
    </row>
    <row r="31104" spans="9:13" x14ac:dyDescent="0.3">
      <c r="I31104" s="82"/>
      <c r="M31104" s="85"/>
    </row>
    <row r="31105" spans="9:13" x14ac:dyDescent="0.3">
      <c r="I31105" s="82"/>
      <c r="M31105" s="85"/>
    </row>
    <row r="31106" spans="9:13" x14ac:dyDescent="0.3">
      <c r="I31106" s="82"/>
      <c r="M31106" s="85"/>
    </row>
    <row r="31107" spans="9:13" x14ac:dyDescent="0.3">
      <c r="I31107" s="82"/>
      <c r="M31107" s="85"/>
    </row>
    <row r="31108" spans="9:13" x14ac:dyDescent="0.3">
      <c r="I31108" s="82"/>
      <c r="M31108" s="85"/>
    </row>
    <row r="31109" spans="9:13" x14ac:dyDescent="0.3">
      <c r="I31109" s="82"/>
      <c r="M31109" s="85"/>
    </row>
    <row r="31110" spans="9:13" x14ac:dyDescent="0.3">
      <c r="I31110" s="82"/>
      <c r="M31110" s="85"/>
    </row>
    <row r="31111" spans="9:13" x14ac:dyDescent="0.3">
      <c r="I31111" s="82"/>
      <c r="M31111" s="85"/>
    </row>
    <row r="31112" spans="9:13" x14ac:dyDescent="0.3">
      <c r="I31112" s="82"/>
      <c r="M31112" s="85"/>
    </row>
    <row r="31113" spans="9:13" x14ac:dyDescent="0.3">
      <c r="I31113" s="82"/>
      <c r="M31113" s="85"/>
    </row>
    <row r="31114" spans="9:13" x14ac:dyDescent="0.3">
      <c r="I31114" s="82"/>
      <c r="M31114" s="85"/>
    </row>
    <row r="31115" spans="9:13" x14ac:dyDescent="0.3">
      <c r="I31115" s="82"/>
      <c r="M31115" s="85"/>
    </row>
    <row r="31116" spans="9:13" x14ac:dyDescent="0.3">
      <c r="I31116" s="82"/>
      <c r="M31116" s="85"/>
    </row>
    <row r="31117" spans="9:13" x14ac:dyDescent="0.3">
      <c r="I31117" s="82"/>
      <c r="M31117" s="85"/>
    </row>
    <row r="31118" spans="9:13" x14ac:dyDescent="0.3">
      <c r="I31118" s="82"/>
      <c r="M31118" s="85"/>
    </row>
    <row r="31119" spans="9:13" x14ac:dyDescent="0.3">
      <c r="I31119" s="82"/>
      <c r="M31119" s="85"/>
    </row>
    <row r="31120" spans="9:13" x14ac:dyDescent="0.3">
      <c r="I31120" s="82"/>
      <c r="M31120" s="85"/>
    </row>
    <row r="31121" spans="9:13" x14ac:dyDescent="0.3">
      <c r="I31121" s="82"/>
      <c r="M31121" s="85"/>
    </row>
    <row r="31122" spans="9:13" x14ac:dyDescent="0.3">
      <c r="I31122" s="82"/>
      <c r="M31122" s="85"/>
    </row>
    <row r="31123" spans="9:13" x14ac:dyDescent="0.3">
      <c r="I31123" s="82"/>
      <c r="M31123" s="85"/>
    </row>
    <row r="31124" spans="9:13" x14ac:dyDescent="0.3">
      <c r="I31124" s="82"/>
      <c r="M31124" s="85"/>
    </row>
    <row r="31125" spans="9:13" x14ac:dyDescent="0.3">
      <c r="I31125" s="82"/>
      <c r="M31125" s="85"/>
    </row>
    <row r="31126" spans="9:13" x14ac:dyDescent="0.3">
      <c r="I31126" s="82"/>
      <c r="M31126" s="85"/>
    </row>
    <row r="31127" spans="9:13" x14ac:dyDescent="0.3">
      <c r="I31127" s="82"/>
      <c r="M31127" s="85"/>
    </row>
    <row r="31128" spans="9:13" x14ac:dyDescent="0.3">
      <c r="I31128" s="82"/>
      <c r="M31128" s="85"/>
    </row>
    <row r="31129" spans="9:13" x14ac:dyDescent="0.3">
      <c r="I31129" s="82"/>
      <c r="M31129" s="85"/>
    </row>
    <row r="31130" spans="9:13" x14ac:dyDescent="0.3">
      <c r="I31130" s="82"/>
      <c r="M31130" s="85"/>
    </row>
    <row r="31131" spans="9:13" x14ac:dyDescent="0.3">
      <c r="I31131" s="82"/>
      <c r="M31131" s="85"/>
    </row>
    <row r="31132" spans="9:13" x14ac:dyDescent="0.3">
      <c r="I31132" s="82"/>
      <c r="M31132" s="85"/>
    </row>
    <row r="31133" spans="9:13" x14ac:dyDescent="0.3">
      <c r="I31133" s="82"/>
      <c r="M31133" s="85"/>
    </row>
    <row r="31134" spans="9:13" x14ac:dyDescent="0.3">
      <c r="I31134" s="82"/>
      <c r="M31134" s="85"/>
    </row>
    <row r="31135" spans="9:13" x14ac:dyDescent="0.3">
      <c r="I31135" s="82"/>
      <c r="M31135" s="85"/>
    </row>
    <row r="31136" spans="9:13" x14ac:dyDescent="0.3">
      <c r="I31136" s="82"/>
      <c r="M31136" s="85"/>
    </row>
    <row r="31137" spans="9:13" x14ac:dyDescent="0.3">
      <c r="I31137" s="82"/>
      <c r="M31137" s="85"/>
    </row>
    <row r="31138" spans="9:13" x14ac:dyDescent="0.3">
      <c r="I31138" s="82"/>
      <c r="M31138" s="85"/>
    </row>
    <row r="31139" spans="9:13" x14ac:dyDescent="0.3">
      <c r="I31139" s="82"/>
      <c r="M31139" s="85"/>
    </row>
    <row r="31140" spans="9:13" x14ac:dyDescent="0.3">
      <c r="I31140" s="82"/>
      <c r="M31140" s="85"/>
    </row>
    <row r="31141" spans="9:13" x14ac:dyDescent="0.3">
      <c r="I31141" s="82"/>
      <c r="M31141" s="85"/>
    </row>
    <row r="31142" spans="9:13" x14ac:dyDescent="0.3">
      <c r="I31142" s="82"/>
      <c r="M31142" s="85"/>
    </row>
    <row r="31143" spans="9:13" x14ac:dyDescent="0.3">
      <c r="I31143" s="82"/>
      <c r="M31143" s="85"/>
    </row>
    <row r="31144" spans="9:13" x14ac:dyDescent="0.3">
      <c r="I31144" s="82"/>
      <c r="M31144" s="85"/>
    </row>
    <row r="31145" spans="9:13" x14ac:dyDescent="0.3">
      <c r="I31145" s="82"/>
      <c r="M31145" s="85"/>
    </row>
    <row r="31146" spans="9:13" x14ac:dyDescent="0.3">
      <c r="I31146" s="82"/>
      <c r="M31146" s="85"/>
    </row>
    <row r="31147" spans="9:13" x14ac:dyDescent="0.3">
      <c r="I31147" s="82"/>
      <c r="M31147" s="85"/>
    </row>
    <row r="31148" spans="9:13" x14ac:dyDescent="0.3">
      <c r="I31148" s="82"/>
      <c r="M31148" s="85"/>
    </row>
    <row r="31149" spans="9:13" x14ac:dyDescent="0.3">
      <c r="I31149" s="82"/>
      <c r="M31149" s="85"/>
    </row>
    <row r="31150" spans="9:13" x14ac:dyDescent="0.3">
      <c r="I31150" s="82"/>
      <c r="M31150" s="85"/>
    </row>
    <row r="31151" spans="9:13" x14ac:dyDescent="0.3">
      <c r="I31151" s="82"/>
      <c r="M31151" s="85"/>
    </row>
    <row r="31152" spans="9:13" x14ac:dyDescent="0.3">
      <c r="I31152" s="82"/>
      <c r="M31152" s="85"/>
    </row>
    <row r="31153" spans="9:13" x14ac:dyDescent="0.3">
      <c r="I31153" s="82"/>
      <c r="M31153" s="85"/>
    </row>
    <row r="31154" spans="9:13" x14ac:dyDescent="0.3">
      <c r="I31154" s="82"/>
      <c r="M31154" s="85"/>
    </row>
    <row r="31155" spans="9:13" x14ac:dyDescent="0.3">
      <c r="I31155" s="82"/>
      <c r="M31155" s="85"/>
    </row>
    <row r="31156" spans="9:13" x14ac:dyDescent="0.3">
      <c r="I31156" s="82"/>
      <c r="M31156" s="85"/>
    </row>
    <row r="31157" spans="9:13" x14ac:dyDescent="0.3">
      <c r="I31157" s="82"/>
      <c r="M31157" s="85"/>
    </row>
    <row r="31158" spans="9:13" x14ac:dyDescent="0.3">
      <c r="I31158" s="82"/>
      <c r="M31158" s="85"/>
    </row>
    <row r="31159" spans="9:13" x14ac:dyDescent="0.3">
      <c r="I31159" s="82"/>
      <c r="M31159" s="85"/>
    </row>
    <row r="31160" spans="9:13" x14ac:dyDescent="0.3">
      <c r="I31160" s="82"/>
      <c r="M31160" s="85"/>
    </row>
    <row r="31161" spans="9:13" x14ac:dyDescent="0.3">
      <c r="I31161" s="82"/>
      <c r="M31161" s="85"/>
    </row>
    <row r="31162" spans="9:13" x14ac:dyDescent="0.3">
      <c r="I31162" s="82"/>
      <c r="M31162" s="85"/>
    </row>
    <row r="31163" spans="9:13" x14ac:dyDescent="0.3">
      <c r="I31163" s="82"/>
      <c r="M31163" s="85"/>
    </row>
    <row r="31164" spans="9:13" x14ac:dyDescent="0.3">
      <c r="I31164" s="82"/>
      <c r="M31164" s="85"/>
    </row>
    <row r="31165" spans="9:13" x14ac:dyDescent="0.3">
      <c r="I31165" s="82"/>
      <c r="M31165" s="85"/>
    </row>
    <row r="31166" spans="9:13" x14ac:dyDescent="0.3">
      <c r="I31166" s="82"/>
      <c r="M31166" s="85"/>
    </row>
    <row r="31167" spans="9:13" x14ac:dyDescent="0.3">
      <c r="I31167" s="82"/>
      <c r="M31167" s="85"/>
    </row>
    <row r="31168" spans="9:13" x14ac:dyDescent="0.3">
      <c r="I31168" s="82"/>
      <c r="M31168" s="85"/>
    </row>
    <row r="31169" spans="9:13" x14ac:dyDescent="0.3">
      <c r="I31169" s="82"/>
      <c r="M31169" s="85"/>
    </row>
    <row r="31170" spans="9:13" x14ac:dyDescent="0.3">
      <c r="I31170" s="82"/>
      <c r="M31170" s="85"/>
    </row>
    <row r="31171" spans="9:13" x14ac:dyDescent="0.3">
      <c r="I31171" s="82"/>
      <c r="M31171" s="85"/>
    </row>
    <row r="31172" spans="9:13" x14ac:dyDescent="0.3">
      <c r="I31172" s="82"/>
      <c r="M31172" s="85"/>
    </row>
    <row r="31173" spans="9:13" x14ac:dyDescent="0.3">
      <c r="I31173" s="82"/>
      <c r="M31173" s="85"/>
    </row>
    <row r="31174" spans="9:13" x14ac:dyDescent="0.3">
      <c r="I31174" s="82"/>
      <c r="M31174" s="85"/>
    </row>
    <row r="31175" spans="9:13" x14ac:dyDescent="0.3">
      <c r="I31175" s="82"/>
      <c r="M31175" s="85"/>
    </row>
    <row r="31176" spans="9:13" x14ac:dyDescent="0.3">
      <c r="I31176" s="82"/>
      <c r="M31176" s="85"/>
    </row>
    <row r="31177" spans="9:13" x14ac:dyDescent="0.3">
      <c r="I31177" s="82"/>
      <c r="M31177" s="85"/>
    </row>
    <row r="31178" spans="9:13" x14ac:dyDescent="0.3">
      <c r="I31178" s="82"/>
      <c r="M31178" s="85"/>
    </row>
    <row r="31179" spans="9:13" x14ac:dyDescent="0.3">
      <c r="I31179" s="82"/>
      <c r="M31179" s="85"/>
    </row>
    <row r="31180" spans="9:13" x14ac:dyDescent="0.3">
      <c r="I31180" s="82"/>
      <c r="M31180" s="85"/>
    </row>
    <row r="31181" spans="9:13" x14ac:dyDescent="0.3">
      <c r="I31181" s="82"/>
      <c r="M31181" s="85"/>
    </row>
    <row r="31182" spans="9:13" x14ac:dyDescent="0.3">
      <c r="I31182" s="82"/>
      <c r="M31182" s="85"/>
    </row>
    <row r="31183" spans="9:13" x14ac:dyDescent="0.3">
      <c r="I31183" s="82"/>
      <c r="M31183" s="85"/>
    </row>
    <row r="31184" spans="9:13" x14ac:dyDescent="0.3">
      <c r="I31184" s="82"/>
      <c r="M31184" s="85"/>
    </row>
    <row r="31185" spans="9:13" x14ac:dyDescent="0.3">
      <c r="I31185" s="82"/>
      <c r="M31185" s="85"/>
    </row>
    <row r="31186" spans="9:13" x14ac:dyDescent="0.3">
      <c r="I31186" s="82"/>
      <c r="M31186" s="85"/>
    </row>
    <row r="31187" spans="9:13" x14ac:dyDescent="0.3">
      <c r="I31187" s="82"/>
      <c r="M31187" s="85"/>
    </row>
    <row r="31188" spans="9:13" x14ac:dyDescent="0.3">
      <c r="I31188" s="82"/>
      <c r="M31188" s="85"/>
    </row>
    <row r="31189" spans="9:13" x14ac:dyDescent="0.3">
      <c r="I31189" s="82"/>
      <c r="M31189" s="85"/>
    </row>
    <row r="31190" spans="9:13" x14ac:dyDescent="0.3">
      <c r="I31190" s="82"/>
      <c r="M31190" s="85"/>
    </row>
    <row r="31191" spans="9:13" x14ac:dyDescent="0.3">
      <c r="I31191" s="82"/>
      <c r="M31191" s="85"/>
    </row>
    <row r="31192" spans="9:13" x14ac:dyDescent="0.3">
      <c r="I31192" s="82"/>
      <c r="M31192" s="85"/>
    </row>
    <row r="31193" spans="9:13" x14ac:dyDescent="0.3">
      <c r="I31193" s="82"/>
      <c r="M31193" s="85"/>
    </row>
    <row r="31194" spans="9:13" x14ac:dyDescent="0.3">
      <c r="I31194" s="82"/>
      <c r="M31194" s="85"/>
    </row>
    <row r="31195" spans="9:13" x14ac:dyDescent="0.3">
      <c r="I31195" s="82"/>
      <c r="M31195" s="85"/>
    </row>
    <row r="31196" spans="9:13" x14ac:dyDescent="0.3">
      <c r="I31196" s="82"/>
      <c r="M31196" s="85"/>
    </row>
    <row r="31197" spans="9:13" x14ac:dyDescent="0.3">
      <c r="I31197" s="82"/>
      <c r="M31197" s="85"/>
    </row>
    <row r="31198" spans="9:13" x14ac:dyDescent="0.3">
      <c r="I31198" s="82"/>
      <c r="M31198" s="85"/>
    </row>
    <row r="31199" spans="9:13" x14ac:dyDescent="0.3">
      <c r="I31199" s="82"/>
      <c r="M31199" s="85"/>
    </row>
    <row r="31200" spans="9:13" x14ac:dyDescent="0.3">
      <c r="I31200" s="82"/>
      <c r="M31200" s="85"/>
    </row>
    <row r="31201" spans="9:13" x14ac:dyDescent="0.3">
      <c r="I31201" s="82"/>
      <c r="M31201" s="85"/>
    </row>
    <row r="31202" spans="9:13" x14ac:dyDescent="0.3">
      <c r="I31202" s="82"/>
      <c r="M31202" s="85"/>
    </row>
    <row r="31203" spans="9:13" x14ac:dyDescent="0.3">
      <c r="I31203" s="82"/>
      <c r="M31203" s="85"/>
    </row>
    <row r="31204" spans="9:13" x14ac:dyDescent="0.3">
      <c r="I31204" s="82"/>
      <c r="M31204" s="85"/>
    </row>
    <row r="31205" spans="9:13" x14ac:dyDescent="0.3">
      <c r="I31205" s="82"/>
      <c r="M31205" s="85"/>
    </row>
    <row r="31206" spans="9:13" x14ac:dyDescent="0.3">
      <c r="I31206" s="82"/>
      <c r="M31206" s="85"/>
    </row>
    <row r="31207" spans="9:13" x14ac:dyDescent="0.3">
      <c r="I31207" s="82"/>
      <c r="M31207" s="85"/>
    </row>
    <row r="31208" spans="9:13" x14ac:dyDescent="0.3">
      <c r="I31208" s="82"/>
      <c r="M31208" s="85"/>
    </row>
    <row r="31209" spans="9:13" x14ac:dyDescent="0.3">
      <c r="I31209" s="82"/>
      <c r="M31209" s="85"/>
    </row>
    <row r="31210" spans="9:13" x14ac:dyDescent="0.3">
      <c r="I31210" s="82"/>
      <c r="M31210" s="85"/>
    </row>
    <row r="31211" spans="9:13" x14ac:dyDescent="0.3">
      <c r="I31211" s="82"/>
      <c r="M31211" s="85"/>
    </row>
    <row r="31212" spans="9:13" x14ac:dyDescent="0.3">
      <c r="I31212" s="82"/>
      <c r="M31212" s="85"/>
    </row>
    <row r="31213" spans="9:13" x14ac:dyDescent="0.3">
      <c r="I31213" s="82"/>
      <c r="M31213" s="85"/>
    </row>
    <row r="31214" spans="9:13" x14ac:dyDescent="0.3">
      <c r="I31214" s="82"/>
      <c r="M31214" s="85"/>
    </row>
    <row r="31215" spans="9:13" x14ac:dyDescent="0.3">
      <c r="I31215" s="82"/>
      <c r="M31215" s="85"/>
    </row>
    <row r="31216" spans="9:13" x14ac:dyDescent="0.3">
      <c r="I31216" s="82"/>
      <c r="M31216" s="85"/>
    </row>
    <row r="31217" spans="9:13" x14ac:dyDescent="0.3">
      <c r="I31217" s="82"/>
      <c r="M31217" s="85"/>
    </row>
    <row r="31218" spans="9:13" x14ac:dyDescent="0.3">
      <c r="I31218" s="82"/>
      <c r="M31218" s="85"/>
    </row>
    <row r="31219" spans="9:13" x14ac:dyDescent="0.3">
      <c r="I31219" s="82"/>
      <c r="M31219" s="85"/>
    </row>
    <row r="31220" spans="9:13" x14ac:dyDescent="0.3">
      <c r="I31220" s="82"/>
      <c r="M31220" s="85"/>
    </row>
    <row r="31221" spans="9:13" x14ac:dyDescent="0.3">
      <c r="I31221" s="82"/>
      <c r="M31221" s="85"/>
    </row>
    <row r="31222" spans="9:13" x14ac:dyDescent="0.3">
      <c r="I31222" s="82"/>
      <c r="M31222" s="85"/>
    </row>
    <row r="31223" spans="9:13" x14ac:dyDescent="0.3">
      <c r="I31223" s="82"/>
      <c r="M31223" s="85"/>
    </row>
    <row r="31224" spans="9:13" x14ac:dyDescent="0.3">
      <c r="I31224" s="82"/>
      <c r="M31224" s="85"/>
    </row>
    <row r="31225" spans="9:13" x14ac:dyDescent="0.3">
      <c r="I31225" s="82"/>
      <c r="M31225" s="85"/>
    </row>
    <row r="31226" spans="9:13" x14ac:dyDescent="0.3">
      <c r="I31226" s="82"/>
      <c r="M31226" s="85"/>
    </row>
    <row r="31227" spans="9:13" x14ac:dyDescent="0.3">
      <c r="I31227" s="82"/>
      <c r="M31227" s="85"/>
    </row>
    <row r="31228" spans="9:13" x14ac:dyDescent="0.3">
      <c r="I31228" s="82"/>
      <c r="M31228" s="85"/>
    </row>
    <row r="31229" spans="9:13" x14ac:dyDescent="0.3">
      <c r="I31229" s="82"/>
      <c r="M31229" s="85"/>
    </row>
    <row r="31230" spans="9:13" x14ac:dyDescent="0.3">
      <c r="I31230" s="82"/>
      <c r="M31230" s="85"/>
    </row>
    <row r="31231" spans="9:13" x14ac:dyDescent="0.3">
      <c r="I31231" s="82"/>
      <c r="M31231" s="85"/>
    </row>
    <row r="31232" spans="9:13" x14ac:dyDescent="0.3">
      <c r="I31232" s="82"/>
      <c r="M31232" s="85"/>
    </row>
    <row r="31233" spans="9:13" x14ac:dyDescent="0.3">
      <c r="I31233" s="82"/>
      <c r="M31233" s="85"/>
    </row>
    <row r="31234" spans="9:13" x14ac:dyDescent="0.3">
      <c r="I31234" s="82"/>
      <c r="M31234" s="85"/>
    </row>
    <row r="31235" spans="9:13" x14ac:dyDescent="0.3">
      <c r="I31235" s="82"/>
      <c r="M31235" s="85"/>
    </row>
    <row r="31236" spans="9:13" x14ac:dyDescent="0.3">
      <c r="I31236" s="82"/>
      <c r="M31236" s="85"/>
    </row>
    <row r="31237" spans="9:13" x14ac:dyDescent="0.3">
      <c r="I31237" s="82"/>
      <c r="M31237" s="85"/>
    </row>
    <row r="31238" spans="9:13" x14ac:dyDescent="0.3">
      <c r="I31238" s="82"/>
      <c r="M31238" s="85"/>
    </row>
    <row r="31239" spans="9:13" x14ac:dyDescent="0.3">
      <c r="I31239" s="82"/>
      <c r="M31239" s="85"/>
    </row>
    <row r="31240" spans="9:13" x14ac:dyDescent="0.3">
      <c r="I31240" s="82"/>
      <c r="M31240" s="85"/>
    </row>
    <row r="31241" spans="9:13" x14ac:dyDescent="0.3">
      <c r="I31241" s="82"/>
      <c r="M31241" s="85"/>
    </row>
    <row r="31242" spans="9:13" x14ac:dyDescent="0.3">
      <c r="I31242" s="82"/>
      <c r="M31242" s="85"/>
    </row>
    <row r="31243" spans="9:13" x14ac:dyDescent="0.3">
      <c r="I31243" s="82"/>
      <c r="M31243" s="85"/>
    </row>
    <row r="31244" spans="9:13" x14ac:dyDescent="0.3">
      <c r="I31244" s="82"/>
      <c r="M31244" s="85"/>
    </row>
    <row r="31245" spans="9:13" x14ac:dyDescent="0.3">
      <c r="I31245" s="82"/>
      <c r="M31245" s="85"/>
    </row>
    <row r="31246" spans="9:13" x14ac:dyDescent="0.3">
      <c r="I31246" s="82"/>
      <c r="M31246" s="85"/>
    </row>
    <row r="31247" spans="9:13" x14ac:dyDescent="0.3">
      <c r="I31247" s="82"/>
      <c r="M31247" s="85"/>
    </row>
    <row r="31248" spans="9:13" x14ac:dyDescent="0.3">
      <c r="I31248" s="82"/>
      <c r="M31248" s="85"/>
    </row>
    <row r="31249" spans="9:13" x14ac:dyDescent="0.3">
      <c r="I31249" s="82"/>
      <c r="M31249" s="85"/>
    </row>
    <row r="31250" spans="9:13" x14ac:dyDescent="0.3">
      <c r="I31250" s="82"/>
      <c r="M31250" s="85"/>
    </row>
    <row r="31251" spans="9:13" x14ac:dyDescent="0.3">
      <c r="I31251" s="82"/>
      <c r="M31251" s="85"/>
    </row>
    <row r="31252" spans="9:13" x14ac:dyDescent="0.3">
      <c r="I31252" s="82"/>
      <c r="M31252" s="85"/>
    </row>
    <row r="31253" spans="9:13" x14ac:dyDescent="0.3">
      <c r="I31253" s="82"/>
      <c r="M31253" s="85"/>
    </row>
    <row r="31254" spans="9:13" x14ac:dyDescent="0.3">
      <c r="I31254" s="82"/>
      <c r="M31254" s="85"/>
    </row>
    <row r="31255" spans="9:13" x14ac:dyDescent="0.3">
      <c r="I31255" s="82"/>
      <c r="M31255" s="85"/>
    </row>
    <row r="31256" spans="9:13" x14ac:dyDescent="0.3">
      <c r="I31256" s="82"/>
      <c r="M31256" s="85"/>
    </row>
    <row r="31257" spans="9:13" x14ac:dyDescent="0.3">
      <c r="I31257" s="82"/>
      <c r="M31257" s="85"/>
    </row>
    <row r="31258" spans="9:13" x14ac:dyDescent="0.3">
      <c r="I31258" s="82"/>
      <c r="M31258" s="85"/>
    </row>
    <row r="31259" spans="9:13" x14ac:dyDescent="0.3">
      <c r="I31259" s="82"/>
      <c r="M31259" s="85"/>
    </row>
    <row r="31260" spans="9:13" x14ac:dyDescent="0.3">
      <c r="I31260" s="82"/>
      <c r="M31260" s="85"/>
    </row>
    <row r="31261" spans="9:13" x14ac:dyDescent="0.3">
      <c r="I31261" s="82"/>
      <c r="M31261" s="85"/>
    </row>
    <row r="31262" spans="9:13" x14ac:dyDescent="0.3">
      <c r="I31262" s="82"/>
      <c r="M31262" s="85"/>
    </row>
    <row r="31263" spans="9:13" x14ac:dyDescent="0.3">
      <c r="I31263" s="82"/>
      <c r="M31263" s="85"/>
    </row>
    <row r="31264" spans="9:13" x14ac:dyDescent="0.3">
      <c r="I31264" s="82"/>
      <c r="M31264" s="85"/>
    </row>
    <row r="31265" spans="9:13" x14ac:dyDescent="0.3">
      <c r="I31265" s="82"/>
      <c r="M31265" s="85"/>
    </row>
    <row r="31266" spans="9:13" x14ac:dyDescent="0.3">
      <c r="I31266" s="82"/>
      <c r="M31266" s="85"/>
    </row>
    <row r="31267" spans="9:13" x14ac:dyDescent="0.3">
      <c r="I31267" s="82"/>
      <c r="M31267" s="85"/>
    </row>
    <row r="31268" spans="9:13" x14ac:dyDescent="0.3">
      <c r="I31268" s="82"/>
      <c r="M31268" s="85"/>
    </row>
    <row r="31269" spans="9:13" x14ac:dyDescent="0.3">
      <c r="I31269" s="82"/>
      <c r="M31269" s="85"/>
    </row>
    <row r="31270" spans="9:13" x14ac:dyDescent="0.3">
      <c r="I31270" s="82"/>
      <c r="M31270" s="85"/>
    </row>
    <row r="31271" spans="9:13" x14ac:dyDescent="0.3">
      <c r="I31271" s="82"/>
      <c r="M31271" s="85"/>
    </row>
    <row r="31272" spans="9:13" x14ac:dyDescent="0.3">
      <c r="I31272" s="82"/>
      <c r="M31272" s="85"/>
    </row>
    <row r="31273" spans="9:13" x14ac:dyDescent="0.3">
      <c r="I31273" s="82"/>
      <c r="M31273" s="85"/>
    </row>
    <row r="31274" spans="9:13" x14ac:dyDescent="0.3">
      <c r="I31274" s="82"/>
      <c r="M31274" s="85"/>
    </row>
    <row r="31275" spans="9:13" x14ac:dyDescent="0.3">
      <c r="I31275" s="82"/>
      <c r="M31275" s="85"/>
    </row>
    <row r="31276" spans="9:13" x14ac:dyDescent="0.3">
      <c r="I31276" s="82"/>
      <c r="M31276" s="85"/>
    </row>
    <row r="31277" spans="9:13" x14ac:dyDescent="0.3">
      <c r="I31277" s="82"/>
      <c r="M31277" s="85"/>
    </row>
    <row r="31278" spans="9:13" x14ac:dyDescent="0.3">
      <c r="I31278" s="82"/>
      <c r="M31278" s="85"/>
    </row>
    <row r="31279" spans="9:13" x14ac:dyDescent="0.3">
      <c r="I31279" s="82"/>
      <c r="M31279" s="85"/>
    </row>
    <row r="31280" spans="9:13" x14ac:dyDescent="0.3">
      <c r="I31280" s="82"/>
      <c r="M31280" s="85"/>
    </row>
    <row r="31281" spans="9:13" x14ac:dyDescent="0.3">
      <c r="I31281" s="82"/>
      <c r="M31281" s="85"/>
    </row>
    <row r="31282" spans="9:13" x14ac:dyDescent="0.3">
      <c r="I31282" s="82"/>
      <c r="M31282" s="85"/>
    </row>
    <row r="31283" spans="9:13" x14ac:dyDescent="0.3">
      <c r="I31283" s="82"/>
      <c r="M31283" s="85"/>
    </row>
    <row r="31284" spans="9:13" x14ac:dyDescent="0.3">
      <c r="I31284" s="82"/>
      <c r="M31284" s="85"/>
    </row>
    <row r="31285" spans="9:13" x14ac:dyDescent="0.3">
      <c r="I31285" s="82"/>
      <c r="M31285" s="85"/>
    </row>
    <row r="31286" spans="9:13" x14ac:dyDescent="0.3">
      <c r="I31286" s="82"/>
      <c r="M31286" s="85"/>
    </row>
    <row r="31287" spans="9:13" x14ac:dyDescent="0.3">
      <c r="I31287" s="82"/>
      <c r="M31287" s="85"/>
    </row>
    <row r="31288" spans="9:13" x14ac:dyDescent="0.3">
      <c r="I31288" s="82"/>
      <c r="M31288" s="85"/>
    </row>
    <row r="31289" spans="9:13" x14ac:dyDescent="0.3">
      <c r="I31289" s="82"/>
      <c r="M31289" s="85"/>
    </row>
    <row r="31290" spans="9:13" x14ac:dyDescent="0.3">
      <c r="I31290" s="82"/>
      <c r="M31290" s="85"/>
    </row>
    <row r="31291" spans="9:13" x14ac:dyDescent="0.3">
      <c r="I31291" s="82"/>
      <c r="M31291" s="85"/>
    </row>
    <row r="31292" spans="9:13" x14ac:dyDescent="0.3">
      <c r="I31292" s="82"/>
      <c r="M31292" s="85"/>
    </row>
    <row r="31293" spans="9:13" x14ac:dyDescent="0.3">
      <c r="I31293" s="82"/>
      <c r="M31293" s="85"/>
    </row>
    <row r="31294" spans="9:13" x14ac:dyDescent="0.3">
      <c r="I31294" s="82"/>
      <c r="M31294" s="85"/>
    </row>
    <row r="31295" spans="9:13" x14ac:dyDescent="0.3">
      <c r="I31295" s="82"/>
      <c r="M31295" s="85"/>
    </row>
    <row r="31296" spans="9:13" x14ac:dyDescent="0.3">
      <c r="I31296" s="82"/>
      <c r="M31296" s="85"/>
    </row>
    <row r="31297" spans="9:13" x14ac:dyDescent="0.3">
      <c r="I31297" s="82"/>
      <c r="M31297" s="85"/>
    </row>
    <row r="31298" spans="9:13" x14ac:dyDescent="0.3">
      <c r="I31298" s="82"/>
      <c r="M31298" s="85"/>
    </row>
    <row r="31299" spans="9:13" x14ac:dyDescent="0.3">
      <c r="I31299" s="82"/>
      <c r="M31299" s="85"/>
    </row>
    <row r="31300" spans="9:13" x14ac:dyDescent="0.3">
      <c r="I31300" s="82"/>
      <c r="M31300" s="85"/>
    </row>
    <row r="31301" spans="9:13" x14ac:dyDescent="0.3">
      <c r="I31301" s="82"/>
      <c r="M31301" s="85"/>
    </row>
    <row r="31302" spans="9:13" x14ac:dyDescent="0.3">
      <c r="I31302" s="82"/>
      <c r="M31302" s="85"/>
    </row>
    <row r="31303" spans="9:13" x14ac:dyDescent="0.3">
      <c r="I31303" s="82"/>
      <c r="M31303" s="85"/>
    </row>
    <row r="31304" spans="9:13" x14ac:dyDescent="0.3">
      <c r="I31304" s="82"/>
      <c r="M31304" s="85"/>
    </row>
    <row r="31305" spans="9:13" x14ac:dyDescent="0.3">
      <c r="I31305" s="82"/>
      <c r="M31305" s="85"/>
    </row>
    <row r="31306" spans="9:13" x14ac:dyDescent="0.3">
      <c r="I31306" s="82"/>
      <c r="M31306" s="85"/>
    </row>
    <row r="31307" spans="9:13" x14ac:dyDescent="0.3">
      <c r="I31307" s="82"/>
      <c r="M31307" s="85"/>
    </row>
    <row r="31308" spans="9:13" x14ac:dyDescent="0.3">
      <c r="I31308" s="82"/>
      <c r="M31308" s="85"/>
    </row>
    <row r="31309" spans="9:13" x14ac:dyDescent="0.3">
      <c r="I31309" s="82"/>
      <c r="M31309" s="85"/>
    </row>
    <row r="31310" spans="9:13" x14ac:dyDescent="0.3">
      <c r="I31310" s="82"/>
      <c r="M31310" s="85"/>
    </row>
    <row r="31311" spans="9:13" x14ac:dyDescent="0.3">
      <c r="I31311" s="82"/>
      <c r="M31311" s="85"/>
    </row>
    <row r="31312" spans="9:13" x14ac:dyDescent="0.3">
      <c r="I31312" s="82"/>
      <c r="M31312" s="85"/>
    </row>
    <row r="31313" spans="9:13" x14ac:dyDescent="0.3">
      <c r="I31313" s="82"/>
      <c r="M31313" s="85"/>
    </row>
    <row r="31314" spans="9:13" x14ac:dyDescent="0.3">
      <c r="I31314" s="82"/>
      <c r="M31314" s="85"/>
    </row>
    <row r="31315" spans="9:13" x14ac:dyDescent="0.3">
      <c r="I31315" s="82"/>
      <c r="M31315" s="85"/>
    </row>
    <row r="31316" spans="9:13" x14ac:dyDescent="0.3">
      <c r="I31316" s="82"/>
      <c r="M31316" s="85"/>
    </row>
    <row r="31317" spans="9:13" x14ac:dyDescent="0.3">
      <c r="I31317" s="82"/>
      <c r="M31317" s="85"/>
    </row>
    <row r="31318" spans="9:13" x14ac:dyDescent="0.3">
      <c r="I31318" s="82"/>
      <c r="M31318" s="85"/>
    </row>
    <row r="31319" spans="9:13" x14ac:dyDescent="0.3">
      <c r="I31319" s="82"/>
      <c r="M31319" s="85"/>
    </row>
    <row r="31320" spans="9:13" x14ac:dyDescent="0.3">
      <c r="I31320" s="82"/>
      <c r="M31320" s="85"/>
    </row>
    <row r="31321" spans="9:13" x14ac:dyDescent="0.3">
      <c r="I31321" s="82"/>
      <c r="M31321" s="85"/>
    </row>
    <row r="31322" spans="9:13" x14ac:dyDescent="0.3">
      <c r="I31322" s="82"/>
      <c r="M31322" s="85"/>
    </row>
    <row r="31323" spans="9:13" x14ac:dyDescent="0.3">
      <c r="I31323" s="82"/>
      <c r="M31323" s="85"/>
    </row>
    <row r="31324" spans="9:13" x14ac:dyDescent="0.3">
      <c r="I31324" s="82"/>
      <c r="M31324" s="85"/>
    </row>
    <row r="31325" spans="9:13" x14ac:dyDescent="0.3">
      <c r="I31325" s="82"/>
      <c r="M31325" s="85"/>
    </row>
    <row r="31326" spans="9:13" x14ac:dyDescent="0.3">
      <c r="I31326" s="82"/>
      <c r="M31326" s="85"/>
    </row>
    <row r="31327" spans="9:13" x14ac:dyDescent="0.3">
      <c r="I31327" s="82"/>
      <c r="M31327" s="85"/>
    </row>
    <row r="31328" spans="9:13" x14ac:dyDescent="0.3">
      <c r="I31328" s="82"/>
      <c r="M31328" s="85"/>
    </row>
    <row r="31329" spans="9:13" x14ac:dyDescent="0.3">
      <c r="I31329" s="82"/>
      <c r="M31329" s="85"/>
    </row>
    <row r="31330" spans="9:13" x14ac:dyDescent="0.3">
      <c r="I31330" s="82"/>
      <c r="M31330" s="85"/>
    </row>
    <row r="31331" spans="9:13" x14ac:dyDescent="0.3">
      <c r="I31331" s="82"/>
      <c r="M31331" s="85"/>
    </row>
    <row r="31332" spans="9:13" x14ac:dyDescent="0.3">
      <c r="I31332" s="82"/>
      <c r="M31332" s="85"/>
    </row>
    <row r="31333" spans="9:13" x14ac:dyDescent="0.3">
      <c r="I31333" s="82"/>
      <c r="M31333" s="85"/>
    </row>
    <row r="31334" spans="9:13" x14ac:dyDescent="0.3">
      <c r="I31334" s="82"/>
      <c r="M31334" s="85"/>
    </row>
    <row r="31335" spans="9:13" x14ac:dyDescent="0.3">
      <c r="I31335" s="82"/>
      <c r="M31335" s="85"/>
    </row>
    <row r="31336" spans="9:13" x14ac:dyDescent="0.3">
      <c r="I31336" s="82"/>
      <c r="M31336" s="85"/>
    </row>
    <row r="31337" spans="9:13" x14ac:dyDescent="0.3">
      <c r="I31337" s="82"/>
      <c r="M31337" s="85"/>
    </row>
    <row r="31338" spans="9:13" x14ac:dyDescent="0.3">
      <c r="I31338" s="82"/>
      <c r="M31338" s="85"/>
    </row>
    <row r="31339" spans="9:13" x14ac:dyDescent="0.3">
      <c r="I31339" s="82"/>
      <c r="M31339" s="85"/>
    </row>
    <row r="31340" spans="9:13" x14ac:dyDescent="0.3">
      <c r="I31340" s="82"/>
      <c r="M31340" s="85"/>
    </row>
    <row r="31341" spans="9:13" x14ac:dyDescent="0.3">
      <c r="I31341" s="82"/>
      <c r="M31341" s="85"/>
    </row>
    <row r="31342" spans="9:13" x14ac:dyDescent="0.3">
      <c r="I31342" s="82"/>
      <c r="M31342" s="85"/>
    </row>
    <row r="31343" spans="9:13" x14ac:dyDescent="0.3">
      <c r="I31343" s="82"/>
      <c r="M31343" s="85"/>
    </row>
    <row r="31344" spans="9:13" x14ac:dyDescent="0.3">
      <c r="I31344" s="82"/>
      <c r="M31344" s="85"/>
    </row>
    <row r="31345" spans="9:13" x14ac:dyDescent="0.3">
      <c r="I31345" s="82"/>
      <c r="M31345" s="85"/>
    </row>
    <row r="31346" spans="9:13" x14ac:dyDescent="0.3">
      <c r="I31346" s="82"/>
      <c r="M31346" s="85"/>
    </row>
    <row r="31347" spans="9:13" x14ac:dyDescent="0.3">
      <c r="I31347" s="82"/>
      <c r="M31347" s="85"/>
    </row>
    <row r="31348" spans="9:13" x14ac:dyDescent="0.3">
      <c r="I31348" s="82"/>
      <c r="M31348" s="85"/>
    </row>
    <row r="31349" spans="9:13" x14ac:dyDescent="0.3">
      <c r="I31349" s="82"/>
      <c r="M31349" s="85"/>
    </row>
    <row r="31350" spans="9:13" x14ac:dyDescent="0.3">
      <c r="I31350" s="82"/>
      <c r="M31350" s="85"/>
    </row>
    <row r="31351" spans="9:13" x14ac:dyDescent="0.3">
      <c r="I31351" s="82"/>
      <c r="M31351" s="85"/>
    </row>
    <row r="31352" spans="9:13" x14ac:dyDescent="0.3">
      <c r="I31352" s="82"/>
      <c r="M31352" s="85"/>
    </row>
    <row r="31353" spans="9:13" x14ac:dyDescent="0.3">
      <c r="I31353" s="82"/>
      <c r="M31353" s="85"/>
    </row>
    <row r="31354" spans="9:13" x14ac:dyDescent="0.3">
      <c r="I31354" s="82"/>
      <c r="M31354" s="85"/>
    </row>
    <row r="31355" spans="9:13" x14ac:dyDescent="0.3">
      <c r="I31355" s="82"/>
      <c r="M31355" s="85"/>
    </row>
    <row r="31356" spans="9:13" x14ac:dyDescent="0.3">
      <c r="I31356" s="82"/>
      <c r="M31356" s="85"/>
    </row>
    <row r="31357" spans="9:13" x14ac:dyDescent="0.3">
      <c r="I31357" s="82"/>
      <c r="M31357" s="85"/>
    </row>
    <row r="31358" spans="9:13" x14ac:dyDescent="0.3">
      <c r="I31358" s="82"/>
      <c r="M31358" s="85"/>
    </row>
    <row r="31359" spans="9:13" x14ac:dyDescent="0.3">
      <c r="I31359" s="82"/>
      <c r="M31359" s="85"/>
    </row>
    <row r="31360" spans="9:13" x14ac:dyDescent="0.3">
      <c r="I31360" s="82"/>
      <c r="M31360" s="85"/>
    </row>
    <row r="31361" spans="9:13" x14ac:dyDescent="0.3">
      <c r="I31361" s="82"/>
      <c r="M31361" s="85"/>
    </row>
    <row r="31362" spans="9:13" x14ac:dyDescent="0.3">
      <c r="I31362" s="82"/>
      <c r="M31362" s="85"/>
    </row>
    <row r="31363" spans="9:13" x14ac:dyDescent="0.3">
      <c r="I31363" s="82"/>
      <c r="M31363" s="85"/>
    </row>
    <row r="31364" spans="9:13" x14ac:dyDescent="0.3">
      <c r="I31364" s="82"/>
      <c r="M31364" s="85"/>
    </row>
    <row r="31365" spans="9:13" x14ac:dyDescent="0.3">
      <c r="I31365" s="82"/>
      <c r="M31365" s="85"/>
    </row>
    <row r="31366" spans="9:13" x14ac:dyDescent="0.3">
      <c r="I31366" s="82"/>
      <c r="M31366" s="85"/>
    </row>
    <row r="31367" spans="9:13" x14ac:dyDescent="0.3">
      <c r="I31367" s="82"/>
      <c r="M31367" s="85"/>
    </row>
    <row r="31368" spans="9:13" x14ac:dyDescent="0.3">
      <c r="I31368" s="82"/>
      <c r="M31368" s="85"/>
    </row>
    <row r="31369" spans="9:13" x14ac:dyDescent="0.3">
      <c r="I31369" s="82"/>
      <c r="M31369" s="85"/>
    </row>
    <row r="31370" spans="9:13" x14ac:dyDescent="0.3">
      <c r="I31370" s="82"/>
      <c r="M31370" s="85"/>
    </row>
    <row r="31371" spans="9:13" x14ac:dyDescent="0.3">
      <c r="I31371" s="82"/>
      <c r="M31371" s="85"/>
    </row>
    <row r="31372" spans="9:13" x14ac:dyDescent="0.3">
      <c r="I31372" s="82"/>
      <c r="M31372" s="85"/>
    </row>
    <row r="31373" spans="9:13" x14ac:dyDescent="0.3">
      <c r="I31373" s="82"/>
      <c r="M31373" s="85"/>
    </row>
    <row r="31374" spans="9:13" x14ac:dyDescent="0.3">
      <c r="I31374" s="82"/>
      <c r="M31374" s="85"/>
    </row>
    <row r="31375" spans="9:13" x14ac:dyDescent="0.3">
      <c r="I31375" s="82"/>
      <c r="M31375" s="85"/>
    </row>
    <row r="31376" spans="9:13" x14ac:dyDescent="0.3">
      <c r="I31376" s="82"/>
      <c r="M31376" s="85"/>
    </row>
    <row r="31377" spans="9:13" x14ac:dyDescent="0.3">
      <c r="I31377" s="82"/>
      <c r="M31377" s="85"/>
    </row>
    <row r="31378" spans="9:13" x14ac:dyDescent="0.3">
      <c r="I31378" s="82"/>
      <c r="M31378" s="85"/>
    </row>
    <row r="31379" spans="9:13" x14ac:dyDescent="0.3">
      <c r="I31379" s="82"/>
      <c r="M31379" s="85"/>
    </row>
    <row r="31380" spans="9:13" x14ac:dyDescent="0.3">
      <c r="I31380" s="82"/>
      <c r="M31380" s="85"/>
    </row>
    <row r="31381" spans="9:13" x14ac:dyDescent="0.3">
      <c r="I31381" s="82"/>
      <c r="M31381" s="85"/>
    </row>
    <row r="31382" spans="9:13" x14ac:dyDescent="0.3">
      <c r="I31382" s="82"/>
      <c r="M31382" s="85"/>
    </row>
    <row r="31383" spans="9:13" x14ac:dyDescent="0.3">
      <c r="I31383" s="82"/>
      <c r="M31383" s="85"/>
    </row>
    <row r="31384" spans="9:13" x14ac:dyDescent="0.3">
      <c r="I31384" s="82"/>
      <c r="M31384" s="85"/>
    </row>
    <row r="31385" spans="9:13" x14ac:dyDescent="0.3">
      <c r="I31385" s="82"/>
      <c r="M31385" s="85"/>
    </row>
    <row r="31386" spans="9:13" x14ac:dyDescent="0.3">
      <c r="I31386" s="82"/>
      <c r="M31386" s="85"/>
    </row>
    <row r="31387" spans="9:13" x14ac:dyDescent="0.3">
      <c r="I31387" s="82"/>
      <c r="M31387" s="85"/>
    </row>
    <row r="31388" spans="9:13" x14ac:dyDescent="0.3">
      <c r="I31388" s="82"/>
      <c r="M31388" s="85"/>
    </row>
    <row r="31389" spans="9:13" x14ac:dyDescent="0.3">
      <c r="I31389" s="82"/>
      <c r="M31389" s="85"/>
    </row>
    <row r="31390" spans="9:13" x14ac:dyDescent="0.3">
      <c r="I31390" s="82"/>
      <c r="M31390" s="85"/>
    </row>
    <row r="31391" spans="9:13" x14ac:dyDescent="0.3">
      <c r="I31391" s="82"/>
      <c r="M31391" s="85"/>
    </row>
    <row r="31392" spans="9:13" x14ac:dyDescent="0.3">
      <c r="I31392" s="82"/>
      <c r="M31392" s="85"/>
    </row>
    <row r="31393" spans="9:13" x14ac:dyDescent="0.3">
      <c r="I31393" s="82"/>
      <c r="M31393" s="85"/>
    </row>
    <row r="31394" spans="9:13" x14ac:dyDescent="0.3">
      <c r="I31394" s="82"/>
      <c r="M31394" s="85"/>
    </row>
    <row r="31395" spans="9:13" x14ac:dyDescent="0.3">
      <c r="I31395" s="82"/>
      <c r="M31395" s="85"/>
    </row>
    <row r="31396" spans="9:13" x14ac:dyDescent="0.3">
      <c r="I31396" s="82"/>
      <c r="M31396" s="85"/>
    </row>
    <row r="31397" spans="9:13" x14ac:dyDescent="0.3">
      <c r="I31397" s="82"/>
      <c r="M31397" s="85"/>
    </row>
    <row r="31398" spans="9:13" x14ac:dyDescent="0.3">
      <c r="I31398" s="82"/>
      <c r="M31398" s="85"/>
    </row>
    <row r="31399" spans="9:13" x14ac:dyDescent="0.3">
      <c r="I31399" s="82"/>
      <c r="M31399" s="85"/>
    </row>
    <row r="31400" spans="9:13" x14ac:dyDescent="0.3">
      <c r="I31400" s="82"/>
      <c r="M31400" s="85"/>
    </row>
    <row r="31401" spans="9:13" x14ac:dyDescent="0.3">
      <c r="I31401" s="82"/>
      <c r="M31401" s="85"/>
    </row>
    <row r="31402" spans="9:13" x14ac:dyDescent="0.3">
      <c r="I31402" s="82"/>
      <c r="M31402" s="85"/>
    </row>
    <row r="31403" spans="9:13" x14ac:dyDescent="0.3">
      <c r="I31403" s="82"/>
      <c r="M31403" s="85"/>
    </row>
    <row r="31404" spans="9:13" x14ac:dyDescent="0.3">
      <c r="I31404" s="82"/>
      <c r="M31404" s="85"/>
    </row>
    <row r="31405" spans="9:13" x14ac:dyDescent="0.3">
      <c r="I31405" s="82"/>
      <c r="M31405" s="85"/>
    </row>
    <row r="31406" spans="9:13" x14ac:dyDescent="0.3">
      <c r="I31406" s="82"/>
      <c r="M31406" s="85"/>
    </row>
    <row r="31407" spans="9:13" x14ac:dyDescent="0.3">
      <c r="I31407" s="82"/>
      <c r="M31407" s="85"/>
    </row>
    <row r="31408" spans="9:13" x14ac:dyDescent="0.3">
      <c r="I31408" s="82"/>
      <c r="M31408" s="85"/>
    </row>
    <row r="31409" spans="9:13" x14ac:dyDescent="0.3">
      <c r="I31409" s="82"/>
      <c r="M31409" s="85"/>
    </row>
    <row r="31410" spans="9:13" x14ac:dyDescent="0.3">
      <c r="I31410" s="82"/>
      <c r="M31410" s="85"/>
    </row>
    <row r="31411" spans="9:13" x14ac:dyDescent="0.3">
      <c r="I31411" s="82"/>
      <c r="M31411" s="85"/>
    </row>
    <row r="31412" spans="9:13" x14ac:dyDescent="0.3">
      <c r="I31412" s="82"/>
      <c r="M31412" s="85"/>
    </row>
    <row r="31413" spans="9:13" x14ac:dyDescent="0.3">
      <c r="I31413" s="82"/>
      <c r="M31413" s="85"/>
    </row>
    <row r="31414" spans="9:13" x14ac:dyDescent="0.3">
      <c r="I31414" s="82"/>
      <c r="M31414" s="85"/>
    </row>
    <row r="31415" spans="9:13" x14ac:dyDescent="0.3">
      <c r="I31415" s="82"/>
      <c r="M31415" s="85"/>
    </row>
    <row r="31416" spans="9:13" x14ac:dyDescent="0.3">
      <c r="I31416" s="82"/>
      <c r="M31416" s="85"/>
    </row>
    <row r="31417" spans="9:13" x14ac:dyDescent="0.3">
      <c r="I31417" s="82"/>
      <c r="M31417" s="85"/>
    </row>
    <row r="31418" spans="9:13" x14ac:dyDescent="0.3">
      <c r="I31418" s="82"/>
      <c r="M31418" s="85"/>
    </row>
    <row r="31419" spans="9:13" x14ac:dyDescent="0.3">
      <c r="I31419" s="82"/>
      <c r="M31419" s="85"/>
    </row>
    <row r="31420" spans="9:13" x14ac:dyDescent="0.3">
      <c r="I31420" s="82"/>
      <c r="M31420" s="85"/>
    </row>
    <row r="31421" spans="9:13" x14ac:dyDescent="0.3">
      <c r="I31421" s="82"/>
      <c r="M31421" s="85"/>
    </row>
    <row r="31422" spans="9:13" x14ac:dyDescent="0.3">
      <c r="I31422" s="82"/>
      <c r="M31422" s="85"/>
    </row>
    <row r="31423" spans="9:13" x14ac:dyDescent="0.3">
      <c r="I31423" s="82"/>
      <c r="M31423" s="85"/>
    </row>
    <row r="31424" spans="9:13" x14ac:dyDescent="0.3">
      <c r="I31424" s="82"/>
      <c r="M31424" s="85"/>
    </row>
    <row r="31425" spans="9:13" x14ac:dyDescent="0.3">
      <c r="I31425" s="82"/>
      <c r="M31425" s="85"/>
    </row>
    <row r="31426" spans="9:13" x14ac:dyDescent="0.3">
      <c r="I31426" s="82"/>
      <c r="M31426" s="85"/>
    </row>
    <row r="31427" spans="9:13" x14ac:dyDescent="0.3">
      <c r="I31427" s="82"/>
      <c r="M31427" s="85"/>
    </row>
    <row r="31428" spans="9:13" x14ac:dyDescent="0.3">
      <c r="I31428" s="82"/>
      <c r="M31428" s="85"/>
    </row>
    <row r="31429" spans="9:13" x14ac:dyDescent="0.3">
      <c r="I31429" s="82"/>
      <c r="M31429" s="85"/>
    </row>
    <row r="31430" spans="9:13" x14ac:dyDescent="0.3">
      <c r="I31430" s="82"/>
      <c r="M31430" s="85"/>
    </row>
    <row r="31431" spans="9:13" x14ac:dyDescent="0.3">
      <c r="I31431" s="82"/>
      <c r="M31431" s="85"/>
    </row>
    <row r="31432" spans="9:13" x14ac:dyDescent="0.3">
      <c r="I31432" s="82"/>
      <c r="M31432" s="85"/>
    </row>
    <row r="31433" spans="9:13" x14ac:dyDescent="0.3">
      <c r="I31433" s="82"/>
      <c r="M31433" s="85"/>
    </row>
    <row r="31434" spans="9:13" x14ac:dyDescent="0.3">
      <c r="I31434" s="82"/>
      <c r="M31434" s="85"/>
    </row>
    <row r="31435" spans="9:13" x14ac:dyDescent="0.3">
      <c r="I31435" s="82"/>
      <c r="M31435" s="85"/>
    </row>
    <row r="31436" spans="9:13" x14ac:dyDescent="0.3">
      <c r="I31436" s="82"/>
      <c r="M31436" s="85"/>
    </row>
    <row r="31437" spans="9:13" x14ac:dyDescent="0.3">
      <c r="I31437" s="82"/>
      <c r="M31437" s="85"/>
    </row>
    <row r="31438" spans="9:13" x14ac:dyDescent="0.3">
      <c r="I31438" s="82"/>
      <c r="M31438" s="85"/>
    </row>
    <row r="31439" spans="9:13" x14ac:dyDescent="0.3">
      <c r="I31439" s="82"/>
      <c r="M31439" s="85"/>
    </row>
    <row r="31440" spans="9:13" x14ac:dyDescent="0.3">
      <c r="I31440" s="82"/>
      <c r="M31440" s="85"/>
    </row>
    <row r="31441" spans="9:13" x14ac:dyDescent="0.3">
      <c r="I31441" s="82"/>
      <c r="M31441" s="85"/>
    </row>
    <row r="31442" spans="9:13" x14ac:dyDescent="0.3">
      <c r="I31442" s="82"/>
      <c r="M31442" s="85"/>
    </row>
    <row r="31443" spans="9:13" x14ac:dyDescent="0.3">
      <c r="I31443" s="82"/>
      <c r="M31443" s="85"/>
    </row>
    <row r="31444" spans="9:13" x14ac:dyDescent="0.3">
      <c r="I31444" s="82"/>
      <c r="M31444" s="85"/>
    </row>
    <row r="31445" spans="9:13" x14ac:dyDescent="0.3">
      <c r="I31445" s="82"/>
      <c r="M31445" s="85"/>
    </row>
    <row r="31446" spans="9:13" x14ac:dyDescent="0.3">
      <c r="I31446" s="82"/>
      <c r="M31446" s="85"/>
    </row>
    <row r="31447" spans="9:13" x14ac:dyDescent="0.3">
      <c r="I31447" s="82"/>
      <c r="M31447" s="85"/>
    </row>
    <row r="31448" spans="9:13" x14ac:dyDescent="0.3">
      <c r="I31448" s="82"/>
      <c r="M31448" s="85"/>
    </row>
    <row r="31449" spans="9:13" x14ac:dyDescent="0.3">
      <c r="I31449" s="82"/>
      <c r="M31449" s="85"/>
    </row>
    <row r="31450" spans="9:13" x14ac:dyDescent="0.3">
      <c r="I31450" s="82"/>
      <c r="M31450" s="85"/>
    </row>
    <row r="31451" spans="9:13" x14ac:dyDescent="0.3">
      <c r="I31451" s="82"/>
      <c r="M31451" s="85"/>
    </row>
    <row r="31452" spans="9:13" x14ac:dyDescent="0.3">
      <c r="I31452" s="82"/>
      <c r="M31452" s="85"/>
    </row>
    <row r="31453" spans="9:13" x14ac:dyDescent="0.3">
      <c r="I31453" s="82"/>
      <c r="M31453" s="85"/>
    </row>
    <row r="31454" spans="9:13" x14ac:dyDescent="0.3">
      <c r="I31454" s="82"/>
      <c r="M31454" s="85"/>
    </row>
    <row r="31455" spans="9:13" x14ac:dyDescent="0.3">
      <c r="I31455" s="82"/>
      <c r="M31455" s="85"/>
    </row>
    <row r="31456" spans="9:13" x14ac:dyDescent="0.3">
      <c r="I31456" s="82"/>
      <c r="M31456" s="85"/>
    </row>
    <row r="31457" spans="9:13" x14ac:dyDescent="0.3">
      <c r="I31457" s="82"/>
      <c r="M31457" s="85"/>
    </row>
    <row r="31458" spans="9:13" x14ac:dyDescent="0.3">
      <c r="I31458" s="82"/>
      <c r="M31458" s="85"/>
    </row>
    <row r="31459" spans="9:13" x14ac:dyDescent="0.3">
      <c r="I31459" s="82"/>
      <c r="M31459" s="85"/>
    </row>
    <row r="31460" spans="9:13" x14ac:dyDescent="0.3">
      <c r="I31460" s="82"/>
      <c r="M31460" s="85"/>
    </row>
    <row r="31461" spans="9:13" x14ac:dyDescent="0.3">
      <c r="I31461" s="82"/>
      <c r="M31461" s="85"/>
    </row>
    <row r="31462" spans="9:13" x14ac:dyDescent="0.3">
      <c r="I31462" s="82"/>
      <c r="M31462" s="85"/>
    </row>
    <row r="31463" spans="9:13" x14ac:dyDescent="0.3">
      <c r="I31463" s="82"/>
      <c r="M31463" s="85"/>
    </row>
    <row r="31464" spans="9:13" x14ac:dyDescent="0.3">
      <c r="I31464" s="82"/>
      <c r="M31464" s="85"/>
    </row>
    <row r="31465" spans="9:13" x14ac:dyDescent="0.3">
      <c r="I31465" s="82"/>
      <c r="M31465" s="85"/>
    </row>
    <row r="31466" spans="9:13" x14ac:dyDescent="0.3">
      <c r="I31466" s="82"/>
      <c r="M31466" s="85"/>
    </row>
    <row r="31467" spans="9:13" x14ac:dyDescent="0.3">
      <c r="I31467" s="82"/>
      <c r="M31467" s="85"/>
    </row>
    <row r="31468" spans="9:13" x14ac:dyDescent="0.3">
      <c r="I31468" s="82"/>
      <c r="M31468" s="85"/>
    </row>
    <row r="31469" spans="9:13" x14ac:dyDescent="0.3">
      <c r="I31469" s="82"/>
      <c r="M31469" s="85"/>
    </row>
    <row r="31470" spans="9:13" x14ac:dyDescent="0.3">
      <c r="I31470" s="82"/>
      <c r="M31470" s="85"/>
    </row>
    <row r="31471" spans="9:13" x14ac:dyDescent="0.3">
      <c r="I31471" s="82"/>
      <c r="M31471" s="85"/>
    </row>
    <row r="31472" spans="9:13" x14ac:dyDescent="0.3">
      <c r="I31472" s="82"/>
      <c r="M31472" s="85"/>
    </row>
    <row r="31473" spans="9:13" x14ac:dyDescent="0.3">
      <c r="I31473" s="82"/>
      <c r="M31473" s="85"/>
    </row>
    <row r="31474" spans="9:13" x14ac:dyDescent="0.3">
      <c r="I31474" s="82"/>
      <c r="M31474" s="85"/>
    </row>
    <row r="31475" spans="9:13" x14ac:dyDescent="0.3">
      <c r="I31475" s="82"/>
      <c r="M31475" s="85"/>
    </row>
    <row r="31476" spans="9:13" x14ac:dyDescent="0.3">
      <c r="I31476" s="82"/>
      <c r="M31476" s="85"/>
    </row>
    <row r="31477" spans="9:13" x14ac:dyDescent="0.3">
      <c r="I31477" s="82"/>
      <c r="M31477" s="85"/>
    </row>
    <row r="31478" spans="9:13" x14ac:dyDescent="0.3">
      <c r="I31478" s="82"/>
      <c r="M31478" s="85"/>
    </row>
    <row r="31479" spans="9:13" x14ac:dyDescent="0.3">
      <c r="I31479" s="82"/>
      <c r="M31479" s="85"/>
    </row>
    <row r="31480" spans="9:13" x14ac:dyDescent="0.3">
      <c r="I31480" s="82"/>
      <c r="M31480" s="85"/>
    </row>
    <row r="31481" spans="9:13" x14ac:dyDescent="0.3">
      <c r="I31481" s="82"/>
      <c r="M31481" s="85"/>
    </row>
    <row r="31482" spans="9:13" x14ac:dyDescent="0.3">
      <c r="I31482" s="82"/>
      <c r="M31482" s="85"/>
    </row>
    <row r="31483" spans="9:13" x14ac:dyDescent="0.3">
      <c r="I31483" s="82"/>
      <c r="M31483" s="85"/>
    </row>
    <row r="31484" spans="9:13" x14ac:dyDescent="0.3">
      <c r="I31484" s="82"/>
      <c r="M31484" s="85"/>
    </row>
    <row r="31485" spans="9:13" x14ac:dyDescent="0.3">
      <c r="I31485" s="82"/>
      <c r="M31485" s="85"/>
    </row>
    <row r="31486" spans="9:13" x14ac:dyDescent="0.3">
      <c r="I31486" s="82"/>
      <c r="M31486" s="85"/>
    </row>
    <row r="31487" spans="9:13" x14ac:dyDescent="0.3">
      <c r="I31487" s="82"/>
      <c r="M31487" s="85"/>
    </row>
    <row r="31488" spans="9:13" x14ac:dyDescent="0.3">
      <c r="I31488" s="82"/>
      <c r="M31488" s="85"/>
    </row>
    <row r="31489" spans="9:13" x14ac:dyDescent="0.3">
      <c r="I31489" s="82"/>
      <c r="M31489" s="85"/>
    </row>
    <row r="31490" spans="9:13" x14ac:dyDescent="0.3">
      <c r="I31490" s="82"/>
      <c r="M31490" s="85"/>
    </row>
    <row r="31491" spans="9:13" x14ac:dyDescent="0.3">
      <c r="I31491" s="82"/>
      <c r="M31491" s="85"/>
    </row>
    <row r="31492" spans="9:13" x14ac:dyDescent="0.3">
      <c r="I31492" s="82"/>
      <c r="M31492" s="85"/>
    </row>
    <row r="31493" spans="9:13" x14ac:dyDescent="0.3">
      <c r="I31493" s="82"/>
      <c r="M31493" s="85"/>
    </row>
    <row r="31494" spans="9:13" x14ac:dyDescent="0.3">
      <c r="I31494" s="82"/>
      <c r="M31494" s="85"/>
    </row>
    <row r="31495" spans="9:13" x14ac:dyDescent="0.3">
      <c r="I31495" s="82"/>
      <c r="M31495" s="85"/>
    </row>
    <row r="31496" spans="9:13" x14ac:dyDescent="0.3">
      <c r="I31496" s="82"/>
      <c r="M31496" s="85"/>
    </row>
    <row r="31497" spans="9:13" x14ac:dyDescent="0.3">
      <c r="I31497" s="82"/>
      <c r="M31497" s="85"/>
    </row>
    <row r="31498" spans="9:13" x14ac:dyDescent="0.3">
      <c r="I31498" s="82"/>
      <c r="M31498" s="85"/>
    </row>
    <row r="31499" spans="9:13" x14ac:dyDescent="0.3">
      <c r="I31499" s="82"/>
      <c r="M31499" s="85"/>
    </row>
    <row r="31500" spans="9:13" x14ac:dyDescent="0.3">
      <c r="I31500" s="82"/>
      <c r="M31500" s="85"/>
    </row>
    <row r="31501" spans="9:13" x14ac:dyDescent="0.3">
      <c r="I31501" s="82"/>
      <c r="M31501" s="85"/>
    </row>
    <row r="31502" spans="9:13" x14ac:dyDescent="0.3">
      <c r="I31502" s="82"/>
      <c r="M31502" s="85"/>
    </row>
    <row r="31503" spans="9:13" x14ac:dyDescent="0.3">
      <c r="I31503" s="82"/>
      <c r="M31503" s="85"/>
    </row>
    <row r="31504" spans="9:13" x14ac:dyDescent="0.3">
      <c r="I31504" s="82"/>
      <c r="M31504" s="85"/>
    </row>
    <row r="31505" spans="9:13" x14ac:dyDescent="0.3">
      <c r="I31505" s="82"/>
      <c r="M31505" s="85"/>
    </row>
    <row r="31506" spans="9:13" x14ac:dyDescent="0.3">
      <c r="I31506" s="82"/>
      <c r="M31506" s="85"/>
    </row>
    <row r="31507" spans="9:13" x14ac:dyDescent="0.3">
      <c r="I31507" s="82"/>
      <c r="M31507" s="85"/>
    </row>
    <row r="31508" spans="9:13" x14ac:dyDescent="0.3">
      <c r="I31508" s="82"/>
      <c r="M31508" s="85"/>
    </row>
    <row r="31509" spans="9:13" x14ac:dyDescent="0.3">
      <c r="I31509" s="82"/>
      <c r="M31509" s="85"/>
    </row>
    <row r="31510" spans="9:13" x14ac:dyDescent="0.3">
      <c r="I31510" s="82"/>
      <c r="M31510" s="85"/>
    </row>
    <row r="31511" spans="9:13" x14ac:dyDescent="0.3">
      <c r="I31511" s="82"/>
      <c r="M31511" s="85"/>
    </row>
    <row r="31512" spans="9:13" x14ac:dyDescent="0.3">
      <c r="I31512" s="82"/>
      <c r="M31512" s="85"/>
    </row>
    <row r="31513" spans="9:13" x14ac:dyDescent="0.3">
      <c r="I31513" s="82"/>
      <c r="M31513" s="85"/>
    </row>
    <row r="31514" spans="9:13" x14ac:dyDescent="0.3">
      <c r="I31514" s="82"/>
      <c r="M31514" s="85"/>
    </row>
    <row r="31515" spans="9:13" x14ac:dyDescent="0.3">
      <c r="I31515" s="82"/>
      <c r="M31515" s="85"/>
    </row>
    <row r="31516" spans="9:13" x14ac:dyDescent="0.3">
      <c r="I31516" s="82"/>
      <c r="M31516" s="85"/>
    </row>
    <row r="31517" spans="9:13" x14ac:dyDescent="0.3">
      <c r="I31517" s="82"/>
      <c r="M31517" s="85"/>
    </row>
    <row r="31518" spans="9:13" x14ac:dyDescent="0.3">
      <c r="I31518" s="82"/>
      <c r="M31518" s="85"/>
    </row>
    <row r="31519" spans="9:13" x14ac:dyDescent="0.3">
      <c r="I31519" s="82"/>
      <c r="M31519" s="85"/>
    </row>
    <row r="31520" spans="9:13" x14ac:dyDescent="0.3">
      <c r="I31520" s="82"/>
      <c r="M31520" s="85"/>
    </row>
    <row r="31521" spans="9:13" x14ac:dyDescent="0.3">
      <c r="I31521" s="82"/>
      <c r="M31521" s="85"/>
    </row>
    <row r="31522" spans="9:13" x14ac:dyDescent="0.3">
      <c r="I31522" s="82"/>
      <c r="M31522" s="85"/>
    </row>
    <row r="31523" spans="9:13" x14ac:dyDescent="0.3">
      <c r="I31523" s="82"/>
      <c r="M31523" s="85"/>
    </row>
    <row r="31524" spans="9:13" x14ac:dyDescent="0.3">
      <c r="I31524" s="82"/>
      <c r="M31524" s="85"/>
    </row>
    <row r="31525" spans="9:13" x14ac:dyDescent="0.3">
      <c r="I31525" s="82"/>
      <c r="M31525" s="85"/>
    </row>
    <row r="31526" spans="9:13" x14ac:dyDescent="0.3">
      <c r="I31526" s="82"/>
      <c r="M31526" s="85"/>
    </row>
    <row r="31527" spans="9:13" x14ac:dyDescent="0.3">
      <c r="I31527" s="82"/>
      <c r="M31527" s="85"/>
    </row>
    <row r="31528" spans="9:13" x14ac:dyDescent="0.3">
      <c r="I31528" s="82"/>
      <c r="M31528" s="85"/>
    </row>
    <row r="31529" spans="9:13" x14ac:dyDescent="0.3">
      <c r="I31529" s="82"/>
      <c r="M31529" s="85"/>
    </row>
    <row r="31530" spans="9:13" x14ac:dyDescent="0.3">
      <c r="I31530" s="82"/>
      <c r="M31530" s="85"/>
    </row>
    <row r="31531" spans="9:13" x14ac:dyDescent="0.3">
      <c r="I31531" s="82"/>
      <c r="M31531" s="85"/>
    </row>
    <row r="31532" spans="9:13" x14ac:dyDescent="0.3">
      <c r="I31532" s="82"/>
      <c r="M31532" s="85"/>
    </row>
    <row r="31533" spans="9:13" x14ac:dyDescent="0.3">
      <c r="I31533" s="82"/>
      <c r="M31533" s="85"/>
    </row>
    <row r="31534" spans="9:13" x14ac:dyDescent="0.3">
      <c r="I31534" s="82"/>
      <c r="M31534" s="85"/>
    </row>
    <row r="31535" spans="9:13" x14ac:dyDescent="0.3">
      <c r="I31535" s="82"/>
      <c r="M31535" s="85"/>
    </row>
    <row r="31536" spans="9:13" x14ac:dyDescent="0.3">
      <c r="I31536" s="82"/>
      <c r="M31536" s="85"/>
    </row>
    <row r="31537" spans="9:13" x14ac:dyDescent="0.3">
      <c r="I31537" s="82"/>
      <c r="M31537" s="85"/>
    </row>
    <row r="31538" spans="9:13" x14ac:dyDescent="0.3">
      <c r="I31538" s="82"/>
      <c r="M31538" s="85"/>
    </row>
    <row r="31539" spans="9:13" x14ac:dyDescent="0.3">
      <c r="I31539" s="82"/>
      <c r="M31539" s="85"/>
    </row>
    <row r="31540" spans="9:13" x14ac:dyDescent="0.3">
      <c r="I31540" s="82"/>
      <c r="M31540" s="85"/>
    </row>
    <row r="31541" spans="9:13" x14ac:dyDescent="0.3">
      <c r="I31541" s="82"/>
      <c r="M31541" s="85"/>
    </row>
    <row r="31542" spans="9:13" x14ac:dyDescent="0.3">
      <c r="I31542" s="82"/>
      <c r="M31542" s="85"/>
    </row>
    <row r="31543" spans="9:13" x14ac:dyDescent="0.3">
      <c r="I31543" s="82"/>
      <c r="M31543" s="85"/>
    </row>
    <row r="31544" spans="9:13" x14ac:dyDescent="0.3">
      <c r="I31544" s="82"/>
      <c r="M31544" s="85"/>
    </row>
    <row r="31545" spans="9:13" x14ac:dyDescent="0.3">
      <c r="I31545" s="82"/>
      <c r="M31545" s="85"/>
    </row>
    <row r="31546" spans="9:13" x14ac:dyDescent="0.3">
      <c r="I31546" s="82"/>
      <c r="M31546" s="85"/>
    </row>
    <row r="31547" spans="9:13" x14ac:dyDescent="0.3">
      <c r="I31547" s="82"/>
      <c r="M31547" s="85"/>
    </row>
    <row r="31548" spans="9:13" x14ac:dyDescent="0.3">
      <c r="I31548" s="82"/>
      <c r="M31548" s="85"/>
    </row>
    <row r="31549" spans="9:13" x14ac:dyDescent="0.3">
      <c r="I31549" s="82"/>
      <c r="M31549" s="85"/>
    </row>
    <row r="31550" spans="9:13" x14ac:dyDescent="0.3">
      <c r="I31550" s="82"/>
      <c r="M31550" s="85"/>
    </row>
    <row r="31551" spans="9:13" x14ac:dyDescent="0.3">
      <c r="I31551" s="82"/>
      <c r="M31551" s="85"/>
    </row>
    <row r="31552" spans="9:13" x14ac:dyDescent="0.3">
      <c r="I31552" s="82"/>
      <c r="M31552" s="85"/>
    </row>
    <row r="31553" spans="9:13" x14ac:dyDescent="0.3">
      <c r="I31553" s="82"/>
      <c r="M31553" s="85"/>
    </row>
    <row r="31554" spans="9:13" x14ac:dyDescent="0.3">
      <c r="I31554" s="82"/>
      <c r="M31554" s="85"/>
    </row>
    <row r="31555" spans="9:13" x14ac:dyDescent="0.3">
      <c r="I31555" s="82"/>
      <c r="M31555" s="85"/>
    </row>
    <row r="31556" spans="9:13" x14ac:dyDescent="0.3">
      <c r="I31556" s="82"/>
      <c r="M31556" s="85"/>
    </row>
    <row r="31557" spans="9:13" x14ac:dyDescent="0.3">
      <c r="I31557" s="82"/>
      <c r="M31557" s="85"/>
    </row>
    <row r="31558" spans="9:13" x14ac:dyDescent="0.3">
      <c r="I31558" s="82"/>
      <c r="M31558" s="85"/>
    </row>
    <row r="31559" spans="9:13" x14ac:dyDescent="0.3">
      <c r="I31559" s="82"/>
      <c r="M31559" s="85"/>
    </row>
    <row r="31560" spans="9:13" x14ac:dyDescent="0.3">
      <c r="I31560" s="82"/>
      <c r="M31560" s="85"/>
    </row>
    <row r="31561" spans="9:13" x14ac:dyDescent="0.3">
      <c r="I31561" s="82"/>
      <c r="M31561" s="85"/>
    </row>
    <row r="31562" spans="9:13" x14ac:dyDescent="0.3">
      <c r="I31562" s="82"/>
      <c r="M31562" s="85"/>
    </row>
    <row r="31563" spans="9:13" x14ac:dyDescent="0.3">
      <c r="I31563" s="82"/>
      <c r="M31563" s="85"/>
    </row>
    <row r="31564" spans="9:13" x14ac:dyDescent="0.3">
      <c r="I31564" s="82"/>
      <c r="M31564" s="85"/>
    </row>
    <row r="31565" spans="9:13" x14ac:dyDescent="0.3">
      <c r="I31565" s="82"/>
      <c r="M31565" s="85"/>
    </row>
    <row r="31566" spans="9:13" x14ac:dyDescent="0.3">
      <c r="I31566" s="82"/>
      <c r="M31566" s="85"/>
    </row>
    <row r="31567" spans="9:13" x14ac:dyDescent="0.3">
      <c r="I31567" s="82"/>
      <c r="M31567" s="85"/>
    </row>
    <row r="31568" spans="9:13" x14ac:dyDescent="0.3">
      <c r="I31568" s="82"/>
      <c r="M31568" s="85"/>
    </row>
    <row r="31569" spans="9:13" x14ac:dyDescent="0.3">
      <c r="I31569" s="82"/>
      <c r="M31569" s="85"/>
    </row>
    <row r="31570" spans="9:13" x14ac:dyDescent="0.3">
      <c r="I31570" s="82"/>
      <c r="M31570" s="85"/>
    </row>
    <row r="31571" spans="9:13" x14ac:dyDescent="0.3">
      <c r="I31571" s="82"/>
      <c r="M31571" s="85"/>
    </row>
    <row r="31572" spans="9:13" x14ac:dyDescent="0.3">
      <c r="I31572" s="82"/>
      <c r="M31572" s="85"/>
    </row>
    <row r="31573" spans="9:13" x14ac:dyDescent="0.3">
      <c r="I31573" s="82"/>
      <c r="M31573" s="85"/>
    </row>
    <row r="31574" spans="9:13" x14ac:dyDescent="0.3">
      <c r="I31574" s="82"/>
      <c r="M31574" s="85"/>
    </row>
    <row r="31575" spans="9:13" x14ac:dyDescent="0.3">
      <c r="I31575" s="82"/>
      <c r="M31575" s="85"/>
    </row>
    <row r="31576" spans="9:13" x14ac:dyDescent="0.3">
      <c r="I31576" s="82"/>
      <c r="M31576" s="85"/>
    </row>
    <row r="31577" spans="9:13" x14ac:dyDescent="0.3">
      <c r="I31577" s="82"/>
      <c r="M31577" s="85"/>
    </row>
    <row r="31578" spans="9:13" x14ac:dyDescent="0.3">
      <c r="I31578" s="82"/>
      <c r="M31578" s="85"/>
    </row>
    <row r="31579" spans="9:13" x14ac:dyDescent="0.3">
      <c r="I31579" s="82"/>
      <c r="M31579" s="85"/>
    </row>
    <row r="31580" spans="9:13" x14ac:dyDescent="0.3">
      <c r="I31580" s="82"/>
      <c r="M31580" s="85"/>
    </row>
    <row r="31581" spans="9:13" x14ac:dyDescent="0.3">
      <c r="I31581" s="82"/>
      <c r="M31581" s="85"/>
    </row>
    <row r="31582" spans="9:13" x14ac:dyDescent="0.3">
      <c r="I31582" s="82"/>
      <c r="M31582" s="85"/>
    </row>
    <row r="31583" spans="9:13" x14ac:dyDescent="0.3">
      <c r="I31583" s="82"/>
      <c r="M31583" s="85"/>
    </row>
    <row r="31584" spans="9:13" x14ac:dyDescent="0.3">
      <c r="I31584" s="82"/>
      <c r="M31584" s="85"/>
    </row>
    <row r="31585" spans="9:13" x14ac:dyDescent="0.3">
      <c r="I31585" s="82"/>
      <c r="M31585" s="85"/>
    </row>
    <row r="31586" spans="9:13" x14ac:dyDescent="0.3">
      <c r="I31586" s="82"/>
      <c r="M31586" s="85"/>
    </row>
    <row r="31587" spans="9:13" x14ac:dyDescent="0.3">
      <c r="I31587" s="82"/>
      <c r="M31587" s="85"/>
    </row>
    <row r="31588" spans="9:13" x14ac:dyDescent="0.3">
      <c r="I31588" s="82"/>
      <c r="M31588" s="85"/>
    </row>
    <row r="31589" spans="9:13" x14ac:dyDescent="0.3">
      <c r="I31589" s="82"/>
      <c r="M31589" s="85"/>
    </row>
    <row r="31590" spans="9:13" x14ac:dyDescent="0.3">
      <c r="I31590" s="82"/>
      <c r="M31590" s="85"/>
    </row>
    <row r="31591" spans="9:13" x14ac:dyDescent="0.3">
      <c r="I31591" s="82"/>
      <c r="M31591" s="85"/>
    </row>
    <row r="31592" spans="9:13" x14ac:dyDescent="0.3">
      <c r="I31592" s="82"/>
      <c r="M31592" s="85"/>
    </row>
    <row r="31593" spans="9:13" x14ac:dyDescent="0.3">
      <c r="I31593" s="82"/>
      <c r="M31593" s="85"/>
    </row>
    <row r="31594" spans="9:13" x14ac:dyDescent="0.3">
      <c r="I31594" s="82"/>
      <c r="M31594" s="85"/>
    </row>
    <row r="31595" spans="9:13" x14ac:dyDescent="0.3">
      <c r="I31595" s="82"/>
      <c r="M31595" s="85"/>
    </row>
    <row r="31596" spans="9:13" x14ac:dyDescent="0.3">
      <c r="I31596" s="82"/>
      <c r="M31596" s="85"/>
    </row>
    <row r="31597" spans="9:13" x14ac:dyDescent="0.3">
      <c r="I31597" s="82"/>
      <c r="M31597" s="85"/>
    </row>
    <row r="31598" spans="9:13" x14ac:dyDescent="0.3">
      <c r="I31598" s="82"/>
      <c r="M31598" s="85"/>
    </row>
    <row r="31599" spans="9:13" x14ac:dyDescent="0.3">
      <c r="I31599" s="82"/>
      <c r="M31599" s="85"/>
    </row>
    <row r="31600" spans="9:13" x14ac:dyDescent="0.3">
      <c r="I31600" s="82"/>
      <c r="M31600" s="85"/>
    </row>
    <row r="31601" spans="9:13" x14ac:dyDescent="0.3">
      <c r="I31601" s="82"/>
      <c r="M31601" s="85"/>
    </row>
    <row r="31602" spans="9:13" x14ac:dyDescent="0.3">
      <c r="I31602" s="82"/>
      <c r="M31602" s="85"/>
    </row>
    <row r="31603" spans="9:13" x14ac:dyDescent="0.3">
      <c r="I31603" s="82"/>
      <c r="M31603" s="85"/>
    </row>
    <row r="31604" spans="9:13" x14ac:dyDescent="0.3">
      <c r="I31604" s="82"/>
      <c r="M31604" s="85"/>
    </row>
    <row r="31605" spans="9:13" x14ac:dyDescent="0.3">
      <c r="I31605" s="82"/>
      <c r="M31605" s="85"/>
    </row>
    <row r="31606" spans="9:13" x14ac:dyDescent="0.3">
      <c r="I31606" s="82"/>
      <c r="M31606" s="85"/>
    </row>
    <row r="31607" spans="9:13" x14ac:dyDescent="0.3">
      <c r="I31607" s="82"/>
      <c r="M31607" s="85"/>
    </row>
    <row r="31608" spans="9:13" x14ac:dyDescent="0.3">
      <c r="I31608" s="82"/>
      <c r="M31608" s="85"/>
    </row>
    <row r="31609" spans="9:13" x14ac:dyDescent="0.3">
      <c r="I31609" s="82"/>
      <c r="M31609" s="85"/>
    </row>
    <row r="31610" spans="9:13" x14ac:dyDescent="0.3">
      <c r="I31610" s="82"/>
      <c r="M31610" s="85"/>
    </row>
    <row r="31611" spans="9:13" x14ac:dyDescent="0.3">
      <c r="I31611" s="82"/>
      <c r="M31611" s="85"/>
    </row>
    <row r="31612" spans="9:13" x14ac:dyDescent="0.3">
      <c r="I31612" s="82"/>
      <c r="M31612" s="85"/>
    </row>
    <row r="31613" spans="9:13" x14ac:dyDescent="0.3">
      <c r="I31613" s="82"/>
      <c r="M31613" s="85"/>
    </row>
    <row r="31614" spans="9:13" x14ac:dyDescent="0.3">
      <c r="I31614" s="82"/>
      <c r="M31614" s="85"/>
    </row>
    <row r="31615" spans="9:13" x14ac:dyDescent="0.3">
      <c r="I31615" s="82"/>
      <c r="M31615" s="85"/>
    </row>
    <row r="31616" spans="9:13" x14ac:dyDescent="0.3">
      <c r="I31616" s="82"/>
      <c r="M31616" s="85"/>
    </row>
    <row r="31617" spans="9:13" x14ac:dyDescent="0.3">
      <c r="I31617" s="82"/>
      <c r="M31617" s="85"/>
    </row>
    <row r="31618" spans="9:13" x14ac:dyDescent="0.3">
      <c r="I31618" s="82"/>
      <c r="M31618" s="85"/>
    </row>
    <row r="31619" spans="9:13" x14ac:dyDescent="0.3">
      <c r="I31619" s="82"/>
      <c r="M31619" s="85"/>
    </row>
    <row r="31620" spans="9:13" x14ac:dyDescent="0.3">
      <c r="I31620" s="82"/>
      <c r="M31620" s="85"/>
    </row>
    <row r="31621" spans="9:13" x14ac:dyDescent="0.3">
      <c r="I31621" s="82"/>
      <c r="M31621" s="85"/>
    </row>
    <row r="31622" spans="9:13" x14ac:dyDescent="0.3">
      <c r="I31622" s="82"/>
      <c r="M31622" s="85"/>
    </row>
    <row r="31623" spans="9:13" x14ac:dyDescent="0.3">
      <c r="I31623" s="82"/>
      <c r="M31623" s="85"/>
    </row>
    <row r="31624" spans="9:13" x14ac:dyDescent="0.3">
      <c r="I31624" s="82"/>
      <c r="M31624" s="85"/>
    </row>
    <row r="31625" spans="9:13" x14ac:dyDescent="0.3">
      <c r="I31625" s="82"/>
      <c r="M31625" s="85"/>
    </row>
    <row r="31626" spans="9:13" x14ac:dyDescent="0.3">
      <c r="I31626" s="82"/>
      <c r="M31626" s="85"/>
    </row>
    <row r="31627" spans="9:13" x14ac:dyDescent="0.3">
      <c r="I31627" s="82"/>
      <c r="M31627" s="85"/>
    </row>
    <row r="31628" spans="9:13" x14ac:dyDescent="0.3">
      <c r="I31628" s="82"/>
      <c r="M31628" s="85"/>
    </row>
    <row r="31629" spans="9:13" x14ac:dyDescent="0.3">
      <c r="I31629" s="82"/>
      <c r="M31629" s="85"/>
    </row>
    <row r="31630" spans="9:13" x14ac:dyDescent="0.3">
      <c r="I31630" s="82"/>
      <c r="M31630" s="85"/>
    </row>
    <row r="31631" spans="9:13" x14ac:dyDescent="0.3">
      <c r="I31631" s="82"/>
      <c r="M31631" s="85"/>
    </row>
    <row r="31632" spans="9:13" x14ac:dyDescent="0.3">
      <c r="I31632" s="82"/>
      <c r="M31632" s="85"/>
    </row>
    <row r="31633" spans="9:13" x14ac:dyDescent="0.3">
      <c r="I31633" s="82"/>
      <c r="M31633" s="85"/>
    </row>
    <row r="31634" spans="9:13" x14ac:dyDescent="0.3">
      <c r="I31634" s="82"/>
      <c r="M31634" s="85"/>
    </row>
    <row r="31635" spans="9:13" x14ac:dyDescent="0.3">
      <c r="I31635" s="82"/>
      <c r="M31635" s="85"/>
    </row>
    <row r="31636" spans="9:13" x14ac:dyDescent="0.3">
      <c r="I31636" s="82"/>
      <c r="M31636" s="85"/>
    </row>
    <row r="31637" spans="9:13" x14ac:dyDescent="0.3">
      <c r="I31637" s="82"/>
      <c r="M31637" s="85"/>
    </row>
    <row r="31638" spans="9:13" x14ac:dyDescent="0.3">
      <c r="I31638" s="82"/>
      <c r="M31638" s="85"/>
    </row>
    <row r="31639" spans="9:13" x14ac:dyDescent="0.3">
      <c r="I31639" s="82"/>
      <c r="M31639" s="85"/>
    </row>
    <row r="31640" spans="9:13" x14ac:dyDescent="0.3">
      <c r="I31640" s="82"/>
      <c r="M31640" s="85"/>
    </row>
    <row r="31641" spans="9:13" x14ac:dyDescent="0.3">
      <c r="I31641" s="82"/>
      <c r="M31641" s="85"/>
    </row>
    <row r="31642" spans="9:13" x14ac:dyDescent="0.3">
      <c r="I31642" s="82"/>
      <c r="M31642" s="85"/>
    </row>
    <row r="31643" spans="9:13" x14ac:dyDescent="0.3">
      <c r="I31643" s="82"/>
      <c r="M31643" s="85"/>
    </row>
    <row r="31644" spans="9:13" x14ac:dyDescent="0.3">
      <c r="I31644" s="82"/>
      <c r="M31644" s="85"/>
    </row>
    <row r="31645" spans="9:13" x14ac:dyDescent="0.3">
      <c r="I31645" s="82"/>
      <c r="M31645" s="85"/>
    </row>
    <row r="31646" spans="9:13" x14ac:dyDescent="0.3">
      <c r="I31646" s="82"/>
      <c r="M31646" s="85"/>
    </row>
    <row r="31647" spans="9:13" x14ac:dyDescent="0.3">
      <c r="I31647" s="82"/>
      <c r="M31647" s="85"/>
    </row>
    <row r="31648" spans="9:13" x14ac:dyDescent="0.3">
      <c r="I31648" s="82"/>
      <c r="M31648" s="85"/>
    </row>
    <row r="31649" spans="9:13" x14ac:dyDescent="0.3">
      <c r="I31649" s="82"/>
      <c r="M31649" s="85"/>
    </row>
    <row r="31650" spans="9:13" x14ac:dyDescent="0.3">
      <c r="I31650" s="82"/>
      <c r="M31650" s="85"/>
    </row>
    <row r="31651" spans="9:13" x14ac:dyDescent="0.3">
      <c r="I31651" s="82"/>
      <c r="M31651" s="85"/>
    </row>
    <row r="31652" spans="9:13" x14ac:dyDescent="0.3">
      <c r="I31652" s="82"/>
      <c r="M31652" s="85"/>
    </row>
    <row r="31653" spans="9:13" x14ac:dyDescent="0.3">
      <c r="I31653" s="82"/>
      <c r="M31653" s="85"/>
    </row>
    <row r="31654" spans="9:13" x14ac:dyDescent="0.3">
      <c r="I31654" s="82"/>
      <c r="M31654" s="85"/>
    </row>
    <row r="31655" spans="9:13" x14ac:dyDescent="0.3">
      <c r="I31655" s="82"/>
      <c r="M31655" s="85"/>
    </row>
    <row r="31656" spans="9:13" x14ac:dyDescent="0.3">
      <c r="I31656" s="82"/>
      <c r="M31656" s="85"/>
    </row>
    <row r="31657" spans="9:13" x14ac:dyDescent="0.3">
      <c r="I31657" s="82"/>
      <c r="M31657" s="85"/>
    </row>
    <row r="31658" spans="9:13" x14ac:dyDescent="0.3">
      <c r="I31658" s="82"/>
      <c r="M31658" s="85"/>
    </row>
    <row r="31659" spans="9:13" x14ac:dyDescent="0.3">
      <c r="I31659" s="82"/>
      <c r="M31659" s="85"/>
    </row>
    <row r="31660" spans="9:13" x14ac:dyDescent="0.3">
      <c r="I31660" s="82"/>
      <c r="M31660" s="85"/>
    </row>
    <row r="31661" spans="9:13" x14ac:dyDescent="0.3">
      <c r="I31661" s="82"/>
      <c r="M31661" s="85"/>
    </row>
    <row r="31662" spans="9:13" x14ac:dyDescent="0.3">
      <c r="I31662" s="82"/>
      <c r="M31662" s="85"/>
    </row>
    <row r="31663" spans="9:13" x14ac:dyDescent="0.3">
      <c r="I31663" s="82"/>
      <c r="M31663" s="85"/>
    </row>
    <row r="31664" spans="9:13" x14ac:dyDescent="0.3">
      <c r="I31664" s="82"/>
      <c r="M31664" s="85"/>
    </row>
    <row r="31665" spans="9:13" x14ac:dyDescent="0.3">
      <c r="I31665" s="82"/>
      <c r="M31665" s="85"/>
    </row>
    <row r="31666" spans="9:13" x14ac:dyDescent="0.3">
      <c r="I31666" s="82"/>
      <c r="M31666" s="85"/>
    </row>
    <row r="31667" spans="9:13" x14ac:dyDescent="0.3">
      <c r="I31667" s="82"/>
      <c r="M31667" s="85"/>
    </row>
    <row r="31668" spans="9:13" x14ac:dyDescent="0.3">
      <c r="I31668" s="82"/>
      <c r="M31668" s="85"/>
    </row>
    <row r="31669" spans="9:13" x14ac:dyDescent="0.3">
      <c r="I31669" s="82"/>
      <c r="M31669" s="85"/>
    </row>
    <row r="31670" spans="9:13" x14ac:dyDescent="0.3">
      <c r="I31670" s="82"/>
      <c r="M31670" s="85"/>
    </row>
    <row r="31671" spans="9:13" x14ac:dyDescent="0.3">
      <c r="I31671" s="82"/>
      <c r="M31671" s="85"/>
    </row>
    <row r="31672" spans="9:13" x14ac:dyDescent="0.3">
      <c r="I31672" s="82"/>
      <c r="M31672" s="85"/>
    </row>
    <row r="31673" spans="9:13" x14ac:dyDescent="0.3">
      <c r="I31673" s="82"/>
      <c r="M31673" s="85"/>
    </row>
    <row r="31674" spans="9:13" x14ac:dyDescent="0.3">
      <c r="I31674" s="82"/>
      <c r="M31674" s="85"/>
    </row>
    <row r="31675" spans="9:13" x14ac:dyDescent="0.3">
      <c r="I31675" s="82"/>
      <c r="M31675" s="85"/>
    </row>
    <row r="31676" spans="9:13" x14ac:dyDescent="0.3">
      <c r="I31676" s="82"/>
      <c r="M31676" s="85"/>
    </row>
    <row r="31677" spans="9:13" x14ac:dyDescent="0.3">
      <c r="I31677" s="82"/>
      <c r="M31677" s="85"/>
    </row>
    <row r="31678" spans="9:13" x14ac:dyDescent="0.3">
      <c r="I31678" s="82"/>
      <c r="M31678" s="85"/>
    </row>
    <row r="31679" spans="9:13" x14ac:dyDescent="0.3">
      <c r="I31679" s="82"/>
      <c r="M31679" s="85"/>
    </row>
    <row r="31680" spans="9:13" x14ac:dyDescent="0.3">
      <c r="I31680" s="82"/>
      <c r="M31680" s="85"/>
    </row>
    <row r="31681" spans="9:13" x14ac:dyDescent="0.3">
      <c r="I31681" s="82"/>
      <c r="M31681" s="85"/>
    </row>
    <row r="31682" spans="9:13" x14ac:dyDescent="0.3">
      <c r="I31682" s="82"/>
      <c r="M31682" s="85"/>
    </row>
    <row r="31683" spans="9:13" x14ac:dyDescent="0.3">
      <c r="I31683" s="82"/>
      <c r="M31683" s="85"/>
    </row>
    <row r="31684" spans="9:13" x14ac:dyDescent="0.3">
      <c r="I31684" s="82"/>
      <c r="M31684" s="85"/>
    </row>
    <row r="31685" spans="9:13" x14ac:dyDescent="0.3">
      <c r="I31685" s="82"/>
      <c r="M31685" s="85"/>
    </row>
    <row r="31686" spans="9:13" x14ac:dyDescent="0.3">
      <c r="I31686" s="82"/>
      <c r="M31686" s="85"/>
    </row>
    <row r="31687" spans="9:13" x14ac:dyDescent="0.3">
      <c r="I31687" s="82"/>
      <c r="M31687" s="85"/>
    </row>
    <row r="31688" spans="9:13" x14ac:dyDescent="0.3">
      <c r="I31688" s="82"/>
      <c r="M31688" s="85"/>
    </row>
    <row r="31689" spans="9:13" x14ac:dyDescent="0.3">
      <c r="I31689" s="82"/>
      <c r="M31689" s="85"/>
    </row>
    <row r="31690" spans="9:13" x14ac:dyDescent="0.3">
      <c r="I31690" s="82"/>
      <c r="M31690" s="85"/>
    </row>
    <row r="31691" spans="9:13" x14ac:dyDescent="0.3">
      <c r="I31691" s="82"/>
      <c r="M31691" s="85"/>
    </row>
    <row r="31692" spans="9:13" x14ac:dyDescent="0.3">
      <c r="I31692" s="82"/>
      <c r="M31692" s="85"/>
    </row>
    <row r="31693" spans="9:13" x14ac:dyDescent="0.3">
      <c r="I31693" s="82"/>
      <c r="M31693" s="85"/>
    </row>
    <row r="31694" spans="9:13" x14ac:dyDescent="0.3">
      <c r="I31694" s="82"/>
      <c r="M31694" s="85"/>
    </row>
    <row r="31695" spans="9:13" x14ac:dyDescent="0.3">
      <c r="I31695" s="82"/>
      <c r="M31695" s="85"/>
    </row>
    <row r="31696" spans="9:13" x14ac:dyDescent="0.3">
      <c r="I31696" s="82"/>
      <c r="M31696" s="85"/>
    </row>
    <row r="31697" spans="9:13" x14ac:dyDescent="0.3">
      <c r="I31697" s="82"/>
      <c r="M31697" s="85"/>
    </row>
    <row r="31698" spans="9:13" x14ac:dyDescent="0.3">
      <c r="I31698" s="82"/>
      <c r="M31698" s="85"/>
    </row>
    <row r="31699" spans="9:13" x14ac:dyDescent="0.3">
      <c r="I31699" s="82"/>
      <c r="M31699" s="85"/>
    </row>
    <row r="31700" spans="9:13" x14ac:dyDescent="0.3">
      <c r="I31700" s="82"/>
      <c r="M31700" s="85"/>
    </row>
    <row r="31701" spans="9:13" x14ac:dyDescent="0.3">
      <c r="I31701" s="82"/>
      <c r="M31701" s="85"/>
    </row>
    <row r="31702" spans="9:13" x14ac:dyDescent="0.3">
      <c r="I31702" s="82"/>
      <c r="M31702" s="85"/>
    </row>
    <row r="31703" spans="9:13" x14ac:dyDescent="0.3">
      <c r="I31703" s="82"/>
      <c r="M31703" s="85"/>
    </row>
    <row r="31704" spans="9:13" x14ac:dyDescent="0.3">
      <c r="I31704" s="82"/>
      <c r="M31704" s="85"/>
    </row>
    <row r="31705" spans="9:13" x14ac:dyDescent="0.3">
      <c r="I31705" s="82"/>
      <c r="M31705" s="85"/>
    </row>
    <row r="31706" spans="9:13" x14ac:dyDescent="0.3">
      <c r="I31706" s="82"/>
      <c r="M31706" s="85"/>
    </row>
    <row r="31707" spans="9:13" x14ac:dyDescent="0.3">
      <c r="I31707" s="82"/>
      <c r="M31707" s="85"/>
    </row>
    <row r="31708" spans="9:13" x14ac:dyDescent="0.3">
      <c r="I31708" s="82"/>
      <c r="M31708" s="85"/>
    </row>
    <row r="31709" spans="9:13" x14ac:dyDescent="0.3">
      <c r="I31709" s="82"/>
      <c r="M31709" s="85"/>
    </row>
    <row r="31710" spans="9:13" x14ac:dyDescent="0.3">
      <c r="I31710" s="82"/>
      <c r="M31710" s="85"/>
    </row>
    <row r="31711" spans="9:13" x14ac:dyDescent="0.3">
      <c r="I31711" s="82"/>
      <c r="M31711" s="85"/>
    </row>
    <row r="31712" spans="9:13" x14ac:dyDescent="0.3">
      <c r="I31712" s="82"/>
      <c r="M31712" s="85"/>
    </row>
    <row r="31713" spans="9:13" x14ac:dyDescent="0.3">
      <c r="I31713" s="82"/>
      <c r="M31713" s="85"/>
    </row>
    <row r="31714" spans="9:13" x14ac:dyDescent="0.3">
      <c r="I31714" s="82"/>
      <c r="M31714" s="85"/>
    </row>
    <row r="31715" spans="9:13" x14ac:dyDescent="0.3">
      <c r="I31715" s="82"/>
      <c r="M31715" s="85"/>
    </row>
    <row r="31716" spans="9:13" x14ac:dyDescent="0.3">
      <c r="I31716" s="82"/>
      <c r="M31716" s="85"/>
    </row>
    <row r="31717" spans="9:13" x14ac:dyDescent="0.3">
      <c r="I31717" s="82"/>
      <c r="M31717" s="85"/>
    </row>
    <row r="31718" spans="9:13" x14ac:dyDescent="0.3">
      <c r="I31718" s="82"/>
      <c r="M31718" s="85"/>
    </row>
    <row r="31719" spans="9:13" x14ac:dyDescent="0.3">
      <c r="I31719" s="82"/>
      <c r="M31719" s="85"/>
    </row>
    <row r="31720" spans="9:13" x14ac:dyDescent="0.3">
      <c r="I31720" s="82"/>
      <c r="M31720" s="85"/>
    </row>
    <row r="31721" spans="9:13" x14ac:dyDescent="0.3">
      <c r="I31721" s="82"/>
      <c r="M31721" s="85"/>
    </row>
    <row r="31722" spans="9:13" x14ac:dyDescent="0.3">
      <c r="I31722" s="82"/>
      <c r="M31722" s="85"/>
    </row>
    <row r="31723" spans="9:13" x14ac:dyDescent="0.3">
      <c r="I31723" s="82"/>
      <c r="M31723" s="85"/>
    </row>
    <row r="31724" spans="9:13" x14ac:dyDescent="0.3">
      <c r="I31724" s="82"/>
      <c r="M31724" s="85"/>
    </row>
    <row r="31725" spans="9:13" x14ac:dyDescent="0.3">
      <c r="I31725" s="82"/>
      <c r="M31725" s="85"/>
    </row>
    <row r="31726" spans="9:13" x14ac:dyDescent="0.3">
      <c r="I31726" s="82"/>
      <c r="M31726" s="85"/>
    </row>
    <row r="31727" spans="9:13" x14ac:dyDescent="0.3">
      <c r="I31727" s="82"/>
      <c r="M31727" s="85"/>
    </row>
    <row r="31728" spans="9:13" x14ac:dyDescent="0.3">
      <c r="I31728" s="82"/>
      <c r="M31728" s="85"/>
    </row>
    <row r="31729" spans="9:13" x14ac:dyDescent="0.3">
      <c r="I31729" s="82"/>
      <c r="M31729" s="85"/>
    </row>
    <row r="31730" spans="9:13" x14ac:dyDescent="0.3">
      <c r="I31730" s="82"/>
      <c r="M31730" s="85"/>
    </row>
    <row r="31731" spans="9:13" x14ac:dyDescent="0.3">
      <c r="I31731" s="82"/>
      <c r="M31731" s="85"/>
    </row>
    <row r="31732" spans="9:13" x14ac:dyDescent="0.3">
      <c r="I31732" s="82"/>
      <c r="M31732" s="85"/>
    </row>
    <row r="31733" spans="9:13" x14ac:dyDescent="0.3">
      <c r="I31733" s="82"/>
      <c r="M31733" s="85"/>
    </row>
    <row r="31734" spans="9:13" x14ac:dyDescent="0.3">
      <c r="I31734" s="82"/>
      <c r="M31734" s="85"/>
    </row>
    <row r="31735" spans="9:13" x14ac:dyDescent="0.3">
      <c r="I31735" s="82"/>
      <c r="M31735" s="85"/>
    </row>
    <row r="31736" spans="9:13" x14ac:dyDescent="0.3">
      <c r="I31736" s="82"/>
      <c r="M31736" s="85"/>
    </row>
    <row r="31737" spans="9:13" x14ac:dyDescent="0.3">
      <c r="I31737" s="82"/>
      <c r="M31737" s="85"/>
    </row>
    <row r="31738" spans="9:13" x14ac:dyDescent="0.3">
      <c r="I31738" s="82"/>
      <c r="M31738" s="85"/>
    </row>
    <row r="31739" spans="9:13" x14ac:dyDescent="0.3">
      <c r="I31739" s="82"/>
      <c r="M31739" s="85"/>
    </row>
    <row r="31740" spans="9:13" x14ac:dyDescent="0.3">
      <c r="I31740" s="82"/>
      <c r="M31740" s="85"/>
    </row>
    <row r="31741" spans="9:13" x14ac:dyDescent="0.3">
      <c r="I31741" s="82"/>
      <c r="M31741" s="85"/>
    </row>
    <row r="31742" spans="9:13" x14ac:dyDescent="0.3">
      <c r="I31742" s="82"/>
      <c r="M31742" s="85"/>
    </row>
    <row r="31743" spans="9:13" x14ac:dyDescent="0.3">
      <c r="I31743" s="82"/>
      <c r="M31743" s="85"/>
    </row>
    <row r="31744" spans="9:13" x14ac:dyDescent="0.3">
      <c r="I31744" s="82"/>
      <c r="M31744" s="85"/>
    </row>
    <row r="31745" spans="9:13" x14ac:dyDescent="0.3">
      <c r="I31745" s="82"/>
      <c r="M31745" s="85"/>
    </row>
    <row r="31746" spans="9:13" x14ac:dyDescent="0.3">
      <c r="I31746" s="82"/>
      <c r="M31746" s="85"/>
    </row>
    <row r="31747" spans="9:13" x14ac:dyDescent="0.3">
      <c r="I31747" s="82"/>
      <c r="M31747" s="85"/>
    </row>
    <row r="31748" spans="9:13" x14ac:dyDescent="0.3">
      <c r="I31748" s="82"/>
      <c r="M31748" s="85"/>
    </row>
    <row r="31749" spans="9:13" x14ac:dyDescent="0.3">
      <c r="I31749" s="82"/>
      <c r="M31749" s="85"/>
    </row>
    <row r="31750" spans="9:13" x14ac:dyDescent="0.3">
      <c r="I31750" s="82"/>
      <c r="M31750" s="85"/>
    </row>
    <row r="31751" spans="9:13" x14ac:dyDescent="0.3">
      <c r="I31751" s="82"/>
      <c r="M31751" s="85"/>
    </row>
    <row r="31752" spans="9:13" x14ac:dyDescent="0.3">
      <c r="I31752" s="82"/>
      <c r="M31752" s="85"/>
    </row>
    <row r="31753" spans="9:13" x14ac:dyDescent="0.3">
      <c r="I31753" s="82"/>
      <c r="M31753" s="85"/>
    </row>
    <row r="31754" spans="9:13" x14ac:dyDescent="0.3">
      <c r="I31754" s="82"/>
      <c r="M31754" s="85"/>
    </row>
    <row r="31755" spans="9:13" x14ac:dyDescent="0.3">
      <c r="I31755" s="82"/>
      <c r="M31755" s="85"/>
    </row>
    <row r="31756" spans="9:13" x14ac:dyDescent="0.3">
      <c r="I31756" s="82"/>
      <c r="M31756" s="85"/>
    </row>
    <row r="31757" spans="9:13" x14ac:dyDescent="0.3">
      <c r="I31757" s="82"/>
      <c r="M31757" s="85"/>
    </row>
    <row r="31758" spans="9:13" x14ac:dyDescent="0.3">
      <c r="I31758" s="82"/>
      <c r="M31758" s="85"/>
    </row>
    <row r="31759" spans="9:13" x14ac:dyDescent="0.3">
      <c r="I31759" s="82"/>
      <c r="M31759" s="85"/>
    </row>
    <row r="31760" spans="9:13" x14ac:dyDescent="0.3">
      <c r="I31760" s="82"/>
      <c r="M31760" s="85"/>
    </row>
    <row r="31761" spans="9:13" x14ac:dyDescent="0.3">
      <c r="I31761" s="82"/>
      <c r="M31761" s="85"/>
    </row>
    <row r="31762" spans="9:13" x14ac:dyDescent="0.3">
      <c r="I31762" s="82"/>
      <c r="M31762" s="85"/>
    </row>
    <row r="31763" spans="9:13" x14ac:dyDescent="0.3">
      <c r="I31763" s="82"/>
      <c r="M31763" s="85"/>
    </row>
    <row r="31764" spans="9:13" x14ac:dyDescent="0.3">
      <c r="I31764" s="82"/>
      <c r="M31764" s="85"/>
    </row>
    <row r="31765" spans="9:13" x14ac:dyDescent="0.3">
      <c r="I31765" s="82"/>
      <c r="M31765" s="85"/>
    </row>
    <row r="31766" spans="9:13" x14ac:dyDescent="0.3">
      <c r="I31766" s="82"/>
      <c r="M31766" s="85"/>
    </row>
    <row r="31767" spans="9:13" x14ac:dyDescent="0.3">
      <c r="I31767" s="82"/>
      <c r="M31767" s="85"/>
    </row>
    <row r="31768" spans="9:13" x14ac:dyDescent="0.3">
      <c r="I31768" s="82"/>
      <c r="M31768" s="85"/>
    </row>
    <row r="31769" spans="9:13" x14ac:dyDescent="0.3">
      <c r="I31769" s="82"/>
      <c r="M31769" s="85"/>
    </row>
    <row r="31770" spans="9:13" x14ac:dyDescent="0.3">
      <c r="I31770" s="82"/>
      <c r="M31770" s="85"/>
    </row>
    <row r="31771" spans="9:13" x14ac:dyDescent="0.3">
      <c r="I31771" s="82"/>
      <c r="M31771" s="85"/>
    </row>
    <row r="31772" spans="9:13" x14ac:dyDescent="0.3">
      <c r="I31772" s="82"/>
      <c r="M31772" s="85"/>
    </row>
    <row r="31773" spans="9:13" x14ac:dyDescent="0.3">
      <c r="I31773" s="82"/>
      <c r="M31773" s="85"/>
    </row>
    <row r="31774" spans="9:13" x14ac:dyDescent="0.3">
      <c r="I31774" s="82"/>
      <c r="M31774" s="85"/>
    </row>
    <row r="31775" spans="9:13" x14ac:dyDescent="0.3">
      <c r="I31775" s="82"/>
      <c r="M31775" s="85"/>
    </row>
    <row r="31776" spans="9:13" x14ac:dyDescent="0.3">
      <c r="I31776" s="82"/>
      <c r="M31776" s="85"/>
    </row>
    <row r="31777" spans="9:13" x14ac:dyDescent="0.3">
      <c r="I31777" s="82"/>
      <c r="M31777" s="85"/>
    </row>
    <row r="31778" spans="9:13" x14ac:dyDescent="0.3">
      <c r="I31778" s="82"/>
      <c r="M31778" s="85"/>
    </row>
    <row r="31779" spans="9:13" x14ac:dyDescent="0.3">
      <c r="I31779" s="82"/>
      <c r="M31779" s="85"/>
    </row>
    <row r="31780" spans="9:13" x14ac:dyDescent="0.3">
      <c r="I31780" s="82"/>
      <c r="M31780" s="85"/>
    </row>
    <row r="31781" spans="9:13" x14ac:dyDescent="0.3">
      <c r="I31781" s="82"/>
      <c r="M31781" s="85"/>
    </row>
    <row r="31782" spans="9:13" x14ac:dyDescent="0.3">
      <c r="I31782" s="82"/>
      <c r="M31782" s="85"/>
    </row>
    <row r="31783" spans="9:13" x14ac:dyDescent="0.3">
      <c r="I31783" s="82"/>
      <c r="M31783" s="85"/>
    </row>
    <row r="31784" spans="9:13" x14ac:dyDescent="0.3">
      <c r="I31784" s="82"/>
      <c r="M31784" s="85"/>
    </row>
    <row r="31785" spans="9:13" x14ac:dyDescent="0.3">
      <c r="I31785" s="82"/>
      <c r="M31785" s="85"/>
    </row>
    <row r="31786" spans="9:13" x14ac:dyDescent="0.3">
      <c r="I31786" s="82"/>
      <c r="M31786" s="85"/>
    </row>
    <row r="31787" spans="9:13" x14ac:dyDescent="0.3">
      <c r="I31787" s="82"/>
      <c r="M31787" s="85"/>
    </row>
    <row r="31788" spans="9:13" x14ac:dyDescent="0.3">
      <c r="I31788" s="82"/>
      <c r="M31788" s="85"/>
    </row>
    <row r="31789" spans="9:13" x14ac:dyDescent="0.3">
      <c r="I31789" s="82"/>
      <c r="M31789" s="85"/>
    </row>
    <row r="31790" spans="9:13" x14ac:dyDescent="0.3">
      <c r="I31790" s="82"/>
      <c r="M31790" s="85"/>
    </row>
    <row r="31791" spans="9:13" x14ac:dyDescent="0.3">
      <c r="I31791" s="82"/>
      <c r="M31791" s="85"/>
    </row>
    <row r="31792" spans="9:13" x14ac:dyDescent="0.3">
      <c r="I31792" s="82"/>
      <c r="M31792" s="85"/>
    </row>
    <row r="31793" spans="9:13" x14ac:dyDescent="0.3">
      <c r="I31793" s="82"/>
      <c r="M31793" s="85"/>
    </row>
    <row r="31794" spans="9:13" x14ac:dyDescent="0.3">
      <c r="I31794" s="82"/>
      <c r="M31794" s="85"/>
    </row>
    <row r="31795" spans="9:13" x14ac:dyDescent="0.3">
      <c r="I31795" s="82"/>
      <c r="M31795" s="85"/>
    </row>
    <row r="31796" spans="9:13" x14ac:dyDescent="0.3">
      <c r="I31796" s="82"/>
      <c r="M31796" s="85"/>
    </row>
    <row r="31797" spans="9:13" x14ac:dyDescent="0.3">
      <c r="I31797" s="82"/>
      <c r="M31797" s="85"/>
    </row>
    <row r="31798" spans="9:13" x14ac:dyDescent="0.3">
      <c r="I31798" s="82"/>
      <c r="M31798" s="85"/>
    </row>
    <row r="31799" spans="9:13" x14ac:dyDescent="0.3">
      <c r="I31799" s="82"/>
      <c r="M31799" s="85"/>
    </row>
    <row r="31800" spans="9:13" x14ac:dyDescent="0.3">
      <c r="I31800" s="82"/>
      <c r="M31800" s="85"/>
    </row>
    <row r="31801" spans="9:13" x14ac:dyDescent="0.3">
      <c r="I31801" s="82"/>
      <c r="M31801" s="85"/>
    </row>
    <row r="31802" spans="9:13" x14ac:dyDescent="0.3">
      <c r="I31802" s="82"/>
      <c r="M31802" s="85"/>
    </row>
    <row r="31803" spans="9:13" x14ac:dyDescent="0.3">
      <c r="I31803" s="82"/>
      <c r="M31803" s="85"/>
    </row>
    <row r="31804" spans="9:13" x14ac:dyDescent="0.3">
      <c r="I31804" s="82"/>
      <c r="M31804" s="85"/>
    </row>
    <row r="31805" spans="9:13" x14ac:dyDescent="0.3">
      <c r="I31805" s="82"/>
      <c r="M31805" s="85"/>
    </row>
    <row r="31806" spans="9:13" x14ac:dyDescent="0.3">
      <c r="I31806" s="82"/>
      <c r="M31806" s="85"/>
    </row>
    <row r="31807" spans="9:13" x14ac:dyDescent="0.3">
      <c r="I31807" s="82"/>
      <c r="M31807" s="85"/>
    </row>
    <row r="31808" spans="9:13" x14ac:dyDescent="0.3">
      <c r="I31808" s="82"/>
      <c r="M31808" s="85"/>
    </row>
    <row r="31809" spans="9:13" x14ac:dyDescent="0.3">
      <c r="I31809" s="82"/>
      <c r="M31809" s="85"/>
    </row>
    <row r="31810" spans="9:13" x14ac:dyDescent="0.3">
      <c r="I31810" s="82"/>
      <c r="M31810" s="85"/>
    </row>
    <row r="31811" spans="9:13" x14ac:dyDescent="0.3">
      <c r="I31811" s="82"/>
      <c r="M31811" s="85"/>
    </row>
    <row r="31812" spans="9:13" x14ac:dyDescent="0.3">
      <c r="I31812" s="82"/>
      <c r="M31812" s="85"/>
    </row>
    <row r="31813" spans="9:13" x14ac:dyDescent="0.3">
      <c r="I31813" s="82"/>
      <c r="M31813" s="85"/>
    </row>
    <row r="31814" spans="9:13" x14ac:dyDescent="0.3">
      <c r="I31814" s="82"/>
      <c r="M31814" s="85"/>
    </row>
    <row r="31815" spans="9:13" x14ac:dyDescent="0.3">
      <c r="I31815" s="82"/>
      <c r="M31815" s="85"/>
    </row>
    <row r="31816" spans="9:13" x14ac:dyDescent="0.3">
      <c r="I31816" s="82"/>
      <c r="M31816" s="85"/>
    </row>
    <row r="31817" spans="9:13" x14ac:dyDescent="0.3">
      <c r="I31817" s="82"/>
      <c r="M31817" s="85"/>
    </row>
    <row r="31818" spans="9:13" x14ac:dyDescent="0.3">
      <c r="I31818" s="82"/>
      <c r="M31818" s="85"/>
    </row>
    <row r="31819" spans="9:13" x14ac:dyDescent="0.3">
      <c r="I31819" s="82"/>
      <c r="M31819" s="85"/>
    </row>
    <row r="31820" spans="9:13" x14ac:dyDescent="0.3">
      <c r="I31820" s="82"/>
      <c r="M31820" s="85"/>
    </row>
    <row r="31821" spans="9:13" x14ac:dyDescent="0.3">
      <c r="I31821" s="82"/>
      <c r="M31821" s="85"/>
    </row>
    <row r="31822" spans="9:13" x14ac:dyDescent="0.3">
      <c r="I31822" s="82"/>
      <c r="M31822" s="85"/>
    </row>
    <row r="31823" spans="9:13" x14ac:dyDescent="0.3">
      <c r="I31823" s="82"/>
      <c r="M31823" s="85"/>
    </row>
    <row r="31824" spans="9:13" x14ac:dyDescent="0.3">
      <c r="I31824" s="82"/>
      <c r="M31824" s="85"/>
    </row>
    <row r="31825" spans="9:13" x14ac:dyDescent="0.3">
      <c r="I31825" s="82"/>
      <c r="M31825" s="85"/>
    </row>
    <row r="31826" spans="9:13" x14ac:dyDescent="0.3">
      <c r="I31826" s="82"/>
      <c r="M31826" s="85"/>
    </row>
    <row r="31827" spans="9:13" x14ac:dyDescent="0.3">
      <c r="I31827" s="82"/>
      <c r="M31827" s="85"/>
    </row>
    <row r="31828" spans="9:13" x14ac:dyDescent="0.3">
      <c r="I31828" s="82"/>
      <c r="M31828" s="85"/>
    </row>
    <row r="31829" spans="9:13" x14ac:dyDescent="0.3">
      <c r="I31829" s="82"/>
      <c r="M31829" s="85"/>
    </row>
    <row r="31830" spans="9:13" x14ac:dyDescent="0.3">
      <c r="I31830" s="82"/>
      <c r="M31830" s="85"/>
    </row>
    <row r="31831" spans="9:13" x14ac:dyDescent="0.3">
      <c r="I31831" s="82"/>
      <c r="M31831" s="85"/>
    </row>
    <row r="31832" spans="9:13" x14ac:dyDescent="0.3">
      <c r="I31832" s="82"/>
      <c r="M31832" s="85"/>
    </row>
    <row r="31833" spans="9:13" x14ac:dyDescent="0.3">
      <c r="I31833" s="82"/>
      <c r="M31833" s="85"/>
    </row>
    <row r="31834" spans="9:13" x14ac:dyDescent="0.3">
      <c r="I31834" s="82"/>
      <c r="M31834" s="85"/>
    </row>
    <row r="31835" spans="9:13" x14ac:dyDescent="0.3">
      <c r="I31835" s="82"/>
      <c r="M31835" s="85"/>
    </row>
    <row r="31836" spans="9:13" x14ac:dyDescent="0.3">
      <c r="I31836" s="82"/>
      <c r="M31836" s="85"/>
    </row>
    <row r="31837" spans="9:13" x14ac:dyDescent="0.3">
      <c r="I31837" s="82"/>
      <c r="M31837" s="85"/>
    </row>
    <row r="31838" spans="9:13" x14ac:dyDescent="0.3">
      <c r="I31838" s="82"/>
      <c r="M31838" s="85"/>
    </row>
    <row r="31839" spans="9:13" x14ac:dyDescent="0.3">
      <c r="I31839" s="82"/>
      <c r="M31839" s="85"/>
    </row>
    <row r="31840" spans="9:13" x14ac:dyDescent="0.3">
      <c r="I31840" s="82"/>
      <c r="M31840" s="85"/>
    </row>
    <row r="31841" spans="9:13" x14ac:dyDescent="0.3">
      <c r="I31841" s="82"/>
      <c r="M31841" s="85"/>
    </row>
    <row r="31842" spans="9:13" x14ac:dyDescent="0.3">
      <c r="I31842" s="82"/>
      <c r="M31842" s="85"/>
    </row>
    <row r="31843" spans="9:13" x14ac:dyDescent="0.3">
      <c r="I31843" s="82"/>
      <c r="M31843" s="85"/>
    </row>
    <row r="31844" spans="9:13" x14ac:dyDescent="0.3">
      <c r="I31844" s="82"/>
      <c r="M31844" s="85"/>
    </row>
    <row r="31845" spans="9:13" x14ac:dyDescent="0.3">
      <c r="I31845" s="82"/>
      <c r="M31845" s="85"/>
    </row>
    <row r="31846" spans="9:13" x14ac:dyDescent="0.3">
      <c r="I31846" s="82"/>
      <c r="M31846" s="85"/>
    </row>
    <row r="31847" spans="9:13" x14ac:dyDescent="0.3">
      <c r="I31847" s="82"/>
      <c r="M31847" s="85"/>
    </row>
    <row r="31848" spans="9:13" x14ac:dyDescent="0.3">
      <c r="I31848" s="82"/>
      <c r="M31848" s="85"/>
    </row>
    <row r="31849" spans="9:13" x14ac:dyDescent="0.3">
      <c r="I31849" s="82"/>
      <c r="M31849" s="85"/>
    </row>
    <row r="31850" spans="9:13" x14ac:dyDescent="0.3">
      <c r="I31850" s="82"/>
      <c r="M31850" s="85"/>
    </row>
    <row r="31851" spans="9:13" x14ac:dyDescent="0.3">
      <c r="I31851" s="82"/>
      <c r="M31851" s="85"/>
    </row>
    <row r="31852" spans="9:13" x14ac:dyDescent="0.3">
      <c r="I31852" s="82"/>
      <c r="M31852" s="85"/>
    </row>
    <row r="31853" spans="9:13" x14ac:dyDescent="0.3">
      <c r="I31853" s="82"/>
      <c r="M31853" s="85"/>
    </row>
    <row r="31854" spans="9:13" x14ac:dyDescent="0.3">
      <c r="I31854" s="82"/>
      <c r="M31854" s="85"/>
    </row>
    <row r="31855" spans="9:13" x14ac:dyDescent="0.3">
      <c r="I31855" s="82"/>
      <c r="M31855" s="85"/>
    </row>
    <row r="31856" spans="9:13" x14ac:dyDescent="0.3">
      <c r="I31856" s="82"/>
      <c r="M31856" s="85"/>
    </row>
    <row r="31857" spans="9:13" x14ac:dyDescent="0.3">
      <c r="I31857" s="82"/>
      <c r="M31857" s="85"/>
    </row>
    <row r="31858" spans="9:13" x14ac:dyDescent="0.3">
      <c r="I31858" s="82"/>
      <c r="M31858" s="85"/>
    </row>
    <row r="31859" spans="9:13" x14ac:dyDescent="0.3">
      <c r="I31859" s="82"/>
      <c r="M31859" s="85"/>
    </row>
    <row r="31860" spans="9:13" x14ac:dyDescent="0.3">
      <c r="I31860" s="82"/>
      <c r="M31860" s="85"/>
    </row>
    <row r="31861" spans="9:13" x14ac:dyDescent="0.3">
      <c r="I31861" s="82"/>
      <c r="M31861" s="85"/>
    </row>
    <row r="31862" spans="9:13" x14ac:dyDescent="0.3">
      <c r="I31862" s="82"/>
      <c r="M31862" s="85"/>
    </row>
    <row r="31863" spans="9:13" x14ac:dyDescent="0.3">
      <c r="I31863" s="82"/>
      <c r="M31863" s="85"/>
    </row>
    <row r="31864" spans="9:13" x14ac:dyDescent="0.3">
      <c r="I31864" s="82"/>
      <c r="M31864" s="85"/>
    </row>
    <row r="31865" spans="9:13" x14ac:dyDescent="0.3">
      <c r="I31865" s="82"/>
      <c r="M31865" s="85"/>
    </row>
    <row r="31866" spans="9:13" x14ac:dyDescent="0.3">
      <c r="I31866" s="82"/>
      <c r="M31866" s="85"/>
    </row>
    <row r="31867" spans="9:13" x14ac:dyDescent="0.3">
      <c r="I31867" s="82"/>
      <c r="M31867" s="85"/>
    </row>
    <row r="31868" spans="9:13" x14ac:dyDescent="0.3">
      <c r="I31868" s="82"/>
      <c r="M31868" s="85"/>
    </row>
    <row r="31869" spans="9:13" x14ac:dyDescent="0.3">
      <c r="I31869" s="82"/>
      <c r="M31869" s="85"/>
    </row>
    <row r="31870" spans="9:13" x14ac:dyDescent="0.3">
      <c r="I31870" s="82"/>
      <c r="M31870" s="85"/>
    </row>
    <row r="31871" spans="9:13" x14ac:dyDescent="0.3">
      <c r="I31871" s="82"/>
      <c r="M31871" s="85"/>
    </row>
    <row r="31872" spans="9:13" x14ac:dyDescent="0.3">
      <c r="I31872" s="82"/>
      <c r="M31872" s="85"/>
    </row>
    <row r="31873" spans="9:13" x14ac:dyDescent="0.3">
      <c r="I31873" s="82"/>
      <c r="M31873" s="85"/>
    </row>
    <row r="31874" spans="9:13" x14ac:dyDescent="0.3">
      <c r="I31874" s="82"/>
      <c r="M31874" s="85"/>
    </row>
    <row r="31875" spans="9:13" x14ac:dyDescent="0.3">
      <c r="I31875" s="82"/>
      <c r="M31875" s="85"/>
    </row>
    <row r="31876" spans="9:13" x14ac:dyDescent="0.3">
      <c r="I31876" s="82"/>
      <c r="M31876" s="85"/>
    </row>
    <row r="31877" spans="9:13" x14ac:dyDescent="0.3">
      <c r="I31877" s="82"/>
      <c r="M31877" s="85"/>
    </row>
    <row r="31878" spans="9:13" x14ac:dyDescent="0.3">
      <c r="I31878" s="82"/>
      <c r="M31878" s="85"/>
    </row>
    <row r="31879" spans="9:13" x14ac:dyDescent="0.3">
      <c r="I31879" s="82"/>
      <c r="M31879" s="85"/>
    </row>
    <row r="31880" spans="9:13" x14ac:dyDescent="0.3">
      <c r="I31880" s="82"/>
      <c r="M31880" s="85"/>
    </row>
    <row r="31881" spans="9:13" x14ac:dyDescent="0.3">
      <c r="I31881" s="82"/>
      <c r="M31881" s="85"/>
    </row>
    <row r="31882" spans="9:13" x14ac:dyDescent="0.3">
      <c r="I31882" s="82"/>
      <c r="M31882" s="85"/>
    </row>
    <row r="31883" spans="9:13" x14ac:dyDescent="0.3">
      <c r="I31883" s="82"/>
      <c r="M31883" s="85"/>
    </row>
    <row r="31884" spans="9:13" x14ac:dyDescent="0.3">
      <c r="I31884" s="82"/>
      <c r="M31884" s="85"/>
    </row>
    <row r="31885" spans="9:13" x14ac:dyDescent="0.3">
      <c r="I31885" s="82"/>
      <c r="M31885" s="85"/>
    </row>
    <row r="31886" spans="9:13" x14ac:dyDescent="0.3">
      <c r="I31886" s="82"/>
      <c r="M31886" s="85"/>
    </row>
    <row r="31887" spans="9:13" x14ac:dyDescent="0.3">
      <c r="I31887" s="82"/>
      <c r="M31887" s="85"/>
    </row>
    <row r="31888" spans="9:13" x14ac:dyDescent="0.3">
      <c r="I31888" s="82"/>
      <c r="M31888" s="85"/>
    </row>
    <row r="31889" spans="9:13" x14ac:dyDescent="0.3">
      <c r="I31889" s="82"/>
      <c r="M31889" s="85"/>
    </row>
    <row r="31890" spans="9:13" x14ac:dyDescent="0.3">
      <c r="I31890" s="82"/>
      <c r="M31890" s="85"/>
    </row>
    <row r="31891" spans="9:13" x14ac:dyDescent="0.3">
      <c r="I31891" s="82"/>
      <c r="M31891" s="85"/>
    </row>
    <row r="31892" spans="9:13" x14ac:dyDescent="0.3">
      <c r="I31892" s="82"/>
      <c r="M31892" s="85"/>
    </row>
    <row r="31893" spans="9:13" x14ac:dyDescent="0.3">
      <c r="I31893" s="82"/>
      <c r="M31893" s="85"/>
    </row>
    <row r="31894" spans="9:13" x14ac:dyDescent="0.3">
      <c r="I31894" s="82"/>
      <c r="M31894" s="85"/>
    </row>
    <row r="31895" spans="9:13" x14ac:dyDescent="0.3">
      <c r="I31895" s="82"/>
      <c r="M31895" s="85"/>
    </row>
    <row r="31896" spans="9:13" x14ac:dyDescent="0.3">
      <c r="I31896" s="82"/>
      <c r="M31896" s="85"/>
    </row>
    <row r="31897" spans="9:13" x14ac:dyDescent="0.3">
      <c r="I31897" s="82"/>
      <c r="M31897" s="85"/>
    </row>
    <row r="31898" spans="9:13" x14ac:dyDescent="0.3">
      <c r="I31898" s="82"/>
      <c r="M31898" s="85"/>
    </row>
    <row r="31899" spans="9:13" x14ac:dyDescent="0.3">
      <c r="I31899" s="82"/>
      <c r="M31899" s="85"/>
    </row>
    <row r="31900" spans="9:13" x14ac:dyDescent="0.3">
      <c r="I31900" s="82"/>
      <c r="M31900" s="85"/>
    </row>
    <row r="31901" spans="9:13" x14ac:dyDescent="0.3">
      <c r="I31901" s="82"/>
      <c r="M31901" s="85"/>
    </row>
    <row r="31902" spans="9:13" x14ac:dyDescent="0.3">
      <c r="I31902" s="82"/>
      <c r="M31902" s="85"/>
    </row>
    <row r="31903" spans="9:13" x14ac:dyDescent="0.3">
      <c r="I31903" s="82"/>
      <c r="M31903" s="85"/>
    </row>
    <row r="31904" spans="9:13" x14ac:dyDescent="0.3">
      <c r="I31904" s="82"/>
      <c r="M31904" s="85"/>
    </row>
    <row r="31905" spans="9:13" x14ac:dyDescent="0.3">
      <c r="I31905" s="82"/>
      <c r="M31905" s="85"/>
    </row>
    <row r="31906" spans="9:13" x14ac:dyDescent="0.3">
      <c r="I31906" s="82"/>
      <c r="M31906" s="85"/>
    </row>
    <row r="31907" spans="9:13" x14ac:dyDescent="0.3">
      <c r="I31907" s="82"/>
      <c r="M31907" s="85"/>
    </row>
    <row r="31908" spans="9:13" x14ac:dyDescent="0.3">
      <c r="I31908" s="82"/>
      <c r="M31908" s="85"/>
    </row>
    <row r="31909" spans="9:13" x14ac:dyDescent="0.3">
      <c r="I31909" s="82"/>
      <c r="M31909" s="85"/>
    </row>
    <row r="31910" spans="9:13" x14ac:dyDescent="0.3">
      <c r="I31910" s="82"/>
      <c r="M31910" s="85"/>
    </row>
    <row r="31911" spans="9:13" x14ac:dyDescent="0.3">
      <c r="I31911" s="82"/>
      <c r="M31911" s="85"/>
    </row>
    <row r="31912" spans="9:13" x14ac:dyDescent="0.3">
      <c r="I31912" s="82"/>
      <c r="M31912" s="85"/>
    </row>
    <row r="31913" spans="9:13" x14ac:dyDescent="0.3">
      <c r="I31913" s="82"/>
      <c r="M31913" s="85"/>
    </row>
    <row r="31914" spans="9:13" x14ac:dyDescent="0.3">
      <c r="I31914" s="82"/>
      <c r="M31914" s="85"/>
    </row>
    <row r="31915" spans="9:13" x14ac:dyDescent="0.3">
      <c r="I31915" s="82"/>
      <c r="M31915" s="85"/>
    </row>
    <row r="31916" spans="9:13" x14ac:dyDescent="0.3">
      <c r="I31916" s="82"/>
      <c r="M31916" s="85"/>
    </row>
    <row r="31917" spans="9:13" x14ac:dyDescent="0.3">
      <c r="I31917" s="82"/>
      <c r="M31917" s="85"/>
    </row>
    <row r="31918" spans="9:13" x14ac:dyDescent="0.3">
      <c r="I31918" s="82"/>
      <c r="M31918" s="85"/>
    </row>
    <row r="31919" spans="9:13" x14ac:dyDescent="0.3">
      <c r="I31919" s="82"/>
      <c r="M31919" s="85"/>
    </row>
    <row r="31920" spans="9:13" x14ac:dyDescent="0.3">
      <c r="I31920" s="82"/>
      <c r="M31920" s="85"/>
    </row>
    <row r="31921" spans="9:13" x14ac:dyDescent="0.3">
      <c r="I31921" s="82"/>
      <c r="M31921" s="85"/>
    </row>
    <row r="31922" spans="9:13" x14ac:dyDescent="0.3">
      <c r="I31922" s="82"/>
      <c r="M31922" s="85"/>
    </row>
    <row r="31923" spans="9:13" x14ac:dyDescent="0.3">
      <c r="I31923" s="82"/>
      <c r="M31923" s="85"/>
    </row>
    <row r="31924" spans="9:13" x14ac:dyDescent="0.3">
      <c r="I31924" s="82"/>
      <c r="M31924" s="85"/>
    </row>
    <row r="31925" spans="9:13" x14ac:dyDescent="0.3">
      <c r="I31925" s="82"/>
      <c r="M31925" s="85"/>
    </row>
    <row r="31926" spans="9:13" x14ac:dyDescent="0.3">
      <c r="I31926" s="82"/>
      <c r="M31926" s="85"/>
    </row>
    <row r="31927" spans="9:13" x14ac:dyDescent="0.3">
      <c r="I31927" s="82"/>
      <c r="M31927" s="85"/>
    </row>
    <row r="31928" spans="9:13" x14ac:dyDescent="0.3">
      <c r="I31928" s="82"/>
      <c r="M31928" s="85"/>
    </row>
    <row r="31929" spans="9:13" x14ac:dyDescent="0.3">
      <c r="I31929" s="82"/>
      <c r="M31929" s="85"/>
    </row>
    <row r="31930" spans="9:13" x14ac:dyDescent="0.3">
      <c r="I31930" s="82"/>
      <c r="M31930" s="85"/>
    </row>
    <row r="31931" spans="9:13" x14ac:dyDescent="0.3">
      <c r="I31931" s="82"/>
      <c r="M31931" s="85"/>
    </row>
    <row r="31932" spans="9:13" x14ac:dyDescent="0.3">
      <c r="I31932" s="82"/>
      <c r="M31932" s="85"/>
    </row>
    <row r="31933" spans="9:13" x14ac:dyDescent="0.3">
      <c r="I31933" s="82"/>
      <c r="M31933" s="85"/>
    </row>
    <row r="31934" spans="9:13" x14ac:dyDescent="0.3">
      <c r="I31934" s="82"/>
      <c r="M31934" s="85"/>
    </row>
    <row r="31935" spans="9:13" x14ac:dyDescent="0.3">
      <c r="I31935" s="82"/>
      <c r="M31935" s="85"/>
    </row>
    <row r="31936" spans="9:13" x14ac:dyDescent="0.3">
      <c r="I31936" s="82"/>
      <c r="M31936" s="85"/>
    </row>
    <row r="31937" spans="9:13" x14ac:dyDescent="0.3">
      <c r="I31937" s="82"/>
      <c r="M31937" s="85"/>
    </row>
    <row r="31938" spans="9:13" x14ac:dyDescent="0.3">
      <c r="I31938" s="82"/>
      <c r="M31938" s="85"/>
    </row>
    <row r="31939" spans="9:13" x14ac:dyDescent="0.3">
      <c r="I31939" s="82"/>
      <c r="M31939" s="85"/>
    </row>
    <row r="31940" spans="9:13" x14ac:dyDescent="0.3">
      <c r="I31940" s="82"/>
      <c r="M31940" s="85"/>
    </row>
    <row r="31941" spans="9:13" x14ac:dyDescent="0.3">
      <c r="I31941" s="82"/>
      <c r="M31941" s="85"/>
    </row>
    <row r="31942" spans="9:13" x14ac:dyDescent="0.3">
      <c r="I31942" s="82"/>
      <c r="M31942" s="85"/>
    </row>
    <row r="31943" spans="9:13" x14ac:dyDescent="0.3">
      <c r="I31943" s="82"/>
      <c r="M31943" s="85"/>
    </row>
    <row r="31944" spans="9:13" x14ac:dyDescent="0.3">
      <c r="I31944" s="82"/>
      <c r="M31944" s="85"/>
    </row>
    <row r="31945" spans="9:13" x14ac:dyDescent="0.3">
      <c r="I31945" s="82"/>
      <c r="M31945" s="85"/>
    </row>
    <row r="31946" spans="9:13" x14ac:dyDescent="0.3">
      <c r="I31946" s="82"/>
      <c r="M31946" s="85"/>
    </row>
    <row r="31947" spans="9:13" x14ac:dyDescent="0.3">
      <c r="I31947" s="82"/>
      <c r="M31947" s="85"/>
    </row>
    <row r="31948" spans="9:13" x14ac:dyDescent="0.3">
      <c r="I31948" s="82"/>
      <c r="M31948" s="85"/>
    </row>
    <row r="31949" spans="9:13" x14ac:dyDescent="0.3">
      <c r="I31949" s="82"/>
      <c r="M31949" s="85"/>
    </row>
    <row r="31950" spans="9:13" x14ac:dyDescent="0.3">
      <c r="I31950" s="82"/>
      <c r="M31950" s="85"/>
    </row>
    <row r="31951" spans="9:13" x14ac:dyDescent="0.3">
      <c r="I31951" s="82"/>
      <c r="M31951" s="85"/>
    </row>
    <row r="31952" spans="9:13" x14ac:dyDescent="0.3">
      <c r="I31952" s="82"/>
      <c r="M31952" s="85"/>
    </row>
    <row r="31953" spans="9:13" x14ac:dyDescent="0.3">
      <c r="I31953" s="82"/>
      <c r="M31953" s="85"/>
    </row>
    <row r="31954" spans="9:13" x14ac:dyDescent="0.3">
      <c r="I31954" s="82"/>
      <c r="M31954" s="85"/>
    </row>
    <row r="31955" spans="9:13" x14ac:dyDescent="0.3">
      <c r="I31955" s="82"/>
      <c r="M31955" s="85"/>
    </row>
    <row r="31956" spans="9:13" x14ac:dyDescent="0.3">
      <c r="I31956" s="82"/>
      <c r="M31956" s="85"/>
    </row>
    <row r="31957" spans="9:13" x14ac:dyDescent="0.3">
      <c r="I31957" s="82"/>
      <c r="M31957" s="85"/>
    </row>
    <row r="31958" spans="9:13" x14ac:dyDescent="0.3">
      <c r="I31958" s="82"/>
      <c r="M31958" s="85"/>
    </row>
    <row r="31959" spans="9:13" x14ac:dyDescent="0.3">
      <c r="I31959" s="82"/>
      <c r="M31959" s="85"/>
    </row>
    <row r="31960" spans="9:13" x14ac:dyDescent="0.3">
      <c r="I31960" s="82"/>
      <c r="M31960" s="85"/>
    </row>
    <row r="31961" spans="9:13" x14ac:dyDescent="0.3">
      <c r="I31961" s="82"/>
      <c r="M31961" s="85"/>
    </row>
    <row r="31962" spans="9:13" x14ac:dyDescent="0.3">
      <c r="I31962" s="82"/>
      <c r="M31962" s="85"/>
    </row>
    <row r="31963" spans="9:13" x14ac:dyDescent="0.3">
      <c r="I31963" s="82"/>
      <c r="M31963" s="85"/>
    </row>
    <row r="31964" spans="9:13" x14ac:dyDescent="0.3">
      <c r="I31964" s="82"/>
      <c r="M31964" s="85"/>
    </row>
    <row r="31965" spans="9:13" x14ac:dyDescent="0.3">
      <c r="I31965" s="82"/>
      <c r="M31965" s="85"/>
    </row>
    <row r="31966" spans="9:13" x14ac:dyDescent="0.3">
      <c r="I31966" s="82"/>
      <c r="M31966" s="85"/>
    </row>
    <row r="31967" spans="9:13" x14ac:dyDescent="0.3">
      <c r="I31967" s="82"/>
      <c r="M31967" s="85"/>
    </row>
    <row r="31968" spans="9:13" x14ac:dyDescent="0.3">
      <c r="I31968" s="82"/>
      <c r="M31968" s="85"/>
    </row>
    <row r="31969" spans="9:13" x14ac:dyDescent="0.3">
      <c r="I31969" s="82"/>
      <c r="M31969" s="85"/>
    </row>
    <row r="31970" spans="9:13" x14ac:dyDescent="0.3">
      <c r="I31970" s="82"/>
      <c r="M31970" s="85"/>
    </row>
    <row r="31971" spans="9:13" x14ac:dyDescent="0.3">
      <c r="I31971" s="82"/>
      <c r="M31971" s="85"/>
    </row>
    <row r="31972" spans="9:13" x14ac:dyDescent="0.3">
      <c r="I31972" s="82"/>
      <c r="M31972" s="85"/>
    </row>
    <row r="31973" spans="9:13" x14ac:dyDescent="0.3">
      <c r="I31973" s="82"/>
      <c r="M31973" s="85"/>
    </row>
    <row r="31974" spans="9:13" x14ac:dyDescent="0.3">
      <c r="I31974" s="82"/>
      <c r="M31974" s="85"/>
    </row>
    <row r="31975" spans="9:13" x14ac:dyDescent="0.3">
      <c r="I31975" s="82"/>
      <c r="M31975" s="85"/>
    </row>
    <row r="31976" spans="9:13" x14ac:dyDescent="0.3">
      <c r="I31976" s="82"/>
      <c r="M31976" s="85"/>
    </row>
    <row r="31977" spans="9:13" x14ac:dyDescent="0.3">
      <c r="I31977" s="82"/>
      <c r="M31977" s="85"/>
    </row>
    <row r="31978" spans="9:13" x14ac:dyDescent="0.3">
      <c r="I31978" s="82"/>
      <c r="M31978" s="85"/>
    </row>
    <row r="31979" spans="9:13" x14ac:dyDescent="0.3">
      <c r="I31979" s="82"/>
      <c r="M31979" s="85"/>
    </row>
    <row r="31980" spans="9:13" x14ac:dyDescent="0.3">
      <c r="I31980" s="82"/>
      <c r="M31980" s="85"/>
    </row>
    <row r="31981" spans="9:13" x14ac:dyDescent="0.3">
      <c r="I31981" s="82"/>
      <c r="M31981" s="85"/>
    </row>
    <row r="31982" spans="9:13" x14ac:dyDescent="0.3">
      <c r="I31982" s="82"/>
      <c r="M31982" s="85"/>
    </row>
    <row r="31983" spans="9:13" x14ac:dyDescent="0.3">
      <c r="I31983" s="82"/>
      <c r="M31983" s="85"/>
    </row>
    <row r="31984" spans="9:13" x14ac:dyDescent="0.3">
      <c r="I31984" s="82"/>
      <c r="M31984" s="85"/>
    </row>
    <row r="31985" spans="9:13" x14ac:dyDescent="0.3">
      <c r="I31985" s="82"/>
      <c r="M31985" s="85"/>
    </row>
    <row r="31986" spans="9:13" x14ac:dyDescent="0.3">
      <c r="I31986" s="82"/>
      <c r="M31986" s="85"/>
    </row>
    <row r="31987" spans="9:13" x14ac:dyDescent="0.3">
      <c r="I31987" s="82"/>
      <c r="M31987" s="85"/>
    </row>
    <row r="31988" spans="9:13" x14ac:dyDescent="0.3">
      <c r="I31988" s="82"/>
      <c r="M31988" s="85"/>
    </row>
    <row r="31989" spans="9:13" x14ac:dyDescent="0.3">
      <c r="I31989" s="82"/>
      <c r="M31989" s="85"/>
    </row>
    <row r="31990" spans="9:13" x14ac:dyDescent="0.3">
      <c r="I31990" s="82"/>
      <c r="M31990" s="85"/>
    </row>
    <row r="31991" spans="9:13" x14ac:dyDescent="0.3">
      <c r="I31991" s="82"/>
      <c r="M31991" s="85"/>
    </row>
    <row r="31992" spans="9:13" x14ac:dyDescent="0.3">
      <c r="I31992" s="82"/>
      <c r="M31992" s="85"/>
    </row>
    <row r="31993" spans="9:13" x14ac:dyDescent="0.3">
      <c r="I31993" s="82"/>
      <c r="M31993" s="85"/>
    </row>
    <row r="31994" spans="9:13" x14ac:dyDescent="0.3">
      <c r="I31994" s="82"/>
      <c r="M31994" s="85"/>
    </row>
    <row r="31995" spans="9:13" x14ac:dyDescent="0.3">
      <c r="I31995" s="82"/>
      <c r="M31995" s="85"/>
    </row>
    <row r="31996" spans="9:13" x14ac:dyDescent="0.3">
      <c r="I31996" s="82"/>
      <c r="M31996" s="85"/>
    </row>
    <row r="31997" spans="9:13" x14ac:dyDescent="0.3">
      <c r="I31997" s="82"/>
      <c r="M31997" s="85"/>
    </row>
    <row r="31998" spans="9:13" x14ac:dyDescent="0.3">
      <c r="I31998" s="82"/>
      <c r="M31998" s="85"/>
    </row>
    <row r="31999" spans="9:13" x14ac:dyDescent="0.3">
      <c r="I31999" s="82"/>
      <c r="M31999" s="85"/>
    </row>
    <row r="32000" spans="9:13" x14ac:dyDescent="0.3">
      <c r="I32000" s="82"/>
      <c r="M32000" s="85"/>
    </row>
    <row r="32001" spans="9:13" x14ac:dyDescent="0.3">
      <c r="I32001" s="82"/>
      <c r="M32001" s="85"/>
    </row>
    <row r="32002" spans="9:13" x14ac:dyDescent="0.3">
      <c r="I32002" s="82"/>
      <c r="M32002" s="85"/>
    </row>
    <row r="32003" spans="9:13" x14ac:dyDescent="0.3">
      <c r="I32003" s="82"/>
      <c r="M32003" s="85"/>
    </row>
    <row r="32004" spans="9:13" x14ac:dyDescent="0.3">
      <c r="I32004" s="82"/>
      <c r="M32004" s="85"/>
    </row>
    <row r="32005" spans="9:13" x14ac:dyDescent="0.3">
      <c r="I32005" s="82"/>
      <c r="M32005" s="85"/>
    </row>
    <row r="32006" spans="9:13" x14ac:dyDescent="0.3">
      <c r="I32006" s="82"/>
      <c r="M32006" s="85"/>
    </row>
    <row r="32007" spans="9:13" x14ac:dyDescent="0.3">
      <c r="I32007" s="82"/>
      <c r="M32007" s="85"/>
    </row>
    <row r="32008" spans="9:13" x14ac:dyDescent="0.3">
      <c r="I32008" s="82"/>
      <c r="M32008" s="85"/>
    </row>
    <row r="32009" spans="9:13" x14ac:dyDescent="0.3">
      <c r="I32009" s="82"/>
      <c r="M32009" s="85"/>
    </row>
    <row r="32010" spans="9:13" x14ac:dyDescent="0.3">
      <c r="I32010" s="82"/>
      <c r="M32010" s="85"/>
    </row>
    <row r="32011" spans="9:13" x14ac:dyDescent="0.3">
      <c r="I32011" s="82"/>
      <c r="M32011" s="85"/>
    </row>
    <row r="32012" spans="9:13" x14ac:dyDescent="0.3">
      <c r="I32012" s="82"/>
      <c r="M32012" s="85"/>
    </row>
    <row r="32013" spans="9:13" x14ac:dyDescent="0.3">
      <c r="I32013" s="82"/>
      <c r="M32013" s="85"/>
    </row>
    <row r="32014" spans="9:13" x14ac:dyDescent="0.3">
      <c r="I32014" s="82"/>
      <c r="M32014" s="85"/>
    </row>
    <row r="32015" spans="9:13" x14ac:dyDescent="0.3">
      <c r="I32015" s="82"/>
      <c r="M32015" s="85"/>
    </row>
    <row r="32016" spans="9:13" x14ac:dyDescent="0.3">
      <c r="I32016" s="82"/>
      <c r="M32016" s="85"/>
    </row>
    <row r="32017" spans="9:13" x14ac:dyDescent="0.3">
      <c r="I32017" s="82"/>
      <c r="M32017" s="85"/>
    </row>
    <row r="32018" spans="9:13" x14ac:dyDescent="0.3">
      <c r="I32018" s="82"/>
      <c r="M32018" s="85"/>
    </row>
    <row r="32019" spans="9:13" x14ac:dyDescent="0.3">
      <c r="I32019" s="82"/>
      <c r="M32019" s="85"/>
    </row>
    <row r="32020" spans="9:13" x14ac:dyDescent="0.3">
      <c r="I32020" s="82"/>
      <c r="M32020" s="85"/>
    </row>
    <row r="32021" spans="9:13" x14ac:dyDescent="0.3">
      <c r="I32021" s="82"/>
      <c r="M32021" s="85"/>
    </row>
    <row r="32022" spans="9:13" x14ac:dyDescent="0.3">
      <c r="I32022" s="82"/>
      <c r="M32022" s="85"/>
    </row>
    <row r="32023" spans="9:13" x14ac:dyDescent="0.3">
      <c r="I32023" s="82"/>
      <c r="M32023" s="85"/>
    </row>
    <row r="32024" spans="9:13" x14ac:dyDescent="0.3">
      <c r="I32024" s="82"/>
      <c r="M32024" s="85"/>
    </row>
    <row r="32025" spans="9:13" x14ac:dyDescent="0.3">
      <c r="I32025" s="82"/>
      <c r="M32025" s="85"/>
    </row>
    <row r="32026" spans="9:13" x14ac:dyDescent="0.3">
      <c r="I32026" s="82"/>
      <c r="M32026" s="85"/>
    </row>
    <row r="32027" spans="9:13" x14ac:dyDescent="0.3">
      <c r="I32027" s="82"/>
      <c r="M32027" s="85"/>
    </row>
    <row r="32028" spans="9:13" x14ac:dyDescent="0.3">
      <c r="I32028" s="82"/>
      <c r="M32028" s="85"/>
    </row>
    <row r="32029" spans="9:13" x14ac:dyDescent="0.3">
      <c r="I32029" s="82"/>
      <c r="M32029" s="85"/>
    </row>
    <row r="32030" spans="9:13" x14ac:dyDescent="0.3">
      <c r="I32030" s="82"/>
      <c r="M32030" s="85"/>
    </row>
    <row r="32031" spans="9:13" x14ac:dyDescent="0.3">
      <c r="I32031" s="82"/>
      <c r="M32031" s="85"/>
    </row>
    <row r="32032" spans="9:13" x14ac:dyDescent="0.3">
      <c r="I32032" s="82"/>
      <c r="M32032" s="85"/>
    </row>
    <row r="32033" spans="9:13" x14ac:dyDescent="0.3">
      <c r="I32033" s="82"/>
      <c r="M32033" s="85"/>
    </row>
    <row r="32034" spans="9:13" x14ac:dyDescent="0.3">
      <c r="I32034" s="82"/>
      <c r="M32034" s="85"/>
    </row>
    <row r="32035" spans="9:13" x14ac:dyDescent="0.3">
      <c r="I32035" s="82"/>
      <c r="M32035" s="85"/>
    </row>
    <row r="32036" spans="9:13" x14ac:dyDescent="0.3">
      <c r="I32036" s="82"/>
      <c r="M32036" s="85"/>
    </row>
    <row r="32037" spans="9:13" x14ac:dyDescent="0.3">
      <c r="I32037" s="82"/>
      <c r="M32037" s="85"/>
    </row>
    <row r="32038" spans="9:13" x14ac:dyDescent="0.3">
      <c r="I32038" s="82"/>
      <c r="M32038" s="85"/>
    </row>
    <row r="32039" spans="9:13" x14ac:dyDescent="0.3">
      <c r="I32039" s="82"/>
      <c r="M32039" s="85"/>
    </row>
    <row r="32040" spans="9:13" x14ac:dyDescent="0.3">
      <c r="I32040" s="82"/>
      <c r="M32040" s="85"/>
    </row>
    <row r="32041" spans="9:13" x14ac:dyDescent="0.3">
      <c r="I32041" s="82"/>
      <c r="M32041" s="85"/>
    </row>
    <row r="32042" spans="9:13" x14ac:dyDescent="0.3">
      <c r="I32042" s="82"/>
      <c r="M32042" s="85"/>
    </row>
    <row r="32043" spans="9:13" x14ac:dyDescent="0.3">
      <c r="I32043" s="82"/>
      <c r="M32043" s="85"/>
    </row>
    <row r="32044" spans="9:13" x14ac:dyDescent="0.3">
      <c r="I32044" s="82"/>
      <c r="M32044" s="85"/>
    </row>
    <row r="32045" spans="9:13" x14ac:dyDescent="0.3">
      <c r="I32045" s="82"/>
      <c r="M32045" s="85"/>
    </row>
    <row r="32046" spans="9:13" x14ac:dyDescent="0.3">
      <c r="I32046" s="82"/>
      <c r="M32046" s="85"/>
    </row>
    <row r="32047" spans="9:13" x14ac:dyDescent="0.3">
      <c r="I32047" s="82"/>
      <c r="M32047" s="85"/>
    </row>
    <row r="32048" spans="9:13" x14ac:dyDescent="0.3">
      <c r="I32048" s="82"/>
      <c r="M32048" s="85"/>
    </row>
    <row r="32049" spans="9:13" x14ac:dyDescent="0.3">
      <c r="I32049" s="82"/>
      <c r="M32049" s="85"/>
    </row>
    <row r="32050" spans="9:13" x14ac:dyDescent="0.3">
      <c r="I32050" s="82"/>
      <c r="M32050" s="85"/>
    </row>
    <row r="32051" spans="9:13" x14ac:dyDescent="0.3">
      <c r="I32051" s="82"/>
      <c r="M32051" s="85"/>
    </row>
    <row r="32052" spans="9:13" x14ac:dyDescent="0.3">
      <c r="I32052" s="82"/>
      <c r="M32052" s="85"/>
    </row>
    <row r="32053" spans="9:13" x14ac:dyDescent="0.3">
      <c r="I32053" s="82"/>
      <c r="M32053" s="85"/>
    </row>
    <row r="32054" spans="9:13" x14ac:dyDescent="0.3">
      <c r="I32054" s="82"/>
      <c r="M32054" s="85"/>
    </row>
    <row r="32055" spans="9:13" x14ac:dyDescent="0.3">
      <c r="I32055" s="82"/>
      <c r="M32055" s="85"/>
    </row>
    <row r="32056" spans="9:13" x14ac:dyDescent="0.3">
      <c r="I32056" s="82"/>
      <c r="M32056" s="85"/>
    </row>
    <row r="32057" spans="9:13" x14ac:dyDescent="0.3">
      <c r="I32057" s="82"/>
      <c r="M32057" s="85"/>
    </row>
    <row r="32058" spans="9:13" x14ac:dyDescent="0.3">
      <c r="I32058" s="82"/>
      <c r="M32058" s="85"/>
    </row>
    <row r="32059" spans="9:13" x14ac:dyDescent="0.3">
      <c r="I32059" s="82"/>
      <c r="M32059" s="85"/>
    </row>
    <row r="32060" spans="9:13" x14ac:dyDescent="0.3">
      <c r="I32060" s="82"/>
      <c r="M32060" s="85"/>
    </row>
    <row r="32061" spans="9:13" x14ac:dyDescent="0.3">
      <c r="I32061" s="82"/>
      <c r="M32061" s="85"/>
    </row>
    <row r="32062" spans="9:13" x14ac:dyDescent="0.3">
      <c r="I32062" s="82"/>
      <c r="M32062" s="85"/>
    </row>
    <row r="32063" spans="9:13" x14ac:dyDescent="0.3">
      <c r="I32063" s="82"/>
      <c r="M32063" s="85"/>
    </row>
    <row r="32064" spans="9:13" x14ac:dyDescent="0.3">
      <c r="I32064" s="82"/>
      <c r="M32064" s="85"/>
    </row>
    <row r="32065" spans="9:13" x14ac:dyDescent="0.3">
      <c r="I32065" s="82"/>
      <c r="M32065" s="85"/>
    </row>
    <row r="32066" spans="9:13" x14ac:dyDescent="0.3">
      <c r="I32066" s="82"/>
      <c r="M32066" s="85"/>
    </row>
    <row r="32067" spans="9:13" x14ac:dyDescent="0.3">
      <c r="I32067" s="82"/>
      <c r="M32067" s="85"/>
    </row>
    <row r="32068" spans="9:13" x14ac:dyDescent="0.3">
      <c r="I32068" s="82"/>
      <c r="M32068" s="85"/>
    </row>
    <row r="32069" spans="9:13" x14ac:dyDescent="0.3">
      <c r="I32069" s="82"/>
      <c r="M32069" s="85"/>
    </row>
    <row r="32070" spans="9:13" x14ac:dyDescent="0.3">
      <c r="I32070" s="82"/>
      <c r="M32070" s="85"/>
    </row>
    <row r="32071" spans="9:13" x14ac:dyDescent="0.3">
      <c r="I32071" s="82"/>
      <c r="M32071" s="85"/>
    </row>
    <row r="32072" spans="9:13" x14ac:dyDescent="0.3">
      <c r="I32072" s="82"/>
      <c r="M32072" s="85"/>
    </row>
    <row r="32073" spans="9:13" x14ac:dyDescent="0.3">
      <c r="I32073" s="82"/>
      <c r="M32073" s="85"/>
    </row>
    <row r="32074" spans="9:13" x14ac:dyDescent="0.3">
      <c r="I32074" s="82"/>
      <c r="M32074" s="85"/>
    </row>
    <row r="32075" spans="9:13" x14ac:dyDescent="0.3">
      <c r="I32075" s="82"/>
      <c r="M32075" s="85"/>
    </row>
    <row r="32076" spans="9:13" x14ac:dyDescent="0.3">
      <c r="I32076" s="82"/>
      <c r="M32076" s="85"/>
    </row>
    <row r="32077" spans="9:13" x14ac:dyDescent="0.3">
      <c r="I32077" s="82"/>
      <c r="M32077" s="85"/>
    </row>
    <row r="32078" spans="9:13" x14ac:dyDescent="0.3">
      <c r="I32078" s="82"/>
      <c r="M32078" s="85"/>
    </row>
    <row r="32079" spans="9:13" x14ac:dyDescent="0.3">
      <c r="I32079" s="82"/>
      <c r="M32079" s="85"/>
    </row>
    <row r="32080" spans="9:13" x14ac:dyDescent="0.3">
      <c r="I32080" s="82"/>
      <c r="M32080" s="85"/>
    </row>
    <row r="32081" spans="9:13" x14ac:dyDescent="0.3">
      <c r="I32081" s="82"/>
      <c r="M32081" s="85"/>
    </row>
    <row r="32082" spans="9:13" x14ac:dyDescent="0.3">
      <c r="I32082" s="82"/>
      <c r="M32082" s="85"/>
    </row>
    <row r="32083" spans="9:13" x14ac:dyDescent="0.3">
      <c r="I32083" s="82"/>
      <c r="M32083" s="85"/>
    </row>
    <row r="32084" spans="9:13" x14ac:dyDescent="0.3">
      <c r="I32084" s="82"/>
      <c r="M32084" s="85"/>
    </row>
    <row r="32085" spans="9:13" x14ac:dyDescent="0.3">
      <c r="I32085" s="82"/>
      <c r="M32085" s="85"/>
    </row>
    <row r="32086" spans="9:13" x14ac:dyDescent="0.3">
      <c r="I32086" s="82"/>
      <c r="M32086" s="85"/>
    </row>
    <row r="32087" spans="9:13" x14ac:dyDescent="0.3">
      <c r="I32087" s="82"/>
      <c r="M32087" s="85"/>
    </row>
    <row r="32088" spans="9:13" x14ac:dyDescent="0.3">
      <c r="I32088" s="82"/>
      <c r="M32088" s="85"/>
    </row>
    <row r="32089" spans="9:13" x14ac:dyDescent="0.3">
      <c r="I32089" s="82"/>
      <c r="M32089" s="85"/>
    </row>
    <row r="32090" spans="9:13" x14ac:dyDescent="0.3">
      <c r="I32090" s="82"/>
      <c r="M32090" s="85"/>
    </row>
    <row r="32091" spans="9:13" x14ac:dyDescent="0.3">
      <c r="I32091" s="82"/>
      <c r="M32091" s="85"/>
    </row>
    <row r="32092" spans="9:13" x14ac:dyDescent="0.3">
      <c r="I32092" s="82"/>
      <c r="M32092" s="85"/>
    </row>
    <row r="32093" spans="9:13" x14ac:dyDescent="0.3">
      <c r="I32093" s="82"/>
      <c r="M32093" s="85"/>
    </row>
    <row r="32094" spans="9:13" x14ac:dyDescent="0.3">
      <c r="I32094" s="82"/>
      <c r="M32094" s="85"/>
    </row>
    <row r="32095" spans="9:13" x14ac:dyDescent="0.3">
      <c r="I32095" s="82"/>
      <c r="M32095" s="85"/>
    </row>
    <row r="32096" spans="9:13" x14ac:dyDescent="0.3">
      <c r="I32096" s="82"/>
      <c r="M32096" s="85"/>
    </row>
    <row r="32097" spans="9:13" x14ac:dyDescent="0.3">
      <c r="I32097" s="82"/>
      <c r="M32097" s="85"/>
    </row>
    <row r="32098" spans="9:13" x14ac:dyDescent="0.3">
      <c r="I32098" s="82"/>
      <c r="M32098" s="85"/>
    </row>
    <row r="32099" spans="9:13" x14ac:dyDescent="0.3">
      <c r="I32099" s="82"/>
      <c r="M32099" s="85"/>
    </row>
    <row r="32100" spans="9:13" x14ac:dyDescent="0.3">
      <c r="I32100" s="82"/>
      <c r="M32100" s="85"/>
    </row>
    <row r="32101" spans="9:13" x14ac:dyDescent="0.3">
      <c r="I32101" s="82"/>
      <c r="M32101" s="85"/>
    </row>
    <row r="32102" spans="9:13" x14ac:dyDescent="0.3">
      <c r="I32102" s="82"/>
      <c r="M32102" s="85"/>
    </row>
    <row r="32103" spans="9:13" x14ac:dyDescent="0.3">
      <c r="I32103" s="82"/>
      <c r="M32103" s="85"/>
    </row>
    <row r="32104" spans="9:13" x14ac:dyDescent="0.3">
      <c r="I32104" s="82"/>
      <c r="M32104" s="85"/>
    </row>
    <row r="32105" spans="9:13" x14ac:dyDescent="0.3">
      <c r="I32105" s="82"/>
      <c r="M32105" s="85"/>
    </row>
    <row r="32106" spans="9:13" x14ac:dyDescent="0.3">
      <c r="I32106" s="82"/>
      <c r="M32106" s="85"/>
    </row>
    <row r="32107" spans="9:13" x14ac:dyDescent="0.3">
      <c r="I32107" s="82"/>
      <c r="M32107" s="85"/>
    </row>
    <row r="32108" spans="9:13" x14ac:dyDescent="0.3">
      <c r="I32108" s="82"/>
      <c r="M32108" s="85"/>
    </row>
    <row r="32109" spans="9:13" x14ac:dyDescent="0.3">
      <c r="I32109" s="82"/>
      <c r="M32109" s="85"/>
    </row>
    <row r="32110" spans="9:13" x14ac:dyDescent="0.3">
      <c r="I32110" s="82"/>
      <c r="M32110" s="85"/>
    </row>
    <row r="32111" spans="9:13" x14ac:dyDescent="0.3">
      <c r="I32111" s="82"/>
      <c r="M32111" s="85"/>
    </row>
    <row r="32112" spans="9:13" x14ac:dyDescent="0.3">
      <c r="I32112" s="82"/>
      <c r="M32112" s="85"/>
    </row>
    <row r="32113" spans="9:13" x14ac:dyDescent="0.3">
      <c r="I32113" s="82"/>
      <c r="M32113" s="85"/>
    </row>
    <row r="32114" spans="9:13" x14ac:dyDescent="0.3">
      <c r="I32114" s="82"/>
      <c r="M32114" s="85"/>
    </row>
    <row r="32115" spans="9:13" x14ac:dyDescent="0.3">
      <c r="I32115" s="82"/>
      <c r="M32115" s="85"/>
    </row>
    <row r="32116" spans="9:13" x14ac:dyDescent="0.3">
      <c r="I32116" s="82"/>
      <c r="M32116" s="85"/>
    </row>
    <row r="32117" spans="9:13" x14ac:dyDescent="0.3">
      <c r="I32117" s="82"/>
      <c r="M32117" s="85"/>
    </row>
    <row r="32118" spans="9:13" x14ac:dyDescent="0.3">
      <c r="I32118" s="82"/>
      <c r="M32118" s="85"/>
    </row>
    <row r="32119" spans="9:13" x14ac:dyDescent="0.3">
      <c r="I32119" s="82"/>
      <c r="M32119" s="85"/>
    </row>
    <row r="32120" spans="9:13" x14ac:dyDescent="0.3">
      <c r="I32120" s="82"/>
      <c r="M32120" s="85"/>
    </row>
    <row r="32121" spans="9:13" x14ac:dyDescent="0.3">
      <c r="I32121" s="82"/>
      <c r="M32121" s="85"/>
    </row>
    <row r="32122" spans="9:13" x14ac:dyDescent="0.3">
      <c r="I32122" s="82"/>
      <c r="M32122" s="85"/>
    </row>
    <row r="32123" spans="9:13" x14ac:dyDescent="0.3">
      <c r="I32123" s="82"/>
      <c r="M32123" s="85"/>
    </row>
    <row r="32124" spans="9:13" x14ac:dyDescent="0.3">
      <c r="I32124" s="82"/>
      <c r="M32124" s="85"/>
    </row>
    <row r="32125" spans="9:13" x14ac:dyDescent="0.3">
      <c r="I32125" s="82"/>
      <c r="M32125" s="85"/>
    </row>
    <row r="32126" spans="9:13" x14ac:dyDescent="0.3">
      <c r="I32126" s="82"/>
      <c r="M32126" s="85"/>
    </row>
    <row r="32127" spans="9:13" x14ac:dyDescent="0.3">
      <c r="I32127" s="82"/>
      <c r="M32127" s="85"/>
    </row>
    <row r="32128" spans="9:13" x14ac:dyDescent="0.3">
      <c r="I32128" s="82"/>
      <c r="M32128" s="85"/>
    </row>
    <row r="32129" spans="9:13" x14ac:dyDescent="0.3">
      <c r="I32129" s="82"/>
      <c r="M32129" s="85"/>
    </row>
    <row r="32130" spans="9:13" x14ac:dyDescent="0.3">
      <c r="I32130" s="82"/>
      <c r="M32130" s="85"/>
    </row>
    <row r="32131" spans="9:13" x14ac:dyDescent="0.3">
      <c r="I32131" s="82"/>
      <c r="M32131" s="85"/>
    </row>
    <row r="32132" spans="9:13" x14ac:dyDescent="0.3">
      <c r="I32132" s="82"/>
      <c r="M32132" s="85"/>
    </row>
    <row r="32133" spans="9:13" x14ac:dyDescent="0.3">
      <c r="I32133" s="82"/>
      <c r="M32133" s="85"/>
    </row>
    <row r="32134" spans="9:13" x14ac:dyDescent="0.3">
      <c r="I32134" s="82"/>
      <c r="M32134" s="85"/>
    </row>
    <row r="32135" spans="9:13" x14ac:dyDescent="0.3">
      <c r="I32135" s="82"/>
      <c r="M32135" s="85"/>
    </row>
    <row r="32136" spans="9:13" x14ac:dyDescent="0.3">
      <c r="I32136" s="82"/>
      <c r="M32136" s="85"/>
    </row>
    <row r="32137" spans="9:13" x14ac:dyDescent="0.3">
      <c r="I32137" s="82"/>
      <c r="M32137" s="85"/>
    </row>
    <row r="32138" spans="9:13" x14ac:dyDescent="0.3">
      <c r="I32138" s="82"/>
      <c r="M32138" s="85"/>
    </row>
    <row r="32139" spans="9:13" x14ac:dyDescent="0.3">
      <c r="I32139" s="82"/>
      <c r="M32139" s="85"/>
    </row>
    <row r="32140" spans="9:13" x14ac:dyDescent="0.3">
      <c r="I32140" s="82"/>
      <c r="M32140" s="85"/>
    </row>
    <row r="32141" spans="9:13" x14ac:dyDescent="0.3">
      <c r="I32141" s="82"/>
      <c r="M32141" s="85"/>
    </row>
    <row r="32142" spans="9:13" x14ac:dyDescent="0.3">
      <c r="I32142" s="82"/>
      <c r="M32142" s="85"/>
    </row>
    <row r="32143" spans="9:13" x14ac:dyDescent="0.3">
      <c r="I32143" s="82"/>
      <c r="M32143" s="85"/>
    </row>
    <row r="32144" spans="9:13" x14ac:dyDescent="0.3">
      <c r="I32144" s="82"/>
      <c r="M32144" s="85"/>
    </row>
    <row r="32145" spans="9:13" x14ac:dyDescent="0.3">
      <c r="I32145" s="82"/>
      <c r="M32145" s="85"/>
    </row>
    <row r="32146" spans="9:13" x14ac:dyDescent="0.3">
      <c r="I32146" s="82"/>
      <c r="M32146" s="85"/>
    </row>
    <row r="32147" spans="9:13" x14ac:dyDescent="0.3">
      <c r="I32147" s="82"/>
      <c r="M32147" s="85"/>
    </row>
    <row r="32148" spans="9:13" x14ac:dyDescent="0.3">
      <c r="I32148" s="82"/>
      <c r="M32148" s="85"/>
    </row>
    <row r="32149" spans="9:13" x14ac:dyDescent="0.3">
      <c r="I32149" s="82"/>
      <c r="M32149" s="85"/>
    </row>
    <row r="32150" spans="9:13" x14ac:dyDescent="0.3">
      <c r="I32150" s="82"/>
      <c r="M32150" s="85"/>
    </row>
    <row r="32151" spans="9:13" x14ac:dyDescent="0.3">
      <c r="I32151" s="82"/>
      <c r="M32151" s="85"/>
    </row>
    <row r="32152" spans="9:13" x14ac:dyDescent="0.3">
      <c r="I32152" s="82"/>
      <c r="M32152" s="85"/>
    </row>
    <row r="32153" spans="9:13" x14ac:dyDescent="0.3">
      <c r="I32153" s="82"/>
      <c r="M32153" s="85"/>
    </row>
    <row r="32154" spans="9:13" x14ac:dyDescent="0.3">
      <c r="I32154" s="82"/>
      <c r="M32154" s="85"/>
    </row>
    <row r="32155" spans="9:13" x14ac:dyDescent="0.3">
      <c r="I32155" s="82"/>
      <c r="M32155" s="85"/>
    </row>
    <row r="32156" spans="9:13" x14ac:dyDescent="0.3">
      <c r="I32156" s="82"/>
      <c r="M32156" s="85"/>
    </row>
    <row r="32157" spans="9:13" x14ac:dyDescent="0.3">
      <c r="I32157" s="82"/>
      <c r="M32157" s="85"/>
    </row>
    <row r="32158" spans="9:13" x14ac:dyDescent="0.3">
      <c r="I32158" s="82"/>
      <c r="M32158" s="85"/>
    </row>
    <row r="32159" spans="9:13" x14ac:dyDescent="0.3">
      <c r="I32159" s="82"/>
      <c r="M32159" s="85"/>
    </row>
    <row r="32160" spans="9:13" x14ac:dyDescent="0.3">
      <c r="I32160" s="82"/>
      <c r="M32160" s="85"/>
    </row>
    <row r="32161" spans="9:13" x14ac:dyDescent="0.3">
      <c r="I32161" s="82"/>
      <c r="M32161" s="85"/>
    </row>
    <row r="32162" spans="9:13" x14ac:dyDescent="0.3">
      <c r="I32162" s="82"/>
      <c r="M32162" s="85"/>
    </row>
    <row r="32163" spans="9:13" x14ac:dyDescent="0.3">
      <c r="I32163" s="82"/>
      <c r="M32163" s="85"/>
    </row>
    <row r="32164" spans="9:13" x14ac:dyDescent="0.3">
      <c r="I32164" s="82"/>
      <c r="M32164" s="85"/>
    </row>
    <row r="32165" spans="9:13" x14ac:dyDescent="0.3">
      <c r="I32165" s="82"/>
      <c r="M32165" s="85"/>
    </row>
    <row r="32166" spans="9:13" x14ac:dyDescent="0.3">
      <c r="I32166" s="82"/>
      <c r="M32166" s="85"/>
    </row>
    <row r="32167" spans="9:13" x14ac:dyDescent="0.3">
      <c r="I32167" s="82"/>
      <c r="M32167" s="85"/>
    </row>
    <row r="32168" spans="9:13" x14ac:dyDescent="0.3">
      <c r="I32168" s="82"/>
      <c r="M32168" s="85"/>
    </row>
    <row r="32169" spans="9:13" x14ac:dyDescent="0.3">
      <c r="I32169" s="82"/>
      <c r="M32169" s="85"/>
    </row>
    <row r="32170" spans="9:13" x14ac:dyDescent="0.3">
      <c r="I32170" s="82"/>
      <c r="M32170" s="85"/>
    </row>
    <row r="32171" spans="9:13" x14ac:dyDescent="0.3">
      <c r="I32171" s="82"/>
      <c r="M32171" s="85"/>
    </row>
    <row r="32172" spans="9:13" x14ac:dyDescent="0.3">
      <c r="I32172" s="82"/>
      <c r="M32172" s="85"/>
    </row>
    <row r="32173" spans="9:13" x14ac:dyDescent="0.3">
      <c r="I32173" s="82"/>
      <c r="M32173" s="85"/>
    </row>
    <row r="32174" spans="9:13" x14ac:dyDescent="0.3">
      <c r="I32174" s="82"/>
      <c r="M32174" s="85"/>
    </row>
    <row r="32175" spans="9:13" x14ac:dyDescent="0.3">
      <c r="I32175" s="82"/>
      <c r="M32175" s="85"/>
    </row>
    <row r="32176" spans="9:13" x14ac:dyDescent="0.3">
      <c r="I32176" s="82"/>
      <c r="M32176" s="85"/>
    </row>
    <row r="32177" spans="9:13" x14ac:dyDescent="0.3">
      <c r="I32177" s="82"/>
      <c r="M32177" s="85"/>
    </row>
    <row r="32178" spans="9:13" x14ac:dyDescent="0.3">
      <c r="I32178" s="82"/>
      <c r="M32178" s="85"/>
    </row>
    <row r="32179" spans="9:13" x14ac:dyDescent="0.3">
      <c r="I32179" s="82"/>
      <c r="M32179" s="85"/>
    </row>
    <row r="32180" spans="9:13" x14ac:dyDescent="0.3">
      <c r="I32180" s="82"/>
      <c r="M32180" s="85"/>
    </row>
    <row r="32181" spans="9:13" x14ac:dyDescent="0.3">
      <c r="I32181" s="82"/>
      <c r="M32181" s="85"/>
    </row>
    <row r="32182" spans="9:13" x14ac:dyDescent="0.3">
      <c r="I32182" s="82"/>
      <c r="M32182" s="85"/>
    </row>
    <row r="32183" spans="9:13" x14ac:dyDescent="0.3">
      <c r="I32183" s="82"/>
      <c r="M32183" s="85"/>
    </row>
    <row r="32184" spans="9:13" x14ac:dyDescent="0.3">
      <c r="I32184" s="82"/>
      <c r="M32184" s="85"/>
    </row>
    <row r="32185" spans="9:13" x14ac:dyDescent="0.3">
      <c r="I32185" s="82"/>
      <c r="M32185" s="85"/>
    </row>
    <row r="32186" spans="9:13" x14ac:dyDescent="0.3">
      <c r="I32186" s="82"/>
      <c r="M32186" s="85"/>
    </row>
    <row r="32187" spans="9:13" x14ac:dyDescent="0.3">
      <c r="I32187" s="82"/>
      <c r="M32187" s="85"/>
    </row>
    <row r="32188" spans="9:13" x14ac:dyDescent="0.3">
      <c r="I32188" s="82"/>
      <c r="M32188" s="85"/>
    </row>
    <row r="32189" spans="9:13" x14ac:dyDescent="0.3">
      <c r="I32189" s="82"/>
      <c r="M32189" s="85"/>
    </row>
    <row r="32190" spans="9:13" x14ac:dyDescent="0.3">
      <c r="I32190" s="82"/>
      <c r="M32190" s="85"/>
    </row>
    <row r="32191" spans="9:13" x14ac:dyDescent="0.3">
      <c r="I32191" s="82"/>
      <c r="M32191" s="85"/>
    </row>
    <row r="32192" spans="9:13" x14ac:dyDescent="0.3">
      <c r="I32192" s="82"/>
      <c r="M32192" s="85"/>
    </row>
    <row r="32193" spans="9:13" x14ac:dyDescent="0.3">
      <c r="I32193" s="82"/>
      <c r="M32193" s="85"/>
    </row>
    <row r="32194" spans="9:13" x14ac:dyDescent="0.3">
      <c r="I32194" s="82"/>
      <c r="M32194" s="85"/>
    </row>
    <row r="32195" spans="9:13" x14ac:dyDescent="0.3">
      <c r="I32195" s="82"/>
      <c r="M32195" s="85"/>
    </row>
    <row r="32196" spans="9:13" x14ac:dyDescent="0.3">
      <c r="I32196" s="82"/>
      <c r="M32196" s="85"/>
    </row>
    <row r="32197" spans="9:13" x14ac:dyDescent="0.3">
      <c r="I32197" s="82"/>
      <c r="M32197" s="85"/>
    </row>
    <row r="32198" spans="9:13" x14ac:dyDescent="0.3">
      <c r="I32198" s="82"/>
      <c r="M32198" s="85"/>
    </row>
    <row r="32199" spans="9:13" x14ac:dyDescent="0.3">
      <c r="I32199" s="82"/>
      <c r="M32199" s="85"/>
    </row>
    <row r="32200" spans="9:13" x14ac:dyDescent="0.3">
      <c r="I32200" s="82"/>
      <c r="M32200" s="85"/>
    </row>
    <row r="32201" spans="9:13" x14ac:dyDescent="0.3">
      <c r="I32201" s="82"/>
      <c r="M32201" s="85"/>
    </row>
    <row r="32202" spans="9:13" x14ac:dyDescent="0.3">
      <c r="I32202" s="82"/>
      <c r="M32202" s="85"/>
    </row>
    <row r="32203" spans="9:13" x14ac:dyDescent="0.3">
      <c r="I32203" s="82"/>
      <c r="M32203" s="85"/>
    </row>
    <row r="32204" spans="9:13" x14ac:dyDescent="0.3">
      <c r="I32204" s="82"/>
      <c r="M32204" s="85"/>
    </row>
    <row r="32205" spans="9:13" x14ac:dyDescent="0.3">
      <c r="I32205" s="82"/>
      <c r="M32205" s="85"/>
    </row>
    <row r="32206" spans="9:13" x14ac:dyDescent="0.3">
      <c r="I32206" s="82"/>
      <c r="M32206" s="85"/>
    </row>
    <row r="32207" spans="9:13" x14ac:dyDescent="0.3">
      <c r="I32207" s="82"/>
      <c r="M32207" s="85"/>
    </row>
    <row r="32208" spans="9:13" x14ac:dyDescent="0.3">
      <c r="I32208" s="82"/>
      <c r="M32208" s="85"/>
    </row>
    <row r="32209" spans="9:13" x14ac:dyDescent="0.3">
      <c r="I32209" s="82"/>
      <c r="M32209" s="85"/>
    </row>
    <row r="32210" spans="9:13" x14ac:dyDescent="0.3">
      <c r="I32210" s="82"/>
      <c r="M32210" s="85"/>
    </row>
    <row r="32211" spans="9:13" x14ac:dyDescent="0.3">
      <c r="I32211" s="82"/>
      <c r="M32211" s="85"/>
    </row>
    <row r="32212" spans="9:13" x14ac:dyDescent="0.3">
      <c r="I32212" s="82"/>
      <c r="M32212" s="85"/>
    </row>
    <row r="32213" spans="9:13" x14ac:dyDescent="0.3">
      <c r="I32213" s="82"/>
      <c r="M32213" s="85"/>
    </row>
    <row r="32214" spans="9:13" x14ac:dyDescent="0.3">
      <c r="I32214" s="82"/>
      <c r="M32214" s="85"/>
    </row>
    <row r="32215" spans="9:13" x14ac:dyDescent="0.3">
      <c r="I32215" s="82"/>
      <c r="M32215" s="85"/>
    </row>
    <row r="32216" spans="9:13" x14ac:dyDescent="0.3">
      <c r="I32216" s="82"/>
      <c r="M32216" s="85"/>
    </row>
    <row r="32217" spans="9:13" x14ac:dyDescent="0.3">
      <c r="I32217" s="82"/>
      <c r="M32217" s="85"/>
    </row>
    <row r="32218" spans="9:13" x14ac:dyDescent="0.3">
      <c r="I32218" s="82"/>
      <c r="M32218" s="85"/>
    </row>
    <row r="32219" spans="9:13" x14ac:dyDescent="0.3">
      <c r="I32219" s="82"/>
      <c r="M32219" s="85"/>
    </row>
    <row r="32220" spans="9:13" x14ac:dyDescent="0.3">
      <c r="I32220" s="82"/>
      <c r="M32220" s="85"/>
    </row>
    <row r="32221" spans="9:13" x14ac:dyDescent="0.3">
      <c r="I32221" s="82"/>
      <c r="M32221" s="85"/>
    </row>
    <row r="32222" spans="9:13" x14ac:dyDescent="0.3">
      <c r="I32222" s="82"/>
      <c r="M32222" s="85"/>
    </row>
    <row r="32223" spans="9:13" x14ac:dyDescent="0.3">
      <c r="I32223" s="82"/>
      <c r="M32223" s="85"/>
    </row>
    <row r="32224" spans="9:13" x14ac:dyDescent="0.3">
      <c r="I32224" s="82"/>
      <c r="M32224" s="85"/>
    </row>
    <row r="32225" spans="9:13" x14ac:dyDescent="0.3">
      <c r="I32225" s="82"/>
      <c r="M32225" s="85"/>
    </row>
    <row r="32226" spans="9:13" x14ac:dyDescent="0.3">
      <c r="I32226" s="82"/>
      <c r="M32226" s="85"/>
    </row>
    <row r="32227" spans="9:13" x14ac:dyDescent="0.3">
      <c r="I32227" s="82"/>
      <c r="M32227" s="85"/>
    </row>
    <row r="32228" spans="9:13" x14ac:dyDescent="0.3">
      <c r="I32228" s="82"/>
      <c r="M32228" s="85"/>
    </row>
    <row r="32229" spans="9:13" x14ac:dyDescent="0.3">
      <c r="I32229" s="82"/>
      <c r="M32229" s="85"/>
    </row>
    <row r="32230" spans="9:13" x14ac:dyDescent="0.3">
      <c r="I32230" s="82"/>
      <c r="M32230" s="85"/>
    </row>
    <row r="32231" spans="9:13" x14ac:dyDescent="0.3">
      <c r="I32231" s="82"/>
      <c r="M32231" s="85"/>
    </row>
    <row r="32232" spans="9:13" x14ac:dyDescent="0.3">
      <c r="I32232" s="82"/>
      <c r="M32232" s="85"/>
    </row>
    <row r="32233" spans="9:13" x14ac:dyDescent="0.3">
      <c r="I32233" s="82"/>
      <c r="M32233" s="85"/>
    </row>
    <row r="32234" spans="9:13" x14ac:dyDescent="0.3">
      <c r="I32234" s="82"/>
      <c r="M32234" s="85"/>
    </row>
    <row r="32235" spans="9:13" x14ac:dyDescent="0.3">
      <c r="I32235" s="82"/>
      <c r="M32235" s="85"/>
    </row>
    <row r="32236" spans="9:13" x14ac:dyDescent="0.3">
      <c r="I32236" s="82"/>
      <c r="M32236" s="85"/>
    </row>
    <row r="32237" spans="9:13" x14ac:dyDescent="0.3">
      <c r="I32237" s="82"/>
      <c r="M32237" s="85"/>
    </row>
    <row r="32238" spans="9:13" x14ac:dyDescent="0.3">
      <c r="I32238" s="82"/>
      <c r="M32238" s="85"/>
    </row>
    <row r="32239" spans="9:13" x14ac:dyDescent="0.3">
      <c r="I32239" s="82"/>
      <c r="M32239" s="85"/>
    </row>
    <row r="32240" spans="9:13" x14ac:dyDescent="0.3">
      <c r="I32240" s="82"/>
      <c r="M32240" s="85"/>
    </row>
    <row r="32241" spans="9:13" x14ac:dyDescent="0.3">
      <c r="I32241" s="82"/>
      <c r="M32241" s="85"/>
    </row>
    <row r="32242" spans="9:13" x14ac:dyDescent="0.3">
      <c r="I32242" s="82"/>
      <c r="M32242" s="85"/>
    </row>
    <row r="32243" spans="9:13" x14ac:dyDescent="0.3">
      <c r="I32243" s="82"/>
      <c r="M32243" s="85"/>
    </row>
    <row r="32244" spans="9:13" x14ac:dyDescent="0.3">
      <c r="I32244" s="82"/>
      <c r="M32244" s="85"/>
    </row>
    <row r="32245" spans="9:13" x14ac:dyDescent="0.3">
      <c r="I32245" s="82"/>
      <c r="M32245" s="85"/>
    </row>
    <row r="32246" spans="9:13" x14ac:dyDescent="0.3">
      <c r="I32246" s="82"/>
      <c r="M32246" s="85"/>
    </row>
    <row r="32247" spans="9:13" x14ac:dyDescent="0.3">
      <c r="I32247" s="82"/>
      <c r="M32247" s="85"/>
    </row>
    <row r="32248" spans="9:13" x14ac:dyDescent="0.3">
      <c r="I32248" s="82"/>
      <c r="M32248" s="85"/>
    </row>
    <row r="32249" spans="9:13" x14ac:dyDescent="0.3">
      <c r="I32249" s="82"/>
      <c r="M32249" s="85"/>
    </row>
    <row r="32250" spans="9:13" x14ac:dyDescent="0.3">
      <c r="I32250" s="82"/>
      <c r="M32250" s="85"/>
    </row>
    <row r="32251" spans="9:13" x14ac:dyDescent="0.3">
      <c r="I32251" s="82"/>
      <c r="M32251" s="85"/>
    </row>
    <row r="32252" spans="9:13" x14ac:dyDescent="0.3">
      <c r="I32252" s="82"/>
      <c r="M32252" s="85"/>
    </row>
    <row r="32253" spans="9:13" x14ac:dyDescent="0.3">
      <c r="I32253" s="82"/>
      <c r="M32253" s="85"/>
    </row>
    <row r="32254" spans="9:13" x14ac:dyDescent="0.3">
      <c r="I32254" s="82"/>
      <c r="M32254" s="85"/>
    </row>
    <row r="32255" spans="9:13" x14ac:dyDescent="0.3">
      <c r="I32255" s="82"/>
      <c r="M32255" s="85"/>
    </row>
    <row r="32256" spans="9:13" x14ac:dyDescent="0.3">
      <c r="I32256" s="82"/>
      <c r="M32256" s="85"/>
    </row>
    <row r="32257" spans="9:13" x14ac:dyDescent="0.3">
      <c r="I32257" s="82"/>
      <c r="M32257" s="85"/>
    </row>
    <row r="32258" spans="9:13" x14ac:dyDescent="0.3">
      <c r="I32258" s="82"/>
      <c r="M32258" s="85"/>
    </row>
    <row r="32259" spans="9:13" x14ac:dyDescent="0.3">
      <c r="I32259" s="82"/>
      <c r="M32259" s="85"/>
    </row>
    <row r="32260" spans="9:13" x14ac:dyDescent="0.3">
      <c r="I32260" s="82"/>
      <c r="M32260" s="85"/>
    </row>
    <row r="32261" spans="9:13" x14ac:dyDescent="0.3">
      <c r="I32261" s="82"/>
      <c r="M32261" s="85"/>
    </row>
    <row r="32262" spans="9:13" x14ac:dyDescent="0.3">
      <c r="I32262" s="82"/>
      <c r="M32262" s="85"/>
    </row>
    <row r="32263" spans="9:13" x14ac:dyDescent="0.3">
      <c r="I32263" s="82"/>
      <c r="M32263" s="85"/>
    </row>
    <row r="32264" spans="9:13" x14ac:dyDescent="0.3">
      <c r="I32264" s="82"/>
      <c r="M32264" s="85"/>
    </row>
    <row r="32265" spans="9:13" x14ac:dyDescent="0.3">
      <c r="I32265" s="82"/>
      <c r="M32265" s="85"/>
    </row>
    <row r="32266" spans="9:13" x14ac:dyDescent="0.3">
      <c r="I32266" s="82"/>
      <c r="M32266" s="85"/>
    </row>
    <row r="32267" spans="9:13" x14ac:dyDescent="0.3">
      <c r="I32267" s="82"/>
      <c r="M32267" s="85"/>
    </row>
    <row r="32268" spans="9:13" x14ac:dyDescent="0.3">
      <c r="I32268" s="82"/>
      <c r="M32268" s="85"/>
    </row>
    <row r="32269" spans="9:13" x14ac:dyDescent="0.3">
      <c r="I32269" s="82"/>
      <c r="M32269" s="85"/>
    </row>
    <row r="32270" spans="9:13" x14ac:dyDescent="0.3">
      <c r="I32270" s="82"/>
      <c r="M32270" s="85"/>
    </row>
    <row r="32271" spans="9:13" x14ac:dyDescent="0.3">
      <c r="I32271" s="82"/>
      <c r="M32271" s="85"/>
    </row>
    <row r="32272" spans="9:13" x14ac:dyDescent="0.3">
      <c r="I32272" s="82"/>
      <c r="M32272" s="85"/>
    </row>
    <row r="32273" spans="9:13" x14ac:dyDescent="0.3">
      <c r="I32273" s="82"/>
      <c r="M32273" s="85"/>
    </row>
    <row r="32274" spans="9:13" x14ac:dyDescent="0.3">
      <c r="I32274" s="82"/>
      <c r="M32274" s="85"/>
    </row>
    <row r="32275" spans="9:13" x14ac:dyDescent="0.3">
      <c r="I32275" s="82"/>
      <c r="M32275" s="85"/>
    </row>
    <row r="32276" spans="9:13" x14ac:dyDescent="0.3">
      <c r="I32276" s="82"/>
      <c r="M32276" s="85"/>
    </row>
    <row r="32277" spans="9:13" x14ac:dyDescent="0.3">
      <c r="I32277" s="82"/>
      <c r="M32277" s="85"/>
    </row>
    <row r="32278" spans="9:13" x14ac:dyDescent="0.3">
      <c r="I32278" s="82"/>
      <c r="M32278" s="85"/>
    </row>
    <row r="32279" spans="9:13" x14ac:dyDescent="0.3">
      <c r="I32279" s="82"/>
      <c r="M32279" s="85"/>
    </row>
    <row r="32280" spans="9:13" x14ac:dyDescent="0.3">
      <c r="I32280" s="82"/>
      <c r="M32280" s="85"/>
    </row>
    <row r="32281" spans="9:13" x14ac:dyDescent="0.3">
      <c r="I32281" s="82"/>
      <c r="M32281" s="85"/>
    </row>
    <row r="32282" spans="9:13" x14ac:dyDescent="0.3">
      <c r="I32282" s="82"/>
      <c r="M32282" s="85"/>
    </row>
    <row r="32283" spans="9:13" x14ac:dyDescent="0.3">
      <c r="I32283" s="82"/>
      <c r="M32283" s="85"/>
    </row>
    <row r="32284" spans="9:13" x14ac:dyDescent="0.3">
      <c r="I32284" s="82"/>
      <c r="M32284" s="85"/>
    </row>
    <row r="32285" spans="9:13" x14ac:dyDescent="0.3">
      <c r="I32285" s="82"/>
      <c r="M32285" s="85"/>
    </row>
    <row r="32286" spans="9:13" x14ac:dyDescent="0.3">
      <c r="I32286" s="82"/>
      <c r="M32286" s="85"/>
    </row>
    <row r="32287" spans="9:13" x14ac:dyDescent="0.3">
      <c r="I32287" s="82"/>
      <c r="M32287" s="85"/>
    </row>
    <row r="32288" spans="9:13" x14ac:dyDescent="0.3">
      <c r="I32288" s="82"/>
      <c r="M32288" s="85"/>
    </row>
    <row r="32289" spans="9:13" x14ac:dyDescent="0.3">
      <c r="I32289" s="82"/>
      <c r="M32289" s="85"/>
    </row>
    <row r="32290" spans="9:13" x14ac:dyDescent="0.3">
      <c r="I32290" s="82"/>
      <c r="M32290" s="85"/>
    </row>
    <row r="32291" spans="9:13" x14ac:dyDescent="0.3">
      <c r="I32291" s="82"/>
      <c r="M32291" s="85"/>
    </row>
    <row r="32292" spans="9:13" x14ac:dyDescent="0.3">
      <c r="I32292" s="82"/>
      <c r="M32292" s="85"/>
    </row>
    <row r="32293" spans="9:13" x14ac:dyDescent="0.3">
      <c r="I32293" s="82"/>
      <c r="M32293" s="85"/>
    </row>
    <row r="32294" spans="9:13" x14ac:dyDescent="0.3">
      <c r="I32294" s="82"/>
      <c r="M32294" s="85"/>
    </row>
    <row r="32295" spans="9:13" x14ac:dyDescent="0.3">
      <c r="I32295" s="82"/>
      <c r="M32295" s="85"/>
    </row>
    <row r="32296" spans="9:13" x14ac:dyDescent="0.3">
      <c r="I32296" s="82"/>
      <c r="M32296" s="85"/>
    </row>
    <row r="32297" spans="9:13" x14ac:dyDescent="0.3">
      <c r="I32297" s="82"/>
      <c r="M32297" s="85"/>
    </row>
    <row r="32298" spans="9:13" x14ac:dyDescent="0.3">
      <c r="I32298" s="82"/>
      <c r="M32298" s="85"/>
    </row>
    <row r="32299" spans="9:13" x14ac:dyDescent="0.3">
      <c r="I32299" s="82"/>
      <c r="M32299" s="85"/>
    </row>
    <row r="32300" spans="9:13" x14ac:dyDescent="0.3">
      <c r="I32300" s="82"/>
      <c r="M32300" s="85"/>
    </row>
    <row r="32301" spans="9:13" x14ac:dyDescent="0.3">
      <c r="I32301" s="82"/>
      <c r="M32301" s="85"/>
    </row>
    <row r="32302" spans="9:13" x14ac:dyDescent="0.3">
      <c r="I32302" s="82"/>
      <c r="M32302" s="85"/>
    </row>
    <row r="32303" spans="9:13" x14ac:dyDescent="0.3">
      <c r="I32303" s="82"/>
      <c r="M32303" s="85"/>
    </row>
    <row r="32304" spans="9:13" x14ac:dyDescent="0.3">
      <c r="I32304" s="82"/>
      <c r="M32304" s="85"/>
    </row>
    <row r="32305" spans="9:13" x14ac:dyDescent="0.3">
      <c r="I32305" s="82"/>
      <c r="M32305" s="85"/>
    </row>
    <row r="32306" spans="9:13" x14ac:dyDescent="0.3">
      <c r="I32306" s="82"/>
      <c r="M32306" s="85"/>
    </row>
    <row r="32307" spans="9:13" x14ac:dyDescent="0.3">
      <c r="I32307" s="82"/>
      <c r="M32307" s="85"/>
    </row>
    <row r="32308" spans="9:13" x14ac:dyDescent="0.3">
      <c r="I32308" s="82"/>
      <c r="M32308" s="85"/>
    </row>
    <row r="32309" spans="9:13" x14ac:dyDescent="0.3">
      <c r="I32309" s="82"/>
      <c r="M32309" s="85"/>
    </row>
    <row r="32310" spans="9:13" x14ac:dyDescent="0.3">
      <c r="I32310" s="82"/>
      <c r="M32310" s="85"/>
    </row>
    <row r="32311" spans="9:13" x14ac:dyDescent="0.3">
      <c r="I32311" s="82"/>
      <c r="M32311" s="85"/>
    </row>
    <row r="32312" spans="9:13" x14ac:dyDescent="0.3">
      <c r="I32312" s="82"/>
      <c r="M32312" s="85"/>
    </row>
    <row r="32313" spans="9:13" x14ac:dyDescent="0.3">
      <c r="I32313" s="82"/>
      <c r="M32313" s="85"/>
    </row>
    <row r="32314" spans="9:13" x14ac:dyDescent="0.3">
      <c r="I32314" s="82"/>
      <c r="M32314" s="85"/>
    </row>
    <row r="32315" spans="9:13" x14ac:dyDescent="0.3">
      <c r="I32315" s="82"/>
      <c r="M32315" s="85"/>
    </row>
    <row r="32316" spans="9:13" x14ac:dyDescent="0.3">
      <c r="I32316" s="82"/>
      <c r="M32316" s="85"/>
    </row>
    <row r="32317" spans="9:13" x14ac:dyDescent="0.3">
      <c r="I32317" s="82"/>
      <c r="M32317" s="85"/>
    </row>
    <row r="32318" spans="9:13" x14ac:dyDescent="0.3">
      <c r="I32318" s="82"/>
      <c r="M32318" s="85"/>
    </row>
    <row r="32319" spans="9:13" x14ac:dyDescent="0.3">
      <c r="I32319" s="82"/>
      <c r="M32319" s="85"/>
    </row>
    <row r="32320" spans="9:13" x14ac:dyDescent="0.3">
      <c r="I32320" s="82"/>
      <c r="M32320" s="85"/>
    </row>
    <row r="32321" spans="9:13" x14ac:dyDescent="0.3">
      <c r="I32321" s="82"/>
      <c r="M32321" s="85"/>
    </row>
    <row r="32322" spans="9:13" x14ac:dyDescent="0.3">
      <c r="I32322" s="82"/>
      <c r="M32322" s="85"/>
    </row>
    <row r="32323" spans="9:13" x14ac:dyDescent="0.3">
      <c r="I32323" s="82"/>
      <c r="M32323" s="85"/>
    </row>
    <row r="32324" spans="9:13" x14ac:dyDescent="0.3">
      <c r="I32324" s="82"/>
      <c r="M32324" s="85"/>
    </row>
    <row r="32325" spans="9:13" x14ac:dyDescent="0.3">
      <c r="I32325" s="82"/>
      <c r="M32325" s="85"/>
    </row>
    <row r="32326" spans="9:13" x14ac:dyDescent="0.3">
      <c r="I32326" s="82"/>
      <c r="M32326" s="85"/>
    </row>
    <row r="32327" spans="9:13" x14ac:dyDescent="0.3">
      <c r="I32327" s="82"/>
      <c r="M32327" s="85"/>
    </row>
    <row r="32328" spans="9:13" x14ac:dyDescent="0.3">
      <c r="I32328" s="82"/>
      <c r="M32328" s="85"/>
    </row>
    <row r="32329" spans="9:13" x14ac:dyDescent="0.3">
      <c r="I32329" s="82"/>
      <c r="M32329" s="85"/>
    </row>
    <row r="32330" spans="9:13" x14ac:dyDescent="0.3">
      <c r="I32330" s="82"/>
      <c r="M32330" s="85"/>
    </row>
    <row r="32331" spans="9:13" x14ac:dyDescent="0.3">
      <c r="I32331" s="82"/>
      <c r="M32331" s="85"/>
    </row>
    <row r="32332" spans="9:13" x14ac:dyDescent="0.3">
      <c r="I32332" s="82"/>
      <c r="M32332" s="85"/>
    </row>
    <row r="32333" spans="9:13" x14ac:dyDescent="0.3">
      <c r="I32333" s="82"/>
      <c r="M32333" s="85"/>
    </row>
    <row r="32334" spans="9:13" x14ac:dyDescent="0.3">
      <c r="I32334" s="82"/>
      <c r="M32334" s="85"/>
    </row>
    <row r="32335" spans="9:13" x14ac:dyDescent="0.3">
      <c r="I32335" s="82"/>
      <c r="M32335" s="85"/>
    </row>
    <row r="32336" spans="9:13" x14ac:dyDescent="0.3">
      <c r="I32336" s="82"/>
      <c r="M32336" s="85"/>
    </row>
    <row r="32337" spans="9:13" x14ac:dyDescent="0.3">
      <c r="I32337" s="82"/>
      <c r="M32337" s="85"/>
    </row>
    <row r="32338" spans="9:13" x14ac:dyDescent="0.3">
      <c r="I32338" s="82"/>
      <c r="M32338" s="85"/>
    </row>
    <row r="32339" spans="9:13" x14ac:dyDescent="0.3">
      <c r="I32339" s="82"/>
      <c r="M32339" s="85"/>
    </row>
    <row r="32340" spans="9:13" x14ac:dyDescent="0.3">
      <c r="I32340" s="82"/>
      <c r="M32340" s="85"/>
    </row>
    <row r="32341" spans="9:13" x14ac:dyDescent="0.3">
      <c r="I32341" s="82"/>
      <c r="M32341" s="85"/>
    </row>
    <row r="32342" spans="9:13" x14ac:dyDescent="0.3">
      <c r="I32342" s="82"/>
      <c r="M32342" s="85"/>
    </row>
    <row r="32343" spans="9:13" x14ac:dyDescent="0.3">
      <c r="I32343" s="82"/>
      <c r="M32343" s="85"/>
    </row>
    <row r="32344" spans="9:13" x14ac:dyDescent="0.3">
      <c r="I32344" s="82"/>
      <c r="M32344" s="85"/>
    </row>
    <row r="32345" spans="9:13" x14ac:dyDescent="0.3">
      <c r="I32345" s="82"/>
      <c r="M32345" s="85"/>
    </row>
    <row r="32346" spans="9:13" x14ac:dyDescent="0.3">
      <c r="I32346" s="82"/>
      <c r="M32346" s="85"/>
    </row>
    <row r="32347" spans="9:13" x14ac:dyDescent="0.3">
      <c r="I32347" s="82"/>
      <c r="M32347" s="85"/>
    </row>
    <row r="32348" spans="9:13" x14ac:dyDescent="0.3">
      <c r="I32348" s="82"/>
      <c r="M32348" s="85"/>
    </row>
    <row r="32349" spans="9:13" x14ac:dyDescent="0.3">
      <c r="I32349" s="82"/>
      <c r="M32349" s="85"/>
    </row>
    <row r="32350" spans="9:13" x14ac:dyDescent="0.3">
      <c r="I32350" s="82"/>
      <c r="M32350" s="85"/>
    </row>
    <row r="32351" spans="9:13" x14ac:dyDescent="0.3">
      <c r="I32351" s="82"/>
      <c r="M32351" s="85"/>
    </row>
    <row r="32352" spans="9:13" x14ac:dyDescent="0.3">
      <c r="I32352" s="82"/>
      <c r="M32352" s="85"/>
    </row>
    <row r="32353" spans="9:13" x14ac:dyDescent="0.3">
      <c r="I32353" s="82"/>
      <c r="M32353" s="85"/>
    </row>
    <row r="32354" spans="9:13" x14ac:dyDescent="0.3">
      <c r="I32354" s="82"/>
      <c r="M32354" s="85"/>
    </row>
    <row r="32355" spans="9:13" x14ac:dyDescent="0.3">
      <c r="I32355" s="82"/>
      <c r="M32355" s="85"/>
    </row>
    <row r="32356" spans="9:13" x14ac:dyDescent="0.3">
      <c r="I32356" s="82"/>
      <c r="M32356" s="85"/>
    </row>
    <row r="32357" spans="9:13" x14ac:dyDescent="0.3">
      <c r="I32357" s="82"/>
      <c r="M32357" s="85"/>
    </row>
    <row r="32358" spans="9:13" x14ac:dyDescent="0.3">
      <c r="I32358" s="82"/>
      <c r="M32358" s="85"/>
    </row>
    <row r="32359" spans="9:13" x14ac:dyDescent="0.3">
      <c r="I32359" s="82"/>
      <c r="M32359" s="85"/>
    </row>
    <row r="32360" spans="9:13" x14ac:dyDescent="0.3">
      <c r="I32360" s="82"/>
      <c r="M32360" s="85"/>
    </row>
    <row r="32361" spans="9:13" x14ac:dyDescent="0.3">
      <c r="I32361" s="82"/>
      <c r="M32361" s="85"/>
    </row>
    <row r="32362" spans="9:13" x14ac:dyDescent="0.3">
      <c r="I32362" s="82"/>
      <c r="M32362" s="85"/>
    </row>
    <row r="32363" spans="9:13" x14ac:dyDescent="0.3">
      <c r="I32363" s="82"/>
      <c r="M32363" s="85"/>
    </row>
    <row r="32364" spans="9:13" x14ac:dyDescent="0.3">
      <c r="I32364" s="82"/>
      <c r="M32364" s="85"/>
    </row>
    <row r="32365" spans="9:13" x14ac:dyDescent="0.3">
      <c r="I32365" s="82"/>
      <c r="M32365" s="85"/>
    </row>
    <row r="32366" spans="9:13" x14ac:dyDescent="0.3">
      <c r="I32366" s="82"/>
      <c r="M32366" s="85"/>
    </row>
    <row r="32367" spans="9:13" x14ac:dyDescent="0.3">
      <c r="I32367" s="82"/>
      <c r="M32367" s="85"/>
    </row>
    <row r="32368" spans="9:13" x14ac:dyDescent="0.3">
      <c r="I32368" s="82"/>
      <c r="M32368" s="85"/>
    </row>
    <row r="32369" spans="9:13" x14ac:dyDescent="0.3">
      <c r="I32369" s="82"/>
      <c r="M32369" s="85"/>
    </row>
    <row r="32370" spans="9:13" x14ac:dyDescent="0.3">
      <c r="I32370" s="82"/>
      <c r="M32370" s="85"/>
    </row>
    <row r="32371" spans="9:13" x14ac:dyDescent="0.3">
      <c r="I32371" s="82"/>
      <c r="M32371" s="85"/>
    </row>
    <row r="32372" spans="9:13" x14ac:dyDescent="0.3">
      <c r="I32372" s="82"/>
      <c r="M32372" s="85"/>
    </row>
    <row r="32373" spans="9:13" x14ac:dyDescent="0.3">
      <c r="I32373" s="82"/>
      <c r="M32373" s="85"/>
    </row>
    <row r="32374" spans="9:13" x14ac:dyDescent="0.3">
      <c r="I32374" s="82"/>
      <c r="M32374" s="85"/>
    </row>
    <row r="32375" spans="9:13" x14ac:dyDescent="0.3">
      <c r="I32375" s="82"/>
      <c r="M32375" s="85"/>
    </row>
    <row r="32376" spans="9:13" x14ac:dyDescent="0.3">
      <c r="I32376" s="82"/>
      <c r="M32376" s="85"/>
    </row>
    <row r="32377" spans="9:13" x14ac:dyDescent="0.3">
      <c r="I32377" s="82"/>
      <c r="M32377" s="85"/>
    </row>
    <row r="32378" spans="9:13" x14ac:dyDescent="0.3">
      <c r="I32378" s="82"/>
      <c r="M32378" s="85"/>
    </row>
    <row r="32379" spans="9:13" x14ac:dyDescent="0.3">
      <c r="I32379" s="82"/>
      <c r="M32379" s="85"/>
    </row>
    <row r="32380" spans="9:13" x14ac:dyDescent="0.3">
      <c r="I32380" s="82"/>
      <c r="M32380" s="85"/>
    </row>
    <row r="32381" spans="9:13" x14ac:dyDescent="0.3">
      <c r="I32381" s="82"/>
      <c r="M32381" s="85"/>
    </row>
    <row r="32382" spans="9:13" x14ac:dyDescent="0.3">
      <c r="I32382" s="82"/>
      <c r="M32382" s="85"/>
    </row>
    <row r="32383" spans="9:13" x14ac:dyDescent="0.3">
      <c r="I32383" s="82"/>
      <c r="M32383" s="85"/>
    </row>
    <row r="32384" spans="9:13" x14ac:dyDescent="0.3">
      <c r="I32384" s="82"/>
      <c r="M32384" s="85"/>
    </row>
    <row r="32385" spans="9:13" x14ac:dyDescent="0.3">
      <c r="I32385" s="82"/>
      <c r="M32385" s="85"/>
    </row>
    <row r="32386" spans="9:13" x14ac:dyDescent="0.3">
      <c r="I32386" s="82"/>
      <c r="M32386" s="85"/>
    </row>
    <row r="32387" spans="9:13" x14ac:dyDescent="0.3">
      <c r="I32387" s="82"/>
      <c r="M32387" s="85"/>
    </row>
    <row r="32388" spans="9:13" x14ac:dyDescent="0.3">
      <c r="I32388" s="82"/>
      <c r="M32388" s="85"/>
    </row>
    <row r="32389" spans="9:13" x14ac:dyDescent="0.3">
      <c r="I32389" s="82"/>
      <c r="M32389" s="85"/>
    </row>
    <row r="32390" spans="9:13" x14ac:dyDescent="0.3">
      <c r="I32390" s="82"/>
      <c r="M32390" s="85"/>
    </row>
    <row r="32391" spans="9:13" x14ac:dyDescent="0.3">
      <c r="I32391" s="82"/>
      <c r="M32391" s="85"/>
    </row>
    <row r="32392" spans="9:13" x14ac:dyDescent="0.3">
      <c r="I32392" s="82"/>
      <c r="M32392" s="85"/>
    </row>
    <row r="32393" spans="9:13" x14ac:dyDescent="0.3">
      <c r="I32393" s="82"/>
      <c r="M32393" s="85"/>
    </row>
    <row r="32394" spans="9:13" x14ac:dyDescent="0.3">
      <c r="I32394" s="82"/>
      <c r="M32394" s="85"/>
    </row>
    <row r="32395" spans="9:13" x14ac:dyDescent="0.3">
      <c r="I32395" s="82"/>
      <c r="M32395" s="85"/>
    </row>
    <row r="32396" spans="9:13" x14ac:dyDescent="0.3">
      <c r="I32396" s="82"/>
      <c r="M32396" s="85"/>
    </row>
    <row r="32397" spans="9:13" x14ac:dyDescent="0.3">
      <c r="I32397" s="82"/>
      <c r="M32397" s="85"/>
    </row>
    <row r="32398" spans="9:13" x14ac:dyDescent="0.3">
      <c r="I32398" s="82"/>
      <c r="M32398" s="85"/>
    </row>
    <row r="32399" spans="9:13" x14ac:dyDescent="0.3">
      <c r="I32399" s="82"/>
      <c r="M32399" s="85"/>
    </row>
    <row r="32400" spans="9:13" x14ac:dyDescent="0.3">
      <c r="I32400" s="82"/>
      <c r="M32400" s="85"/>
    </row>
    <row r="32401" spans="9:13" x14ac:dyDescent="0.3">
      <c r="I32401" s="82"/>
      <c r="M32401" s="85"/>
    </row>
    <row r="32402" spans="9:13" x14ac:dyDescent="0.3">
      <c r="I32402" s="82"/>
      <c r="M32402" s="85"/>
    </row>
    <row r="32403" spans="9:13" x14ac:dyDescent="0.3">
      <c r="I32403" s="82"/>
      <c r="M32403" s="85"/>
    </row>
    <row r="32404" spans="9:13" x14ac:dyDescent="0.3">
      <c r="I32404" s="82"/>
      <c r="M32404" s="85"/>
    </row>
    <row r="32405" spans="9:13" x14ac:dyDescent="0.3">
      <c r="I32405" s="82"/>
      <c r="M32405" s="85"/>
    </row>
    <row r="32406" spans="9:13" x14ac:dyDescent="0.3">
      <c r="I32406" s="82"/>
      <c r="M32406" s="85"/>
    </row>
    <row r="32407" spans="9:13" x14ac:dyDescent="0.3">
      <c r="I32407" s="82"/>
      <c r="M32407" s="85"/>
    </row>
    <row r="32408" spans="9:13" x14ac:dyDescent="0.3">
      <c r="I32408" s="82"/>
      <c r="M32408" s="85"/>
    </row>
    <row r="32409" spans="9:13" x14ac:dyDescent="0.3">
      <c r="I32409" s="82"/>
      <c r="M32409" s="85"/>
    </row>
    <row r="32410" spans="9:13" x14ac:dyDescent="0.3">
      <c r="I32410" s="82"/>
      <c r="M32410" s="85"/>
    </row>
    <row r="32411" spans="9:13" x14ac:dyDescent="0.3">
      <c r="I32411" s="82"/>
      <c r="M32411" s="85"/>
    </row>
    <row r="32412" spans="9:13" x14ac:dyDescent="0.3">
      <c r="I32412" s="82"/>
      <c r="M32412" s="85"/>
    </row>
    <row r="32413" spans="9:13" x14ac:dyDescent="0.3">
      <c r="I32413" s="82"/>
      <c r="M32413" s="85"/>
    </row>
    <row r="32414" spans="9:13" x14ac:dyDescent="0.3">
      <c r="I32414" s="82"/>
      <c r="M32414" s="85"/>
    </row>
    <row r="32415" spans="9:13" x14ac:dyDescent="0.3">
      <c r="I32415" s="82"/>
      <c r="M32415" s="85"/>
    </row>
    <row r="32416" spans="9:13" x14ac:dyDescent="0.3">
      <c r="I32416" s="82"/>
      <c r="M32416" s="85"/>
    </row>
    <row r="32417" spans="9:13" x14ac:dyDescent="0.3">
      <c r="I32417" s="82"/>
      <c r="M32417" s="85"/>
    </row>
    <row r="32418" spans="9:13" x14ac:dyDescent="0.3">
      <c r="I32418" s="82"/>
      <c r="M32418" s="85"/>
    </row>
    <row r="32419" spans="9:13" x14ac:dyDescent="0.3">
      <c r="I32419" s="82"/>
      <c r="M32419" s="85"/>
    </row>
    <row r="32420" spans="9:13" x14ac:dyDescent="0.3">
      <c r="I32420" s="82"/>
      <c r="M32420" s="85"/>
    </row>
    <row r="32421" spans="9:13" x14ac:dyDescent="0.3">
      <c r="I32421" s="82"/>
      <c r="M32421" s="85"/>
    </row>
    <row r="32422" spans="9:13" x14ac:dyDescent="0.3">
      <c r="I32422" s="82"/>
      <c r="M32422" s="85"/>
    </row>
    <row r="32423" spans="9:13" x14ac:dyDescent="0.3">
      <c r="I32423" s="82"/>
      <c r="M32423" s="85"/>
    </row>
    <row r="32424" spans="9:13" x14ac:dyDescent="0.3">
      <c r="I32424" s="82"/>
      <c r="M32424" s="85"/>
    </row>
    <row r="32425" spans="9:13" x14ac:dyDescent="0.3">
      <c r="I32425" s="82"/>
      <c r="M32425" s="85"/>
    </row>
    <row r="32426" spans="9:13" x14ac:dyDescent="0.3">
      <c r="I32426" s="82"/>
      <c r="M32426" s="85"/>
    </row>
    <row r="32427" spans="9:13" x14ac:dyDescent="0.3">
      <c r="I32427" s="82"/>
      <c r="M32427" s="85"/>
    </row>
    <row r="32428" spans="9:13" x14ac:dyDescent="0.3">
      <c r="I32428" s="82"/>
      <c r="M32428" s="85"/>
    </row>
    <row r="32429" spans="9:13" x14ac:dyDescent="0.3">
      <c r="I32429" s="82"/>
      <c r="M32429" s="85"/>
    </row>
    <row r="32430" spans="9:13" x14ac:dyDescent="0.3">
      <c r="I32430" s="82"/>
      <c r="M32430" s="85"/>
    </row>
    <row r="32431" spans="9:13" x14ac:dyDescent="0.3">
      <c r="I32431" s="82"/>
      <c r="M32431" s="85"/>
    </row>
    <row r="32432" spans="9:13" x14ac:dyDescent="0.3">
      <c r="I32432" s="82"/>
      <c r="M32432" s="85"/>
    </row>
    <row r="32433" spans="9:13" x14ac:dyDescent="0.3">
      <c r="I32433" s="82"/>
      <c r="M32433" s="85"/>
    </row>
    <row r="32434" spans="9:13" x14ac:dyDescent="0.3">
      <c r="I32434" s="82"/>
      <c r="M32434" s="85"/>
    </row>
    <row r="32435" spans="9:13" x14ac:dyDescent="0.3">
      <c r="I32435" s="82"/>
      <c r="M32435" s="85"/>
    </row>
    <row r="32436" spans="9:13" x14ac:dyDescent="0.3">
      <c r="I32436" s="82"/>
      <c r="M32436" s="85"/>
    </row>
    <row r="32437" spans="9:13" x14ac:dyDescent="0.3">
      <c r="I32437" s="82"/>
      <c r="M32437" s="85"/>
    </row>
    <row r="32438" spans="9:13" x14ac:dyDescent="0.3">
      <c r="I32438" s="82"/>
      <c r="M32438" s="85"/>
    </row>
    <row r="32439" spans="9:13" x14ac:dyDescent="0.3">
      <c r="I32439" s="82"/>
      <c r="M32439" s="85"/>
    </row>
    <row r="32440" spans="9:13" x14ac:dyDescent="0.3">
      <c r="I32440" s="82"/>
      <c r="M32440" s="85"/>
    </row>
    <row r="32441" spans="9:13" x14ac:dyDescent="0.3">
      <c r="I32441" s="82"/>
      <c r="M32441" s="85"/>
    </row>
    <row r="32442" spans="9:13" x14ac:dyDescent="0.3">
      <c r="I32442" s="82"/>
      <c r="M32442" s="85"/>
    </row>
    <row r="32443" spans="9:13" x14ac:dyDescent="0.3">
      <c r="I32443" s="82"/>
      <c r="M32443" s="85"/>
    </row>
    <row r="32444" spans="9:13" x14ac:dyDescent="0.3">
      <c r="I32444" s="82"/>
      <c r="M32444" s="85"/>
    </row>
    <row r="32445" spans="9:13" x14ac:dyDescent="0.3">
      <c r="I32445" s="82"/>
      <c r="M32445" s="85"/>
    </row>
    <row r="32446" spans="9:13" x14ac:dyDescent="0.3">
      <c r="I32446" s="82"/>
      <c r="M32446" s="85"/>
    </row>
    <row r="32447" spans="9:13" x14ac:dyDescent="0.3">
      <c r="I32447" s="82"/>
      <c r="M32447" s="85"/>
    </row>
    <row r="32448" spans="9:13" x14ac:dyDescent="0.3">
      <c r="I32448" s="82"/>
      <c r="M32448" s="85"/>
    </row>
    <row r="32449" spans="9:13" x14ac:dyDescent="0.3">
      <c r="I32449" s="82"/>
      <c r="M32449" s="85"/>
    </row>
    <row r="32450" spans="9:13" x14ac:dyDescent="0.3">
      <c r="I32450" s="82"/>
      <c r="M32450" s="85"/>
    </row>
    <row r="32451" spans="9:13" x14ac:dyDescent="0.3">
      <c r="I32451" s="82"/>
      <c r="M32451" s="85"/>
    </row>
    <row r="32452" spans="9:13" x14ac:dyDescent="0.3">
      <c r="I32452" s="82"/>
      <c r="M32452" s="85"/>
    </row>
    <row r="32453" spans="9:13" x14ac:dyDescent="0.3">
      <c r="I32453" s="82"/>
      <c r="M32453" s="85"/>
    </row>
    <row r="32454" spans="9:13" x14ac:dyDescent="0.3">
      <c r="I32454" s="82"/>
      <c r="M32454" s="85"/>
    </row>
    <row r="32455" spans="9:13" x14ac:dyDescent="0.3">
      <c r="I32455" s="82"/>
      <c r="M32455" s="85"/>
    </row>
    <row r="32456" spans="9:13" x14ac:dyDescent="0.3">
      <c r="I32456" s="82"/>
      <c r="M32456" s="85"/>
    </row>
    <row r="32457" spans="9:13" x14ac:dyDescent="0.3">
      <c r="I32457" s="82"/>
      <c r="M32457" s="85"/>
    </row>
    <row r="32458" spans="9:13" x14ac:dyDescent="0.3">
      <c r="I32458" s="82"/>
      <c r="M32458" s="85"/>
    </row>
    <row r="32459" spans="9:13" x14ac:dyDescent="0.3">
      <c r="I32459" s="82"/>
      <c r="M32459" s="85"/>
    </row>
    <row r="32460" spans="9:13" x14ac:dyDescent="0.3">
      <c r="I32460" s="82"/>
      <c r="M32460" s="85"/>
    </row>
    <row r="32461" spans="9:13" x14ac:dyDescent="0.3">
      <c r="I32461" s="82"/>
      <c r="M32461" s="85"/>
    </row>
    <row r="32462" spans="9:13" x14ac:dyDescent="0.3">
      <c r="I32462" s="82"/>
      <c r="M32462" s="85"/>
    </row>
    <row r="32463" spans="9:13" x14ac:dyDescent="0.3">
      <c r="I32463" s="82"/>
      <c r="M32463" s="85"/>
    </row>
    <row r="32464" spans="9:13" x14ac:dyDescent="0.3">
      <c r="I32464" s="82"/>
      <c r="M32464" s="85"/>
    </row>
    <row r="32465" spans="9:13" x14ac:dyDescent="0.3">
      <c r="I32465" s="82"/>
      <c r="M32465" s="85"/>
    </row>
    <row r="32466" spans="9:13" x14ac:dyDescent="0.3">
      <c r="I32466" s="82"/>
      <c r="M32466" s="85"/>
    </row>
    <row r="32467" spans="9:13" x14ac:dyDescent="0.3">
      <c r="I32467" s="82"/>
      <c r="M32467" s="85"/>
    </row>
    <row r="32468" spans="9:13" x14ac:dyDescent="0.3">
      <c r="I32468" s="82"/>
      <c r="M32468" s="85"/>
    </row>
    <row r="32469" spans="9:13" x14ac:dyDescent="0.3">
      <c r="I32469" s="82"/>
      <c r="M32469" s="85"/>
    </row>
    <row r="32470" spans="9:13" x14ac:dyDescent="0.3">
      <c r="I32470" s="82"/>
      <c r="M32470" s="85"/>
    </row>
    <row r="32471" spans="9:13" x14ac:dyDescent="0.3">
      <c r="I32471" s="82"/>
      <c r="M32471" s="85"/>
    </row>
    <row r="32472" spans="9:13" x14ac:dyDescent="0.3">
      <c r="I32472" s="82"/>
      <c r="M32472" s="85"/>
    </row>
    <row r="32473" spans="9:13" x14ac:dyDescent="0.3">
      <c r="I32473" s="82"/>
      <c r="M32473" s="85"/>
    </row>
    <row r="32474" spans="9:13" x14ac:dyDescent="0.3">
      <c r="I32474" s="82"/>
      <c r="M32474" s="85"/>
    </row>
    <row r="32475" spans="9:13" x14ac:dyDescent="0.3">
      <c r="I32475" s="82"/>
      <c r="M32475" s="85"/>
    </row>
    <row r="32476" spans="9:13" x14ac:dyDescent="0.3">
      <c r="I32476" s="82"/>
      <c r="M32476" s="85"/>
    </row>
    <row r="32477" spans="9:13" x14ac:dyDescent="0.3">
      <c r="I32477" s="82"/>
      <c r="M32477" s="85"/>
    </row>
    <row r="32478" spans="9:13" x14ac:dyDescent="0.3">
      <c r="I32478" s="82"/>
      <c r="M32478" s="85"/>
    </row>
    <row r="32479" spans="9:13" x14ac:dyDescent="0.3">
      <c r="I32479" s="82"/>
      <c r="M32479" s="85"/>
    </row>
    <row r="32480" spans="9:13" x14ac:dyDescent="0.3">
      <c r="I32480" s="82"/>
      <c r="M32480" s="85"/>
    </row>
    <row r="32481" spans="9:13" x14ac:dyDescent="0.3">
      <c r="I32481" s="82"/>
      <c r="M32481" s="85"/>
    </row>
    <row r="32482" spans="9:13" x14ac:dyDescent="0.3">
      <c r="I32482" s="82"/>
      <c r="M32482" s="85"/>
    </row>
    <row r="32483" spans="9:13" x14ac:dyDescent="0.3">
      <c r="I32483" s="82"/>
      <c r="M32483" s="85"/>
    </row>
    <row r="32484" spans="9:13" x14ac:dyDescent="0.3">
      <c r="I32484" s="82"/>
      <c r="M32484" s="85"/>
    </row>
    <row r="32485" spans="9:13" x14ac:dyDescent="0.3">
      <c r="I32485" s="82"/>
      <c r="M32485" s="85"/>
    </row>
    <row r="32486" spans="9:13" x14ac:dyDescent="0.3">
      <c r="I32486" s="82"/>
      <c r="M32486" s="85"/>
    </row>
    <row r="32487" spans="9:13" x14ac:dyDescent="0.3">
      <c r="I32487" s="82"/>
      <c r="M32487" s="85"/>
    </row>
    <row r="32488" spans="9:13" x14ac:dyDescent="0.3">
      <c r="I32488" s="82"/>
      <c r="M32488" s="85"/>
    </row>
    <row r="32489" spans="9:13" x14ac:dyDescent="0.3">
      <c r="I32489" s="82"/>
      <c r="M32489" s="85"/>
    </row>
    <row r="32490" spans="9:13" x14ac:dyDescent="0.3">
      <c r="I32490" s="82"/>
      <c r="M32490" s="85"/>
    </row>
    <row r="32491" spans="9:13" x14ac:dyDescent="0.3">
      <c r="I32491" s="82"/>
      <c r="M32491" s="85"/>
    </row>
    <row r="32492" spans="9:13" x14ac:dyDescent="0.3">
      <c r="I32492" s="82"/>
      <c r="M32492" s="85"/>
    </row>
    <row r="32493" spans="9:13" x14ac:dyDescent="0.3">
      <c r="I32493" s="82"/>
      <c r="M32493" s="85"/>
    </row>
    <row r="32494" spans="9:13" x14ac:dyDescent="0.3">
      <c r="I32494" s="82"/>
      <c r="M32494" s="85"/>
    </row>
    <row r="32495" spans="9:13" x14ac:dyDescent="0.3">
      <c r="I32495" s="82"/>
      <c r="M32495" s="85"/>
    </row>
    <row r="32496" spans="9:13" x14ac:dyDescent="0.3">
      <c r="I32496" s="82"/>
      <c r="M32496" s="85"/>
    </row>
    <row r="32497" spans="9:13" x14ac:dyDescent="0.3">
      <c r="I32497" s="82"/>
      <c r="M32497" s="85"/>
    </row>
    <row r="32498" spans="9:13" x14ac:dyDescent="0.3">
      <c r="I32498" s="82"/>
      <c r="M32498" s="85"/>
    </row>
    <row r="32499" spans="9:13" x14ac:dyDescent="0.3">
      <c r="I32499" s="82"/>
      <c r="M32499" s="85"/>
    </row>
    <row r="32500" spans="9:13" x14ac:dyDescent="0.3">
      <c r="I32500" s="82"/>
      <c r="M32500" s="85"/>
    </row>
    <row r="32501" spans="9:13" x14ac:dyDescent="0.3">
      <c r="I32501" s="82"/>
      <c r="M32501" s="85"/>
    </row>
    <row r="32502" spans="9:13" x14ac:dyDescent="0.3">
      <c r="I32502" s="82"/>
      <c r="M32502" s="85"/>
    </row>
    <row r="32503" spans="9:13" x14ac:dyDescent="0.3">
      <c r="I32503" s="82"/>
      <c r="M32503" s="85"/>
    </row>
    <row r="32504" spans="9:13" x14ac:dyDescent="0.3">
      <c r="I32504" s="82"/>
      <c r="M32504" s="85"/>
    </row>
    <row r="32505" spans="9:13" x14ac:dyDescent="0.3">
      <c r="I32505" s="82"/>
      <c r="M32505" s="85"/>
    </row>
    <row r="32506" spans="9:13" x14ac:dyDescent="0.3">
      <c r="I32506" s="82"/>
      <c r="M32506" s="85"/>
    </row>
    <row r="32507" spans="9:13" x14ac:dyDescent="0.3">
      <c r="I32507" s="82"/>
      <c r="M32507" s="85"/>
    </row>
    <row r="32508" spans="9:13" x14ac:dyDescent="0.3">
      <c r="I32508" s="82"/>
      <c r="M32508" s="85"/>
    </row>
    <row r="32509" spans="9:13" x14ac:dyDescent="0.3">
      <c r="I32509" s="82"/>
      <c r="M32509" s="85"/>
    </row>
    <row r="32510" spans="9:13" x14ac:dyDescent="0.3">
      <c r="I32510" s="82"/>
      <c r="M32510" s="85"/>
    </row>
    <row r="32511" spans="9:13" x14ac:dyDescent="0.3">
      <c r="I32511" s="82"/>
      <c r="M32511" s="85"/>
    </row>
    <row r="32512" spans="9:13" x14ac:dyDescent="0.3">
      <c r="I32512" s="82"/>
      <c r="M32512" s="85"/>
    </row>
    <row r="32513" spans="9:13" x14ac:dyDescent="0.3">
      <c r="I32513" s="82"/>
      <c r="M32513" s="85"/>
    </row>
    <row r="32514" spans="9:13" x14ac:dyDescent="0.3">
      <c r="I32514" s="82"/>
      <c r="M32514" s="85"/>
    </row>
    <row r="32515" spans="9:13" x14ac:dyDescent="0.3">
      <c r="I32515" s="82"/>
      <c r="M32515" s="85"/>
    </row>
    <row r="32516" spans="9:13" x14ac:dyDescent="0.3">
      <c r="I32516" s="82"/>
      <c r="M32516" s="85"/>
    </row>
    <row r="32517" spans="9:13" x14ac:dyDescent="0.3">
      <c r="I32517" s="82"/>
      <c r="M32517" s="85"/>
    </row>
    <row r="32518" spans="9:13" x14ac:dyDescent="0.3">
      <c r="I32518" s="82"/>
      <c r="M32518" s="85"/>
    </row>
    <row r="32519" spans="9:13" x14ac:dyDescent="0.3">
      <c r="I32519" s="82"/>
      <c r="M32519" s="85"/>
    </row>
    <row r="32520" spans="9:13" x14ac:dyDescent="0.3">
      <c r="I32520" s="82"/>
      <c r="M32520" s="85"/>
    </row>
    <row r="32521" spans="9:13" x14ac:dyDescent="0.3">
      <c r="I32521" s="82"/>
      <c r="M32521" s="85"/>
    </row>
    <row r="32522" spans="9:13" x14ac:dyDescent="0.3">
      <c r="I32522" s="82"/>
      <c r="M32522" s="85"/>
    </row>
    <row r="32523" spans="9:13" x14ac:dyDescent="0.3">
      <c r="I32523" s="82"/>
      <c r="M32523" s="85"/>
    </row>
    <row r="32524" spans="9:13" x14ac:dyDescent="0.3">
      <c r="I32524" s="82"/>
      <c r="M32524" s="85"/>
    </row>
    <row r="32525" spans="9:13" x14ac:dyDescent="0.3">
      <c r="I32525" s="82"/>
      <c r="M32525" s="85"/>
    </row>
    <row r="32526" spans="9:13" x14ac:dyDescent="0.3">
      <c r="I32526" s="82"/>
      <c r="M32526" s="85"/>
    </row>
    <row r="32527" spans="9:13" x14ac:dyDescent="0.3">
      <c r="I32527" s="82"/>
      <c r="M32527" s="85"/>
    </row>
    <row r="32528" spans="9:13" x14ac:dyDescent="0.3">
      <c r="I32528" s="82"/>
      <c r="M32528" s="85"/>
    </row>
    <row r="32529" spans="9:13" x14ac:dyDescent="0.3">
      <c r="I32529" s="82"/>
      <c r="M32529" s="85"/>
    </row>
    <row r="32530" spans="9:13" x14ac:dyDescent="0.3">
      <c r="I32530" s="82"/>
      <c r="M32530" s="85"/>
    </row>
    <row r="32531" spans="9:13" x14ac:dyDescent="0.3">
      <c r="I32531" s="82"/>
      <c r="M32531" s="85"/>
    </row>
    <row r="32532" spans="9:13" x14ac:dyDescent="0.3">
      <c r="I32532" s="82"/>
      <c r="M32532" s="85"/>
    </row>
    <row r="32533" spans="9:13" x14ac:dyDescent="0.3">
      <c r="I32533" s="82"/>
      <c r="M32533" s="85"/>
    </row>
    <row r="32534" spans="9:13" x14ac:dyDescent="0.3">
      <c r="I32534" s="82"/>
      <c r="M32534" s="85"/>
    </row>
    <row r="32535" spans="9:13" x14ac:dyDescent="0.3">
      <c r="I32535" s="82"/>
      <c r="M32535" s="85"/>
    </row>
    <row r="32536" spans="9:13" x14ac:dyDescent="0.3">
      <c r="I32536" s="82"/>
      <c r="M32536" s="85"/>
    </row>
    <row r="32537" spans="9:13" x14ac:dyDescent="0.3">
      <c r="I32537" s="82"/>
      <c r="M32537" s="85"/>
    </row>
    <row r="32538" spans="9:13" x14ac:dyDescent="0.3">
      <c r="I32538" s="82"/>
      <c r="M32538" s="85"/>
    </row>
    <row r="32539" spans="9:13" x14ac:dyDescent="0.3">
      <c r="I32539" s="82"/>
      <c r="M32539" s="85"/>
    </row>
    <row r="32540" spans="9:13" x14ac:dyDescent="0.3">
      <c r="I32540" s="82"/>
      <c r="M32540" s="85"/>
    </row>
    <row r="32541" spans="9:13" x14ac:dyDescent="0.3">
      <c r="I32541" s="82"/>
      <c r="M32541" s="85"/>
    </row>
    <row r="32542" spans="9:13" x14ac:dyDescent="0.3">
      <c r="I32542" s="82"/>
      <c r="M32542" s="85"/>
    </row>
    <row r="32543" spans="9:13" x14ac:dyDescent="0.3">
      <c r="I32543" s="82"/>
      <c r="M32543" s="85"/>
    </row>
    <row r="32544" spans="9:13" x14ac:dyDescent="0.3">
      <c r="I32544" s="82"/>
      <c r="M32544" s="85"/>
    </row>
    <row r="32545" spans="9:13" x14ac:dyDescent="0.3">
      <c r="I32545" s="82"/>
      <c r="M32545" s="85"/>
    </row>
    <row r="32546" spans="9:13" x14ac:dyDescent="0.3">
      <c r="I32546" s="82"/>
      <c r="M32546" s="85"/>
    </row>
    <row r="32547" spans="9:13" x14ac:dyDescent="0.3">
      <c r="I32547" s="82"/>
      <c r="M32547" s="85"/>
    </row>
    <row r="32548" spans="9:13" x14ac:dyDescent="0.3">
      <c r="I32548" s="82"/>
      <c r="M32548" s="85"/>
    </row>
    <row r="32549" spans="9:13" x14ac:dyDescent="0.3">
      <c r="I32549" s="82"/>
      <c r="M32549" s="85"/>
    </row>
    <row r="32550" spans="9:13" x14ac:dyDescent="0.3">
      <c r="I32550" s="82"/>
      <c r="M32550" s="85"/>
    </row>
    <row r="32551" spans="9:13" x14ac:dyDescent="0.3">
      <c r="I32551" s="82"/>
      <c r="M32551" s="85"/>
    </row>
    <row r="32552" spans="9:13" x14ac:dyDescent="0.3">
      <c r="I32552" s="82"/>
      <c r="M32552" s="85"/>
    </row>
    <row r="32553" spans="9:13" x14ac:dyDescent="0.3">
      <c r="I32553" s="82"/>
      <c r="M32553" s="85"/>
    </row>
    <row r="32554" spans="9:13" x14ac:dyDescent="0.3">
      <c r="I32554" s="82"/>
      <c r="M32554" s="85"/>
    </row>
    <row r="32555" spans="9:13" x14ac:dyDescent="0.3">
      <c r="I32555" s="82"/>
      <c r="M32555" s="85"/>
    </row>
    <row r="32556" spans="9:13" x14ac:dyDescent="0.3">
      <c r="I32556" s="82"/>
      <c r="M32556" s="85"/>
    </row>
    <row r="32557" spans="9:13" x14ac:dyDescent="0.3">
      <c r="I32557" s="82"/>
      <c r="M32557" s="85"/>
    </row>
    <row r="32558" spans="9:13" x14ac:dyDescent="0.3">
      <c r="I32558" s="82"/>
      <c r="M32558" s="85"/>
    </row>
    <row r="32559" spans="9:13" x14ac:dyDescent="0.3">
      <c r="I32559" s="82"/>
      <c r="M32559" s="85"/>
    </row>
    <row r="32560" spans="9:13" x14ac:dyDescent="0.3">
      <c r="I32560" s="82"/>
      <c r="M32560" s="85"/>
    </row>
    <row r="32561" spans="9:13" x14ac:dyDescent="0.3">
      <c r="I32561" s="82"/>
      <c r="M32561" s="85"/>
    </row>
    <row r="32562" spans="9:13" x14ac:dyDescent="0.3">
      <c r="I32562" s="82"/>
      <c r="M32562" s="85"/>
    </row>
    <row r="32563" spans="9:13" x14ac:dyDescent="0.3">
      <c r="I32563" s="82"/>
      <c r="M32563" s="85"/>
    </row>
    <row r="32564" spans="9:13" x14ac:dyDescent="0.3">
      <c r="I32564" s="82"/>
      <c r="M32564" s="85"/>
    </row>
    <row r="32565" spans="9:13" x14ac:dyDescent="0.3">
      <c r="I32565" s="82"/>
      <c r="M32565" s="85"/>
    </row>
    <row r="32566" spans="9:13" x14ac:dyDescent="0.3">
      <c r="I32566" s="82"/>
      <c r="M32566" s="85"/>
    </row>
    <row r="32567" spans="9:13" x14ac:dyDescent="0.3">
      <c r="I32567" s="82"/>
      <c r="M32567" s="85"/>
    </row>
    <row r="32568" spans="9:13" x14ac:dyDescent="0.3">
      <c r="I32568" s="82"/>
      <c r="M32568" s="85"/>
    </row>
    <row r="32569" spans="9:13" x14ac:dyDescent="0.3">
      <c r="I32569" s="82"/>
      <c r="M32569" s="85"/>
    </row>
    <row r="32570" spans="9:13" x14ac:dyDescent="0.3">
      <c r="I32570" s="82"/>
      <c r="M32570" s="85"/>
    </row>
    <row r="32571" spans="9:13" x14ac:dyDescent="0.3">
      <c r="I32571" s="82"/>
      <c r="M32571" s="85"/>
    </row>
    <row r="32572" spans="9:13" x14ac:dyDescent="0.3">
      <c r="I32572" s="82"/>
      <c r="M32572" s="85"/>
    </row>
    <row r="32573" spans="9:13" x14ac:dyDescent="0.3">
      <c r="I32573" s="82"/>
      <c r="M32573" s="85"/>
    </row>
    <row r="32574" spans="9:13" x14ac:dyDescent="0.3">
      <c r="I32574" s="82"/>
      <c r="M32574" s="85"/>
    </row>
    <row r="32575" spans="9:13" x14ac:dyDescent="0.3">
      <c r="I32575" s="82"/>
      <c r="M32575" s="85"/>
    </row>
    <row r="32576" spans="9:13" x14ac:dyDescent="0.3">
      <c r="I32576" s="82"/>
      <c r="M32576" s="85"/>
    </row>
    <row r="32577" spans="9:13" x14ac:dyDescent="0.3">
      <c r="I32577" s="82"/>
      <c r="M32577" s="85"/>
    </row>
    <row r="32578" spans="9:13" x14ac:dyDescent="0.3">
      <c r="I32578" s="82"/>
      <c r="M32578" s="85"/>
    </row>
    <row r="32579" spans="9:13" x14ac:dyDescent="0.3">
      <c r="I32579" s="82"/>
      <c r="M32579" s="85"/>
    </row>
    <row r="32580" spans="9:13" x14ac:dyDescent="0.3">
      <c r="I32580" s="82"/>
      <c r="M32580" s="85"/>
    </row>
    <row r="32581" spans="9:13" x14ac:dyDescent="0.3">
      <c r="I32581" s="82"/>
      <c r="M32581" s="85"/>
    </row>
    <row r="32582" spans="9:13" x14ac:dyDescent="0.3">
      <c r="I32582" s="82"/>
      <c r="M32582" s="85"/>
    </row>
    <row r="32583" spans="9:13" x14ac:dyDescent="0.3">
      <c r="I32583" s="82"/>
      <c r="M32583" s="85"/>
    </row>
    <row r="32584" spans="9:13" x14ac:dyDescent="0.3">
      <c r="I32584" s="82"/>
      <c r="M32584" s="85"/>
    </row>
    <row r="32585" spans="9:13" x14ac:dyDescent="0.3">
      <c r="I32585" s="82"/>
      <c r="M32585" s="85"/>
    </row>
    <row r="32586" spans="9:13" x14ac:dyDescent="0.3">
      <c r="I32586" s="82"/>
      <c r="M32586" s="85"/>
    </row>
    <row r="32587" spans="9:13" x14ac:dyDescent="0.3">
      <c r="I32587" s="82"/>
      <c r="M32587" s="85"/>
    </row>
    <row r="32588" spans="9:13" x14ac:dyDescent="0.3">
      <c r="I32588" s="82"/>
      <c r="M32588" s="85"/>
    </row>
    <row r="32589" spans="9:13" x14ac:dyDescent="0.3">
      <c r="I32589" s="82"/>
      <c r="M32589" s="85"/>
    </row>
    <row r="32590" spans="9:13" x14ac:dyDescent="0.3">
      <c r="I32590" s="82"/>
      <c r="M32590" s="85"/>
    </row>
    <row r="32591" spans="9:13" x14ac:dyDescent="0.3">
      <c r="I32591" s="82"/>
      <c r="M32591" s="85"/>
    </row>
    <row r="32592" spans="9:13" x14ac:dyDescent="0.3">
      <c r="I32592" s="82"/>
      <c r="M32592" s="85"/>
    </row>
    <row r="32593" spans="9:13" x14ac:dyDescent="0.3">
      <c r="I32593" s="82"/>
      <c r="M32593" s="85"/>
    </row>
    <row r="32594" spans="9:13" x14ac:dyDescent="0.3">
      <c r="I32594" s="82"/>
      <c r="M32594" s="85"/>
    </row>
    <row r="32595" spans="9:13" x14ac:dyDescent="0.3">
      <c r="I32595" s="82"/>
      <c r="M32595" s="85"/>
    </row>
    <row r="32596" spans="9:13" x14ac:dyDescent="0.3">
      <c r="I32596" s="82"/>
      <c r="M32596" s="85"/>
    </row>
    <row r="32597" spans="9:13" x14ac:dyDescent="0.3">
      <c r="I32597" s="82"/>
      <c r="M32597" s="85"/>
    </row>
    <row r="32598" spans="9:13" x14ac:dyDescent="0.3">
      <c r="I32598" s="82"/>
      <c r="M32598" s="85"/>
    </row>
    <row r="32599" spans="9:13" x14ac:dyDescent="0.3">
      <c r="I32599" s="82"/>
      <c r="M32599" s="85"/>
    </row>
    <row r="32600" spans="9:13" x14ac:dyDescent="0.3">
      <c r="I32600" s="82"/>
      <c r="M32600" s="85"/>
    </row>
    <row r="32601" spans="9:13" x14ac:dyDescent="0.3">
      <c r="I32601" s="82"/>
      <c r="M32601" s="85"/>
    </row>
    <row r="32602" spans="9:13" x14ac:dyDescent="0.3">
      <c r="I32602" s="82"/>
      <c r="M32602" s="85"/>
    </row>
    <row r="32603" spans="9:13" x14ac:dyDescent="0.3">
      <c r="I32603" s="82"/>
      <c r="M32603" s="85"/>
    </row>
    <row r="32604" spans="9:13" x14ac:dyDescent="0.3">
      <c r="I32604" s="82"/>
      <c r="M32604" s="85"/>
    </row>
    <row r="32605" spans="9:13" x14ac:dyDescent="0.3">
      <c r="I32605" s="82"/>
      <c r="M32605" s="85"/>
    </row>
    <row r="32606" spans="9:13" x14ac:dyDescent="0.3">
      <c r="I32606" s="82"/>
      <c r="M32606" s="85"/>
    </row>
    <row r="32607" spans="9:13" x14ac:dyDescent="0.3">
      <c r="I32607" s="82"/>
      <c r="M32607" s="85"/>
    </row>
    <row r="32608" spans="9:13" x14ac:dyDescent="0.3">
      <c r="I32608" s="82"/>
      <c r="M32608" s="85"/>
    </row>
    <row r="32609" spans="9:13" x14ac:dyDescent="0.3">
      <c r="I32609" s="82"/>
      <c r="M32609" s="85"/>
    </row>
    <row r="32610" spans="9:13" x14ac:dyDescent="0.3">
      <c r="I32610" s="82"/>
      <c r="M32610" s="85"/>
    </row>
    <row r="32611" spans="9:13" x14ac:dyDescent="0.3">
      <c r="I32611" s="82"/>
      <c r="M32611" s="85"/>
    </row>
    <row r="32612" spans="9:13" x14ac:dyDescent="0.3">
      <c r="I32612" s="82"/>
      <c r="M32612" s="85"/>
    </row>
    <row r="32613" spans="9:13" x14ac:dyDescent="0.3">
      <c r="I32613" s="82"/>
      <c r="M32613" s="85"/>
    </row>
    <row r="32614" spans="9:13" x14ac:dyDescent="0.3">
      <c r="I32614" s="82"/>
      <c r="M32614" s="85"/>
    </row>
    <row r="32615" spans="9:13" x14ac:dyDescent="0.3">
      <c r="I32615" s="82"/>
      <c r="M32615" s="85"/>
    </row>
    <row r="32616" spans="9:13" x14ac:dyDescent="0.3">
      <c r="I32616" s="82"/>
      <c r="M32616" s="85"/>
    </row>
    <row r="32617" spans="9:13" x14ac:dyDescent="0.3">
      <c r="I32617" s="82"/>
      <c r="M32617" s="85"/>
    </row>
    <row r="32618" spans="9:13" x14ac:dyDescent="0.3">
      <c r="I32618" s="82"/>
      <c r="M32618" s="85"/>
    </row>
    <row r="32619" spans="9:13" x14ac:dyDescent="0.3">
      <c r="I32619" s="82"/>
      <c r="M32619" s="85"/>
    </row>
    <row r="32620" spans="9:13" x14ac:dyDescent="0.3">
      <c r="I32620" s="82"/>
      <c r="M32620" s="85"/>
    </row>
    <row r="32621" spans="9:13" x14ac:dyDescent="0.3">
      <c r="I32621" s="82"/>
      <c r="M32621" s="85"/>
    </row>
    <row r="32622" spans="9:13" x14ac:dyDescent="0.3">
      <c r="I32622" s="82"/>
      <c r="M32622" s="85"/>
    </row>
    <row r="32623" spans="9:13" x14ac:dyDescent="0.3">
      <c r="I32623" s="82"/>
      <c r="M32623" s="85"/>
    </row>
    <row r="32624" spans="9:13" x14ac:dyDescent="0.3">
      <c r="I32624" s="82"/>
      <c r="M32624" s="85"/>
    </row>
    <row r="32625" spans="9:13" x14ac:dyDescent="0.3">
      <c r="I32625" s="82"/>
      <c r="M32625" s="85"/>
    </row>
    <row r="32626" spans="9:13" x14ac:dyDescent="0.3">
      <c r="I32626" s="82"/>
      <c r="M32626" s="85"/>
    </row>
    <row r="32627" spans="9:13" x14ac:dyDescent="0.3">
      <c r="I32627" s="82"/>
      <c r="M32627" s="85"/>
    </row>
    <row r="32628" spans="9:13" x14ac:dyDescent="0.3">
      <c r="I32628" s="82"/>
      <c r="M32628" s="85"/>
    </row>
    <row r="32629" spans="9:13" x14ac:dyDescent="0.3">
      <c r="I32629" s="82"/>
      <c r="M32629" s="85"/>
    </row>
    <row r="32630" spans="9:13" x14ac:dyDescent="0.3">
      <c r="I32630" s="82"/>
      <c r="M32630" s="85"/>
    </row>
    <row r="32631" spans="9:13" x14ac:dyDescent="0.3">
      <c r="I32631" s="82"/>
      <c r="M32631" s="85"/>
    </row>
    <row r="32632" spans="9:13" x14ac:dyDescent="0.3">
      <c r="I32632" s="82"/>
      <c r="M32632" s="85"/>
    </row>
    <row r="32633" spans="9:13" x14ac:dyDescent="0.3">
      <c r="I32633" s="82"/>
      <c r="M32633" s="85"/>
    </row>
    <row r="32634" spans="9:13" x14ac:dyDescent="0.3">
      <c r="I32634" s="82"/>
      <c r="M32634" s="85"/>
    </row>
    <row r="32635" spans="9:13" x14ac:dyDescent="0.3">
      <c r="I32635" s="82"/>
      <c r="M32635" s="85"/>
    </row>
    <row r="32636" spans="9:13" x14ac:dyDescent="0.3">
      <c r="I32636" s="82"/>
      <c r="M32636" s="85"/>
    </row>
    <row r="32637" spans="9:13" x14ac:dyDescent="0.3">
      <c r="I32637" s="82"/>
      <c r="M32637" s="85"/>
    </row>
    <row r="32638" spans="9:13" x14ac:dyDescent="0.3">
      <c r="I32638" s="82"/>
      <c r="M32638" s="85"/>
    </row>
    <row r="32639" spans="9:13" x14ac:dyDescent="0.3">
      <c r="I32639" s="82"/>
      <c r="M32639" s="85"/>
    </row>
    <row r="32640" spans="9:13" x14ac:dyDescent="0.3">
      <c r="I32640" s="82"/>
      <c r="M32640" s="85"/>
    </row>
    <row r="32641" spans="9:13" x14ac:dyDescent="0.3">
      <c r="I32641" s="82"/>
      <c r="M32641" s="85"/>
    </row>
    <row r="32642" spans="9:13" x14ac:dyDescent="0.3">
      <c r="I32642" s="82"/>
      <c r="M32642" s="85"/>
    </row>
    <row r="32643" spans="9:13" x14ac:dyDescent="0.3">
      <c r="I32643" s="82"/>
      <c r="M32643" s="85"/>
    </row>
    <row r="32644" spans="9:13" x14ac:dyDescent="0.3">
      <c r="I32644" s="82"/>
      <c r="M32644" s="85"/>
    </row>
    <row r="32645" spans="9:13" x14ac:dyDescent="0.3">
      <c r="I32645" s="82"/>
      <c r="M32645" s="85"/>
    </row>
    <row r="32646" spans="9:13" x14ac:dyDescent="0.3">
      <c r="I32646" s="82"/>
      <c r="M32646" s="85"/>
    </row>
    <row r="32647" spans="9:13" x14ac:dyDescent="0.3">
      <c r="I32647" s="82"/>
      <c r="M32647" s="85"/>
    </row>
    <row r="32648" spans="9:13" x14ac:dyDescent="0.3">
      <c r="I32648" s="82"/>
      <c r="M32648" s="85"/>
    </row>
    <row r="32649" spans="9:13" x14ac:dyDescent="0.3">
      <c r="I32649" s="82"/>
      <c r="M32649" s="85"/>
    </row>
    <row r="32650" spans="9:13" x14ac:dyDescent="0.3">
      <c r="I32650" s="82"/>
      <c r="M32650" s="85"/>
    </row>
    <row r="32651" spans="9:13" x14ac:dyDescent="0.3">
      <c r="I32651" s="82"/>
      <c r="M32651" s="85"/>
    </row>
    <row r="32652" spans="9:13" x14ac:dyDescent="0.3">
      <c r="I32652" s="82"/>
      <c r="M32652" s="85"/>
    </row>
    <row r="32653" spans="9:13" x14ac:dyDescent="0.3">
      <c r="I32653" s="82"/>
      <c r="M32653" s="85"/>
    </row>
    <row r="32654" spans="9:13" x14ac:dyDescent="0.3">
      <c r="I32654" s="82"/>
      <c r="M32654" s="85"/>
    </row>
    <row r="32655" spans="9:13" x14ac:dyDescent="0.3">
      <c r="I32655" s="82"/>
      <c r="M32655" s="85"/>
    </row>
    <row r="32656" spans="9:13" x14ac:dyDescent="0.3">
      <c r="I32656" s="82"/>
      <c r="M32656" s="85"/>
    </row>
    <row r="32657" spans="9:13" x14ac:dyDescent="0.3">
      <c r="I32657" s="82"/>
      <c r="M32657" s="85"/>
    </row>
    <row r="32658" spans="9:13" x14ac:dyDescent="0.3">
      <c r="I32658" s="82"/>
      <c r="M32658" s="85"/>
    </row>
    <row r="32659" spans="9:13" x14ac:dyDescent="0.3">
      <c r="I32659" s="82"/>
      <c r="M32659" s="85"/>
    </row>
    <row r="32660" spans="9:13" x14ac:dyDescent="0.3">
      <c r="I32660" s="82"/>
      <c r="M32660" s="85"/>
    </row>
    <row r="32661" spans="9:13" x14ac:dyDescent="0.3">
      <c r="I32661" s="82"/>
      <c r="M32661" s="85"/>
    </row>
    <row r="32662" spans="9:13" x14ac:dyDescent="0.3">
      <c r="I32662" s="82"/>
      <c r="M32662" s="85"/>
    </row>
    <row r="32663" spans="9:13" x14ac:dyDescent="0.3">
      <c r="I32663" s="82"/>
      <c r="M32663" s="85"/>
    </row>
    <row r="32664" spans="9:13" x14ac:dyDescent="0.3">
      <c r="I32664" s="82"/>
      <c r="M32664" s="85"/>
    </row>
    <row r="32665" spans="9:13" x14ac:dyDescent="0.3">
      <c r="I32665" s="82"/>
      <c r="M32665" s="85"/>
    </row>
    <row r="32666" spans="9:13" x14ac:dyDescent="0.3">
      <c r="I32666" s="82"/>
      <c r="M32666" s="85"/>
    </row>
    <row r="32667" spans="9:13" x14ac:dyDescent="0.3">
      <c r="I32667" s="82"/>
      <c r="M32667" s="85"/>
    </row>
    <row r="32668" spans="9:13" x14ac:dyDescent="0.3">
      <c r="I32668" s="82"/>
      <c r="M32668" s="85"/>
    </row>
    <row r="32669" spans="9:13" x14ac:dyDescent="0.3">
      <c r="I32669" s="82"/>
      <c r="M32669" s="85"/>
    </row>
    <row r="32670" spans="9:13" x14ac:dyDescent="0.3">
      <c r="I32670" s="82"/>
      <c r="M32670" s="85"/>
    </row>
    <row r="32671" spans="9:13" x14ac:dyDescent="0.3">
      <c r="I32671" s="82"/>
      <c r="M32671" s="85"/>
    </row>
    <row r="32672" spans="9:13" x14ac:dyDescent="0.3">
      <c r="I32672" s="82"/>
      <c r="M32672" s="85"/>
    </row>
    <row r="32673" spans="9:13" x14ac:dyDescent="0.3">
      <c r="I32673" s="82"/>
      <c r="M32673" s="85"/>
    </row>
    <row r="32674" spans="9:13" x14ac:dyDescent="0.3">
      <c r="I32674" s="82"/>
      <c r="M32674" s="85"/>
    </row>
    <row r="32675" spans="9:13" x14ac:dyDescent="0.3">
      <c r="I32675" s="82"/>
      <c r="M32675" s="85"/>
    </row>
    <row r="32676" spans="9:13" x14ac:dyDescent="0.3">
      <c r="I32676" s="82"/>
      <c r="M32676" s="85"/>
    </row>
    <row r="32677" spans="9:13" x14ac:dyDescent="0.3">
      <c r="I32677" s="82"/>
      <c r="M32677" s="85"/>
    </row>
    <row r="32678" spans="9:13" x14ac:dyDescent="0.3">
      <c r="I32678" s="82"/>
      <c r="M32678" s="85"/>
    </row>
    <row r="32679" spans="9:13" x14ac:dyDescent="0.3">
      <c r="I32679" s="82"/>
      <c r="M32679" s="85"/>
    </row>
    <row r="32680" spans="9:13" x14ac:dyDescent="0.3">
      <c r="I32680" s="82"/>
      <c r="M32680" s="85"/>
    </row>
    <row r="32681" spans="9:13" x14ac:dyDescent="0.3">
      <c r="I32681" s="82"/>
      <c r="M32681" s="85"/>
    </row>
    <row r="32682" spans="9:13" x14ac:dyDescent="0.3">
      <c r="I32682" s="82"/>
      <c r="M32682" s="85"/>
    </row>
    <row r="32683" spans="9:13" x14ac:dyDescent="0.3">
      <c r="I32683" s="82"/>
      <c r="M32683" s="85"/>
    </row>
    <row r="32684" spans="9:13" x14ac:dyDescent="0.3">
      <c r="I32684" s="82"/>
      <c r="M32684" s="85"/>
    </row>
    <row r="32685" spans="9:13" x14ac:dyDescent="0.3">
      <c r="I32685" s="82"/>
      <c r="M32685" s="85"/>
    </row>
    <row r="32686" spans="9:13" x14ac:dyDescent="0.3">
      <c r="I32686" s="82"/>
      <c r="M32686" s="85"/>
    </row>
    <row r="32687" spans="9:13" x14ac:dyDescent="0.3">
      <c r="I32687" s="82"/>
      <c r="M32687" s="85"/>
    </row>
    <row r="32688" spans="9:13" x14ac:dyDescent="0.3">
      <c r="I32688" s="82"/>
      <c r="M32688" s="85"/>
    </row>
    <row r="32689" spans="9:13" x14ac:dyDescent="0.3">
      <c r="I32689" s="82"/>
      <c r="M32689" s="85"/>
    </row>
    <row r="32690" spans="9:13" x14ac:dyDescent="0.3">
      <c r="I32690" s="82"/>
      <c r="M32690" s="85"/>
    </row>
    <row r="32691" spans="9:13" x14ac:dyDescent="0.3">
      <c r="I32691" s="82"/>
      <c r="M32691" s="85"/>
    </row>
    <row r="32692" spans="9:13" x14ac:dyDescent="0.3">
      <c r="I32692" s="82"/>
      <c r="M32692" s="85"/>
    </row>
    <row r="32693" spans="9:13" x14ac:dyDescent="0.3">
      <c r="I32693" s="82"/>
      <c r="M32693" s="85"/>
    </row>
    <row r="32694" spans="9:13" x14ac:dyDescent="0.3">
      <c r="I32694" s="82"/>
      <c r="M32694" s="85"/>
    </row>
    <row r="32695" spans="9:13" x14ac:dyDescent="0.3">
      <c r="I32695" s="82"/>
      <c r="M32695" s="85"/>
    </row>
    <row r="32696" spans="9:13" x14ac:dyDescent="0.3">
      <c r="I32696" s="82"/>
      <c r="M32696" s="85"/>
    </row>
    <row r="32697" spans="9:13" x14ac:dyDescent="0.3">
      <c r="I32697" s="82"/>
      <c r="M32697" s="85"/>
    </row>
    <row r="32698" spans="9:13" x14ac:dyDescent="0.3">
      <c r="I32698" s="82"/>
      <c r="M32698" s="85"/>
    </row>
    <row r="32699" spans="9:13" x14ac:dyDescent="0.3">
      <c r="I32699" s="82"/>
      <c r="M32699" s="85"/>
    </row>
    <row r="32700" spans="9:13" x14ac:dyDescent="0.3">
      <c r="I32700" s="82"/>
      <c r="M32700" s="85"/>
    </row>
    <row r="32701" spans="9:13" x14ac:dyDescent="0.3">
      <c r="I32701" s="82"/>
      <c r="M32701" s="85"/>
    </row>
    <row r="32702" spans="9:13" x14ac:dyDescent="0.3">
      <c r="I32702" s="82"/>
      <c r="M32702" s="85"/>
    </row>
    <row r="32703" spans="9:13" x14ac:dyDescent="0.3">
      <c r="I32703" s="82"/>
      <c r="M32703" s="85"/>
    </row>
    <row r="32704" spans="9:13" x14ac:dyDescent="0.3">
      <c r="I32704" s="82"/>
      <c r="M32704" s="85"/>
    </row>
    <row r="32705" spans="9:13" x14ac:dyDescent="0.3">
      <c r="I32705" s="82"/>
      <c r="M32705" s="85"/>
    </row>
    <row r="32706" spans="9:13" x14ac:dyDescent="0.3">
      <c r="I32706" s="82"/>
      <c r="M32706" s="85"/>
    </row>
    <row r="32707" spans="9:13" x14ac:dyDescent="0.3">
      <c r="I32707" s="82"/>
      <c r="M32707" s="85"/>
    </row>
    <row r="32708" spans="9:13" x14ac:dyDescent="0.3">
      <c r="I32708" s="82"/>
      <c r="M32708" s="85"/>
    </row>
    <row r="32709" spans="9:13" x14ac:dyDescent="0.3">
      <c r="I32709" s="82"/>
      <c r="M32709" s="85"/>
    </row>
    <row r="32710" spans="9:13" x14ac:dyDescent="0.3">
      <c r="I32710" s="82"/>
      <c r="M32710" s="85"/>
    </row>
    <row r="32711" spans="9:13" x14ac:dyDescent="0.3">
      <c r="I32711" s="82"/>
      <c r="M32711" s="85"/>
    </row>
    <row r="32712" spans="9:13" x14ac:dyDescent="0.3">
      <c r="I32712" s="82"/>
      <c r="M32712" s="85"/>
    </row>
    <row r="32713" spans="9:13" x14ac:dyDescent="0.3">
      <c r="I32713" s="82"/>
      <c r="M32713" s="85"/>
    </row>
    <row r="32714" spans="9:13" x14ac:dyDescent="0.3">
      <c r="I32714" s="82"/>
      <c r="M32714" s="85"/>
    </row>
    <row r="32715" spans="9:13" x14ac:dyDescent="0.3">
      <c r="I32715" s="82"/>
      <c r="M32715" s="85"/>
    </row>
    <row r="32716" spans="9:13" x14ac:dyDescent="0.3">
      <c r="I32716" s="82"/>
      <c r="M32716" s="85"/>
    </row>
    <row r="32717" spans="9:13" x14ac:dyDescent="0.3">
      <c r="I32717" s="82"/>
      <c r="M32717" s="85"/>
    </row>
    <row r="32718" spans="9:13" x14ac:dyDescent="0.3">
      <c r="I32718" s="82"/>
      <c r="M32718" s="85"/>
    </row>
    <row r="32719" spans="9:13" x14ac:dyDescent="0.3">
      <c r="I32719" s="82"/>
      <c r="M32719" s="85"/>
    </row>
    <row r="32720" spans="9:13" x14ac:dyDescent="0.3">
      <c r="I32720" s="82"/>
      <c r="M32720" s="85"/>
    </row>
    <row r="32721" spans="9:13" x14ac:dyDescent="0.3">
      <c r="I32721" s="82"/>
      <c r="M32721" s="85"/>
    </row>
    <row r="32722" spans="9:13" x14ac:dyDescent="0.3">
      <c r="I32722" s="82"/>
      <c r="M32722" s="85"/>
    </row>
    <row r="32723" spans="9:13" x14ac:dyDescent="0.3">
      <c r="I32723" s="82"/>
      <c r="M32723" s="85"/>
    </row>
    <row r="32724" spans="9:13" x14ac:dyDescent="0.3">
      <c r="I32724" s="82"/>
      <c r="M32724" s="85"/>
    </row>
    <row r="32725" spans="9:13" x14ac:dyDescent="0.3">
      <c r="I32725" s="82"/>
      <c r="M32725" s="85"/>
    </row>
    <row r="32726" spans="9:13" x14ac:dyDescent="0.3">
      <c r="I32726" s="82"/>
      <c r="M32726" s="85"/>
    </row>
    <row r="32727" spans="9:13" x14ac:dyDescent="0.3">
      <c r="I32727" s="82"/>
      <c r="M32727" s="85"/>
    </row>
    <row r="32728" spans="9:13" x14ac:dyDescent="0.3">
      <c r="I32728" s="82"/>
      <c r="M32728" s="85"/>
    </row>
    <row r="32729" spans="9:13" x14ac:dyDescent="0.3">
      <c r="I32729" s="82"/>
      <c r="M32729" s="85"/>
    </row>
    <row r="32730" spans="9:13" x14ac:dyDescent="0.3">
      <c r="I32730" s="82"/>
      <c r="M32730" s="85"/>
    </row>
    <row r="32731" spans="9:13" x14ac:dyDescent="0.3">
      <c r="I32731" s="82"/>
      <c r="M32731" s="85"/>
    </row>
    <row r="32732" spans="9:13" x14ac:dyDescent="0.3">
      <c r="I32732" s="82"/>
      <c r="M32732" s="85"/>
    </row>
    <row r="32733" spans="9:13" x14ac:dyDescent="0.3">
      <c r="I32733" s="82"/>
      <c r="M32733" s="85"/>
    </row>
    <row r="32734" spans="9:13" x14ac:dyDescent="0.3">
      <c r="I32734" s="82"/>
      <c r="M32734" s="85"/>
    </row>
    <row r="32735" spans="9:13" x14ac:dyDescent="0.3">
      <c r="I32735" s="82"/>
      <c r="M32735" s="85"/>
    </row>
    <row r="32736" spans="9:13" x14ac:dyDescent="0.3">
      <c r="I32736" s="82"/>
      <c r="M32736" s="85"/>
    </row>
    <row r="32737" spans="9:13" x14ac:dyDescent="0.3">
      <c r="I32737" s="82"/>
      <c r="M32737" s="85"/>
    </row>
    <row r="32738" spans="9:13" x14ac:dyDescent="0.3">
      <c r="I32738" s="82"/>
      <c r="M32738" s="85"/>
    </row>
    <row r="32739" spans="9:13" x14ac:dyDescent="0.3">
      <c r="I32739" s="82"/>
      <c r="M32739" s="85"/>
    </row>
    <row r="32740" spans="9:13" x14ac:dyDescent="0.3">
      <c r="I32740" s="82"/>
      <c r="M32740" s="85"/>
    </row>
    <row r="32741" spans="9:13" x14ac:dyDescent="0.3">
      <c r="I32741" s="82"/>
      <c r="M32741" s="85"/>
    </row>
    <row r="32742" spans="9:13" x14ac:dyDescent="0.3">
      <c r="I32742" s="82"/>
      <c r="M32742" s="85"/>
    </row>
    <row r="32743" spans="9:13" x14ac:dyDescent="0.3">
      <c r="I32743" s="82"/>
      <c r="M32743" s="85"/>
    </row>
    <row r="32744" spans="9:13" x14ac:dyDescent="0.3">
      <c r="I32744" s="82"/>
      <c r="M32744" s="85"/>
    </row>
    <row r="32745" spans="9:13" x14ac:dyDescent="0.3">
      <c r="I32745" s="82"/>
      <c r="M32745" s="85"/>
    </row>
    <row r="32746" spans="9:13" x14ac:dyDescent="0.3">
      <c r="I32746" s="82"/>
      <c r="M32746" s="85"/>
    </row>
    <row r="32747" spans="9:13" x14ac:dyDescent="0.3">
      <c r="I32747" s="82"/>
      <c r="M32747" s="85"/>
    </row>
    <row r="32748" spans="9:13" x14ac:dyDescent="0.3">
      <c r="I32748" s="82"/>
      <c r="M32748" s="85"/>
    </row>
    <row r="32749" spans="9:13" x14ac:dyDescent="0.3">
      <c r="I32749" s="82"/>
      <c r="M32749" s="85"/>
    </row>
    <row r="32750" spans="9:13" x14ac:dyDescent="0.3">
      <c r="I32750" s="82"/>
      <c r="M32750" s="85"/>
    </row>
    <row r="32751" spans="9:13" x14ac:dyDescent="0.3">
      <c r="I32751" s="82"/>
      <c r="M32751" s="85"/>
    </row>
    <row r="32752" spans="9:13" x14ac:dyDescent="0.3">
      <c r="I32752" s="82"/>
      <c r="M32752" s="85"/>
    </row>
    <row r="32753" spans="9:13" x14ac:dyDescent="0.3">
      <c r="I32753" s="82"/>
      <c r="M32753" s="85"/>
    </row>
    <row r="32754" spans="9:13" x14ac:dyDescent="0.3">
      <c r="I32754" s="82"/>
      <c r="M32754" s="85"/>
    </row>
    <row r="32755" spans="9:13" x14ac:dyDescent="0.3">
      <c r="I32755" s="82"/>
      <c r="M32755" s="85"/>
    </row>
    <row r="32756" spans="9:13" x14ac:dyDescent="0.3">
      <c r="I32756" s="82"/>
      <c r="M32756" s="85"/>
    </row>
    <row r="32757" spans="9:13" x14ac:dyDescent="0.3">
      <c r="I32757" s="82"/>
      <c r="M32757" s="85"/>
    </row>
    <row r="32758" spans="9:13" x14ac:dyDescent="0.3">
      <c r="I32758" s="82"/>
      <c r="M32758" s="85"/>
    </row>
    <row r="32759" spans="9:13" x14ac:dyDescent="0.3">
      <c r="I32759" s="82"/>
      <c r="M32759" s="85"/>
    </row>
    <row r="32760" spans="9:13" x14ac:dyDescent="0.3">
      <c r="I32760" s="82"/>
      <c r="M32760" s="85"/>
    </row>
    <row r="32761" spans="9:13" x14ac:dyDescent="0.3">
      <c r="I32761" s="82"/>
      <c r="M32761" s="85"/>
    </row>
    <row r="32762" spans="9:13" x14ac:dyDescent="0.3">
      <c r="I32762" s="82"/>
      <c r="M32762" s="85"/>
    </row>
    <row r="32763" spans="9:13" x14ac:dyDescent="0.3">
      <c r="I32763" s="82"/>
      <c r="M32763" s="85"/>
    </row>
    <row r="32764" spans="9:13" x14ac:dyDescent="0.3">
      <c r="I32764" s="82"/>
      <c r="M32764" s="85"/>
    </row>
    <row r="32765" spans="9:13" x14ac:dyDescent="0.3">
      <c r="I32765" s="82"/>
      <c r="M32765" s="85"/>
    </row>
    <row r="32766" spans="9:13" x14ac:dyDescent="0.3">
      <c r="I32766" s="82"/>
      <c r="M32766" s="85"/>
    </row>
    <row r="32767" spans="9:13" x14ac:dyDescent="0.3">
      <c r="I32767" s="82"/>
      <c r="M32767" s="85"/>
    </row>
    <row r="32768" spans="9:13" x14ac:dyDescent="0.3">
      <c r="I32768" s="82"/>
      <c r="M32768" s="85"/>
    </row>
    <row r="32769" spans="9:13" x14ac:dyDescent="0.3">
      <c r="I32769" s="82"/>
      <c r="M32769" s="85"/>
    </row>
    <row r="32770" spans="9:13" x14ac:dyDescent="0.3">
      <c r="I32770" s="82"/>
      <c r="M32770" s="85"/>
    </row>
    <row r="32771" spans="9:13" x14ac:dyDescent="0.3">
      <c r="I32771" s="82"/>
      <c r="M32771" s="85"/>
    </row>
    <row r="32772" spans="9:13" x14ac:dyDescent="0.3">
      <c r="I32772" s="82"/>
      <c r="M32772" s="85"/>
    </row>
    <row r="32773" spans="9:13" x14ac:dyDescent="0.3">
      <c r="I32773" s="82"/>
      <c r="M32773" s="85"/>
    </row>
    <row r="32774" spans="9:13" x14ac:dyDescent="0.3">
      <c r="I32774" s="82"/>
      <c r="M32774" s="85"/>
    </row>
    <row r="32775" spans="9:13" x14ac:dyDescent="0.3">
      <c r="I32775" s="82"/>
      <c r="M32775" s="85"/>
    </row>
    <row r="32776" spans="9:13" x14ac:dyDescent="0.3">
      <c r="I32776" s="82"/>
      <c r="M32776" s="85"/>
    </row>
    <row r="32777" spans="9:13" x14ac:dyDescent="0.3">
      <c r="I32777" s="82"/>
      <c r="M32777" s="85"/>
    </row>
    <row r="32778" spans="9:13" x14ac:dyDescent="0.3">
      <c r="I32778" s="82"/>
      <c r="M32778" s="85"/>
    </row>
    <row r="32779" spans="9:13" x14ac:dyDescent="0.3">
      <c r="I32779" s="82"/>
      <c r="M32779" s="85"/>
    </row>
    <row r="32780" spans="9:13" x14ac:dyDescent="0.3">
      <c r="I32780" s="82"/>
      <c r="M32780" s="85"/>
    </row>
    <row r="32781" spans="9:13" x14ac:dyDescent="0.3">
      <c r="I32781" s="82"/>
      <c r="M32781" s="85"/>
    </row>
    <row r="32782" spans="9:13" x14ac:dyDescent="0.3">
      <c r="I32782" s="82"/>
      <c r="M32782" s="85"/>
    </row>
    <row r="32783" spans="9:13" x14ac:dyDescent="0.3">
      <c r="I32783" s="82"/>
      <c r="M32783" s="85"/>
    </row>
    <row r="32784" spans="9:13" x14ac:dyDescent="0.3">
      <c r="I32784" s="82"/>
      <c r="M32784" s="85"/>
    </row>
    <row r="32785" spans="9:13" x14ac:dyDescent="0.3">
      <c r="I32785" s="82"/>
      <c r="M32785" s="85"/>
    </row>
    <row r="32786" spans="9:13" x14ac:dyDescent="0.3">
      <c r="I32786" s="82"/>
      <c r="M32786" s="85"/>
    </row>
    <row r="32787" spans="9:13" x14ac:dyDescent="0.3">
      <c r="I32787" s="82"/>
      <c r="M32787" s="85"/>
    </row>
    <row r="32788" spans="9:13" x14ac:dyDescent="0.3">
      <c r="I32788" s="82"/>
      <c r="M32788" s="85"/>
    </row>
    <row r="32789" spans="9:13" x14ac:dyDescent="0.3">
      <c r="I32789" s="82"/>
      <c r="M32789" s="85"/>
    </row>
    <row r="32790" spans="9:13" x14ac:dyDescent="0.3">
      <c r="I32790" s="82"/>
      <c r="M32790" s="85"/>
    </row>
    <row r="32791" spans="9:13" x14ac:dyDescent="0.3">
      <c r="I32791" s="82"/>
      <c r="M32791" s="85"/>
    </row>
    <row r="32792" spans="9:13" x14ac:dyDescent="0.3">
      <c r="I32792" s="82"/>
      <c r="M32792" s="85"/>
    </row>
    <row r="32793" spans="9:13" x14ac:dyDescent="0.3">
      <c r="I32793" s="82"/>
      <c r="M32793" s="85"/>
    </row>
    <row r="32794" spans="9:13" x14ac:dyDescent="0.3">
      <c r="I32794" s="82"/>
      <c r="M32794" s="85"/>
    </row>
    <row r="32795" spans="9:13" x14ac:dyDescent="0.3">
      <c r="I32795" s="82"/>
      <c r="M32795" s="85"/>
    </row>
    <row r="32796" spans="9:13" x14ac:dyDescent="0.3">
      <c r="I32796" s="82"/>
      <c r="M32796" s="85"/>
    </row>
    <row r="32797" spans="9:13" x14ac:dyDescent="0.3">
      <c r="I32797" s="82"/>
      <c r="M32797" s="85"/>
    </row>
    <row r="32798" spans="9:13" x14ac:dyDescent="0.3">
      <c r="I32798" s="82"/>
      <c r="M32798" s="85"/>
    </row>
    <row r="32799" spans="9:13" x14ac:dyDescent="0.3">
      <c r="I32799" s="82"/>
      <c r="M32799" s="85"/>
    </row>
    <row r="32800" spans="9:13" x14ac:dyDescent="0.3">
      <c r="I32800" s="82"/>
      <c r="M32800" s="85"/>
    </row>
    <row r="32801" spans="9:13" x14ac:dyDescent="0.3">
      <c r="I32801" s="82"/>
      <c r="M32801" s="85"/>
    </row>
    <row r="32802" spans="9:13" x14ac:dyDescent="0.3">
      <c r="I32802" s="82"/>
      <c r="M32802" s="85"/>
    </row>
    <row r="32803" spans="9:13" x14ac:dyDescent="0.3">
      <c r="I32803" s="82"/>
      <c r="M32803" s="85"/>
    </row>
    <row r="32804" spans="9:13" x14ac:dyDescent="0.3">
      <c r="I32804" s="82"/>
      <c r="M32804" s="85"/>
    </row>
    <row r="32805" spans="9:13" x14ac:dyDescent="0.3">
      <c r="I32805" s="82"/>
      <c r="M32805" s="85"/>
    </row>
    <row r="32806" spans="9:13" x14ac:dyDescent="0.3">
      <c r="I32806" s="82"/>
      <c r="M32806" s="85"/>
    </row>
    <row r="32807" spans="9:13" x14ac:dyDescent="0.3">
      <c r="I32807" s="82"/>
      <c r="M32807" s="85"/>
    </row>
    <row r="32808" spans="9:13" x14ac:dyDescent="0.3">
      <c r="I32808" s="82"/>
      <c r="M32808" s="85"/>
    </row>
    <row r="32809" spans="9:13" x14ac:dyDescent="0.3">
      <c r="I32809" s="82"/>
      <c r="M32809" s="85"/>
    </row>
    <row r="32810" spans="9:13" x14ac:dyDescent="0.3">
      <c r="I32810" s="82"/>
      <c r="M32810" s="85"/>
    </row>
    <row r="32811" spans="9:13" x14ac:dyDescent="0.3">
      <c r="I32811" s="82"/>
      <c r="M32811" s="85"/>
    </row>
    <row r="32812" spans="9:13" x14ac:dyDescent="0.3">
      <c r="I32812" s="82"/>
      <c r="M32812" s="85"/>
    </row>
    <row r="32813" spans="9:13" x14ac:dyDescent="0.3">
      <c r="I32813" s="82"/>
      <c r="M32813" s="85"/>
    </row>
    <row r="32814" spans="9:13" x14ac:dyDescent="0.3">
      <c r="I32814" s="82"/>
      <c r="M32814" s="85"/>
    </row>
    <row r="32815" spans="9:13" x14ac:dyDescent="0.3">
      <c r="I32815" s="82"/>
      <c r="M32815" s="85"/>
    </row>
    <row r="32816" spans="9:13" x14ac:dyDescent="0.3">
      <c r="I32816" s="82"/>
      <c r="M32816" s="85"/>
    </row>
    <row r="32817" spans="9:13" x14ac:dyDescent="0.3">
      <c r="I32817" s="82"/>
      <c r="M32817" s="85"/>
    </row>
    <row r="32818" spans="9:13" x14ac:dyDescent="0.3">
      <c r="I32818" s="82"/>
      <c r="M32818" s="85"/>
    </row>
    <row r="32819" spans="9:13" x14ac:dyDescent="0.3">
      <c r="I32819" s="82"/>
      <c r="M32819" s="85"/>
    </row>
    <row r="32820" spans="9:13" x14ac:dyDescent="0.3">
      <c r="I32820" s="82"/>
      <c r="M32820" s="85"/>
    </row>
    <row r="32821" spans="9:13" x14ac:dyDescent="0.3">
      <c r="I32821" s="82"/>
      <c r="M32821" s="85"/>
    </row>
    <row r="32822" spans="9:13" x14ac:dyDescent="0.3">
      <c r="I32822" s="82"/>
      <c r="M32822" s="85"/>
    </row>
    <row r="32823" spans="9:13" x14ac:dyDescent="0.3">
      <c r="I32823" s="82"/>
      <c r="M32823" s="85"/>
    </row>
    <row r="32824" spans="9:13" x14ac:dyDescent="0.3">
      <c r="I32824" s="82"/>
      <c r="M32824" s="85"/>
    </row>
    <row r="32825" spans="9:13" x14ac:dyDescent="0.3">
      <c r="I32825" s="82"/>
      <c r="M32825" s="85"/>
    </row>
    <row r="32826" spans="9:13" x14ac:dyDescent="0.3">
      <c r="I32826" s="82"/>
      <c r="M32826" s="85"/>
    </row>
    <row r="32827" spans="9:13" x14ac:dyDescent="0.3">
      <c r="I32827" s="82"/>
      <c r="M32827" s="85"/>
    </row>
    <row r="32828" spans="9:13" x14ac:dyDescent="0.3">
      <c r="I32828" s="82"/>
      <c r="M32828" s="85"/>
    </row>
    <row r="32829" spans="9:13" x14ac:dyDescent="0.3">
      <c r="I32829" s="82"/>
      <c r="M32829" s="85"/>
    </row>
    <row r="32830" spans="9:13" x14ac:dyDescent="0.3">
      <c r="I32830" s="82"/>
      <c r="M32830" s="85"/>
    </row>
    <row r="32831" spans="9:13" x14ac:dyDescent="0.3">
      <c r="I32831" s="82"/>
      <c r="M32831" s="85"/>
    </row>
    <row r="32832" spans="9:13" x14ac:dyDescent="0.3">
      <c r="I32832" s="82"/>
      <c r="M32832" s="85"/>
    </row>
    <row r="32833" spans="9:13" x14ac:dyDescent="0.3">
      <c r="I32833" s="82"/>
      <c r="M32833" s="85"/>
    </row>
    <row r="32834" spans="9:13" x14ac:dyDescent="0.3">
      <c r="I32834" s="82"/>
      <c r="M32834" s="85"/>
    </row>
    <row r="32835" spans="9:13" x14ac:dyDescent="0.3">
      <c r="I32835" s="82"/>
      <c r="M32835" s="85"/>
    </row>
    <row r="32836" spans="9:13" x14ac:dyDescent="0.3">
      <c r="I32836" s="82"/>
      <c r="M32836" s="85"/>
    </row>
    <row r="32837" spans="9:13" x14ac:dyDescent="0.3">
      <c r="I32837" s="82"/>
      <c r="M32837" s="85"/>
    </row>
    <row r="32838" spans="9:13" x14ac:dyDescent="0.3">
      <c r="I32838" s="82"/>
      <c r="M32838" s="85"/>
    </row>
    <row r="32839" spans="9:13" x14ac:dyDescent="0.3">
      <c r="I32839" s="82"/>
      <c r="M32839" s="85"/>
    </row>
    <row r="32840" spans="9:13" x14ac:dyDescent="0.3">
      <c r="I32840" s="82"/>
      <c r="M32840" s="85"/>
    </row>
    <row r="32841" spans="9:13" x14ac:dyDescent="0.3">
      <c r="I32841" s="82"/>
      <c r="M32841" s="85"/>
    </row>
    <row r="32842" spans="9:13" x14ac:dyDescent="0.3">
      <c r="I32842" s="82"/>
      <c r="M32842" s="85"/>
    </row>
    <row r="32843" spans="9:13" x14ac:dyDescent="0.3">
      <c r="I32843" s="82"/>
      <c r="M32843" s="85"/>
    </row>
    <row r="32844" spans="9:13" x14ac:dyDescent="0.3">
      <c r="I32844" s="82"/>
      <c r="M32844" s="85"/>
    </row>
    <row r="32845" spans="9:13" x14ac:dyDescent="0.3">
      <c r="I32845" s="82"/>
      <c r="M32845" s="85"/>
    </row>
    <row r="32846" spans="9:13" x14ac:dyDescent="0.3">
      <c r="I32846" s="82"/>
      <c r="M32846" s="85"/>
    </row>
    <row r="32847" spans="9:13" x14ac:dyDescent="0.3">
      <c r="I32847" s="82"/>
      <c r="M32847" s="85"/>
    </row>
    <row r="32848" spans="9:13" x14ac:dyDescent="0.3">
      <c r="I32848" s="82"/>
      <c r="M32848" s="85"/>
    </row>
    <row r="32849" spans="9:13" x14ac:dyDescent="0.3">
      <c r="I32849" s="82"/>
      <c r="M32849" s="85"/>
    </row>
    <row r="32850" spans="9:13" x14ac:dyDescent="0.3">
      <c r="I32850" s="82"/>
      <c r="M32850" s="85"/>
    </row>
    <row r="32851" spans="9:13" x14ac:dyDescent="0.3">
      <c r="I32851" s="82"/>
      <c r="M32851" s="85"/>
    </row>
    <row r="32852" spans="9:13" x14ac:dyDescent="0.3">
      <c r="I32852" s="82"/>
      <c r="M32852" s="85"/>
    </row>
    <row r="32853" spans="9:13" x14ac:dyDescent="0.3">
      <c r="I32853" s="82"/>
      <c r="M32853" s="85"/>
    </row>
    <row r="32854" spans="9:13" x14ac:dyDescent="0.3">
      <c r="I32854" s="82"/>
      <c r="M32854" s="85"/>
    </row>
    <row r="32855" spans="9:13" x14ac:dyDescent="0.3">
      <c r="I32855" s="82"/>
      <c r="M32855" s="85"/>
    </row>
    <row r="32856" spans="9:13" x14ac:dyDescent="0.3">
      <c r="I32856" s="82"/>
      <c r="M32856" s="85"/>
    </row>
    <row r="32857" spans="9:13" x14ac:dyDescent="0.3">
      <c r="I32857" s="82"/>
      <c r="M32857" s="85"/>
    </row>
    <row r="32858" spans="9:13" x14ac:dyDescent="0.3">
      <c r="I32858" s="82"/>
      <c r="M32858" s="85"/>
    </row>
    <row r="32859" spans="9:13" x14ac:dyDescent="0.3">
      <c r="I32859" s="82"/>
      <c r="M32859" s="85"/>
    </row>
    <row r="32860" spans="9:13" x14ac:dyDescent="0.3">
      <c r="I32860" s="82"/>
      <c r="M32860" s="85"/>
    </row>
    <row r="32861" spans="9:13" x14ac:dyDescent="0.3">
      <c r="I32861" s="82"/>
      <c r="M32861" s="85"/>
    </row>
    <row r="32862" spans="9:13" x14ac:dyDescent="0.3">
      <c r="I32862" s="82"/>
      <c r="M32862" s="85"/>
    </row>
    <row r="32863" spans="9:13" x14ac:dyDescent="0.3">
      <c r="I32863" s="82"/>
      <c r="M32863" s="85"/>
    </row>
    <row r="32864" spans="9:13" x14ac:dyDescent="0.3">
      <c r="I32864" s="82"/>
      <c r="M32864" s="85"/>
    </row>
    <row r="32865" spans="9:13" x14ac:dyDescent="0.3">
      <c r="I32865" s="82"/>
      <c r="M32865" s="85"/>
    </row>
    <row r="32866" spans="9:13" x14ac:dyDescent="0.3">
      <c r="I32866" s="82"/>
      <c r="M32866" s="85"/>
    </row>
    <row r="32867" spans="9:13" x14ac:dyDescent="0.3">
      <c r="I32867" s="82"/>
      <c r="M32867" s="85"/>
    </row>
    <row r="32868" spans="9:13" x14ac:dyDescent="0.3">
      <c r="I32868" s="82"/>
      <c r="M32868" s="85"/>
    </row>
    <row r="32869" spans="9:13" x14ac:dyDescent="0.3">
      <c r="I32869" s="82"/>
      <c r="M32869" s="85"/>
    </row>
    <row r="32870" spans="9:13" x14ac:dyDescent="0.3">
      <c r="I32870" s="82"/>
      <c r="M32870" s="85"/>
    </row>
    <row r="32871" spans="9:13" x14ac:dyDescent="0.3">
      <c r="I32871" s="82"/>
      <c r="M32871" s="85"/>
    </row>
    <row r="32872" spans="9:13" x14ac:dyDescent="0.3">
      <c r="I32872" s="82"/>
      <c r="M32872" s="85"/>
    </row>
    <row r="32873" spans="9:13" x14ac:dyDescent="0.3">
      <c r="I32873" s="82"/>
      <c r="M32873" s="85"/>
    </row>
    <row r="32874" spans="9:13" x14ac:dyDescent="0.3">
      <c r="I32874" s="82"/>
      <c r="M32874" s="85"/>
    </row>
    <row r="32875" spans="9:13" x14ac:dyDescent="0.3">
      <c r="I32875" s="82"/>
      <c r="M32875" s="85"/>
    </row>
    <row r="32876" spans="9:13" x14ac:dyDescent="0.3">
      <c r="I32876" s="82"/>
      <c r="M32876" s="85"/>
    </row>
    <row r="32877" spans="9:13" x14ac:dyDescent="0.3">
      <c r="I32877" s="82"/>
      <c r="M32877" s="85"/>
    </row>
    <row r="32878" spans="9:13" x14ac:dyDescent="0.3">
      <c r="I32878" s="82"/>
      <c r="M32878" s="85"/>
    </row>
    <row r="32879" spans="9:13" x14ac:dyDescent="0.3">
      <c r="I32879" s="82"/>
      <c r="M32879" s="85"/>
    </row>
    <row r="32880" spans="9:13" x14ac:dyDescent="0.3">
      <c r="I32880" s="82"/>
      <c r="M32880" s="85"/>
    </row>
    <row r="32881" spans="9:13" x14ac:dyDescent="0.3">
      <c r="I32881" s="82"/>
      <c r="M32881" s="85"/>
    </row>
    <row r="32882" spans="9:13" x14ac:dyDescent="0.3">
      <c r="I32882" s="82"/>
      <c r="M32882" s="85"/>
    </row>
    <row r="32883" spans="9:13" x14ac:dyDescent="0.3">
      <c r="I32883" s="82"/>
      <c r="M32883" s="85"/>
    </row>
    <row r="32884" spans="9:13" x14ac:dyDescent="0.3">
      <c r="I32884" s="82"/>
      <c r="M32884" s="85"/>
    </row>
    <row r="32885" spans="9:13" x14ac:dyDescent="0.3">
      <c r="I32885" s="82"/>
      <c r="M32885" s="85"/>
    </row>
    <row r="32886" spans="9:13" x14ac:dyDescent="0.3">
      <c r="I32886" s="82"/>
      <c r="M32886" s="85"/>
    </row>
    <row r="32887" spans="9:13" x14ac:dyDescent="0.3">
      <c r="I32887" s="82"/>
      <c r="M32887" s="85"/>
    </row>
    <row r="32888" spans="9:13" x14ac:dyDescent="0.3">
      <c r="I32888" s="82"/>
      <c r="M32888" s="85"/>
    </row>
    <row r="32889" spans="9:13" x14ac:dyDescent="0.3">
      <c r="I32889" s="82"/>
      <c r="M32889" s="85"/>
    </row>
    <row r="32890" spans="9:13" x14ac:dyDescent="0.3">
      <c r="I32890" s="82"/>
      <c r="M32890" s="85"/>
    </row>
    <row r="32891" spans="9:13" x14ac:dyDescent="0.3">
      <c r="I32891" s="82"/>
      <c r="M32891" s="85"/>
    </row>
    <row r="32892" spans="9:13" x14ac:dyDescent="0.3">
      <c r="I32892" s="82"/>
      <c r="M32892" s="85"/>
    </row>
    <row r="32893" spans="9:13" x14ac:dyDescent="0.3">
      <c r="I32893" s="82"/>
      <c r="M32893" s="85"/>
    </row>
    <row r="32894" spans="9:13" x14ac:dyDescent="0.3">
      <c r="I32894" s="82"/>
      <c r="M32894" s="85"/>
    </row>
    <row r="32895" spans="9:13" x14ac:dyDescent="0.3">
      <c r="I32895" s="82"/>
      <c r="M32895" s="85"/>
    </row>
    <row r="32896" spans="9:13" x14ac:dyDescent="0.3">
      <c r="I32896" s="82"/>
      <c r="M32896" s="85"/>
    </row>
    <row r="32897" spans="9:13" x14ac:dyDescent="0.3">
      <c r="I32897" s="82"/>
      <c r="M32897" s="85"/>
    </row>
    <row r="32898" spans="9:13" x14ac:dyDescent="0.3">
      <c r="I32898" s="82"/>
      <c r="M32898" s="85"/>
    </row>
    <row r="32899" spans="9:13" x14ac:dyDescent="0.3">
      <c r="I32899" s="82"/>
      <c r="M32899" s="85"/>
    </row>
    <row r="32900" spans="9:13" x14ac:dyDescent="0.3">
      <c r="I32900" s="82"/>
      <c r="M32900" s="85"/>
    </row>
    <row r="32901" spans="9:13" x14ac:dyDescent="0.3">
      <c r="I32901" s="82"/>
      <c r="M32901" s="85"/>
    </row>
    <row r="32902" spans="9:13" x14ac:dyDescent="0.3">
      <c r="I32902" s="82"/>
      <c r="M32902" s="85"/>
    </row>
    <row r="32903" spans="9:13" x14ac:dyDescent="0.3">
      <c r="I32903" s="82"/>
      <c r="M32903" s="85"/>
    </row>
    <row r="32904" spans="9:13" x14ac:dyDescent="0.3">
      <c r="I32904" s="82"/>
      <c r="M32904" s="85"/>
    </row>
    <row r="32905" spans="9:13" x14ac:dyDescent="0.3">
      <c r="I32905" s="82"/>
      <c r="M32905" s="85"/>
    </row>
    <row r="32906" spans="9:13" x14ac:dyDescent="0.3">
      <c r="I32906" s="82"/>
      <c r="M32906" s="85"/>
    </row>
    <row r="32907" spans="9:13" x14ac:dyDescent="0.3">
      <c r="I32907" s="82"/>
      <c r="M32907" s="85"/>
    </row>
    <row r="32908" spans="9:13" x14ac:dyDescent="0.3">
      <c r="I32908" s="82"/>
      <c r="M32908" s="85"/>
    </row>
    <row r="32909" spans="9:13" x14ac:dyDescent="0.3">
      <c r="I32909" s="82"/>
      <c r="M32909" s="85"/>
    </row>
    <row r="32910" spans="9:13" x14ac:dyDescent="0.3">
      <c r="I32910" s="82"/>
      <c r="M32910" s="85"/>
    </row>
    <row r="32911" spans="9:13" x14ac:dyDescent="0.3">
      <c r="I32911" s="82"/>
      <c r="M32911" s="85"/>
    </row>
    <row r="32912" spans="9:13" x14ac:dyDescent="0.3">
      <c r="I32912" s="82"/>
      <c r="M32912" s="85"/>
    </row>
    <row r="32913" spans="9:13" x14ac:dyDescent="0.3">
      <c r="I32913" s="82"/>
      <c r="M32913" s="85"/>
    </row>
    <row r="32914" spans="9:13" x14ac:dyDescent="0.3">
      <c r="I32914" s="82"/>
      <c r="M32914" s="85"/>
    </row>
    <row r="32915" spans="9:13" x14ac:dyDescent="0.3">
      <c r="I32915" s="82"/>
      <c r="M32915" s="85"/>
    </row>
    <row r="32916" spans="9:13" x14ac:dyDescent="0.3">
      <c r="I32916" s="82"/>
      <c r="M32916" s="85"/>
    </row>
    <row r="32917" spans="9:13" x14ac:dyDescent="0.3">
      <c r="I32917" s="82"/>
      <c r="M32917" s="85"/>
    </row>
    <row r="32918" spans="9:13" x14ac:dyDescent="0.3">
      <c r="I32918" s="82"/>
      <c r="M32918" s="85"/>
    </row>
    <row r="32919" spans="9:13" x14ac:dyDescent="0.3">
      <c r="I32919" s="82"/>
      <c r="M32919" s="85"/>
    </row>
    <row r="32920" spans="9:13" x14ac:dyDescent="0.3">
      <c r="I32920" s="82"/>
      <c r="M32920" s="85"/>
    </row>
    <row r="32921" spans="9:13" x14ac:dyDescent="0.3">
      <c r="I32921" s="82"/>
      <c r="M32921" s="85"/>
    </row>
    <row r="32922" spans="9:13" x14ac:dyDescent="0.3">
      <c r="I32922" s="82"/>
      <c r="M32922" s="85"/>
    </row>
    <row r="32923" spans="9:13" x14ac:dyDescent="0.3">
      <c r="I32923" s="82"/>
      <c r="M32923" s="85"/>
    </row>
    <row r="32924" spans="9:13" x14ac:dyDescent="0.3">
      <c r="I32924" s="82"/>
      <c r="M32924" s="85"/>
    </row>
    <row r="32925" spans="9:13" x14ac:dyDescent="0.3">
      <c r="I32925" s="82"/>
      <c r="M32925" s="85"/>
    </row>
    <row r="32926" spans="9:13" x14ac:dyDescent="0.3">
      <c r="I32926" s="82"/>
      <c r="M32926" s="85"/>
    </row>
    <row r="32927" spans="9:13" x14ac:dyDescent="0.3">
      <c r="I32927" s="82"/>
      <c r="M32927" s="85"/>
    </row>
    <row r="32928" spans="9:13" x14ac:dyDescent="0.3">
      <c r="I32928" s="82"/>
      <c r="M32928" s="85"/>
    </row>
    <row r="32929" spans="9:13" x14ac:dyDescent="0.3">
      <c r="I32929" s="82"/>
      <c r="M32929" s="85"/>
    </row>
    <row r="32930" spans="9:13" x14ac:dyDescent="0.3">
      <c r="I32930" s="82"/>
      <c r="M32930" s="85"/>
    </row>
    <row r="32931" spans="9:13" x14ac:dyDescent="0.3">
      <c r="I32931" s="82"/>
      <c r="M32931" s="85"/>
    </row>
    <row r="32932" spans="9:13" x14ac:dyDescent="0.3">
      <c r="I32932" s="82"/>
      <c r="M32932" s="85"/>
    </row>
    <row r="32933" spans="9:13" x14ac:dyDescent="0.3">
      <c r="I32933" s="82"/>
      <c r="M32933" s="85"/>
    </row>
    <row r="32934" spans="9:13" x14ac:dyDescent="0.3">
      <c r="I32934" s="82"/>
      <c r="M32934" s="85"/>
    </row>
    <row r="32935" spans="9:13" x14ac:dyDescent="0.3">
      <c r="I32935" s="82"/>
      <c r="M32935" s="85"/>
    </row>
    <row r="32936" spans="9:13" x14ac:dyDescent="0.3">
      <c r="I32936" s="82"/>
      <c r="M32936" s="85"/>
    </row>
    <row r="32937" spans="9:13" x14ac:dyDescent="0.3">
      <c r="I32937" s="82"/>
      <c r="M32937" s="85"/>
    </row>
    <row r="32938" spans="9:13" x14ac:dyDescent="0.3">
      <c r="I32938" s="82"/>
      <c r="M32938" s="85"/>
    </row>
    <row r="32939" spans="9:13" x14ac:dyDescent="0.3">
      <c r="I32939" s="82"/>
      <c r="M32939" s="85"/>
    </row>
    <row r="32940" spans="9:13" x14ac:dyDescent="0.3">
      <c r="I32940" s="82"/>
      <c r="M32940" s="85"/>
    </row>
    <row r="32941" spans="9:13" x14ac:dyDescent="0.3">
      <c r="I32941" s="82"/>
      <c r="M32941" s="85"/>
    </row>
    <row r="32942" spans="9:13" x14ac:dyDescent="0.3">
      <c r="I32942" s="82"/>
      <c r="M32942" s="85"/>
    </row>
    <row r="32943" spans="9:13" x14ac:dyDescent="0.3">
      <c r="I32943" s="82"/>
      <c r="M32943" s="85"/>
    </row>
    <row r="32944" spans="9:13" x14ac:dyDescent="0.3">
      <c r="I32944" s="82"/>
      <c r="M32944" s="85"/>
    </row>
    <row r="32945" spans="9:13" x14ac:dyDescent="0.3">
      <c r="I32945" s="82"/>
      <c r="M32945" s="85"/>
    </row>
    <row r="32946" spans="9:13" x14ac:dyDescent="0.3">
      <c r="I32946" s="82"/>
      <c r="M32946" s="85"/>
    </row>
    <row r="32947" spans="9:13" x14ac:dyDescent="0.3">
      <c r="I32947" s="82"/>
      <c r="M32947" s="85"/>
    </row>
    <row r="32948" spans="9:13" x14ac:dyDescent="0.3">
      <c r="I32948" s="82"/>
      <c r="M32948" s="85"/>
    </row>
    <row r="32949" spans="9:13" x14ac:dyDescent="0.3">
      <c r="I32949" s="82"/>
      <c r="M32949" s="85"/>
    </row>
    <row r="32950" spans="9:13" x14ac:dyDescent="0.3">
      <c r="I32950" s="82"/>
      <c r="M32950" s="85"/>
    </row>
    <row r="32951" spans="9:13" x14ac:dyDescent="0.3">
      <c r="I32951" s="82"/>
      <c r="M32951" s="85"/>
    </row>
    <row r="32952" spans="9:13" x14ac:dyDescent="0.3">
      <c r="I32952" s="82"/>
      <c r="M32952" s="85"/>
    </row>
    <row r="32953" spans="9:13" x14ac:dyDescent="0.3">
      <c r="I32953" s="82"/>
      <c r="M32953" s="85"/>
    </row>
    <row r="32954" spans="9:13" x14ac:dyDescent="0.3">
      <c r="I32954" s="82"/>
      <c r="M32954" s="85"/>
    </row>
    <row r="32955" spans="9:13" x14ac:dyDescent="0.3">
      <c r="I32955" s="82"/>
      <c r="M32955" s="85"/>
    </row>
    <row r="32956" spans="9:13" x14ac:dyDescent="0.3">
      <c r="I32956" s="82"/>
      <c r="M32956" s="85"/>
    </row>
    <row r="32957" spans="9:13" x14ac:dyDescent="0.3">
      <c r="I32957" s="82"/>
      <c r="M32957" s="85"/>
    </row>
    <row r="32958" spans="9:13" x14ac:dyDescent="0.3">
      <c r="I32958" s="82"/>
      <c r="M32958" s="85"/>
    </row>
    <row r="32959" spans="9:13" x14ac:dyDescent="0.3">
      <c r="I32959" s="82"/>
      <c r="M32959" s="85"/>
    </row>
    <row r="32960" spans="9:13" x14ac:dyDescent="0.3">
      <c r="I32960" s="82"/>
      <c r="M32960" s="85"/>
    </row>
    <row r="32961" spans="9:13" x14ac:dyDescent="0.3">
      <c r="I32961" s="82"/>
      <c r="M32961" s="85"/>
    </row>
    <row r="32962" spans="9:13" x14ac:dyDescent="0.3">
      <c r="I32962" s="82"/>
      <c r="M32962" s="85"/>
    </row>
    <row r="32963" spans="9:13" x14ac:dyDescent="0.3">
      <c r="I32963" s="82"/>
      <c r="M32963" s="85"/>
    </row>
    <row r="32964" spans="9:13" x14ac:dyDescent="0.3">
      <c r="I32964" s="82"/>
      <c r="M32964" s="85"/>
    </row>
    <row r="32965" spans="9:13" x14ac:dyDescent="0.3">
      <c r="I32965" s="82"/>
      <c r="M32965" s="85"/>
    </row>
    <row r="32966" spans="9:13" x14ac:dyDescent="0.3">
      <c r="I32966" s="82"/>
      <c r="M32966" s="85"/>
    </row>
    <row r="32967" spans="9:13" x14ac:dyDescent="0.3">
      <c r="I32967" s="82"/>
      <c r="M32967" s="85"/>
    </row>
    <row r="32968" spans="9:13" x14ac:dyDescent="0.3">
      <c r="I32968" s="82"/>
      <c r="M32968" s="85"/>
    </row>
    <row r="32969" spans="9:13" x14ac:dyDescent="0.3">
      <c r="I32969" s="82"/>
      <c r="M32969" s="85"/>
    </row>
    <row r="32970" spans="9:13" x14ac:dyDescent="0.3">
      <c r="I32970" s="82"/>
      <c r="M32970" s="85"/>
    </row>
    <row r="32971" spans="9:13" x14ac:dyDescent="0.3">
      <c r="I32971" s="82"/>
      <c r="M32971" s="85"/>
    </row>
    <row r="32972" spans="9:13" x14ac:dyDescent="0.3">
      <c r="I32972" s="82"/>
      <c r="M32972" s="85"/>
    </row>
    <row r="32973" spans="9:13" x14ac:dyDescent="0.3">
      <c r="I32973" s="82"/>
      <c r="M32973" s="85"/>
    </row>
    <row r="32974" spans="9:13" x14ac:dyDescent="0.3">
      <c r="I32974" s="82"/>
      <c r="M32974" s="85"/>
    </row>
    <row r="32975" spans="9:13" x14ac:dyDescent="0.3">
      <c r="I32975" s="82"/>
      <c r="M32975" s="85"/>
    </row>
    <row r="32976" spans="9:13" x14ac:dyDescent="0.3">
      <c r="I32976" s="82"/>
      <c r="M32976" s="85"/>
    </row>
    <row r="32977" spans="9:13" x14ac:dyDescent="0.3">
      <c r="I32977" s="82"/>
      <c r="M32977" s="85"/>
    </row>
    <row r="32978" spans="9:13" x14ac:dyDescent="0.3">
      <c r="I32978" s="82"/>
      <c r="M32978" s="85"/>
    </row>
    <row r="32979" spans="9:13" x14ac:dyDescent="0.3">
      <c r="I32979" s="82"/>
      <c r="M32979" s="85"/>
    </row>
    <row r="32980" spans="9:13" x14ac:dyDescent="0.3">
      <c r="I32980" s="82"/>
      <c r="M32980" s="85"/>
    </row>
    <row r="32981" spans="9:13" x14ac:dyDescent="0.3">
      <c r="I32981" s="82"/>
      <c r="M32981" s="85"/>
    </row>
    <row r="32982" spans="9:13" x14ac:dyDescent="0.3">
      <c r="I32982" s="82"/>
      <c r="M32982" s="85"/>
    </row>
    <row r="32983" spans="9:13" x14ac:dyDescent="0.3">
      <c r="I32983" s="82"/>
      <c r="M32983" s="85"/>
    </row>
    <row r="32984" spans="9:13" x14ac:dyDescent="0.3">
      <c r="I32984" s="82"/>
      <c r="M32984" s="85"/>
    </row>
    <row r="32985" spans="9:13" x14ac:dyDescent="0.3">
      <c r="I32985" s="82"/>
      <c r="M32985" s="85"/>
    </row>
    <row r="32986" spans="9:13" x14ac:dyDescent="0.3">
      <c r="I32986" s="82"/>
      <c r="M32986" s="85"/>
    </row>
    <row r="32987" spans="9:13" x14ac:dyDescent="0.3">
      <c r="I32987" s="82"/>
      <c r="M32987" s="85"/>
    </row>
    <row r="32988" spans="9:13" x14ac:dyDescent="0.3">
      <c r="I32988" s="82"/>
      <c r="M32988" s="85"/>
    </row>
    <row r="32989" spans="9:13" x14ac:dyDescent="0.3">
      <c r="I32989" s="82"/>
      <c r="M32989" s="85"/>
    </row>
    <row r="32990" spans="9:13" x14ac:dyDescent="0.3">
      <c r="I32990" s="82"/>
      <c r="M32990" s="85"/>
    </row>
    <row r="32991" spans="9:13" x14ac:dyDescent="0.3">
      <c r="I32991" s="82"/>
      <c r="M32991" s="85"/>
    </row>
    <row r="32992" spans="9:13" x14ac:dyDescent="0.3">
      <c r="I32992" s="82"/>
      <c r="M32992" s="85"/>
    </row>
    <row r="32993" spans="9:13" x14ac:dyDescent="0.3">
      <c r="I32993" s="82"/>
      <c r="M32993" s="85"/>
    </row>
    <row r="32994" spans="9:13" x14ac:dyDescent="0.3">
      <c r="I32994" s="82"/>
      <c r="M32994" s="85"/>
    </row>
    <row r="32995" spans="9:13" x14ac:dyDescent="0.3">
      <c r="I32995" s="82"/>
      <c r="M32995" s="85"/>
    </row>
    <row r="32996" spans="9:13" x14ac:dyDescent="0.3">
      <c r="I32996" s="82"/>
      <c r="M32996" s="85"/>
    </row>
    <row r="32997" spans="9:13" x14ac:dyDescent="0.3">
      <c r="I32997" s="82"/>
      <c r="M32997" s="85"/>
    </row>
    <row r="32998" spans="9:13" x14ac:dyDescent="0.3">
      <c r="I32998" s="82"/>
      <c r="M32998" s="85"/>
    </row>
    <row r="32999" spans="9:13" x14ac:dyDescent="0.3">
      <c r="I32999" s="82"/>
      <c r="M32999" s="85"/>
    </row>
    <row r="33000" spans="9:13" x14ac:dyDescent="0.3">
      <c r="I33000" s="82"/>
      <c r="M33000" s="85"/>
    </row>
    <row r="33001" spans="9:13" x14ac:dyDescent="0.3">
      <c r="I33001" s="82"/>
      <c r="M33001" s="85"/>
    </row>
    <row r="33002" spans="9:13" x14ac:dyDescent="0.3">
      <c r="I33002" s="82"/>
      <c r="M33002" s="85"/>
    </row>
    <row r="33003" spans="9:13" x14ac:dyDescent="0.3">
      <c r="I33003" s="82"/>
      <c r="M33003" s="85"/>
    </row>
    <row r="33004" spans="9:13" x14ac:dyDescent="0.3">
      <c r="I33004" s="82"/>
      <c r="M33004" s="85"/>
    </row>
    <row r="33005" spans="9:13" x14ac:dyDescent="0.3">
      <c r="I33005" s="82"/>
      <c r="M33005" s="85"/>
    </row>
    <row r="33006" spans="9:13" x14ac:dyDescent="0.3">
      <c r="I33006" s="82"/>
      <c r="M33006" s="85"/>
    </row>
    <row r="33007" spans="9:13" x14ac:dyDescent="0.3">
      <c r="I33007" s="82"/>
      <c r="M33007" s="85"/>
    </row>
    <row r="33008" spans="9:13" x14ac:dyDescent="0.3">
      <c r="I33008" s="82"/>
      <c r="M33008" s="85"/>
    </row>
    <row r="33009" spans="9:13" x14ac:dyDescent="0.3">
      <c r="I33009" s="82"/>
      <c r="M33009" s="85"/>
    </row>
    <row r="33010" spans="9:13" x14ac:dyDescent="0.3">
      <c r="I33010" s="82"/>
      <c r="M33010" s="85"/>
    </row>
    <row r="33011" spans="9:13" x14ac:dyDescent="0.3">
      <c r="I33011" s="82"/>
      <c r="M33011" s="85"/>
    </row>
    <row r="33012" spans="9:13" x14ac:dyDescent="0.3">
      <c r="I33012" s="82"/>
      <c r="M33012" s="85"/>
    </row>
    <row r="33013" spans="9:13" x14ac:dyDescent="0.3">
      <c r="I33013" s="82"/>
      <c r="M33013" s="85"/>
    </row>
    <row r="33014" spans="9:13" x14ac:dyDescent="0.3">
      <c r="I33014" s="82"/>
      <c r="M33014" s="85"/>
    </row>
    <row r="33015" spans="9:13" x14ac:dyDescent="0.3">
      <c r="I33015" s="82"/>
      <c r="M33015" s="85"/>
    </row>
    <row r="33016" spans="9:13" x14ac:dyDescent="0.3">
      <c r="I33016" s="82"/>
      <c r="M33016" s="85"/>
    </row>
    <row r="33017" spans="9:13" x14ac:dyDescent="0.3">
      <c r="I33017" s="82"/>
      <c r="M33017" s="85"/>
    </row>
    <row r="33018" spans="9:13" x14ac:dyDescent="0.3">
      <c r="I33018" s="82"/>
      <c r="M33018" s="85"/>
    </row>
    <row r="33019" spans="9:13" x14ac:dyDescent="0.3">
      <c r="I33019" s="82"/>
      <c r="M33019" s="85"/>
    </row>
    <row r="33020" spans="9:13" x14ac:dyDescent="0.3">
      <c r="I33020" s="82"/>
      <c r="M33020" s="85"/>
    </row>
    <row r="33021" spans="9:13" x14ac:dyDescent="0.3">
      <c r="I33021" s="82"/>
      <c r="M33021" s="85"/>
    </row>
    <row r="33022" spans="9:13" x14ac:dyDescent="0.3">
      <c r="I33022" s="82"/>
      <c r="M33022" s="85"/>
    </row>
    <row r="33023" spans="9:13" x14ac:dyDescent="0.3">
      <c r="I33023" s="82"/>
      <c r="M33023" s="85"/>
    </row>
    <row r="33024" spans="9:13" x14ac:dyDescent="0.3">
      <c r="I33024" s="82"/>
      <c r="M33024" s="85"/>
    </row>
    <row r="33025" spans="9:13" x14ac:dyDescent="0.3">
      <c r="I33025" s="82"/>
      <c r="M33025" s="85"/>
    </row>
    <row r="33026" spans="9:13" x14ac:dyDescent="0.3">
      <c r="I33026" s="82"/>
      <c r="M33026" s="85"/>
    </row>
    <row r="33027" spans="9:13" x14ac:dyDescent="0.3">
      <c r="I33027" s="82"/>
      <c r="M33027" s="85"/>
    </row>
    <row r="33028" spans="9:13" x14ac:dyDescent="0.3">
      <c r="I33028" s="82"/>
      <c r="M33028" s="85"/>
    </row>
    <row r="33029" spans="9:13" x14ac:dyDescent="0.3">
      <c r="I33029" s="82"/>
      <c r="M33029" s="85"/>
    </row>
    <row r="33030" spans="9:13" x14ac:dyDescent="0.3">
      <c r="I33030" s="82"/>
      <c r="M33030" s="85"/>
    </row>
    <row r="33031" spans="9:13" x14ac:dyDescent="0.3">
      <c r="I33031" s="82"/>
      <c r="M33031" s="85"/>
    </row>
    <row r="33032" spans="9:13" x14ac:dyDescent="0.3">
      <c r="I33032" s="82"/>
      <c r="M33032" s="85"/>
    </row>
    <row r="33033" spans="9:13" x14ac:dyDescent="0.3">
      <c r="I33033" s="82"/>
      <c r="M33033" s="85"/>
    </row>
    <row r="33034" spans="9:13" x14ac:dyDescent="0.3">
      <c r="I33034" s="82"/>
      <c r="M33034" s="85"/>
    </row>
    <row r="33035" spans="9:13" x14ac:dyDescent="0.3">
      <c r="I33035" s="82"/>
      <c r="M33035" s="85"/>
    </row>
    <row r="33036" spans="9:13" x14ac:dyDescent="0.3">
      <c r="I33036" s="82"/>
      <c r="M33036" s="85"/>
    </row>
    <row r="33037" spans="9:13" x14ac:dyDescent="0.3">
      <c r="I33037" s="82"/>
      <c r="M33037" s="85"/>
    </row>
    <row r="33038" spans="9:13" x14ac:dyDescent="0.3">
      <c r="I33038" s="82"/>
      <c r="M33038" s="85"/>
    </row>
    <row r="33039" spans="9:13" x14ac:dyDescent="0.3">
      <c r="I33039" s="82"/>
      <c r="M33039" s="85"/>
    </row>
    <row r="33040" spans="9:13" x14ac:dyDescent="0.3">
      <c r="I33040" s="82"/>
      <c r="M33040" s="85"/>
    </row>
    <row r="33041" spans="9:13" x14ac:dyDescent="0.3">
      <c r="I33041" s="82"/>
      <c r="M33041" s="85"/>
    </row>
    <row r="33042" spans="9:13" x14ac:dyDescent="0.3">
      <c r="I33042" s="82"/>
      <c r="M33042" s="85"/>
    </row>
    <row r="33043" spans="9:13" x14ac:dyDescent="0.3">
      <c r="I33043" s="82"/>
      <c r="M33043" s="85"/>
    </row>
    <row r="33044" spans="9:13" x14ac:dyDescent="0.3">
      <c r="I33044" s="82"/>
      <c r="M33044" s="85"/>
    </row>
    <row r="33045" spans="9:13" x14ac:dyDescent="0.3">
      <c r="I33045" s="82"/>
      <c r="M33045" s="85"/>
    </row>
    <row r="33046" spans="9:13" x14ac:dyDescent="0.3">
      <c r="I33046" s="82"/>
      <c r="M33046" s="85"/>
    </row>
    <row r="33047" spans="9:13" x14ac:dyDescent="0.3">
      <c r="I33047" s="82"/>
      <c r="M33047" s="85"/>
    </row>
    <row r="33048" spans="9:13" x14ac:dyDescent="0.3">
      <c r="I33048" s="82"/>
      <c r="M33048" s="85"/>
    </row>
    <row r="33049" spans="9:13" x14ac:dyDescent="0.3">
      <c r="I33049" s="82"/>
      <c r="M33049" s="85"/>
    </row>
    <row r="33050" spans="9:13" x14ac:dyDescent="0.3">
      <c r="I33050" s="82"/>
      <c r="M33050" s="85"/>
    </row>
    <row r="33051" spans="9:13" x14ac:dyDescent="0.3">
      <c r="I33051" s="82"/>
      <c r="M33051" s="85"/>
    </row>
    <row r="33052" spans="9:13" x14ac:dyDescent="0.3">
      <c r="I33052" s="82"/>
      <c r="M33052" s="85"/>
    </row>
    <row r="33053" spans="9:13" x14ac:dyDescent="0.3">
      <c r="I33053" s="82"/>
      <c r="M33053" s="85"/>
    </row>
    <row r="33054" spans="9:13" x14ac:dyDescent="0.3">
      <c r="I33054" s="82"/>
      <c r="M33054" s="85"/>
    </row>
    <row r="33055" spans="9:13" x14ac:dyDescent="0.3">
      <c r="I33055" s="82"/>
      <c r="M33055" s="85"/>
    </row>
    <row r="33056" spans="9:13" x14ac:dyDescent="0.3">
      <c r="I33056" s="82"/>
      <c r="M33056" s="85"/>
    </row>
    <row r="33057" spans="9:13" x14ac:dyDescent="0.3">
      <c r="I33057" s="82"/>
      <c r="M33057" s="85"/>
    </row>
    <row r="33058" spans="9:13" x14ac:dyDescent="0.3">
      <c r="I33058" s="82"/>
      <c r="M33058" s="85"/>
    </row>
    <row r="33059" spans="9:13" x14ac:dyDescent="0.3">
      <c r="I33059" s="82"/>
      <c r="M33059" s="85"/>
    </row>
    <row r="33060" spans="9:13" x14ac:dyDescent="0.3">
      <c r="I33060" s="82"/>
      <c r="M33060" s="85"/>
    </row>
    <row r="33061" spans="9:13" x14ac:dyDescent="0.3">
      <c r="I33061" s="82"/>
      <c r="M33061" s="85"/>
    </row>
    <row r="33062" spans="9:13" x14ac:dyDescent="0.3">
      <c r="I33062" s="82"/>
      <c r="M33062" s="85"/>
    </row>
    <row r="33063" spans="9:13" x14ac:dyDescent="0.3">
      <c r="I33063" s="82"/>
      <c r="M33063" s="85"/>
    </row>
    <row r="33064" spans="9:13" x14ac:dyDescent="0.3">
      <c r="I33064" s="82"/>
      <c r="M33064" s="85"/>
    </row>
    <row r="33065" spans="9:13" x14ac:dyDescent="0.3">
      <c r="I33065" s="82"/>
      <c r="M33065" s="85"/>
    </row>
    <row r="33066" spans="9:13" x14ac:dyDescent="0.3">
      <c r="I33066" s="82"/>
      <c r="M33066" s="85"/>
    </row>
    <row r="33067" spans="9:13" x14ac:dyDescent="0.3">
      <c r="I33067" s="82"/>
      <c r="M33067" s="85"/>
    </row>
    <row r="33068" spans="9:13" x14ac:dyDescent="0.3">
      <c r="I33068" s="82"/>
      <c r="M33068" s="85"/>
    </row>
    <row r="33069" spans="9:13" x14ac:dyDescent="0.3">
      <c r="I33069" s="82"/>
      <c r="M33069" s="85"/>
    </row>
    <row r="33070" spans="9:13" x14ac:dyDescent="0.3">
      <c r="I33070" s="82"/>
      <c r="M33070" s="85"/>
    </row>
    <row r="33071" spans="9:13" x14ac:dyDescent="0.3">
      <c r="I33071" s="82"/>
      <c r="M33071" s="85"/>
    </row>
    <row r="33072" spans="9:13" x14ac:dyDescent="0.3">
      <c r="I33072" s="82"/>
      <c r="M33072" s="85"/>
    </row>
    <row r="33073" spans="9:13" x14ac:dyDescent="0.3">
      <c r="I33073" s="82"/>
      <c r="M33073" s="85"/>
    </row>
    <row r="33074" spans="9:13" x14ac:dyDescent="0.3">
      <c r="I33074" s="82"/>
      <c r="M33074" s="85"/>
    </row>
    <row r="33075" spans="9:13" x14ac:dyDescent="0.3">
      <c r="I33075" s="82"/>
      <c r="M33075" s="85"/>
    </row>
    <row r="33076" spans="9:13" x14ac:dyDescent="0.3">
      <c r="I33076" s="82"/>
      <c r="M33076" s="85"/>
    </row>
    <row r="33077" spans="9:13" x14ac:dyDescent="0.3">
      <c r="I33077" s="82"/>
      <c r="M33077" s="85"/>
    </row>
    <row r="33078" spans="9:13" x14ac:dyDescent="0.3">
      <c r="I33078" s="82"/>
      <c r="M33078" s="85"/>
    </row>
    <row r="33079" spans="9:13" x14ac:dyDescent="0.3">
      <c r="I33079" s="82"/>
      <c r="M33079" s="85"/>
    </row>
    <row r="33080" spans="9:13" x14ac:dyDescent="0.3">
      <c r="I33080" s="82"/>
      <c r="M33080" s="85"/>
    </row>
    <row r="33081" spans="9:13" x14ac:dyDescent="0.3">
      <c r="I33081" s="82"/>
      <c r="M33081" s="85"/>
    </row>
    <row r="33082" spans="9:13" x14ac:dyDescent="0.3">
      <c r="I33082" s="82"/>
      <c r="M33082" s="85"/>
    </row>
    <row r="33083" spans="9:13" x14ac:dyDescent="0.3">
      <c r="I33083" s="82"/>
      <c r="M33083" s="85"/>
    </row>
    <row r="33084" spans="9:13" x14ac:dyDescent="0.3">
      <c r="I33084" s="82"/>
      <c r="M33084" s="85"/>
    </row>
    <row r="33085" spans="9:13" x14ac:dyDescent="0.3">
      <c r="I33085" s="82"/>
      <c r="M33085" s="85"/>
    </row>
    <row r="33086" spans="9:13" x14ac:dyDescent="0.3">
      <c r="I33086" s="82"/>
      <c r="M33086" s="85"/>
    </row>
    <row r="33087" spans="9:13" x14ac:dyDescent="0.3">
      <c r="I33087" s="82"/>
      <c r="M33087" s="85"/>
    </row>
    <row r="33088" spans="9:13" x14ac:dyDescent="0.3">
      <c r="I33088" s="82"/>
      <c r="M33088" s="85"/>
    </row>
    <row r="33089" spans="9:13" x14ac:dyDescent="0.3">
      <c r="I33089" s="82"/>
      <c r="M33089" s="85"/>
    </row>
    <row r="33090" spans="9:13" x14ac:dyDescent="0.3">
      <c r="I33090" s="82"/>
      <c r="M33090" s="85"/>
    </row>
    <row r="33091" spans="9:13" x14ac:dyDescent="0.3">
      <c r="I33091" s="82"/>
      <c r="M33091" s="85"/>
    </row>
    <row r="33092" spans="9:13" x14ac:dyDescent="0.3">
      <c r="I33092" s="82"/>
      <c r="M33092" s="85"/>
    </row>
    <row r="33093" spans="9:13" x14ac:dyDescent="0.3">
      <c r="I33093" s="82"/>
      <c r="M33093" s="85"/>
    </row>
    <row r="33094" spans="9:13" x14ac:dyDescent="0.3">
      <c r="I33094" s="82"/>
      <c r="M33094" s="85"/>
    </row>
    <row r="33095" spans="9:13" x14ac:dyDescent="0.3">
      <c r="I33095" s="82"/>
      <c r="M33095" s="85"/>
    </row>
    <row r="33096" spans="9:13" x14ac:dyDescent="0.3">
      <c r="I33096" s="82"/>
      <c r="M33096" s="85"/>
    </row>
    <row r="33097" spans="9:13" x14ac:dyDescent="0.3">
      <c r="I33097" s="82"/>
      <c r="M33097" s="85"/>
    </row>
    <row r="33098" spans="9:13" x14ac:dyDescent="0.3">
      <c r="I33098" s="82"/>
      <c r="M33098" s="85"/>
    </row>
    <row r="33099" spans="9:13" x14ac:dyDescent="0.3">
      <c r="I33099" s="82"/>
      <c r="M33099" s="85"/>
    </row>
    <row r="33100" spans="9:13" x14ac:dyDescent="0.3">
      <c r="I33100" s="82"/>
      <c r="M33100" s="85"/>
    </row>
    <row r="33101" spans="9:13" x14ac:dyDescent="0.3">
      <c r="I33101" s="82"/>
      <c r="M33101" s="85"/>
    </row>
    <row r="33102" spans="9:13" x14ac:dyDescent="0.3">
      <c r="I33102" s="82"/>
      <c r="M33102" s="85"/>
    </row>
    <row r="33103" spans="9:13" x14ac:dyDescent="0.3">
      <c r="I33103" s="82"/>
      <c r="M33103" s="85"/>
    </row>
    <row r="33104" spans="9:13" x14ac:dyDescent="0.3">
      <c r="I33104" s="82"/>
      <c r="M33104" s="85"/>
    </row>
    <row r="33105" spans="9:13" x14ac:dyDescent="0.3">
      <c r="I33105" s="82"/>
      <c r="M33105" s="85"/>
    </row>
    <row r="33106" spans="9:13" x14ac:dyDescent="0.3">
      <c r="I33106" s="82"/>
      <c r="M33106" s="85"/>
    </row>
    <row r="33107" spans="9:13" x14ac:dyDescent="0.3">
      <c r="I33107" s="82"/>
      <c r="M33107" s="85"/>
    </row>
    <row r="33108" spans="9:13" x14ac:dyDescent="0.3">
      <c r="I33108" s="82"/>
      <c r="M33108" s="85"/>
    </row>
    <row r="33109" spans="9:13" x14ac:dyDescent="0.3">
      <c r="I33109" s="82"/>
      <c r="M33109" s="85"/>
    </row>
    <row r="33110" spans="9:13" x14ac:dyDescent="0.3">
      <c r="I33110" s="82"/>
      <c r="M33110" s="85"/>
    </row>
    <row r="33111" spans="9:13" x14ac:dyDescent="0.3">
      <c r="I33111" s="82"/>
      <c r="M33111" s="85"/>
    </row>
    <row r="33112" spans="9:13" x14ac:dyDescent="0.3">
      <c r="I33112" s="82"/>
      <c r="M33112" s="85"/>
    </row>
    <row r="33113" spans="9:13" x14ac:dyDescent="0.3">
      <c r="I33113" s="82"/>
      <c r="M33113" s="85"/>
    </row>
    <row r="33114" spans="9:13" x14ac:dyDescent="0.3">
      <c r="I33114" s="82"/>
      <c r="M33114" s="85"/>
    </row>
    <row r="33115" spans="9:13" x14ac:dyDescent="0.3">
      <c r="I33115" s="82"/>
      <c r="M33115" s="85"/>
    </row>
    <row r="33116" spans="9:13" x14ac:dyDescent="0.3">
      <c r="I33116" s="82"/>
      <c r="M33116" s="85"/>
    </row>
    <row r="33117" spans="9:13" x14ac:dyDescent="0.3">
      <c r="I33117" s="82"/>
      <c r="M33117" s="85"/>
    </row>
    <row r="33118" spans="9:13" x14ac:dyDescent="0.3">
      <c r="I33118" s="82"/>
      <c r="M33118" s="85"/>
    </row>
    <row r="33119" spans="9:13" x14ac:dyDescent="0.3">
      <c r="I33119" s="82"/>
      <c r="M33119" s="85"/>
    </row>
    <row r="33120" spans="9:13" x14ac:dyDescent="0.3">
      <c r="I33120" s="82"/>
      <c r="M33120" s="85"/>
    </row>
    <row r="33121" spans="9:13" x14ac:dyDescent="0.3">
      <c r="I33121" s="82"/>
      <c r="M33121" s="85"/>
    </row>
    <row r="33122" spans="9:13" x14ac:dyDescent="0.3">
      <c r="I33122" s="82"/>
      <c r="M33122" s="85"/>
    </row>
    <row r="33123" spans="9:13" x14ac:dyDescent="0.3">
      <c r="I33123" s="82"/>
      <c r="M33123" s="85"/>
    </row>
    <row r="33124" spans="9:13" x14ac:dyDescent="0.3">
      <c r="I33124" s="82"/>
      <c r="M33124" s="85"/>
    </row>
    <row r="33125" spans="9:13" x14ac:dyDescent="0.3">
      <c r="I33125" s="82"/>
      <c r="M33125" s="85"/>
    </row>
    <row r="33126" spans="9:13" x14ac:dyDescent="0.3">
      <c r="I33126" s="82"/>
      <c r="M33126" s="85"/>
    </row>
    <row r="33127" spans="9:13" x14ac:dyDescent="0.3">
      <c r="I33127" s="82"/>
      <c r="M33127" s="85"/>
    </row>
    <row r="33128" spans="9:13" x14ac:dyDescent="0.3">
      <c r="I33128" s="82"/>
      <c r="M33128" s="85"/>
    </row>
    <row r="33129" spans="9:13" x14ac:dyDescent="0.3">
      <c r="I33129" s="82"/>
      <c r="M33129" s="85"/>
    </row>
    <row r="33130" spans="9:13" x14ac:dyDescent="0.3">
      <c r="I33130" s="82"/>
      <c r="M33130" s="85"/>
    </row>
    <row r="33131" spans="9:13" x14ac:dyDescent="0.3">
      <c r="I33131" s="82"/>
      <c r="M33131" s="85"/>
    </row>
    <row r="33132" spans="9:13" x14ac:dyDescent="0.3">
      <c r="I33132" s="82"/>
      <c r="M33132" s="85"/>
    </row>
    <row r="33133" spans="9:13" x14ac:dyDescent="0.3">
      <c r="I33133" s="82"/>
      <c r="M33133" s="85"/>
    </row>
    <row r="33134" spans="9:13" x14ac:dyDescent="0.3">
      <c r="I33134" s="82"/>
      <c r="M33134" s="85"/>
    </row>
    <row r="33135" spans="9:13" x14ac:dyDescent="0.3">
      <c r="I33135" s="82"/>
      <c r="M33135" s="85"/>
    </row>
    <row r="33136" spans="9:13" x14ac:dyDescent="0.3">
      <c r="I33136" s="82"/>
      <c r="M33136" s="85"/>
    </row>
    <row r="33137" spans="9:13" x14ac:dyDescent="0.3">
      <c r="I33137" s="82"/>
      <c r="M33137" s="85"/>
    </row>
    <row r="33138" spans="9:13" x14ac:dyDescent="0.3">
      <c r="I33138" s="82"/>
      <c r="M33138" s="85"/>
    </row>
    <row r="33139" spans="9:13" x14ac:dyDescent="0.3">
      <c r="I33139" s="82"/>
      <c r="M33139" s="85"/>
    </row>
    <row r="33140" spans="9:13" x14ac:dyDescent="0.3">
      <c r="I33140" s="82"/>
      <c r="M33140" s="85"/>
    </row>
    <row r="33141" spans="9:13" x14ac:dyDescent="0.3">
      <c r="I33141" s="82"/>
      <c r="M33141" s="85"/>
    </row>
    <row r="33142" spans="9:13" x14ac:dyDescent="0.3">
      <c r="I33142" s="82"/>
      <c r="M33142" s="85"/>
    </row>
    <row r="33143" spans="9:13" x14ac:dyDescent="0.3">
      <c r="I33143" s="82"/>
      <c r="M33143" s="85"/>
    </row>
    <row r="33144" spans="9:13" x14ac:dyDescent="0.3">
      <c r="I33144" s="82"/>
      <c r="M33144" s="85"/>
    </row>
    <row r="33145" spans="9:13" x14ac:dyDescent="0.3">
      <c r="I33145" s="82"/>
      <c r="M33145" s="85"/>
    </row>
    <row r="33146" spans="9:13" x14ac:dyDescent="0.3">
      <c r="I33146" s="82"/>
      <c r="M33146" s="85"/>
    </row>
    <row r="33147" spans="9:13" x14ac:dyDescent="0.3">
      <c r="I33147" s="82"/>
      <c r="M33147" s="85"/>
    </row>
    <row r="33148" spans="9:13" x14ac:dyDescent="0.3">
      <c r="I33148" s="82"/>
      <c r="M33148" s="85"/>
    </row>
    <row r="33149" spans="9:13" x14ac:dyDescent="0.3">
      <c r="I33149" s="82"/>
      <c r="M33149" s="85"/>
    </row>
    <row r="33150" spans="9:13" x14ac:dyDescent="0.3">
      <c r="I33150" s="82"/>
      <c r="M33150" s="85"/>
    </row>
    <row r="33151" spans="9:13" x14ac:dyDescent="0.3">
      <c r="I33151" s="82"/>
      <c r="M33151" s="85"/>
    </row>
    <row r="33152" spans="9:13" x14ac:dyDescent="0.3">
      <c r="I33152" s="82"/>
      <c r="M33152" s="85"/>
    </row>
    <row r="33153" spans="9:13" x14ac:dyDescent="0.3">
      <c r="I33153" s="82"/>
      <c r="M33153" s="85"/>
    </row>
    <row r="33154" spans="9:13" x14ac:dyDescent="0.3">
      <c r="I33154" s="82"/>
      <c r="M33154" s="85"/>
    </row>
    <row r="33155" spans="9:13" x14ac:dyDescent="0.3">
      <c r="I33155" s="82"/>
      <c r="M33155" s="85"/>
    </row>
    <row r="33156" spans="9:13" x14ac:dyDescent="0.3">
      <c r="I33156" s="82"/>
      <c r="M33156" s="85"/>
    </row>
    <row r="33157" spans="9:13" x14ac:dyDescent="0.3">
      <c r="I33157" s="82"/>
      <c r="M33157" s="85"/>
    </row>
    <row r="33158" spans="9:13" x14ac:dyDescent="0.3">
      <c r="I33158" s="82"/>
      <c r="M33158" s="85"/>
    </row>
    <row r="33159" spans="9:13" x14ac:dyDescent="0.3">
      <c r="I33159" s="82"/>
      <c r="M33159" s="85"/>
    </row>
    <row r="33160" spans="9:13" x14ac:dyDescent="0.3">
      <c r="I33160" s="82"/>
      <c r="M33160" s="85"/>
    </row>
    <row r="33161" spans="9:13" x14ac:dyDescent="0.3">
      <c r="I33161" s="82"/>
      <c r="M33161" s="85"/>
    </row>
    <row r="33162" spans="9:13" x14ac:dyDescent="0.3">
      <c r="I33162" s="82"/>
      <c r="M33162" s="85"/>
    </row>
    <row r="33163" spans="9:13" x14ac:dyDescent="0.3">
      <c r="I33163" s="82"/>
      <c r="M33163" s="85"/>
    </row>
    <row r="33164" spans="9:13" x14ac:dyDescent="0.3">
      <c r="I33164" s="82"/>
      <c r="M33164" s="85"/>
    </row>
    <row r="33165" spans="9:13" x14ac:dyDescent="0.3">
      <c r="I33165" s="82"/>
      <c r="M33165" s="85"/>
    </row>
    <row r="33166" spans="9:13" x14ac:dyDescent="0.3">
      <c r="I33166" s="82"/>
      <c r="M33166" s="85"/>
    </row>
    <row r="33167" spans="9:13" x14ac:dyDescent="0.3">
      <c r="I33167" s="82"/>
      <c r="M33167" s="85"/>
    </row>
    <row r="33168" spans="9:13" x14ac:dyDescent="0.3">
      <c r="I33168" s="82"/>
      <c r="M33168" s="85"/>
    </row>
    <row r="33169" spans="9:13" x14ac:dyDescent="0.3">
      <c r="I33169" s="82"/>
      <c r="M33169" s="85"/>
    </row>
    <row r="33170" spans="9:13" x14ac:dyDescent="0.3">
      <c r="I33170" s="82"/>
      <c r="M33170" s="85"/>
    </row>
    <row r="33171" spans="9:13" x14ac:dyDescent="0.3">
      <c r="I33171" s="82"/>
      <c r="M33171" s="85"/>
    </row>
    <row r="33172" spans="9:13" x14ac:dyDescent="0.3">
      <c r="I33172" s="82"/>
      <c r="M33172" s="85"/>
    </row>
    <row r="33173" spans="9:13" x14ac:dyDescent="0.3">
      <c r="I33173" s="82"/>
      <c r="M33173" s="85"/>
    </row>
    <row r="33174" spans="9:13" x14ac:dyDescent="0.3">
      <c r="I33174" s="82"/>
      <c r="M33174" s="85"/>
    </row>
    <row r="33175" spans="9:13" x14ac:dyDescent="0.3">
      <c r="I33175" s="82"/>
      <c r="M33175" s="85"/>
    </row>
    <row r="33176" spans="9:13" x14ac:dyDescent="0.3">
      <c r="I33176" s="82"/>
      <c r="M33176" s="85"/>
    </row>
    <row r="33177" spans="9:13" x14ac:dyDescent="0.3">
      <c r="I33177" s="82"/>
      <c r="M33177" s="85"/>
    </row>
    <row r="33178" spans="9:13" x14ac:dyDescent="0.3">
      <c r="I33178" s="82"/>
      <c r="M33178" s="85"/>
    </row>
    <row r="33179" spans="9:13" x14ac:dyDescent="0.3">
      <c r="I33179" s="82"/>
      <c r="M33179" s="85"/>
    </row>
    <row r="33180" spans="9:13" x14ac:dyDescent="0.3">
      <c r="I33180" s="82"/>
      <c r="M33180" s="85"/>
    </row>
    <row r="33181" spans="9:13" x14ac:dyDescent="0.3">
      <c r="I33181" s="82"/>
      <c r="M33181" s="85"/>
    </row>
    <row r="33182" spans="9:13" x14ac:dyDescent="0.3">
      <c r="I33182" s="82"/>
      <c r="M33182" s="85"/>
    </row>
    <row r="33183" spans="9:13" x14ac:dyDescent="0.3">
      <c r="I33183" s="82"/>
      <c r="M33183" s="85"/>
    </row>
    <row r="33184" spans="9:13" x14ac:dyDescent="0.3">
      <c r="I33184" s="82"/>
      <c r="M33184" s="85"/>
    </row>
    <row r="33185" spans="9:13" x14ac:dyDescent="0.3">
      <c r="I33185" s="82"/>
      <c r="M33185" s="85"/>
    </row>
    <row r="33186" spans="9:13" x14ac:dyDescent="0.3">
      <c r="I33186" s="82"/>
      <c r="M33186" s="85"/>
    </row>
    <row r="33187" spans="9:13" x14ac:dyDescent="0.3">
      <c r="I33187" s="82"/>
      <c r="M33187" s="85"/>
    </row>
    <row r="33188" spans="9:13" x14ac:dyDescent="0.3">
      <c r="I33188" s="82"/>
      <c r="M33188" s="85"/>
    </row>
    <row r="33189" spans="9:13" x14ac:dyDescent="0.3">
      <c r="I33189" s="82"/>
      <c r="M33189" s="85"/>
    </row>
    <row r="33190" spans="9:13" x14ac:dyDescent="0.3">
      <c r="I33190" s="82"/>
      <c r="M33190" s="85"/>
    </row>
    <row r="33191" spans="9:13" x14ac:dyDescent="0.3">
      <c r="I33191" s="82"/>
      <c r="M33191" s="85"/>
    </row>
    <row r="33192" spans="9:13" x14ac:dyDescent="0.3">
      <c r="I33192" s="82"/>
      <c r="M33192" s="85"/>
    </row>
    <row r="33193" spans="9:13" x14ac:dyDescent="0.3">
      <c r="I33193" s="82"/>
      <c r="M33193" s="85"/>
    </row>
    <row r="33194" spans="9:13" x14ac:dyDescent="0.3">
      <c r="I33194" s="82"/>
      <c r="M33194" s="85"/>
    </row>
    <row r="33195" spans="9:13" x14ac:dyDescent="0.3">
      <c r="I33195" s="82"/>
      <c r="M33195" s="85"/>
    </row>
    <row r="33196" spans="9:13" x14ac:dyDescent="0.3">
      <c r="I33196" s="82"/>
      <c r="M33196" s="85"/>
    </row>
    <row r="33197" spans="9:13" x14ac:dyDescent="0.3">
      <c r="I33197" s="82"/>
      <c r="M33197" s="85"/>
    </row>
    <row r="33198" spans="9:13" x14ac:dyDescent="0.3">
      <c r="I33198" s="82"/>
      <c r="M33198" s="85"/>
    </row>
    <row r="33199" spans="9:13" x14ac:dyDescent="0.3">
      <c r="I33199" s="82"/>
      <c r="M33199" s="85"/>
    </row>
    <row r="33200" spans="9:13" x14ac:dyDescent="0.3">
      <c r="I33200" s="82"/>
      <c r="M33200" s="85"/>
    </row>
    <row r="33201" spans="9:13" x14ac:dyDescent="0.3">
      <c r="I33201" s="82"/>
      <c r="M33201" s="85"/>
    </row>
    <row r="33202" spans="9:13" x14ac:dyDescent="0.3">
      <c r="I33202" s="82"/>
      <c r="M33202" s="85"/>
    </row>
    <row r="33203" spans="9:13" x14ac:dyDescent="0.3">
      <c r="I33203" s="82"/>
      <c r="M33203" s="85"/>
    </row>
    <row r="33204" spans="9:13" x14ac:dyDescent="0.3">
      <c r="I33204" s="82"/>
      <c r="M33204" s="85"/>
    </row>
    <row r="33205" spans="9:13" x14ac:dyDescent="0.3">
      <c r="I33205" s="82"/>
      <c r="M33205" s="85"/>
    </row>
    <row r="33206" spans="9:13" x14ac:dyDescent="0.3">
      <c r="I33206" s="82"/>
      <c r="M33206" s="85"/>
    </row>
    <row r="33207" spans="9:13" x14ac:dyDescent="0.3">
      <c r="I33207" s="82"/>
      <c r="M33207" s="85"/>
    </row>
    <row r="33208" spans="9:13" x14ac:dyDescent="0.3">
      <c r="I33208" s="82"/>
      <c r="M33208" s="85"/>
    </row>
    <row r="33209" spans="9:13" x14ac:dyDescent="0.3">
      <c r="I33209" s="82"/>
      <c r="M33209" s="85"/>
    </row>
    <row r="33210" spans="9:13" x14ac:dyDescent="0.3">
      <c r="I33210" s="82"/>
      <c r="M33210" s="85"/>
    </row>
    <row r="33211" spans="9:13" x14ac:dyDescent="0.3">
      <c r="I33211" s="82"/>
      <c r="M33211" s="85"/>
    </row>
    <row r="33212" spans="9:13" x14ac:dyDescent="0.3">
      <c r="I33212" s="82"/>
      <c r="M33212" s="85"/>
    </row>
    <row r="33213" spans="9:13" x14ac:dyDescent="0.3">
      <c r="I33213" s="82"/>
      <c r="M33213" s="85"/>
    </row>
    <row r="33214" spans="9:13" x14ac:dyDescent="0.3">
      <c r="I33214" s="82"/>
      <c r="M33214" s="85"/>
    </row>
    <row r="33215" spans="9:13" x14ac:dyDescent="0.3">
      <c r="I33215" s="82"/>
      <c r="M33215" s="85"/>
    </row>
    <row r="33216" spans="9:13" x14ac:dyDescent="0.3">
      <c r="I33216" s="82"/>
      <c r="M33216" s="85"/>
    </row>
    <row r="33217" spans="9:13" x14ac:dyDescent="0.3">
      <c r="I33217" s="82"/>
      <c r="M33217" s="85"/>
    </row>
    <row r="33218" spans="9:13" x14ac:dyDescent="0.3">
      <c r="I33218" s="82"/>
      <c r="M33218" s="85"/>
    </row>
    <row r="33219" spans="9:13" x14ac:dyDescent="0.3">
      <c r="I33219" s="82"/>
      <c r="M33219" s="85"/>
    </row>
    <row r="33220" spans="9:13" x14ac:dyDescent="0.3">
      <c r="I33220" s="82"/>
      <c r="M33220" s="85"/>
    </row>
    <row r="33221" spans="9:13" x14ac:dyDescent="0.3">
      <c r="I33221" s="82"/>
      <c r="M33221" s="85"/>
    </row>
    <row r="33222" spans="9:13" x14ac:dyDescent="0.3">
      <c r="I33222" s="82"/>
      <c r="M33222" s="85"/>
    </row>
    <row r="33223" spans="9:13" x14ac:dyDescent="0.3">
      <c r="I33223" s="82"/>
      <c r="M33223" s="85"/>
    </row>
    <row r="33224" spans="9:13" x14ac:dyDescent="0.3">
      <c r="I33224" s="82"/>
      <c r="M33224" s="85"/>
    </row>
    <row r="33225" spans="9:13" x14ac:dyDescent="0.3">
      <c r="I33225" s="82"/>
      <c r="M33225" s="85"/>
    </row>
    <row r="33226" spans="9:13" x14ac:dyDescent="0.3">
      <c r="I33226" s="82"/>
      <c r="M33226" s="85"/>
    </row>
    <row r="33227" spans="9:13" x14ac:dyDescent="0.3">
      <c r="I33227" s="82"/>
      <c r="M33227" s="85"/>
    </row>
    <row r="33228" spans="9:13" x14ac:dyDescent="0.3">
      <c r="I33228" s="82"/>
      <c r="M33228" s="85"/>
    </row>
    <row r="33229" spans="9:13" x14ac:dyDescent="0.3">
      <c r="I33229" s="82"/>
      <c r="M33229" s="85"/>
    </row>
    <row r="33230" spans="9:13" x14ac:dyDescent="0.3">
      <c r="I33230" s="82"/>
      <c r="M33230" s="85"/>
    </row>
    <row r="33231" spans="9:13" x14ac:dyDescent="0.3">
      <c r="I33231" s="82"/>
      <c r="M33231" s="85"/>
    </row>
    <row r="33232" spans="9:13" x14ac:dyDescent="0.3">
      <c r="I33232" s="82"/>
      <c r="M33232" s="85"/>
    </row>
    <row r="33233" spans="9:13" x14ac:dyDescent="0.3">
      <c r="I33233" s="82"/>
      <c r="M33233" s="85"/>
    </row>
    <row r="33234" spans="9:13" x14ac:dyDescent="0.3">
      <c r="I33234" s="82"/>
      <c r="M33234" s="85"/>
    </row>
    <row r="33235" spans="9:13" x14ac:dyDescent="0.3">
      <c r="I33235" s="82"/>
      <c r="M33235" s="85"/>
    </row>
    <row r="33236" spans="9:13" x14ac:dyDescent="0.3">
      <c r="I33236" s="82"/>
      <c r="M33236" s="85"/>
    </row>
    <row r="33237" spans="9:13" x14ac:dyDescent="0.3">
      <c r="I33237" s="82"/>
      <c r="M33237" s="85"/>
    </row>
    <row r="33238" spans="9:13" x14ac:dyDescent="0.3">
      <c r="I33238" s="82"/>
      <c r="M33238" s="85"/>
    </row>
    <row r="33239" spans="9:13" x14ac:dyDescent="0.3">
      <c r="I33239" s="82"/>
      <c r="M33239" s="85"/>
    </row>
    <row r="33240" spans="9:13" x14ac:dyDescent="0.3">
      <c r="I33240" s="82"/>
      <c r="M33240" s="85"/>
    </row>
    <row r="33241" spans="9:13" x14ac:dyDescent="0.3">
      <c r="I33241" s="82"/>
      <c r="M33241" s="85"/>
    </row>
    <row r="33242" spans="9:13" x14ac:dyDescent="0.3">
      <c r="I33242" s="82"/>
      <c r="M33242" s="85"/>
    </row>
    <row r="33243" spans="9:13" x14ac:dyDescent="0.3">
      <c r="I33243" s="82"/>
      <c r="M33243" s="85"/>
    </row>
    <row r="33244" spans="9:13" x14ac:dyDescent="0.3">
      <c r="I33244" s="82"/>
      <c r="M33244" s="85"/>
    </row>
    <row r="33245" spans="9:13" x14ac:dyDescent="0.3">
      <c r="I33245" s="82"/>
      <c r="M33245" s="85"/>
    </row>
    <row r="33246" spans="9:13" x14ac:dyDescent="0.3">
      <c r="I33246" s="82"/>
      <c r="M33246" s="85"/>
    </row>
    <row r="33247" spans="9:13" x14ac:dyDescent="0.3">
      <c r="I33247" s="82"/>
      <c r="M33247" s="85"/>
    </row>
    <row r="33248" spans="9:13" x14ac:dyDescent="0.3">
      <c r="I33248" s="82"/>
      <c r="M33248" s="85"/>
    </row>
    <row r="33249" spans="9:13" x14ac:dyDescent="0.3">
      <c r="I33249" s="82"/>
      <c r="M33249" s="85"/>
    </row>
    <row r="33250" spans="9:13" x14ac:dyDescent="0.3">
      <c r="I33250" s="82"/>
      <c r="M33250" s="85"/>
    </row>
    <row r="33251" spans="9:13" x14ac:dyDescent="0.3">
      <c r="I33251" s="82"/>
      <c r="M33251" s="85"/>
    </row>
    <row r="33252" spans="9:13" x14ac:dyDescent="0.3">
      <c r="I33252" s="82"/>
      <c r="M33252" s="85"/>
    </row>
    <row r="33253" spans="9:13" x14ac:dyDescent="0.3">
      <c r="I33253" s="82"/>
      <c r="M33253" s="85"/>
    </row>
    <row r="33254" spans="9:13" x14ac:dyDescent="0.3">
      <c r="I33254" s="82"/>
      <c r="M33254" s="85"/>
    </row>
    <row r="33255" spans="9:13" x14ac:dyDescent="0.3">
      <c r="I33255" s="82"/>
      <c r="M33255" s="85"/>
    </row>
    <row r="33256" spans="9:13" x14ac:dyDescent="0.3">
      <c r="I33256" s="82"/>
      <c r="M33256" s="85"/>
    </row>
    <row r="33257" spans="9:13" x14ac:dyDescent="0.3">
      <c r="I33257" s="82"/>
      <c r="M33257" s="85"/>
    </row>
    <row r="33258" spans="9:13" x14ac:dyDescent="0.3">
      <c r="I33258" s="82"/>
      <c r="M33258" s="85"/>
    </row>
    <row r="33259" spans="9:13" x14ac:dyDescent="0.3">
      <c r="I33259" s="82"/>
      <c r="M33259" s="85"/>
    </row>
    <row r="33260" spans="9:13" x14ac:dyDescent="0.3">
      <c r="I33260" s="82"/>
      <c r="M33260" s="85"/>
    </row>
    <row r="33261" spans="9:13" x14ac:dyDescent="0.3">
      <c r="I33261" s="82"/>
      <c r="M33261" s="85"/>
    </row>
    <row r="33262" spans="9:13" x14ac:dyDescent="0.3">
      <c r="I33262" s="82"/>
      <c r="M33262" s="85"/>
    </row>
    <row r="33263" spans="9:13" x14ac:dyDescent="0.3">
      <c r="I33263" s="82"/>
      <c r="M33263" s="85"/>
    </row>
    <row r="33264" spans="9:13" x14ac:dyDescent="0.3">
      <c r="I33264" s="82"/>
      <c r="M33264" s="85"/>
    </row>
    <row r="33265" spans="9:13" x14ac:dyDescent="0.3">
      <c r="I33265" s="82"/>
      <c r="M33265" s="85"/>
    </row>
    <row r="33266" spans="9:13" x14ac:dyDescent="0.3">
      <c r="I33266" s="82"/>
      <c r="M33266" s="85"/>
    </row>
    <row r="33267" spans="9:13" x14ac:dyDescent="0.3">
      <c r="I33267" s="82"/>
      <c r="M33267" s="85"/>
    </row>
    <row r="33268" spans="9:13" x14ac:dyDescent="0.3">
      <c r="I33268" s="82"/>
      <c r="M33268" s="85"/>
    </row>
    <row r="33269" spans="9:13" x14ac:dyDescent="0.3">
      <c r="I33269" s="82"/>
      <c r="M33269" s="85"/>
    </row>
    <row r="33270" spans="9:13" x14ac:dyDescent="0.3">
      <c r="I33270" s="82"/>
      <c r="M33270" s="85"/>
    </row>
    <row r="33271" spans="9:13" x14ac:dyDescent="0.3">
      <c r="I33271" s="82"/>
      <c r="M33271" s="85"/>
    </row>
    <row r="33272" spans="9:13" x14ac:dyDescent="0.3">
      <c r="I33272" s="82"/>
      <c r="M33272" s="85"/>
    </row>
    <row r="33273" spans="9:13" x14ac:dyDescent="0.3">
      <c r="I33273" s="82"/>
      <c r="M33273" s="85"/>
    </row>
    <row r="33274" spans="9:13" x14ac:dyDescent="0.3">
      <c r="I33274" s="82"/>
      <c r="M33274" s="85"/>
    </row>
    <row r="33275" spans="9:13" x14ac:dyDescent="0.3">
      <c r="I33275" s="82"/>
      <c r="M33275" s="85"/>
    </row>
    <row r="33276" spans="9:13" x14ac:dyDescent="0.3">
      <c r="I33276" s="82"/>
      <c r="M33276" s="85"/>
    </row>
    <row r="33277" spans="9:13" x14ac:dyDescent="0.3">
      <c r="I33277" s="82"/>
      <c r="M33277" s="85"/>
    </row>
    <row r="33278" spans="9:13" x14ac:dyDescent="0.3">
      <c r="I33278" s="82"/>
      <c r="M33278" s="85"/>
    </row>
    <row r="33279" spans="9:13" x14ac:dyDescent="0.3">
      <c r="I33279" s="82"/>
      <c r="M33279" s="85"/>
    </row>
    <row r="33280" spans="9:13" x14ac:dyDescent="0.3">
      <c r="I33280" s="82"/>
      <c r="M33280" s="85"/>
    </row>
    <row r="33281" spans="9:13" x14ac:dyDescent="0.3">
      <c r="I33281" s="82"/>
      <c r="M33281" s="85"/>
    </row>
    <row r="33282" spans="9:13" x14ac:dyDescent="0.3">
      <c r="I33282" s="82"/>
      <c r="M33282" s="85"/>
    </row>
    <row r="33283" spans="9:13" x14ac:dyDescent="0.3">
      <c r="I33283" s="82"/>
      <c r="M33283" s="85"/>
    </row>
    <row r="33284" spans="9:13" x14ac:dyDescent="0.3">
      <c r="I33284" s="82"/>
      <c r="M33284" s="85"/>
    </row>
    <row r="33285" spans="9:13" x14ac:dyDescent="0.3">
      <c r="I33285" s="82"/>
      <c r="M33285" s="85"/>
    </row>
    <row r="33286" spans="9:13" x14ac:dyDescent="0.3">
      <c r="I33286" s="82"/>
      <c r="M33286" s="85"/>
    </row>
    <row r="33287" spans="9:13" x14ac:dyDescent="0.3">
      <c r="I33287" s="82"/>
      <c r="M33287" s="85"/>
    </row>
    <row r="33288" spans="9:13" x14ac:dyDescent="0.3">
      <c r="I33288" s="82"/>
      <c r="M33288" s="85"/>
    </row>
    <row r="33289" spans="9:13" x14ac:dyDescent="0.3">
      <c r="I33289" s="82"/>
      <c r="M33289" s="85"/>
    </row>
    <row r="33290" spans="9:13" x14ac:dyDescent="0.3">
      <c r="I33290" s="82"/>
      <c r="M33290" s="85"/>
    </row>
    <row r="33291" spans="9:13" x14ac:dyDescent="0.3">
      <c r="I33291" s="82"/>
      <c r="M33291" s="85"/>
    </row>
    <row r="33292" spans="9:13" x14ac:dyDescent="0.3">
      <c r="I33292" s="82"/>
      <c r="M33292" s="85"/>
    </row>
    <row r="33293" spans="9:13" x14ac:dyDescent="0.3">
      <c r="I33293" s="82"/>
      <c r="M33293" s="85"/>
    </row>
    <row r="33294" spans="9:13" x14ac:dyDescent="0.3">
      <c r="I33294" s="82"/>
      <c r="M33294" s="85"/>
    </row>
    <row r="33295" spans="9:13" x14ac:dyDescent="0.3">
      <c r="I33295" s="82"/>
      <c r="M33295" s="85"/>
    </row>
    <row r="33296" spans="9:13" x14ac:dyDescent="0.3">
      <c r="I33296" s="82"/>
      <c r="M33296" s="85"/>
    </row>
    <row r="33297" spans="9:13" x14ac:dyDescent="0.3">
      <c r="I33297" s="82"/>
      <c r="M33297" s="85"/>
    </row>
    <row r="33298" spans="9:13" x14ac:dyDescent="0.3">
      <c r="I33298" s="82"/>
      <c r="M33298" s="85"/>
    </row>
    <row r="33299" spans="9:13" x14ac:dyDescent="0.3">
      <c r="I33299" s="82"/>
      <c r="M33299" s="85"/>
    </row>
    <row r="33300" spans="9:13" x14ac:dyDescent="0.3">
      <c r="I33300" s="82"/>
      <c r="M33300" s="85"/>
    </row>
    <row r="33301" spans="9:13" x14ac:dyDescent="0.3">
      <c r="I33301" s="82"/>
      <c r="M33301" s="85"/>
    </row>
    <row r="33302" spans="9:13" x14ac:dyDescent="0.3">
      <c r="I33302" s="82"/>
      <c r="M33302" s="85"/>
    </row>
    <row r="33303" spans="9:13" x14ac:dyDescent="0.3">
      <c r="I33303" s="82"/>
      <c r="M33303" s="85"/>
    </row>
    <row r="33304" spans="9:13" x14ac:dyDescent="0.3">
      <c r="I33304" s="82"/>
      <c r="M33304" s="85"/>
    </row>
    <row r="33305" spans="9:13" x14ac:dyDescent="0.3">
      <c r="I33305" s="82"/>
      <c r="M33305" s="85"/>
    </row>
    <row r="33306" spans="9:13" x14ac:dyDescent="0.3">
      <c r="I33306" s="82"/>
      <c r="M33306" s="85"/>
    </row>
    <row r="33307" spans="9:13" x14ac:dyDescent="0.3">
      <c r="I33307" s="82"/>
      <c r="M33307" s="85"/>
    </row>
    <row r="33308" spans="9:13" x14ac:dyDescent="0.3">
      <c r="I33308" s="82"/>
      <c r="M33308" s="85"/>
    </row>
    <row r="33309" spans="9:13" x14ac:dyDescent="0.3">
      <c r="I33309" s="82"/>
      <c r="M33309" s="85"/>
    </row>
    <row r="33310" spans="9:13" x14ac:dyDescent="0.3">
      <c r="I33310" s="82"/>
      <c r="M33310" s="85"/>
    </row>
    <row r="33311" spans="9:13" x14ac:dyDescent="0.3">
      <c r="I33311" s="82"/>
      <c r="M33311" s="85"/>
    </row>
    <row r="33312" spans="9:13" x14ac:dyDescent="0.3">
      <c r="I33312" s="82"/>
      <c r="M33312" s="85"/>
    </row>
    <row r="33313" spans="9:13" x14ac:dyDescent="0.3">
      <c r="I33313" s="82"/>
      <c r="M33313" s="85"/>
    </row>
    <row r="33314" spans="9:13" x14ac:dyDescent="0.3">
      <c r="I33314" s="82"/>
      <c r="M33314" s="85"/>
    </row>
    <row r="33315" spans="9:13" x14ac:dyDescent="0.3">
      <c r="I33315" s="82"/>
      <c r="M33315" s="85"/>
    </row>
    <row r="33316" spans="9:13" x14ac:dyDescent="0.3">
      <c r="I33316" s="82"/>
      <c r="M33316" s="85"/>
    </row>
    <row r="33317" spans="9:13" x14ac:dyDescent="0.3">
      <c r="I33317" s="82"/>
      <c r="M33317" s="85"/>
    </row>
    <row r="33318" spans="9:13" x14ac:dyDescent="0.3">
      <c r="I33318" s="82"/>
      <c r="M33318" s="85"/>
    </row>
    <row r="33319" spans="9:13" x14ac:dyDescent="0.3">
      <c r="I33319" s="82"/>
      <c r="M33319" s="85"/>
    </row>
    <row r="33320" spans="9:13" x14ac:dyDescent="0.3">
      <c r="I33320" s="82"/>
      <c r="M33320" s="85"/>
    </row>
    <row r="33321" spans="9:13" x14ac:dyDescent="0.3">
      <c r="I33321" s="82"/>
      <c r="M33321" s="85"/>
    </row>
    <row r="33322" spans="9:13" x14ac:dyDescent="0.3">
      <c r="I33322" s="82"/>
      <c r="M33322" s="85"/>
    </row>
    <row r="33323" spans="9:13" x14ac:dyDescent="0.3">
      <c r="I33323" s="82"/>
      <c r="M33323" s="85"/>
    </row>
    <row r="33324" spans="9:13" x14ac:dyDescent="0.3">
      <c r="I33324" s="82"/>
      <c r="M33324" s="85"/>
    </row>
    <row r="33325" spans="9:13" x14ac:dyDescent="0.3">
      <c r="I33325" s="82"/>
      <c r="M33325" s="85"/>
    </row>
    <row r="33326" spans="9:13" x14ac:dyDescent="0.3">
      <c r="I33326" s="82"/>
      <c r="M33326" s="85"/>
    </row>
    <row r="33327" spans="9:13" x14ac:dyDescent="0.3">
      <c r="I33327" s="82"/>
      <c r="M33327" s="85"/>
    </row>
    <row r="33328" spans="9:13" x14ac:dyDescent="0.3">
      <c r="I33328" s="82"/>
      <c r="M33328" s="85"/>
    </row>
    <row r="33329" spans="9:13" x14ac:dyDescent="0.3">
      <c r="I33329" s="82"/>
      <c r="M33329" s="85"/>
    </row>
    <row r="33330" spans="9:13" x14ac:dyDescent="0.3">
      <c r="I33330" s="82"/>
      <c r="M33330" s="85"/>
    </row>
    <row r="33331" spans="9:13" x14ac:dyDescent="0.3">
      <c r="I33331" s="82"/>
      <c r="M33331" s="85"/>
    </row>
    <row r="33332" spans="9:13" x14ac:dyDescent="0.3">
      <c r="I33332" s="82"/>
      <c r="M33332" s="85"/>
    </row>
    <row r="33333" spans="9:13" x14ac:dyDescent="0.3">
      <c r="I33333" s="82"/>
      <c r="M33333" s="85"/>
    </row>
    <row r="33334" spans="9:13" x14ac:dyDescent="0.3">
      <c r="I33334" s="82"/>
      <c r="M33334" s="85"/>
    </row>
    <row r="33335" spans="9:13" x14ac:dyDescent="0.3">
      <c r="I33335" s="82"/>
      <c r="M33335" s="85"/>
    </row>
    <row r="33336" spans="9:13" x14ac:dyDescent="0.3">
      <c r="I33336" s="82"/>
      <c r="M33336" s="85"/>
    </row>
    <row r="33337" spans="9:13" x14ac:dyDescent="0.3">
      <c r="I33337" s="82"/>
      <c r="M33337" s="85"/>
    </row>
    <row r="33338" spans="9:13" x14ac:dyDescent="0.3">
      <c r="I33338" s="82"/>
      <c r="M33338" s="85"/>
    </row>
    <row r="33339" spans="9:13" x14ac:dyDescent="0.3">
      <c r="I33339" s="82"/>
      <c r="M33339" s="85"/>
    </row>
    <row r="33340" spans="9:13" x14ac:dyDescent="0.3">
      <c r="I33340" s="82"/>
      <c r="M33340" s="85"/>
    </row>
    <row r="33341" spans="9:13" x14ac:dyDescent="0.3">
      <c r="I33341" s="82"/>
      <c r="M33341" s="85"/>
    </row>
    <row r="33342" spans="9:13" x14ac:dyDescent="0.3">
      <c r="I33342" s="82"/>
      <c r="M33342" s="85"/>
    </row>
    <row r="33343" spans="9:13" x14ac:dyDescent="0.3">
      <c r="I33343" s="82"/>
      <c r="M33343" s="85"/>
    </row>
    <row r="33344" spans="9:13" x14ac:dyDescent="0.3">
      <c r="I33344" s="82"/>
      <c r="M33344" s="85"/>
    </row>
    <row r="33345" spans="9:13" x14ac:dyDescent="0.3">
      <c r="I33345" s="82"/>
      <c r="M33345" s="85"/>
    </row>
    <row r="33346" spans="9:13" x14ac:dyDescent="0.3">
      <c r="I33346" s="82"/>
      <c r="M33346" s="85"/>
    </row>
    <row r="33347" spans="9:13" x14ac:dyDescent="0.3">
      <c r="I33347" s="82"/>
      <c r="M33347" s="85"/>
    </row>
    <row r="33348" spans="9:13" x14ac:dyDescent="0.3">
      <c r="I33348" s="82"/>
      <c r="M33348" s="85"/>
    </row>
    <row r="33349" spans="9:13" x14ac:dyDescent="0.3">
      <c r="I33349" s="82"/>
      <c r="M33349" s="85"/>
    </row>
    <row r="33350" spans="9:13" x14ac:dyDescent="0.3">
      <c r="I33350" s="82"/>
      <c r="M33350" s="85"/>
    </row>
    <row r="33351" spans="9:13" x14ac:dyDescent="0.3">
      <c r="I33351" s="82"/>
      <c r="M33351" s="85"/>
    </row>
    <row r="33352" spans="9:13" x14ac:dyDescent="0.3">
      <c r="I33352" s="82"/>
      <c r="M33352" s="85"/>
    </row>
    <row r="33353" spans="9:13" x14ac:dyDescent="0.3">
      <c r="I33353" s="82"/>
      <c r="M33353" s="85"/>
    </row>
    <row r="33354" spans="9:13" x14ac:dyDescent="0.3">
      <c r="I33354" s="82"/>
      <c r="M33354" s="85"/>
    </row>
    <row r="33355" spans="9:13" x14ac:dyDescent="0.3">
      <c r="I33355" s="82"/>
      <c r="M33355" s="85"/>
    </row>
    <row r="33356" spans="9:13" x14ac:dyDescent="0.3">
      <c r="I33356" s="82"/>
      <c r="M33356" s="85"/>
    </row>
    <row r="33357" spans="9:13" x14ac:dyDescent="0.3">
      <c r="I33357" s="82"/>
      <c r="M33357" s="85"/>
    </row>
    <row r="33358" spans="9:13" x14ac:dyDescent="0.3">
      <c r="I33358" s="82"/>
      <c r="M33358" s="85"/>
    </row>
    <row r="33359" spans="9:13" x14ac:dyDescent="0.3">
      <c r="I33359" s="82"/>
      <c r="M33359" s="85"/>
    </row>
    <row r="33360" spans="9:13" x14ac:dyDescent="0.3">
      <c r="I33360" s="82"/>
      <c r="M33360" s="85"/>
    </row>
    <row r="33361" spans="9:13" x14ac:dyDescent="0.3">
      <c r="I33361" s="82"/>
      <c r="M33361" s="85"/>
    </row>
    <row r="33362" spans="9:13" x14ac:dyDescent="0.3">
      <c r="I33362" s="82"/>
      <c r="M33362" s="85"/>
    </row>
    <row r="33363" spans="9:13" x14ac:dyDescent="0.3">
      <c r="I33363" s="82"/>
      <c r="M33363" s="85"/>
    </row>
    <row r="33364" spans="9:13" x14ac:dyDescent="0.3">
      <c r="I33364" s="82"/>
      <c r="M33364" s="85"/>
    </row>
    <row r="33365" spans="9:13" x14ac:dyDescent="0.3">
      <c r="I33365" s="82"/>
      <c r="M33365" s="85"/>
    </row>
    <row r="33366" spans="9:13" x14ac:dyDescent="0.3">
      <c r="I33366" s="82"/>
      <c r="M33366" s="85"/>
    </row>
    <row r="33367" spans="9:13" x14ac:dyDescent="0.3">
      <c r="I33367" s="82"/>
      <c r="M33367" s="85"/>
    </row>
    <row r="33368" spans="9:13" x14ac:dyDescent="0.3">
      <c r="I33368" s="82"/>
      <c r="M33368" s="85"/>
    </row>
    <row r="33369" spans="9:13" x14ac:dyDescent="0.3">
      <c r="I33369" s="82"/>
      <c r="M33369" s="85"/>
    </row>
    <row r="33370" spans="9:13" x14ac:dyDescent="0.3">
      <c r="I33370" s="82"/>
      <c r="M33370" s="85"/>
    </row>
    <row r="33371" spans="9:13" x14ac:dyDescent="0.3">
      <c r="I33371" s="82"/>
      <c r="M33371" s="85"/>
    </row>
    <row r="33372" spans="9:13" x14ac:dyDescent="0.3">
      <c r="I33372" s="82"/>
      <c r="M33372" s="85"/>
    </row>
    <row r="33373" spans="9:13" x14ac:dyDescent="0.3">
      <c r="I33373" s="82"/>
      <c r="M33373" s="85"/>
    </row>
    <row r="33374" spans="9:13" x14ac:dyDescent="0.3">
      <c r="I33374" s="82"/>
      <c r="M33374" s="85"/>
    </row>
    <row r="33375" spans="9:13" x14ac:dyDescent="0.3">
      <c r="I33375" s="82"/>
      <c r="M33375" s="85"/>
    </row>
    <row r="33376" spans="9:13" x14ac:dyDescent="0.3">
      <c r="I33376" s="82"/>
      <c r="M33376" s="85"/>
    </row>
    <row r="33377" spans="9:13" x14ac:dyDescent="0.3">
      <c r="I33377" s="82"/>
      <c r="M33377" s="85"/>
    </row>
    <row r="33378" spans="9:13" x14ac:dyDescent="0.3">
      <c r="I33378" s="82"/>
      <c r="M33378" s="85"/>
    </row>
    <row r="33379" spans="9:13" x14ac:dyDescent="0.3">
      <c r="I33379" s="82"/>
      <c r="M33379" s="85"/>
    </row>
    <row r="33380" spans="9:13" x14ac:dyDescent="0.3">
      <c r="I33380" s="82"/>
      <c r="M33380" s="85"/>
    </row>
    <row r="33381" spans="9:13" x14ac:dyDescent="0.3">
      <c r="I33381" s="82"/>
      <c r="M33381" s="85"/>
    </row>
    <row r="33382" spans="9:13" x14ac:dyDescent="0.3">
      <c r="I33382" s="82"/>
      <c r="M33382" s="85"/>
    </row>
    <row r="33383" spans="9:13" x14ac:dyDescent="0.3">
      <c r="I33383" s="82"/>
      <c r="M33383" s="85"/>
    </row>
    <row r="33384" spans="9:13" x14ac:dyDescent="0.3">
      <c r="I33384" s="82"/>
      <c r="M33384" s="85"/>
    </row>
    <row r="33385" spans="9:13" x14ac:dyDescent="0.3">
      <c r="I33385" s="82"/>
      <c r="M33385" s="85"/>
    </row>
    <row r="33386" spans="9:13" x14ac:dyDescent="0.3">
      <c r="I33386" s="82"/>
      <c r="M33386" s="85"/>
    </row>
    <row r="33387" spans="9:13" x14ac:dyDescent="0.3">
      <c r="I33387" s="82"/>
      <c r="M33387" s="85"/>
    </row>
    <row r="33388" spans="9:13" x14ac:dyDescent="0.3">
      <c r="I33388" s="82"/>
      <c r="M33388" s="85"/>
    </row>
    <row r="33389" spans="9:13" x14ac:dyDescent="0.3">
      <c r="I33389" s="82"/>
      <c r="M33389" s="85"/>
    </row>
    <row r="33390" spans="9:13" x14ac:dyDescent="0.3">
      <c r="I33390" s="82"/>
      <c r="M33390" s="85"/>
    </row>
    <row r="33391" spans="9:13" x14ac:dyDescent="0.3">
      <c r="I33391" s="82"/>
      <c r="M33391" s="85"/>
    </row>
    <row r="33392" spans="9:13" x14ac:dyDescent="0.3">
      <c r="I33392" s="82"/>
      <c r="M33392" s="85"/>
    </row>
    <row r="33393" spans="9:13" x14ac:dyDescent="0.3">
      <c r="I33393" s="82"/>
      <c r="M33393" s="85"/>
    </row>
    <row r="33394" spans="9:13" x14ac:dyDescent="0.3">
      <c r="I33394" s="82"/>
      <c r="M33394" s="85"/>
    </row>
    <row r="33395" spans="9:13" x14ac:dyDescent="0.3">
      <c r="I33395" s="82"/>
      <c r="M33395" s="85"/>
    </row>
    <row r="33396" spans="9:13" x14ac:dyDescent="0.3">
      <c r="I33396" s="82"/>
      <c r="M33396" s="85"/>
    </row>
    <row r="33397" spans="9:13" x14ac:dyDescent="0.3">
      <c r="I33397" s="82"/>
      <c r="M33397" s="85"/>
    </row>
    <row r="33398" spans="9:13" x14ac:dyDescent="0.3">
      <c r="I33398" s="82"/>
      <c r="M33398" s="85"/>
    </row>
    <row r="33399" spans="9:13" x14ac:dyDescent="0.3">
      <c r="I33399" s="82"/>
      <c r="M33399" s="85"/>
    </row>
    <row r="33400" spans="9:13" x14ac:dyDescent="0.3">
      <c r="I33400" s="82"/>
      <c r="M33400" s="85"/>
    </row>
    <row r="33401" spans="9:13" x14ac:dyDescent="0.3">
      <c r="I33401" s="82"/>
      <c r="M33401" s="85"/>
    </row>
    <row r="33402" spans="9:13" x14ac:dyDescent="0.3">
      <c r="I33402" s="82"/>
      <c r="M33402" s="85"/>
    </row>
    <row r="33403" spans="9:13" x14ac:dyDescent="0.3">
      <c r="I33403" s="82"/>
      <c r="M33403" s="85"/>
    </row>
    <row r="33404" spans="9:13" x14ac:dyDescent="0.3">
      <c r="I33404" s="82"/>
      <c r="M33404" s="85"/>
    </row>
    <row r="33405" spans="9:13" x14ac:dyDescent="0.3">
      <c r="I33405" s="82"/>
      <c r="M33405" s="85"/>
    </row>
    <row r="33406" spans="9:13" x14ac:dyDescent="0.3">
      <c r="I33406" s="82"/>
      <c r="M33406" s="85"/>
    </row>
    <row r="33407" spans="9:13" x14ac:dyDescent="0.3">
      <c r="I33407" s="82"/>
      <c r="M33407" s="85"/>
    </row>
    <row r="33408" spans="9:13" x14ac:dyDescent="0.3">
      <c r="I33408" s="82"/>
      <c r="M33408" s="85"/>
    </row>
    <row r="33409" spans="9:13" x14ac:dyDescent="0.3">
      <c r="I33409" s="82"/>
      <c r="M33409" s="85"/>
    </row>
    <row r="33410" spans="9:13" x14ac:dyDescent="0.3">
      <c r="I33410" s="82"/>
      <c r="M33410" s="85"/>
    </row>
    <row r="33411" spans="9:13" x14ac:dyDescent="0.3">
      <c r="I33411" s="82"/>
      <c r="M33411" s="85"/>
    </row>
    <row r="33412" spans="9:13" x14ac:dyDescent="0.3">
      <c r="I33412" s="82"/>
      <c r="M33412" s="85"/>
    </row>
    <row r="33413" spans="9:13" x14ac:dyDescent="0.3">
      <c r="I33413" s="82"/>
      <c r="M33413" s="85"/>
    </row>
    <row r="33414" spans="9:13" x14ac:dyDescent="0.3">
      <c r="I33414" s="82"/>
      <c r="M33414" s="85"/>
    </row>
    <row r="33415" spans="9:13" x14ac:dyDescent="0.3">
      <c r="I33415" s="82"/>
      <c r="M33415" s="85"/>
    </row>
    <row r="33416" spans="9:13" x14ac:dyDescent="0.3">
      <c r="I33416" s="82"/>
      <c r="M33416" s="85"/>
    </row>
    <row r="33417" spans="9:13" x14ac:dyDescent="0.3">
      <c r="I33417" s="82"/>
      <c r="M33417" s="85"/>
    </row>
    <row r="33418" spans="9:13" x14ac:dyDescent="0.3">
      <c r="I33418" s="82"/>
      <c r="M33418" s="85"/>
    </row>
    <row r="33419" spans="9:13" x14ac:dyDescent="0.3">
      <c r="I33419" s="82"/>
      <c r="M33419" s="85"/>
    </row>
    <row r="33420" spans="9:13" x14ac:dyDescent="0.3">
      <c r="I33420" s="82"/>
      <c r="M33420" s="85"/>
    </row>
    <row r="33421" spans="9:13" x14ac:dyDescent="0.3">
      <c r="I33421" s="82"/>
      <c r="M33421" s="85"/>
    </row>
    <row r="33422" spans="9:13" x14ac:dyDescent="0.3">
      <c r="I33422" s="82"/>
      <c r="M33422" s="85"/>
    </row>
    <row r="33423" spans="9:13" x14ac:dyDescent="0.3">
      <c r="I33423" s="82"/>
      <c r="M33423" s="85"/>
    </row>
    <row r="33424" spans="9:13" x14ac:dyDescent="0.3">
      <c r="I33424" s="82"/>
      <c r="M33424" s="85"/>
    </row>
    <row r="33425" spans="9:13" x14ac:dyDescent="0.3">
      <c r="I33425" s="82"/>
      <c r="M33425" s="85"/>
    </row>
    <row r="33426" spans="9:13" x14ac:dyDescent="0.3">
      <c r="I33426" s="82"/>
      <c r="M33426" s="85"/>
    </row>
    <row r="33427" spans="9:13" x14ac:dyDescent="0.3">
      <c r="I33427" s="82"/>
      <c r="M33427" s="85"/>
    </row>
    <row r="33428" spans="9:13" x14ac:dyDescent="0.3">
      <c r="I33428" s="82"/>
      <c r="M33428" s="85"/>
    </row>
    <row r="33429" spans="9:13" x14ac:dyDescent="0.3">
      <c r="I33429" s="82"/>
      <c r="M33429" s="85"/>
    </row>
    <row r="33430" spans="9:13" x14ac:dyDescent="0.3">
      <c r="I33430" s="82"/>
      <c r="M33430" s="85"/>
    </row>
    <row r="33431" spans="9:13" x14ac:dyDescent="0.3">
      <c r="I33431" s="82"/>
      <c r="M33431" s="85"/>
    </row>
    <row r="33432" spans="9:13" x14ac:dyDescent="0.3">
      <c r="I33432" s="82"/>
      <c r="M33432" s="85"/>
    </row>
    <row r="33433" spans="9:13" x14ac:dyDescent="0.3">
      <c r="I33433" s="82"/>
      <c r="M33433" s="85"/>
    </row>
    <row r="33434" spans="9:13" x14ac:dyDescent="0.3">
      <c r="I33434" s="82"/>
      <c r="M33434" s="85"/>
    </row>
    <row r="33435" spans="9:13" x14ac:dyDescent="0.3">
      <c r="I33435" s="82"/>
      <c r="M33435" s="85"/>
    </row>
    <row r="33436" spans="9:13" x14ac:dyDescent="0.3">
      <c r="I33436" s="82"/>
      <c r="M33436" s="85"/>
    </row>
    <row r="33437" spans="9:13" x14ac:dyDescent="0.3">
      <c r="I33437" s="82"/>
      <c r="M33437" s="85"/>
    </row>
    <row r="33438" spans="9:13" x14ac:dyDescent="0.3">
      <c r="I33438" s="82"/>
      <c r="M33438" s="85"/>
    </row>
    <row r="33439" spans="9:13" x14ac:dyDescent="0.3">
      <c r="I33439" s="82"/>
      <c r="M33439" s="85"/>
    </row>
    <row r="33440" spans="9:13" x14ac:dyDescent="0.3">
      <c r="I33440" s="82"/>
      <c r="M33440" s="85"/>
    </row>
    <row r="33441" spans="9:13" x14ac:dyDescent="0.3">
      <c r="I33441" s="82"/>
      <c r="M33441" s="85"/>
    </row>
    <row r="33442" spans="9:13" x14ac:dyDescent="0.3">
      <c r="I33442" s="82"/>
      <c r="M33442" s="85"/>
    </row>
    <row r="33443" spans="9:13" x14ac:dyDescent="0.3">
      <c r="I33443" s="82"/>
      <c r="M33443" s="85"/>
    </row>
    <row r="33444" spans="9:13" x14ac:dyDescent="0.3">
      <c r="I33444" s="82"/>
      <c r="M33444" s="85"/>
    </row>
    <row r="33445" spans="9:13" x14ac:dyDescent="0.3">
      <c r="I33445" s="82"/>
      <c r="M33445" s="85"/>
    </row>
    <row r="33446" spans="9:13" x14ac:dyDescent="0.3">
      <c r="I33446" s="82"/>
      <c r="M33446" s="85"/>
    </row>
    <row r="33447" spans="9:13" x14ac:dyDescent="0.3">
      <c r="I33447" s="82"/>
      <c r="M33447" s="85"/>
    </row>
    <row r="33448" spans="9:13" x14ac:dyDescent="0.3">
      <c r="I33448" s="82"/>
      <c r="M33448" s="85"/>
    </row>
    <row r="33449" spans="9:13" x14ac:dyDescent="0.3">
      <c r="I33449" s="82"/>
      <c r="M33449" s="85"/>
    </row>
    <row r="33450" spans="9:13" x14ac:dyDescent="0.3">
      <c r="I33450" s="82"/>
      <c r="M33450" s="85"/>
    </row>
    <row r="33451" spans="9:13" x14ac:dyDescent="0.3">
      <c r="I33451" s="82"/>
      <c r="M33451" s="85"/>
    </row>
    <row r="33452" spans="9:13" x14ac:dyDescent="0.3">
      <c r="I33452" s="82"/>
      <c r="M33452" s="85"/>
    </row>
    <row r="33453" spans="9:13" x14ac:dyDescent="0.3">
      <c r="I33453" s="82"/>
      <c r="M33453" s="85"/>
    </row>
    <row r="33454" spans="9:13" x14ac:dyDescent="0.3">
      <c r="I33454" s="82"/>
      <c r="M33454" s="85"/>
    </row>
    <row r="33455" spans="9:13" x14ac:dyDescent="0.3">
      <c r="I33455" s="82"/>
      <c r="M33455" s="85"/>
    </row>
    <row r="33456" spans="9:13" x14ac:dyDescent="0.3">
      <c r="I33456" s="82"/>
      <c r="M33456" s="85"/>
    </row>
    <row r="33457" spans="9:13" x14ac:dyDescent="0.3">
      <c r="I33457" s="82"/>
      <c r="M33457" s="85"/>
    </row>
    <row r="33458" spans="9:13" x14ac:dyDescent="0.3">
      <c r="I33458" s="82"/>
      <c r="M33458" s="85"/>
    </row>
    <row r="33459" spans="9:13" x14ac:dyDescent="0.3">
      <c r="I33459" s="82"/>
      <c r="M33459" s="85"/>
    </row>
    <row r="33460" spans="9:13" x14ac:dyDescent="0.3">
      <c r="I33460" s="82"/>
      <c r="M33460" s="85"/>
    </row>
    <row r="33461" spans="9:13" x14ac:dyDescent="0.3">
      <c r="I33461" s="82"/>
      <c r="M33461" s="85"/>
    </row>
    <row r="33462" spans="9:13" x14ac:dyDescent="0.3">
      <c r="I33462" s="82"/>
      <c r="M33462" s="85"/>
    </row>
    <row r="33463" spans="9:13" x14ac:dyDescent="0.3">
      <c r="I33463" s="82"/>
      <c r="M33463" s="85"/>
    </row>
    <row r="33464" spans="9:13" x14ac:dyDescent="0.3">
      <c r="I33464" s="82"/>
      <c r="M33464" s="85"/>
    </row>
    <row r="33465" spans="9:13" x14ac:dyDescent="0.3">
      <c r="I33465" s="82"/>
      <c r="M33465" s="85"/>
    </row>
    <row r="33466" spans="9:13" x14ac:dyDescent="0.3">
      <c r="I33466" s="82"/>
      <c r="M33466" s="85"/>
    </row>
    <row r="33467" spans="9:13" x14ac:dyDescent="0.3">
      <c r="I33467" s="82"/>
      <c r="M33467" s="85"/>
    </row>
    <row r="33468" spans="9:13" x14ac:dyDescent="0.3">
      <c r="I33468" s="82"/>
      <c r="M33468" s="85"/>
    </row>
    <row r="33469" spans="9:13" x14ac:dyDescent="0.3">
      <c r="I33469" s="82"/>
      <c r="M33469" s="85"/>
    </row>
    <row r="33470" spans="9:13" x14ac:dyDescent="0.3">
      <c r="I33470" s="82"/>
      <c r="M33470" s="85"/>
    </row>
    <row r="33471" spans="9:13" x14ac:dyDescent="0.3">
      <c r="I33471" s="82"/>
      <c r="M33471" s="85"/>
    </row>
    <row r="33472" spans="9:13" x14ac:dyDescent="0.3">
      <c r="I33472" s="82"/>
      <c r="M33472" s="85"/>
    </row>
    <row r="33473" spans="9:13" x14ac:dyDescent="0.3">
      <c r="I33473" s="82"/>
      <c r="M33473" s="85"/>
    </row>
    <row r="33474" spans="9:13" x14ac:dyDescent="0.3">
      <c r="I33474" s="82"/>
      <c r="M33474" s="85"/>
    </row>
    <row r="33475" spans="9:13" x14ac:dyDescent="0.3">
      <c r="I33475" s="82"/>
      <c r="M33475" s="85"/>
    </row>
    <row r="33476" spans="9:13" x14ac:dyDescent="0.3">
      <c r="I33476" s="82"/>
      <c r="M33476" s="85"/>
    </row>
    <row r="33477" spans="9:13" x14ac:dyDescent="0.3">
      <c r="I33477" s="82"/>
      <c r="M33477" s="85"/>
    </row>
    <row r="33478" spans="9:13" x14ac:dyDescent="0.3">
      <c r="I33478" s="82"/>
      <c r="M33478" s="85"/>
    </row>
    <row r="33479" spans="9:13" x14ac:dyDescent="0.3">
      <c r="I33479" s="82"/>
      <c r="M33479" s="85"/>
    </row>
    <row r="33480" spans="9:13" x14ac:dyDescent="0.3">
      <c r="I33480" s="82"/>
      <c r="M33480" s="85"/>
    </row>
    <row r="33481" spans="9:13" x14ac:dyDescent="0.3">
      <c r="I33481" s="82"/>
      <c r="M33481" s="85"/>
    </row>
    <row r="33482" spans="9:13" x14ac:dyDescent="0.3">
      <c r="I33482" s="82"/>
      <c r="M33482" s="85"/>
    </row>
    <row r="33483" spans="9:13" x14ac:dyDescent="0.3">
      <c r="I33483" s="82"/>
      <c r="M33483" s="85"/>
    </row>
    <row r="33484" spans="9:13" x14ac:dyDescent="0.3">
      <c r="I33484" s="82"/>
      <c r="M33484" s="85"/>
    </row>
    <row r="33485" spans="9:13" x14ac:dyDescent="0.3">
      <c r="I33485" s="82"/>
      <c r="M33485" s="85"/>
    </row>
    <row r="33486" spans="9:13" x14ac:dyDescent="0.3">
      <c r="I33486" s="82"/>
      <c r="M33486" s="85"/>
    </row>
    <row r="33487" spans="9:13" x14ac:dyDescent="0.3">
      <c r="I33487" s="82"/>
      <c r="M33487" s="85"/>
    </row>
    <row r="33488" spans="9:13" x14ac:dyDescent="0.3">
      <c r="I33488" s="82"/>
      <c r="M33488" s="85"/>
    </row>
    <row r="33489" spans="9:13" x14ac:dyDescent="0.3">
      <c r="I33489" s="82"/>
      <c r="M33489" s="85"/>
    </row>
    <row r="33490" spans="9:13" x14ac:dyDescent="0.3">
      <c r="I33490" s="82"/>
      <c r="M33490" s="85"/>
    </row>
    <row r="33491" spans="9:13" x14ac:dyDescent="0.3">
      <c r="I33491" s="82"/>
      <c r="M33491" s="85"/>
    </row>
    <row r="33492" spans="9:13" x14ac:dyDescent="0.3">
      <c r="I33492" s="82"/>
      <c r="M33492" s="85"/>
    </row>
    <row r="33493" spans="9:13" x14ac:dyDescent="0.3">
      <c r="I33493" s="82"/>
      <c r="M33493" s="85"/>
    </row>
    <row r="33494" spans="9:13" x14ac:dyDescent="0.3">
      <c r="I33494" s="82"/>
      <c r="M33494" s="85"/>
    </row>
    <row r="33495" spans="9:13" x14ac:dyDescent="0.3">
      <c r="I33495" s="82"/>
      <c r="M33495" s="85"/>
    </row>
    <row r="33496" spans="9:13" x14ac:dyDescent="0.3">
      <c r="I33496" s="82"/>
      <c r="M33496" s="85"/>
    </row>
    <row r="33497" spans="9:13" x14ac:dyDescent="0.3">
      <c r="I33497" s="82"/>
      <c r="M33497" s="85"/>
    </row>
    <row r="33498" spans="9:13" x14ac:dyDescent="0.3">
      <c r="I33498" s="82"/>
      <c r="M33498" s="85"/>
    </row>
    <row r="33499" spans="9:13" x14ac:dyDescent="0.3">
      <c r="I33499" s="82"/>
      <c r="M33499" s="85"/>
    </row>
    <row r="33500" spans="9:13" x14ac:dyDescent="0.3">
      <c r="I33500" s="82"/>
      <c r="M33500" s="85"/>
    </row>
    <row r="33501" spans="9:13" x14ac:dyDescent="0.3">
      <c r="I33501" s="82"/>
      <c r="M33501" s="85"/>
    </row>
    <row r="33502" spans="9:13" x14ac:dyDescent="0.3">
      <c r="I33502" s="82"/>
      <c r="M33502" s="85"/>
    </row>
    <row r="33503" spans="9:13" x14ac:dyDescent="0.3">
      <c r="I33503" s="82"/>
      <c r="M33503" s="85"/>
    </row>
    <row r="33504" spans="9:13" x14ac:dyDescent="0.3">
      <c r="I33504" s="82"/>
      <c r="M33504" s="85"/>
    </row>
    <row r="33505" spans="9:13" x14ac:dyDescent="0.3">
      <c r="I33505" s="82"/>
      <c r="M33505" s="85"/>
    </row>
    <row r="33506" spans="9:13" x14ac:dyDescent="0.3">
      <c r="I33506" s="82"/>
      <c r="M33506" s="85"/>
    </row>
    <row r="33507" spans="9:13" x14ac:dyDescent="0.3">
      <c r="I33507" s="82"/>
      <c r="M33507" s="85"/>
    </row>
    <row r="33508" spans="9:13" x14ac:dyDescent="0.3">
      <c r="I33508" s="82"/>
      <c r="M33508" s="85"/>
    </row>
    <row r="33509" spans="9:13" x14ac:dyDescent="0.3">
      <c r="I33509" s="82"/>
      <c r="M33509" s="85"/>
    </row>
    <row r="33510" spans="9:13" x14ac:dyDescent="0.3">
      <c r="I33510" s="82"/>
      <c r="M33510" s="85"/>
    </row>
    <row r="33511" spans="9:13" x14ac:dyDescent="0.3">
      <c r="I33511" s="82"/>
      <c r="M33511" s="85"/>
    </row>
    <row r="33512" spans="9:13" x14ac:dyDescent="0.3">
      <c r="I33512" s="82"/>
      <c r="M33512" s="85"/>
    </row>
    <row r="33513" spans="9:13" x14ac:dyDescent="0.3">
      <c r="I33513" s="82"/>
      <c r="M33513" s="85"/>
    </row>
    <row r="33514" spans="9:13" x14ac:dyDescent="0.3">
      <c r="I33514" s="82"/>
      <c r="M33514" s="85"/>
    </row>
    <row r="33515" spans="9:13" x14ac:dyDescent="0.3">
      <c r="I33515" s="82"/>
      <c r="M33515" s="85"/>
    </row>
    <row r="33516" spans="9:13" x14ac:dyDescent="0.3">
      <c r="I33516" s="82"/>
      <c r="M33516" s="85"/>
    </row>
    <row r="33517" spans="9:13" x14ac:dyDescent="0.3">
      <c r="I33517" s="82"/>
      <c r="M33517" s="85"/>
    </row>
    <row r="33518" spans="9:13" x14ac:dyDescent="0.3">
      <c r="I33518" s="82"/>
      <c r="M33518" s="85"/>
    </row>
    <row r="33519" spans="9:13" x14ac:dyDescent="0.3">
      <c r="I33519" s="82"/>
      <c r="M33519" s="85"/>
    </row>
    <row r="33520" spans="9:13" x14ac:dyDescent="0.3">
      <c r="I33520" s="82"/>
      <c r="M33520" s="85"/>
    </row>
    <row r="33521" spans="9:13" x14ac:dyDescent="0.3">
      <c r="I33521" s="82"/>
      <c r="M33521" s="85"/>
    </row>
    <row r="33522" spans="9:13" x14ac:dyDescent="0.3">
      <c r="I33522" s="82"/>
      <c r="M33522" s="85"/>
    </row>
    <row r="33523" spans="9:13" x14ac:dyDescent="0.3">
      <c r="I33523" s="82"/>
      <c r="M33523" s="85"/>
    </row>
    <row r="33524" spans="9:13" x14ac:dyDescent="0.3">
      <c r="I33524" s="82"/>
      <c r="M33524" s="85"/>
    </row>
    <row r="33525" spans="9:13" x14ac:dyDescent="0.3">
      <c r="I33525" s="82"/>
      <c r="M33525" s="85"/>
    </row>
    <row r="33526" spans="9:13" x14ac:dyDescent="0.3">
      <c r="I33526" s="82"/>
      <c r="M33526" s="85"/>
    </row>
    <row r="33527" spans="9:13" x14ac:dyDescent="0.3">
      <c r="I33527" s="82"/>
      <c r="M33527" s="85"/>
    </row>
    <row r="33528" spans="9:13" x14ac:dyDescent="0.3">
      <c r="I33528" s="82"/>
      <c r="M33528" s="85"/>
    </row>
    <row r="33529" spans="9:13" x14ac:dyDescent="0.3">
      <c r="I33529" s="82"/>
      <c r="M33529" s="85"/>
    </row>
    <row r="33530" spans="9:13" x14ac:dyDescent="0.3">
      <c r="I33530" s="82"/>
      <c r="M33530" s="85"/>
    </row>
    <row r="33531" spans="9:13" x14ac:dyDescent="0.3">
      <c r="I33531" s="82"/>
      <c r="M33531" s="85"/>
    </row>
    <row r="33532" spans="9:13" x14ac:dyDescent="0.3">
      <c r="I33532" s="82"/>
      <c r="M33532" s="85"/>
    </row>
    <row r="33533" spans="9:13" x14ac:dyDescent="0.3">
      <c r="I33533" s="82"/>
      <c r="M33533" s="85"/>
    </row>
    <row r="33534" spans="9:13" x14ac:dyDescent="0.3">
      <c r="I33534" s="82"/>
      <c r="M33534" s="85"/>
    </row>
    <row r="33535" spans="9:13" x14ac:dyDescent="0.3">
      <c r="I33535" s="82"/>
      <c r="M33535" s="85"/>
    </row>
    <row r="33536" spans="9:13" x14ac:dyDescent="0.3">
      <c r="I33536" s="82"/>
      <c r="M33536" s="85"/>
    </row>
    <row r="33537" spans="9:13" x14ac:dyDescent="0.3">
      <c r="I33537" s="82"/>
      <c r="M33537" s="85"/>
    </row>
    <row r="33538" spans="9:13" x14ac:dyDescent="0.3">
      <c r="I33538" s="82"/>
      <c r="M33538" s="85"/>
    </row>
    <row r="33539" spans="9:13" x14ac:dyDescent="0.3">
      <c r="I33539" s="82"/>
      <c r="M33539" s="85"/>
    </row>
    <row r="33540" spans="9:13" x14ac:dyDescent="0.3">
      <c r="I33540" s="82"/>
      <c r="M33540" s="85"/>
    </row>
    <row r="33541" spans="9:13" x14ac:dyDescent="0.3">
      <c r="I33541" s="82"/>
      <c r="M33541" s="85"/>
    </row>
    <row r="33542" spans="9:13" x14ac:dyDescent="0.3">
      <c r="I33542" s="82"/>
      <c r="M33542" s="85"/>
    </row>
    <row r="33543" spans="9:13" x14ac:dyDescent="0.3">
      <c r="I33543" s="82"/>
      <c r="M33543" s="85"/>
    </row>
    <row r="33544" spans="9:13" x14ac:dyDescent="0.3">
      <c r="I33544" s="82"/>
      <c r="M33544" s="85"/>
    </row>
    <row r="33545" spans="9:13" x14ac:dyDescent="0.3">
      <c r="I33545" s="82"/>
      <c r="M33545" s="85"/>
    </row>
    <row r="33546" spans="9:13" x14ac:dyDescent="0.3">
      <c r="I33546" s="82"/>
      <c r="M33546" s="85"/>
    </row>
    <row r="33547" spans="9:13" x14ac:dyDescent="0.3">
      <c r="I33547" s="82"/>
      <c r="M33547" s="85"/>
    </row>
    <row r="33548" spans="9:13" x14ac:dyDescent="0.3">
      <c r="I33548" s="82"/>
      <c r="M33548" s="85"/>
    </row>
    <row r="33549" spans="9:13" x14ac:dyDescent="0.3">
      <c r="I33549" s="82"/>
      <c r="M33549" s="85"/>
    </row>
    <row r="33550" spans="9:13" x14ac:dyDescent="0.3">
      <c r="I33550" s="82"/>
      <c r="M33550" s="85"/>
    </row>
    <row r="33551" spans="9:13" x14ac:dyDescent="0.3">
      <c r="I33551" s="82"/>
      <c r="M33551" s="85"/>
    </row>
    <row r="33552" spans="9:13" x14ac:dyDescent="0.3">
      <c r="I33552" s="82"/>
      <c r="M33552" s="85"/>
    </row>
    <row r="33553" spans="9:13" x14ac:dyDescent="0.3">
      <c r="I33553" s="82"/>
      <c r="M33553" s="85"/>
    </row>
    <row r="33554" spans="9:13" x14ac:dyDescent="0.3">
      <c r="I33554" s="82"/>
      <c r="M33554" s="85"/>
    </row>
    <row r="33555" spans="9:13" x14ac:dyDescent="0.3">
      <c r="I33555" s="82"/>
      <c r="M33555" s="85"/>
    </row>
    <row r="33556" spans="9:13" x14ac:dyDescent="0.3">
      <c r="I33556" s="82"/>
      <c r="M33556" s="85"/>
    </row>
    <row r="33557" spans="9:13" x14ac:dyDescent="0.3">
      <c r="I33557" s="82"/>
      <c r="M33557" s="85"/>
    </row>
    <row r="33558" spans="9:13" x14ac:dyDescent="0.3">
      <c r="I33558" s="82"/>
      <c r="M33558" s="85"/>
    </row>
    <row r="33559" spans="9:13" x14ac:dyDescent="0.3">
      <c r="I33559" s="82"/>
      <c r="M33559" s="85"/>
    </row>
    <row r="33560" spans="9:13" x14ac:dyDescent="0.3">
      <c r="I33560" s="82"/>
      <c r="M33560" s="85"/>
    </row>
    <row r="33561" spans="9:13" x14ac:dyDescent="0.3">
      <c r="I33561" s="82"/>
      <c r="M33561" s="85"/>
    </row>
    <row r="33562" spans="9:13" x14ac:dyDescent="0.3">
      <c r="I33562" s="82"/>
      <c r="M33562" s="85"/>
    </row>
    <row r="33563" spans="9:13" x14ac:dyDescent="0.3">
      <c r="I33563" s="82"/>
      <c r="M33563" s="85"/>
    </row>
    <row r="33564" spans="9:13" x14ac:dyDescent="0.3">
      <c r="I33564" s="82"/>
      <c r="M33564" s="85"/>
    </row>
    <row r="33565" spans="9:13" x14ac:dyDescent="0.3">
      <c r="I33565" s="82"/>
      <c r="M33565" s="85"/>
    </row>
    <row r="33566" spans="9:13" x14ac:dyDescent="0.3">
      <c r="I33566" s="82"/>
      <c r="M33566" s="85"/>
    </row>
    <row r="33567" spans="9:13" x14ac:dyDescent="0.3">
      <c r="I33567" s="82"/>
      <c r="M33567" s="85"/>
    </row>
    <row r="33568" spans="9:13" x14ac:dyDescent="0.3">
      <c r="I33568" s="82"/>
      <c r="M33568" s="85"/>
    </row>
    <row r="33569" spans="9:13" x14ac:dyDescent="0.3">
      <c r="I33569" s="82"/>
      <c r="M33569" s="85"/>
    </row>
    <row r="33570" spans="9:13" x14ac:dyDescent="0.3">
      <c r="I33570" s="82"/>
      <c r="M33570" s="85"/>
    </row>
    <row r="33571" spans="9:13" x14ac:dyDescent="0.3">
      <c r="I33571" s="82"/>
      <c r="M33571" s="85"/>
    </row>
    <row r="33572" spans="9:13" x14ac:dyDescent="0.3">
      <c r="I33572" s="82"/>
      <c r="M33572" s="85"/>
    </row>
    <row r="33573" spans="9:13" x14ac:dyDescent="0.3">
      <c r="I33573" s="82"/>
      <c r="M33573" s="85"/>
    </row>
    <row r="33574" spans="9:13" x14ac:dyDescent="0.3">
      <c r="I33574" s="82"/>
      <c r="M33574" s="85"/>
    </row>
    <row r="33575" spans="9:13" x14ac:dyDescent="0.3">
      <c r="I33575" s="82"/>
      <c r="M33575" s="85"/>
    </row>
    <row r="33576" spans="9:13" x14ac:dyDescent="0.3">
      <c r="I33576" s="82"/>
      <c r="M33576" s="85"/>
    </row>
    <row r="33577" spans="9:13" x14ac:dyDescent="0.3">
      <c r="I33577" s="82"/>
      <c r="M33577" s="85"/>
    </row>
    <row r="33578" spans="9:13" x14ac:dyDescent="0.3">
      <c r="I33578" s="82"/>
      <c r="M33578" s="85"/>
    </row>
    <row r="33579" spans="9:13" x14ac:dyDescent="0.3">
      <c r="I33579" s="82"/>
      <c r="M33579" s="85"/>
    </row>
    <row r="33580" spans="9:13" x14ac:dyDescent="0.3">
      <c r="I33580" s="82"/>
      <c r="M33580" s="85"/>
    </row>
    <row r="33581" spans="9:13" x14ac:dyDescent="0.3">
      <c r="I33581" s="82"/>
      <c r="M33581" s="85"/>
    </row>
    <row r="33582" spans="9:13" x14ac:dyDescent="0.3">
      <c r="I33582" s="82"/>
      <c r="M33582" s="85"/>
    </row>
    <row r="33583" spans="9:13" x14ac:dyDescent="0.3">
      <c r="I33583" s="82"/>
      <c r="M33583" s="85"/>
    </row>
    <row r="33584" spans="9:13" x14ac:dyDescent="0.3">
      <c r="I33584" s="82"/>
      <c r="M33584" s="85"/>
    </row>
    <row r="33585" spans="9:13" x14ac:dyDescent="0.3">
      <c r="I33585" s="82"/>
      <c r="M33585" s="85"/>
    </row>
    <row r="33586" spans="9:13" x14ac:dyDescent="0.3">
      <c r="I33586" s="82"/>
      <c r="M33586" s="85"/>
    </row>
    <row r="33587" spans="9:13" x14ac:dyDescent="0.3">
      <c r="I33587" s="82"/>
      <c r="M33587" s="85"/>
    </row>
    <row r="33588" spans="9:13" x14ac:dyDescent="0.3">
      <c r="I33588" s="82"/>
      <c r="M33588" s="85"/>
    </row>
    <row r="33589" spans="9:13" x14ac:dyDescent="0.3">
      <c r="I33589" s="82"/>
      <c r="M33589" s="85"/>
    </row>
    <row r="33590" spans="9:13" x14ac:dyDescent="0.3">
      <c r="I33590" s="82"/>
      <c r="M33590" s="85"/>
    </row>
    <row r="33591" spans="9:13" x14ac:dyDescent="0.3">
      <c r="I33591" s="82"/>
      <c r="M33591" s="85"/>
    </row>
    <row r="33592" spans="9:13" x14ac:dyDescent="0.3">
      <c r="I33592" s="82"/>
      <c r="M33592" s="85"/>
    </row>
    <row r="33593" spans="9:13" x14ac:dyDescent="0.3">
      <c r="I33593" s="82"/>
      <c r="M33593" s="85"/>
    </row>
    <row r="33594" spans="9:13" x14ac:dyDescent="0.3">
      <c r="I33594" s="82"/>
      <c r="M33594" s="85"/>
    </row>
    <row r="33595" spans="9:13" x14ac:dyDescent="0.3">
      <c r="I33595" s="82"/>
      <c r="M33595" s="85"/>
    </row>
    <row r="33596" spans="9:13" x14ac:dyDescent="0.3">
      <c r="I33596" s="82"/>
      <c r="M33596" s="85"/>
    </row>
    <row r="33597" spans="9:13" x14ac:dyDescent="0.3">
      <c r="I33597" s="82"/>
      <c r="M33597" s="85"/>
    </row>
    <row r="33598" spans="9:13" x14ac:dyDescent="0.3">
      <c r="I33598" s="82"/>
      <c r="M33598" s="85"/>
    </row>
    <row r="33599" spans="9:13" x14ac:dyDescent="0.3">
      <c r="I33599" s="82"/>
      <c r="M33599" s="85"/>
    </row>
    <row r="33600" spans="9:13" x14ac:dyDescent="0.3">
      <c r="I33600" s="82"/>
      <c r="M33600" s="85"/>
    </row>
    <row r="33601" spans="9:13" x14ac:dyDescent="0.3">
      <c r="I33601" s="82"/>
      <c r="M33601" s="85"/>
    </row>
    <row r="33602" spans="9:13" x14ac:dyDescent="0.3">
      <c r="I33602" s="82"/>
      <c r="M33602" s="85"/>
    </row>
    <row r="33603" spans="9:13" x14ac:dyDescent="0.3">
      <c r="I33603" s="82"/>
      <c r="M33603" s="85"/>
    </row>
    <row r="33604" spans="9:13" x14ac:dyDescent="0.3">
      <c r="I33604" s="82"/>
      <c r="M33604" s="85"/>
    </row>
    <row r="33605" spans="9:13" x14ac:dyDescent="0.3">
      <c r="I33605" s="82"/>
      <c r="M33605" s="85"/>
    </row>
    <row r="33606" spans="9:13" x14ac:dyDescent="0.3">
      <c r="I33606" s="82"/>
      <c r="M33606" s="85"/>
    </row>
    <row r="33607" spans="9:13" x14ac:dyDescent="0.3">
      <c r="I33607" s="82"/>
      <c r="M33607" s="85"/>
    </row>
    <row r="33608" spans="9:13" x14ac:dyDescent="0.3">
      <c r="I33608" s="82"/>
      <c r="M33608" s="85"/>
    </row>
    <row r="33609" spans="9:13" x14ac:dyDescent="0.3">
      <c r="I33609" s="82"/>
      <c r="M33609" s="85"/>
    </row>
    <row r="33610" spans="9:13" x14ac:dyDescent="0.3">
      <c r="I33610" s="82"/>
      <c r="M33610" s="85"/>
    </row>
    <row r="33611" spans="9:13" x14ac:dyDescent="0.3">
      <c r="I33611" s="82"/>
      <c r="M33611" s="85"/>
    </row>
    <row r="33612" spans="9:13" x14ac:dyDescent="0.3">
      <c r="I33612" s="82"/>
      <c r="M33612" s="85"/>
    </row>
    <row r="33613" spans="9:13" x14ac:dyDescent="0.3">
      <c r="I33613" s="82"/>
      <c r="M33613" s="85"/>
    </row>
    <row r="33614" spans="9:13" x14ac:dyDescent="0.3">
      <c r="I33614" s="82"/>
      <c r="M33614" s="85"/>
    </row>
    <row r="33615" spans="9:13" x14ac:dyDescent="0.3">
      <c r="I33615" s="82"/>
      <c r="M33615" s="85"/>
    </row>
    <row r="33616" spans="9:13" x14ac:dyDescent="0.3">
      <c r="I33616" s="82"/>
      <c r="M33616" s="85"/>
    </row>
    <row r="33617" spans="9:13" x14ac:dyDescent="0.3">
      <c r="I33617" s="82"/>
      <c r="M33617" s="85"/>
    </row>
    <row r="33618" spans="9:13" x14ac:dyDescent="0.3">
      <c r="I33618" s="82"/>
      <c r="M33618" s="85"/>
    </row>
    <row r="33619" spans="9:13" x14ac:dyDescent="0.3">
      <c r="I33619" s="82"/>
      <c r="M33619" s="85"/>
    </row>
    <row r="33620" spans="9:13" x14ac:dyDescent="0.3">
      <c r="I33620" s="82"/>
      <c r="M33620" s="85"/>
    </row>
    <row r="33621" spans="9:13" x14ac:dyDescent="0.3">
      <c r="I33621" s="82"/>
      <c r="M33621" s="85"/>
    </row>
    <row r="33622" spans="9:13" x14ac:dyDescent="0.3">
      <c r="I33622" s="82"/>
      <c r="M33622" s="85"/>
    </row>
    <row r="33623" spans="9:13" x14ac:dyDescent="0.3">
      <c r="I33623" s="82"/>
      <c r="M33623" s="85"/>
    </row>
    <row r="33624" spans="9:13" x14ac:dyDescent="0.3">
      <c r="I33624" s="82"/>
      <c r="M33624" s="85"/>
    </row>
    <row r="33625" spans="9:13" x14ac:dyDescent="0.3">
      <c r="I33625" s="82"/>
      <c r="M33625" s="85"/>
    </row>
    <row r="33626" spans="9:13" x14ac:dyDescent="0.3">
      <c r="I33626" s="82"/>
      <c r="M33626" s="85"/>
    </row>
    <row r="33627" spans="9:13" x14ac:dyDescent="0.3">
      <c r="I33627" s="82"/>
      <c r="M33627" s="85"/>
    </row>
    <row r="33628" spans="9:13" x14ac:dyDescent="0.3">
      <c r="I33628" s="82"/>
      <c r="M33628" s="85"/>
    </row>
    <row r="33629" spans="9:13" x14ac:dyDescent="0.3">
      <c r="I33629" s="82"/>
      <c r="M33629" s="85"/>
    </row>
    <row r="33630" spans="9:13" x14ac:dyDescent="0.3">
      <c r="I33630" s="82"/>
      <c r="M33630" s="85"/>
    </row>
    <row r="33631" spans="9:13" x14ac:dyDescent="0.3">
      <c r="I33631" s="82"/>
      <c r="M33631" s="85"/>
    </row>
    <row r="33632" spans="9:13" x14ac:dyDescent="0.3">
      <c r="I33632" s="82"/>
      <c r="M33632" s="85"/>
    </row>
    <row r="33633" spans="9:13" x14ac:dyDescent="0.3">
      <c r="I33633" s="82"/>
      <c r="M33633" s="85"/>
    </row>
    <row r="33634" spans="9:13" x14ac:dyDescent="0.3">
      <c r="I33634" s="82"/>
      <c r="M33634" s="85"/>
    </row>
    <row r="33635" spans="9:13" x14ac:dyDescent="0.3">
      <c r="I33635" s="82"/>
      <c r="M33635" s="85"/>
    </row>
    <row r="33636" spans="9:13" x14ac:dyDescent="0.3">
      <c r="I33636" s="82"/>
      <c r="M33636" s="85"/>
    </row>
    <row r="33637" spans="9:13" x14ac:dyDescent="0.3">
      <c r="I33637" s="82"/>
      <c r="M33637" s="85"/>
    </row>
    <row r="33638" spans="9:13" x14ac:dyDescent="0.3">
      <c r="I33638" s="82"/>
      <c r="M33638" s="85"/>
    </row>
    <row r="33639" spans="9:13" x14ac:dyDescent="0.3">
      <c r="I33639" s="82"/>
      <c r="M33639" s="85"/>
    </row>
    <row r="33640" spans="9:13" x14ac:dyDescent="0.3">
      <c r="I33640" s="82"/>
      <c r="M33640" s="85"/>
    </row>
    <row r="33641" spans="9:13" x14ac:dyDescent="0.3">
      <c r="I33641" s="82"/>
      <c r="M33641" s="85"/>
    </row>
    <row r="33642" spans="9:13" x14ac:dyDescent="0.3">
      <c r="I33642" s="82"/>
      <c r="M33642" s="85"/>
    </row>
    <row r="33643" spans="9:13" x14ac:dyDescent="0.3">
      <c r="I33643" s="82"/>
      <c r="M33643" s="85"/>
    </row>
    <row r="33644" spans="9:13" x14ac:dyDescent="0.3">
      <c r="I33644" s="82"/>
      <c r="M33644" s="85"/>
    </row>
    <row r="33645" spans="9:13" x14ac:dyDescent="0.3">
      <c r="I33645" s="82"/>
      <c r="M33645" s="85"/>
    </row>
    <row r="33646" spans="9:13" x14ac:dyDescent="0.3">
      <c r="I33646" s="82"/>
      <c r="M33646" s="85"/>
    </row>
    <row r="33647" spans="9:13" x14ac:dyDescent="0.3">
      <c r="I33647" s="82"/>
      <c r="M33647" s="85"/>
    </row>
    <row r="33648" spans="9:13" x14ac:dyDescent="0.3">
      <c r="I33648" s="82"/>
      <c r="M33648" s="85"/>
    </row>
    <row r="33649" spans="9:13" x14ac:dyDescent="0.3">
      <c r="I33649" s="82"/>
      <c r="M33649" s="85"/>
    </row>
    <row r="33650" spans="9:13" x14ac:dyDescent="0.3">
      <c r="I33650" s="82"/>
      <c r="M33650" s="85"/>
    </row>
    <row r="33651" spans="9:13" x14ac:dyDescent="0.3">
      <c r="I33651" s="82"/>
      <c r="M33651" s="85"/>
    </row>
    <row r="33652" spans="9:13" x14ac:dyDescent="0.3">
      <c r="I33652" s="82"/>
      <c r="M33652" s="85"/>
    </row>
    <row r="33653" spans="9:13" x14ac:dyDescent="0.3">
      <c r="I33653" s="82"/>
      <c r="M33653" s="85"/>
    </row>
    <row r="33654" spans="9:13" x14ac:dyDescent="0.3">
      <c r="I33654" s="82"/>
      <c r="M33654" s="85"/>
    </row>
    <row r="33655" spans="9:13" x14ac:dyDescent="0.3">
      <c r="I33655" s="82"/>
      <c r="M33655" s="85"/>
    </row>
    <row r="33656" spans="9:13" x14ac:dyDescent="0.3">
      <c r="I33656" s="82"/>
      <c r="M33656" s="85"/>
    </row>
    <row r="33657" spans="9:13" x14ac:dyDescent="0.3">
      <c r="I33657" s="82"/>
      <c r="M33657" s="85"/>
    </row>
    <row r="33658" spans="9:13" x14ac:dyDescent="0.3">
      <c r="I33658" s="82"/>
      <c r="M33658" s="85"/>
    </row>
    <row r="33659" spans="9:13" x14ac:dyDescent="0.3">
      <c r="I33659" s="82"/>
      <c r="M33659" s="85"/>
    </row>
    <row r="33660" spans="9:13" x14ac:dyDescent="0.3">
      <c r="I33660" s="82"/>
      <c r="M33660" s="85"/>
    </row>
    <row r="33661" spans="9:13" x14ac:dyDescent="0.3">
      <c r="I33661" s="82"/>
      <c r="M33661" s="85"/>
    </row>
    <row r="33662" spans="9:13" x14ac:dyDescent="0.3">
      <c r="I33662" s="82"/>
      <c r="M33662" s="85"/>
    </row>
    <row r="33663" spans="9:13" x14ac:dyDescent="0.3">
      <c r="I33663" s="82"/>
      <c r="M33663" s="85"/>
    </row>
    <row r="33664" spans="9:13" x14ac:dyDescent="0.3">
      <c r="I33664" s="82"/>
      <c r="M33664" s="85"/>
    </row>
    <row r="33665" spans="9:13" x14ac:dyDescent="0.3">
      <c r="I33665" s="82"/>
      <c r="M33665" s="85"/>
    </row>
    <row r="33666" spans="9:13" x14ac:dyDescent="0.3">
      <c r="I33666" s="82"/>
      <c r="M33666" s="85"/>
    </row>
    <row r="33667" spans="9:13" x14ac:dyDescent="0.3">
      <c r="I33667" s="82"/>
      <c r="M33667" s="85"/>
    </row>
    <row r="33668" spans="9:13" x14ac:dyDescent="0.3">
      <c r="I33668" s="82"/>
      <c r="M33668" s="85"/>
    </row>
    <row r="33669" spans="9:13" x14ac:dyDescent="0.3">
      <c r="I33669" s="82"/>
      <c r="M33669" s="85"/>
    </row>
    <row r="33670" spans="9:13" x14ac:dyDescent="0.3">
      <c r="I33670" s="82"/>
      <c r="M33670" s="85"/>
    </row>
    <row r="33671" spans="9:13" x14ac:dyDescent="0.3">
      <c r="I33671" s="82"/>
      <c r="M33671" s="85"/>
    </row>
    <row r="33672" spans="9:13" x14ac:dyDescent="0.3">
      <c r="I33672" s="82"/>
      <c r="M33672" s="85"/>
    </row>
    <row r="33673" spans="9:13" x14ac:dyDescent="0.3">
      <c r="I33673" s="82"/>
      <c r="M33673" s="85"/>
    </row>
    <row r="33674" spans="9:13" x14ac:dyDescent="0.3">
      <c r="I33674" s="82"/>
      <c r="M33674" s="85"/>
    </row>
    <row r="33675" spans="9:13" x14ac:dyDescent="0.3">
      <c r="I33675" s="82"/>
      <c r="M33675" s="85"/>
    </row>
    <row r="33676" spans="9:13" x14ac:dyDescent="0.3">
      <c r="I33676" s="82"/>
      <c r="M33676" s="85"/>
    </row>
    <row r="33677" spans="9:13" x14ac:dyDescent="0.3">
      <c r="I33677" s="82"/>
      <c r="M33677" s="85"/>
    </row>
    <row r="33678" spans="9:13" x14ac:dyDescent="0.3">
      <c r="I33678" s="82"/>
      <c r="M33678" s="85"/>
    </row>
    <row r="33679" spans="9:13" x14ac:dyDescent="0.3">
      <c r="I33679" s="82"/>
      <c r="M33679" s="85"/>
    </row>
    <row r="33680" spans="9:13" x14ac:dyDescent="0.3">
      <c r="I33680" s="82"/>
      <c r="M33680" s="85"/>
    </row>
    <row r="33681" spans="9:13" x14ac:dyDescent="0.3">
      <c r="I33681" s="82"/>
      <c r="M33681" s="85"/>
    </row>
    <row r="33682" spans="9:13" x14ac:dyDescent="0.3">
      <c r="I33682" s="82"/>
      <c r="M33682" s="85"/>
    </row>
    <row r="33683" spans="9:13" x14ac:dyDescent="0.3">
      <c r="I33683" s="82"/>
      <c r="M33683" s="85"/>
    </row>
    <row r="33684" spans="9:13" x14ac:dyDescent="0.3">
      <c r="I33684" s="82"/>
      <c r="M33684" s="85"/>
    </row>
    <row r="33685" spans="9:13" x14ac:dyDescent="0.3">
      <c r="I33685" s="82"/>
      <c r="M33685" s="85"/>
    </row>
    <row r="33686" spans="9:13" x14ac:dyDescent="0.3">
      <c r="I33686" s="82"/>
      <c r="M33686" s="85"/>
    </row>
    <row r="33687" spans="9:13" x14ac:dyDescent="0.3">
      <c r="I33687" s="82"/>
      <c r="M33687" s="85"/>
    </row>
    <row r="33688" spans="9:13" x14ac:dyDescent="0.3">
      <c r="I33688" s="82"/>
      <c r="M33688" s="85"/>
    </row>
    <row r="33689" spans="9:13" x14ac:dyDescent="0.3">
      <c r="I33689" s="82"/>
      <c r="M33689" s="85"/>
    </row>
    <row r="33690" spans="9:13" x14ac:dyDescent="0.3">
      <c r="I33690" s="82"/>
      <c r="M33690" s="85"/>
    </row>
    <row r="33691" spans="9:13" x14ac:dyDescent="0.3">
      <c r="I33691" s="82"/>
      <c r="M33691" s="85"/>
    </row>
    <row r="33692" spans="9:13" x14ac:dyDescent="0.3">
      <c r="I33692" s="82"/>
      <c r="M33692" s="85"/>
    </row>
    <row r="33693" spans="9:13" x14ac:dyDescent="0.3">
      <c r="I33693" s="82"/>
      <c r="M33693" s="85"/>
    </row>
    <row r="33694" spans="9:13" x14ac:dyDescent="0.3">
      <c r="I33694" s="82"/>
      <c r="M33694" s="85"/>
    </row>
    <row r="33695" spans="9:13" x14ac:dyDescent="0.3">
      <c r="I33695" s="82"/>
      <c r="M33695" s="85"/>
    </row>
    <row r="33696" spans="9:13" x14ac:dyDescent="0.3">
      <c r="I33696" s="82"/>
      <c r="M33696" s="85"/>
    </row>
    <row r="33697" spans="9:13" x14ac:dyDescent="0.3">
      <c r="I33697" s="82"/>
      <c r="M33697" s="85"/>
    </row>
    <row r="33698" spans="9:13" x14ac:dyDescent="0.3">
      <c r="I33698" s="82"/>
      <c r="M33698" s="85"/>
    </row>
    <row r="33699" spans="9:13" x14ac:dyDescent="0.3">
      <c r="I33699" s="82"/>
      <c r="M33699" s="85"/>
    </row>
    <row r="33700" spans="9:13" x14ac:dyDescent="0.3">
      <c r="I33700" s="82"/>
      <c r="M33700" s="85"/>
    </row>
    <row r="33701" spans="9:13" x14ac:dyDescent="0.3">
      <c r="I33701" s="82"/>
      <c r="M33701" s="85"/>
    </row>
    <row r="33702" spans="9:13" x14ac:dyDescent="0.3">
      <c r="I33702" s="82"/>
      <c r="M33702" s="85"/>
    </row>
    <row r="33703" spans="9:13" x14ac:dyDescent="0.3">
      <c r="I33703" s="82"/>
      <c r="M33703" s="85"/>
    </row>
    <row r="33704" spans="9:13" x14ac:dyDescent="0.3">
      <c r="I33704" s="82"/>
      <c r="M33704" s="85"/>
    </row>
    <row r="33705" spans="9:13" x14ac:dyDescent="0.3">
      <c r="I33705" s="82"/>
      <c r="M33705" s="85"/>
    </row>
    <row r="33706" spans="9:13" x14ac:dyDescent="0.3">
      <c r="I33706" s="82"/>
      <c r="M33706" s="85"/>
    </row>
    <row r="33707" spans="9:13" x14ac:dyDescent="0.3">
      <c r="I33707" s="82"/>
      <c r="M33707" s="85"/>
    </row>
    <row r="33708" spans="9:13" x14ac:dyDescent="0.3">
      <c r="I33708" s="82"/>
      <c r="M33708" s="85"/>
    </row>
    <row r="33709" spans="9:13" x14ac:dyDescent="0.3">
      <c r="I33709" s="82"/>
      <c r="M33709" s="85"/>
    </row>
    <row r="33710" spans="9:13" x14ac:dyDescent="0.3">
      <c r="I33710" s="82"/>
      <c r="M33710" s="85"/>
    </row>
    <row r="33711" spans="9:13" x14ac:dyDescent="0.3">
      <c r="I33711" s="82"/>
      <c r="M33711" s="85"/>
    </row>
    <row r="33712" spans="9:13" x14ac:dyDescent="0.3">
      <c r="I33712" s="82"/>
      <c r="M33712" s="85"/>
    </row>
    <row r="33713" spans="9:13" x14ac:dyDescent="0.3">
      <c r="I33713" s="82"/>
      <c r="M33713" s="85"/>
    </row>
    <row r="33714" spans="9:13" x14ac:dyDescent="0.3">
      <c r="I33714" s="82"/>
      <c r="M33714" s="85"/>
    </row>
    <row r="33715" spans="9:13" x14ac:dyDescent="0.3">
      <c r="I33715" s="82"/>
      <c r="M33715" s="85"/>
    </row>
    <row r="33716" spans="9:13" x14ac:dyDescent="0.3">
      <c r="I33716" s="82"/>
      <c r="M33716" s="85"/>
    </row>
    <row r="33717" spans="9:13" x14ac:dyDescent="0.3">
      <c r="I33717" s="82"/>
      <c r="M33717" s="85"/>
    </row>
    <row r="33718" spans="9:13" x14ac:dyDescent="0.3">
      <c r="I33718" s="82"/>
      <c r="M33718" s="85"/>
    </row>
    <row r="33719" spans="9:13" x14ac:dyDescent="0.3">
      <c r="I33719" s="82"/>
      <c r="M33719" s="85"/>
    </row>
    <row r="33720" spans="9:13" x14ac:dyDescent="0.3">
      <c r="I33720" s="82"/>
      <c r="M33720" s="85"/>
    </row>
    <row r="33721" spans="9:13" x14ac:dyDescent="0.3">
      <c r="I33721" s="82"/>
      <c r="M33721" s="85"/>
    </row>
    <row r="33722" spans="9:13" x14ac:dyDescent="0.3">
      <c r="I33722" s="82"/>
      <c r="M33722" s="85"/>
    </row>
    <row r="33723" spans="9:13" x14ac:dyDescent="0.3">
      <c r="I33723" s="82"/>
      <c r="M33723" s="85"/>
    </row>
    <row r="33724" spans="9:13" x14ac:dyDescent="0.3">
      <c r="I33724" s="82"/>
      <c r="M33724" s="85"/>
    </row>
    <row r="33725" spans="9:13" x14ac:dyDescent="0.3">
      <c r="I33725" s="82"/>
      <c r="M33725" s="85"/>
    </row>
    <row r="33726" spans="9:13" x14ac:dyDescent="0.3">
      <c r="I33726" s="82"/>
      <c r="M33726" s="85"/>
    </row>
    <row r="33727" spans="9:13" x14ac:dyDescent="0.3">
      <c r="I33727" s="82"/>
      <c r="M33727" s="85"/>
    </row>
    <row r="33728" spans="9:13" x14ac:dyDescent="0.3">
      <c r="I33728" s="82"/>
      <c r="M33728" s="85"/>
    </row>
    <row r="33729" spans="9:13" x14ac:dyDescent="0.3">
      <c r="I33729" s="82"/>
      <c r="M33729" s="85"/>
    </row>
    <row r="33730" spans="9:13" x14ac:dyDescent="0.3">
      <c r="I33730" s="82"/>
      <c r="M33730" s="85"/>
    </row>
    <row r="33731" spans="9:13" x14ac:dyDescent="0.3">
      <c r="I33731" s="82"/>
      <c r="M33731" s="85"/>
    </row>
    <row r="33732" spans="9:13" x14ac:dyDescent="0.3">
      <c r="I33732" s="82"/>
      <c r="M33732" s="85"/>
    </row>
    <row r="33733" spans="9:13" x14ac:dyDescent="0.3">
      <c r="I33733" s="82"/>
      <c r="M33733" s="85"/>
    </row>
    <row r="33734" spans="9:13" x14ac:dyDescent="0.3">
      <c r="I33734" s="82"/>
      <c r="M33734" s="85"/>
    </row>
    <row r="33735" spans="9:13" x14ac:dyDescent="0.3">
      <c r="I33735" s="82"/>
      <c r="M33735" s="85"/>
    </row>
    <row r="33736" spans="9:13" x14ac:dyDescent="0.3">
      <c r="I33736" s="82"/>
      <c r="M33736" s="85"/>
    </row>
    <row r="33737" spans="9:13" x14ac:dyDescent="0.3">
      <c r="I33737" s="82"/>
      <c r="M33737" s="85"/>
    </row>
    <row r="33738" spans="9:13" x14ac:dyDescent="0.3">
      <c r="I33738" s="82"/>
      <c r="M33738" s="85"/>
    </row>
    <row r="33739" spans="9:13" x14ac:dyDescent="0.3">
      <c r="I33739" s="82"/>
      <c r="M33739" s="85"/>
    </row>
    <row r="33740" spans="9:13" x14ac:dyDescent="0.3">
      <c r="I33740" s="82"/>
      <c r="M33740" s="85"/>
    </row>
    <row r="33741" spans="9:13" x14ac:dyDescent="0.3">
      <c r="I33741" s="82"/>
      <c r="M33741" s="85"/>
    </row>
    <row r="33742" spans="9:13" x14ac:dyDescent="0.3">
      <c r="I33742" s="82"/>
      <c r="M33742" s="85"/>
    </row>
    <row r="33743" spans="9:13" x14ac:dyDescent="0.3">
      <c r="I33743" s="82"/>
      <c r="M33743" s="85"/>
    </row>
    <row r="33744" spans="9:13" x14ac:dyDescent="0.3">
      <c r="I33744" s="82"/>
      <c r="M33744" s="85"/>
    </row>
    <row r="33745" spans="9:13" x14ac:dyDescent="0.3">
      <c r="I33745" s="82"/>
      <c r="M33745" s="85"/>
    </row>
    <row r="33746" spans="9:13" x14ac:dyDescent="0.3">
      <c r="I33746" s="82"/>
      <c r="M33746" s="85"/>
    </row>
    <row r="33747" spans="9:13" x14ac:dyDescent="0.3">
      <c r="I33747" s="82"/>
      <c r="M33747" s="85"/>
    </row>
    <row r="33748" spans="9:13" x14ac:dyDescent="0.3">
      <c r="I33748" s="82"/>
      <c r="M33748" s="85"/>
    </row>
    <row r="33749" spans="9:13" x14ac:dyDescent="0.3">
      <c r="I33749" s="82"/>
      <c r="M33749" s="85"/>
    </row>
    <row r="33750" spans="9:13" x14ac:dyDescent="0.3">
      <c r="I33750" s="82"/>
      <c r="M33750" s="85"/>
    </row>
    <row r="33751" spans="9:13" x14ac:dyDescent="0.3">
      <c r="I33751" s="82"/>
      <c r="M33751" s="85"/>
    </row>
    <row r="33752" spans="9:13" x14ac:dyDescent="0.3">
      <c r="I33752" s="82"/>
      <c r="M33752" s="85"/>
    </row>
    <row r="33753" spans="9:13" x14ac:dyDescent="0.3">
      <c r="I33753" s="82"/>
      <c r="M33753" s="85"/>
    </row>
    <row r="33754" spans="9:13" x14ac:dyDescent="0.3">
      <c r="I33754" s="82"/>
      <c r="M33754" s="85"/>
    </row>
    <row r="33755" spans="9:13" x14ac:dyDescent="0.3">
      <c r="I33755" s="82"/>
      <c r="M33755" s="85"/>
    </row>
    <row r="33756" spans="9:13" x14ac:dyDescent="0.3">
      <c r="I33756" s="82"/>
      <c r="M33756" s="85"/>
    </row>
    <row r="33757" spans="9:13" x14ac:dyDescent="0.3">
      <c r="I33757" s="82"/>
      <c r="M33757" s="85"/>
    </row>
    <row r="33758" spans="9:13" x14ac:dyDescent="0.3">
      <c r="I33758" s="82"/>
      <c r="M33758" s="85"/>
    </row>
    <row r="33759" spans="9:13" x14ac:dyDescent="0.3">
      <c r="I33759" s="82"/>
      <c r="M33759" s="85"/>
    </row>
    <row r="33760" spans="9:13" x14ac:dyDescent="0.3">
      <c r="I33760" s="82"/>
      <c r="M33760" s="85"/>
    </row>
    <row r="33761" spans="9:13" x14ac:dyDescent="0.3">
      <c r="I33761" s="82"/>
      <c r="M33761" s="85"/>
    </row>
    <row r="33762" spans="9:13" x14ac:dyDescent="0.3">
      <c r="I33762" s="82"/>
      <c r="M33762" s="85"/>
    </row>
    <row r="33763" spans="9:13" x14ac:dyDescent="0.3">
      <c r="I33763" s="82"/>
      <c r="M33763" s="85"/>
    </row>
    <row r="33764" spans="9:13" x14ac:dyDescent="0.3">
      <c r="I33764" s="82"/>
      <c r="M33764" s="85"/>
    </row>
    <row r="33765" spans="9:13" x14ac:dyDescent="0.3">
      <c r="I33765" s="82"/>
      <c r="M33765" s="85"/>
    </row>
    <row r="33766" spans="9:13" x14ac:dyDescent="0.3">
      <c r="I33766" s="82"/>
      <c r="M33766" s="85"/>
    </row>
    <row r="33767" spans="9:13" x14ac:dyDescent="0.3">
      <c r="I33767" s="82"/>
      <c r="M33767" s="85"/>
    </row>
    <row r="33768" spans="9:13" x14ac:dyDescent="0.3">
      <c r="I33768" s="82"/>
      <c r="M33768" s="85"/>
    </row>
    <row r="33769" spans="9:13" x14ac:dyDescent="0.3">
      <c r="I33769" s="82"/>
      <c r="M33769" s="85"/>
    </row>
    <row r="33770" spans="9:13" x14ac:dyDescent="0.3">
      <c r="I33770" s="82"/>
      <c r="M33770" s="85"/>
    </row>
    <row r="33771" spans="9:13" x14ac:dyDescent="0.3">
      <c r="I33771" s="82"/>
      <c r="M33771" s="85"/>
    </row>
    <row r="33772" spans="9:13" x14ac:dyDescent="0.3">
      <c r="I33772" s="82"/>
      <c r="M33772" s="85"/>
    </row>
    <row r="33773" spans="9:13" x14ac:dyDescent="0.3">
      <c r="I33773" s="82"/>
      <c r="M33773" s="85"/>
    </row>
    <row r="33774" spans="9:13" x14ac:dyDescent="0.3">
      <c r="I33774" s="82"/>
      <c r="M33774" s="85"/>
    </row>
    <row r="33775" spans="9:13" x14ac:dyDescent="0.3">
      <c r="I33775" s="82"/>
      <c r="M33775" s="85"/>
    </row>
    <row r="33776" spans="9:13" x14ac:dyDescent="0.3">
      <c r="I33776" s="82"/>
      <c r="M33776" s="85"/>
    </row>
    <row r="33777" spans="9:13" x14ac:dyDescent="0.3">
      <c r="I33777" s="82"/>
      <c r="M33777" s="85"/>
    </row>
    <row r="33778" spans="9:13" x14ac:dyDescent="0.3">
      <c r="I33778" s="82"/>
      <c r="M33778" s="85"/>
    </row>
    <row r="33779" spans="9:13" x14ac:dyDescent="0.3">
      <c r="I33779" s="82"/>
      <c r="M33779" s="85"/>
    </row>
    <row r="33780" spans="9:13" x14ac:dyDescent="0.3">
      <c r="I33780" s="82"/>
      <c r="M33780" s="85"/>
    </row>
    <row r="33781" spans="9:13" x14ac:dyDescent="0.3">
      <c r="I33781" s="82"/>
      <c r="M33781" s="85"/>
    </row>
    <row r="33782" spans="9:13" x14ac:dyDescent="0.3">
      <c r="I33782" s="82"/>
      <c r="M33782" s="85"/>
    </row>
    <row r="33783" spans="9:13" x14ac:dyDescent="0.3">
      <c r="I33783" s="82"/>
      <c r="M33783" s="85"/>
    </row>
    <row r="33784" spans="9:13" x14ac:dyDescent="0.3">
      <c r="I33784" s="82"/>
      <c r="M33784" s="85"/>
    </row>
    <row r="33785" spans="9:13" x14ac:dyDescent="0.3">
      <c r="I33785" s="82"/>
      <c r="M33785" s="85"/>
    </row>
    <row r="33786" spans="9:13" x14ac:dyDescent="0.3">
      <c r="I33786" s="82"/>
      <c r="M33786" s="85"/>
    </row>
    <row r="33787" spans="9:13" x14ac:dyDescent="0.3">
      <c r="I33787" s="82"/>
      <c r="M33787" s="85"/>
    </row>
    <row r="33788" spans="9:13" x14ac:dyDescent="0.3">
      <c r="I33788" s="82"/>
      <c r="M33788" s="85"/>
    </row>
    <row r="33789" spans="9:13" x14ac:dyDescent="0.3">
      <c r="I33789" s="82"/>
      <c r="M33789" s="85"/>
    </row>
    <row r="33790" spans="9:13" x14ac:dyDescent="0.3">
      <c r="I33790" s="82"/>
      <c r="M33790" s="85"/>
    </row>
    <row r="33791" spans="9:13" x14ac:dyDescent="0.3">
      <c r="I33791" s="82"/>
      <c r="M33791" s="85"/>
    </row>
    <row r="33792" spans="9:13" x14ac:dyDescent="0.3">
      <c r="I33792" s="82"/>
      <c r="M33792" s="85"/>
    </row>
    <row r="33793" spans="9:13" x14ac:dyDescent="0.3">
      <c r="I33793" s="82"/>
      <c r="M33793" s="85"/>
    </row>
    <row r="33794" spans="9:13" x14ac:dyDescent="0.3">
      <c r="I33794" s="82"/>
      <c r="M33794" s="85"/>
    </row>
    <row r="33795" spans="9:13" x14ac:dyDescent="0.3">
      <c r="I33795" s="82"/>
      <c r="M33795" s="85"/>
    </row>
    <row r="33796" spans="9:13" x14ac:dyDescent="0.3">
      <c r="I33796" s="82"/>
      <c r="M33796" s="85"/>
    </row>
    <row r="33797" spans="9:13" x14ac:dyDescent="0.3">
      <c r="I33797" s="82"/>
      <c r="M33797" s="85"/>
    </row>
    <row r="33798" spans="9:13" x14ac:dyDescent="0.3">
      <c r="I33798" s="82"/>
      <c r="M33798" s="85"/>
    </row>
    <row r="33799" spans="9:13" x14ac:dyDescent="0.3">
      <c r="I33799" s="82"/>
      <c r="M33799" s="85"/>
    </row>
    <row r="33800" spans="9:13" x14ac:dyDescent="0.3">
      <c r="I33800" s="82"/>
      <c r="M33800" s="85"/>
    </row>
    <row r="33801" spans="9:13" x14ac:dyDescent="0.3">
      <c r="I33801" s="82"/>
      <c r="M33801" s="85"/>
    </row>
    <row r="33802" spans="9:13" x14ac:dyDescent="0.3">
      <c r="I33802" s="82"/>
      <c r="M33802" s="85"/>
    </row>
    <row r="33803" spans="9:13" x14ac:dyDescent="0.3">
      <c r="I33803" s="82"/>
      <c r="M33803" s="85"/>
    </row>
    <row r="33804" spans="9:13" x14ac:dyDescent="0.3">
      <c r="I33804" s="82"/>
      <c r="M33804" s="85"/>
    </row>
    <row r="33805" spans="9:13" x14ac:dyDescent="0.3">
      <c r="I33805" s="82"/>
      <c r="M33805" s="85"/>
    </row>
    <row r="33806" spans="9:13" x14ac:dyDescent="0.3">
      <c r="I33806" s="82"/>
      <c r="M33806" s="85"/>
    </row>
    <row r="33807" spans="9:13" x14ac:dyDescent="0.3">
      <c r="I33807" s="82"/>
      <c r="M33807" s="85"/>
    </row>
    <row r="33808" spans="9:13" x14ac:dyDescent="0.3">
      <c r="I33808" s="82"/>
      <c r="M33808" s="85"/>
    </row>
    <row r="33809" spans="9:13" x14ac:dyDescent="0.3">
      <c r="I33809" s="82"/>
      <c r="M33809" s="85"/>
    </row>
    <row r="33810" spans="9:13" x14ac:dyDescent="0.3">
      <c r="I33810" s="82"/>
      <c r="M33810" s="85"/>
    </row>
    <row r="33811" spans="9:13" x14ac:dyDescent="0.3">
      <c r="I33811" s="82"/>
      <c r="M33811" s="85"/>
    </row>
    <row r="33812" spans="9:13" x14ac:dyDescent="0.3">
      <c r="I33812" s="82"/>
      <c r="M33812" s="85"/>
    </row>
    <row r="33813" spans="9:13" x14ac:dyDescent="0.3">
      <c r="I33813" s="82"/>
      <c r="M33813" s="85"/>
    </row>
    <row r="33814" spans="9:13" x14ac:dyDescent="0.3">
      <c r="I33814" s="82"/>
      <c r="M33814" s="85"/>
    </row>
    <row r="33815" spans="9:13" x14ac:dyDescent="0.3">
      <c r="I33815" s="82"/>
      <c r="M33815" s="85"/>
    </row>
    <row r="33816" spans="9:13" x14ac:dyDescent="0.3">
      <c r="I33816" s="82"/>
      <c r="M33816" s="85"/>
    </row>
    <row r="33817" spans="9:13" x14ac:dyDescent="0.3">
      <c r="I33817" s="82"/>
      <c r="M33817" s="85"/>
    </row>
    <row r="33818" spans="9:13" x14ac:dyDescent="0.3">
      <c r="I33818" s="82"/>
      <c r="M33818" s="85"/>
    </row>
    <row r="33819" spans="9:13" x14ac:dyDescent="0.3">
      <c r="I33819" s="82"/>
      <c r="M33819" s="85"/>
    </row>
    <row r="33820" spans="9:13" x14ac:dyDescent="0.3">
      <c r="I33820" s="82"/>
      <c r="M33820" s="85"/>
    </row>
    <row r="33821" spans="9:13" x14ac:dyDescent="0.3">
      <c r="I33821" s="82"/>
      <c r="M33821" s="85"/>
    </row>
    <row r="33822" spans="9:13" x14ac:dyDescent="0.3">
      <c r="I33822" s="82"/>
      <c r="M33822" s="85"/>
    </row>
    <row r="33823" spans="9:13" x14ac:dyDescent="0.3">
      <c r="I33823" s="82"/>
      <c r="M33823" s="85"/>
    </row>
    <row r="33824" spans="9:13" x14ac:dyDescent="0.3">
      <c r="I33824" s="82"/>
      <c r="M33824" s="85"/>
    </row>
    <row r="33825" spans="9:13" x14ac:dyDescent="0.3">
      <c r="I33825" s="82"/>
      <c r="M33825" s="85"/>
    </row>
    <row r="33826" spans="9:13" x14ac:dyDescent="0.3">
      <c r="I33826" s="82"/>
      <c r="M33826" s="85"/>
    </row>
    <row r="33827" spans="9:13" x14ac:dyDescent="0.3">
      <c r="I33827" s="82"/>
      <c r="M33827" s="85"/>
    </row>
    <row r="33828" spans="9:13" x14ac:dyDescent="0.3">
      <c r="I33828" s="82"/>
      <c r="M33828" s="85"/>
    </row>
    <row r="33829" spans="9:13" x14ac:dyDescent="0.3">
      <c r="I33829" s="82"/>
      <c r="M33829" s="85"/>
    </row>
    <row r="33830" spans="9:13" x14ac:dyDescent="0.3">
      <c r="I33830" s="82"/>
      <c r="M33830" s="85"/>
    </row>
    <row r="33831" spans="9:13" x14ac:dyDescent="0.3">
      <c r="I33831" s="82"/>
      <c r="M33831" s="85"/>
    </row>
    <row r="33832" spans="9:13" x14ac:dyDescent="0.3">
      <c r="I33832" s="82"/>
      <c r="M33832" s="85"/>
    </row>
    <row r="33833" spans="9:13" x14ac:dyDescent="0.3">
      <c r="I33833" s="82"/>
      <c r="M33833" s="85"/>
    </row>
    <row r="33834" spans="9:13" x14ac:dyDescent="0.3">
      <c r="I33834" s="82"/>
      <c r="M33834" s="85"/>
    </row>
    <row r="33835" spans="9:13" x14ac:dyDescent="0.3">
      <c r="I33835" s="82"/>
      <c r="M33835" s="85"/>
    </row>
    <row r="33836" spans="9:13" x14ac:dyDescent="0.3">
      <c r="I33836" s="82"/>
      <c r="M33836" s="85"/>
    </row>
    <row r="33837" spans="9:13" x14ac:dyDescent="0.3">
      <c r="I33837" s="82"/>
      <c r="M33837" s="85"/>
    </row>
    <row r="33838" spans="9:13" x14ac:dyDescent="0.3">
      <c r="I33838" s="82"/>
      <c r="M33838" s="85"/>
    </row>
    <row r="33839" spans="9:13" x14ac:dyDescent="0.3">
      <c r="I33839" s="82"/>
      <c r="M33839" s="85"/>
    </row>
    <row r="33840" spans="9:13" x14ac:dyDescent="0.3">
      <c r="I33840" s="82"/>
      <c r="M33840" s="85"/>
    </row>
    <row r="33841" spans="9:13" x14ac:dyDescent="0.3">
      <c r="I33841" s="82"/>
      <c r="M33841" s="85"/>
    </row>
    <row r="33842" spans="9:13" x14ac:dyDescent="0.3">
      <c r="I33842" s="82"/>
      <c r="M33842" s="85"/>
    </row>
    <row r="33843" spans="9:13" x14ac:dyDescent="0.3">
      <c r="I33843" s="82"/>
      <c r="M33843" s="85"/>
    </row>
    <row r="33844" spans="9:13" x14ac:dyDescent="0.3">
      <c r="I33844" s="82"/>
      <c r="M33844" s="85"/>
    </row>
    <row r="33845" spans="9:13" x14ac:dyDescent="0.3">
      <c r="I33845" s="82"/>
      <c r="M33845" s="85"/>
    </row>
    <row r="33846" spans="9:13" x14ac:dyDescent="0.3">
      <c r="I33846" s="82"/>
      <c r="M33846" s="85"/>
    </row>
    <row r="33847" spans="9:13" x14ac:dyDescent="0.3">
      <c r="I33847" s="82"/>
      <c r="M33847" s="85"/>
    </row>
    <row r="33848" spans="9:13" x14ac:dyDescent="0.3">
      <c r="I33848" s="82"/>
      <c r="M33848" s="85"/>
    </row>
    <row r="33849" spans="9:13" x14ac:dyDescent="0.3">
      <c r="I33849" s="82"/>
      <c r="M33849" s="85"/>
    </row>
    <row r="33850" spans="9:13" x14ac:dyDescent="0.3">
      <c r="I33850" s="82"/>
      <c r="M33850" s="85"/>
    </row>
    <row r="33851" spans="9:13" x14ac:dyDescent="0.3">
      <c r="I33851" s="82"/>
      <c r="M33851" s="85"/>
    </row>
    <row r="33852" spans="9:13" x14ac:dyDescent="0.3">
      <c r="I33852" s="82"/>
      <c r="M33852" s="85"/>
    </row>
    <row r="33853" spans="9:13" x14ac:dyDescent="0.3">
      <c r="I33853" s="82"/>
      <c r="M33853" s="85"/>
    </row>
    <row r="33854" spans="9:13" x14ac:dyDescent="0.3">
      <c r="I33854" s="82"/>
      <c r="M33854" s="85"/>
    </row>
    <row r="33855" spans="9:13" x14ac:dyDescent="0.3">
      <c r="I33855" s="82"/>
      <c r="M33855" s="85"/>
    </row>
    <row r="33856" spans="9:13" x14ac:dyDescent="0.3">
      <c r="I33856" s="82"/>
      <c r="M33856" s="85"/>
    </row>
    <row r="33857" spans="9:13" x14ac:dyDescent="0.3">
      <c r="I33857" s="82"/>
      <c r="M33857" s="85"/>
    </row>
    <row r="33858" spans="9:13" x14ac:dyDescent="0.3">
      <c r="I33858" s="82"/>
      <c r="M33858" s="85"/>
    </row>
    <row r="33859" spans="9:13" x14ac:dyDescent="0.3">
      <c r="I33859" s="82"/>
      <c r="M33859" s="85"/>
    </row>
    <row r="33860" spans="9:13" x14ac:dyDescent="0.3">
      <c r="I33860" s="82"/>
      <c r="M33860" s="85"/>
    </row>
    <row r="33861" spans="9:13" x14ac:dyDescent="0.3">
      <c r="I33861" s="82"/>
      <c r="M33861" s="85"/>
    </row>
    <row r="33862" spans="9:13" x14ac:dyDescent="0.3">
      <c r="I33862" s="82"/>
      <c r="M33862" s="85"/>
    </row>
    <row r="33863" spans="9:13" x14ac:dyDescent="0.3">
      <c r="I33863" s="82"/>
      <c r="M33863" s="85"/>
    </row>
    <row r="33864" spans="9:13" x14ac:dyDescent="0.3">
      <c r="I33864" s="82"/>
      <c r="M33864" s="85"/>
    </row>
    <row r="33865" spans="9:13" x14ac:dyDescent="0.3">
      <c r="I33865" s="82"/>
      <c r="M33865" s="85"/>
    </row>
    <row r="33866" spans="9:13" x14ac:dyDescent="0.3">
      <c r="I33866" s="82"/>
      <c r="M33866" s="85"/>
    </row>
    <row r="33867" spans="9:13" x14ac:dyDescent="0.3">
      <c r="I33867" s="82"/>
      <c r="M33867" s="85"/>
    </row>
    <row r="33868" spans="9:13" x14ac:dyDescent="0.3">
      <c r="I33868" s="82"/>
      <c r="M33868" s="85"/>
    </row>
    <row r="33869" spans="9:13" x14ac:dyDescent="0.3">
      <c r="I33869" s="82"/>
      <c r="M33869" s="85"/>
    </row>
    <row r="33870" spans="9:13" x14ac:dyDescent="0.3">
      <c r="I33870" s="82"/>
      <c r="M33870" s="85"/>
    </row>
    <row r="33871" spans="9:13" x14ac:dyDescent="0.3">
      <c r="I33871" s="82"/>
      <c r="M33871" s="85"/>
    </row>
    <row r="33872" spans="9:13" x14ac:dyDescent="0.3">
      <c r="I33872" s="82"/>
      <c r="M33872" s="85"/>
    </row>
    <row r="33873" spans="9:13" x14ac:dyDescent="0.3">
      <c r="I33873" s="82"/>
      <c r="M33873" s="85"/>
    </row>
    <row r="33874" spans="9:13" x14ac:dyDescent="0.3">
      <c r="I33874" s="82"/>
      <c r="M33874" s="85"/>
    </row>
    <row r="33875" spans="9:13" x14ac:dyDescent="0.3">
      <c r="I33875" s="82"/>
      <c r="M33875" s="85"/>
    </row>
    <row r="33876" spans="9:13" x14ac:dyDescent="0.3">
      <c r="I33876" s="82"/>
      <c r="M33876" s="85"/>
    </row>
    <row r="33877" spans="9:13" x14ac:dyDescent="0.3">
      <c r="I33877" s="82"/>
      <c r="M33877" s="85"/>
    </row>
    <row r="33878" spans="9:13" x14ac:dyDescent="0.3">
      <c r="I33878" s="82"/>
      <c r="M33878" s="85"/>
    </row>
    <row r="33879" spans="9:13" x14ac:dyDescent="0.3">
      <c r="I33879" s="82"/>
      <c r="M33879" s="85"/>
    </row>
    <row r="33880" spans="9:13" x14ac:dyDescent="0.3">
      <c r="I33880" s="82"/>
      <c r="M33880" s="85"/>
    </row>
    <row r="33881" spans="9:13" x14ac:dyDescent="0.3">
      <c r="I33881" s="82"/>
      <c r="M33881" s="85"/>
    </row>
    <row r="33882" spans="9:13" x14ac:dyDescent="0.3">
      <c r="I33882" s="82"/>
      <c r="M33882" s="85"/>
    </row>
    <row r="33883" spans="9:13" x14ac:dyDescent="0.3">
      <c r="I33883" s="82"/>
      <c r="M33883" s="85"/>
    </row>
    <row r="33884" spans="9:13" x14ac:dyDescent="0.3">
      <c r="I33884" s="82"/>
      <c r="M33884" s="85"/>
    </row>
    <row r="33885" spans="9:13" x14ac:dyDescent="0.3">
      <c r="I33885" s="82"/>
      <c r="M33885" s="85"/>
    </row>
    <row r="33886" spans="9:13" x14ac:dyDescent="0.3">
      <c r="I33886" s="82"/>
      <c r="M33886" s="85"/>
    </row>
    <row r="33887" spans="9:13" x14ac:dyDescent="0.3">
      <c r="I33887" s="82"/>
      <c r="M33887" s="85"/>
    </row>
    <row r="33888" spans="9:13" x14ac:dyDescent="0.3">
      <c r="I33888" s="82"/>
      <c r="M33888" s="85"/>
    </row>
    <row r="33889" spans="9:13" x14ac:dyDescent="0.3">
      <c r="I33889" s="82"/>
      <c r="M33889" s="85"/>
    </row>
    <row r="33890" spans="9:13" x14ac:dyDescent="0.3">
      <c r="I33890" s="82"/>
      <c r="M33890" s="85"/>
    </row>
    <row r="33891" spans="9:13" x14ac:dyDescent="0.3">
      <c r="I33891" s="82"/>
      <c r="M33891" s="85"/>
    </row>
    <row r="33892" spans="9:13" x14ac:dyDescent="0.3">
      <c r="I33892" s="82"/>
      <c r="M33892" s="85"/>
    </row>
    <row r="33893" spans="9:13" x14ac:dyDescent="0.3">
      <c r="I33893" s="82"/>
      <c r="M33893" s="85"/>
    </row>
    <row r="33894" spans="9:13" x14ac:dyDescent="0.3">
      <c r="I33894" s="82"/>
      <c r="M33894" s="85"/>
    </row>
    <row r="33895" spans="9:13" x14ac:dyDescent="0.3">
      <c r="I33895" s="82"/>
      <c r="M33895" s="85"/>
    </row>
    <row r="33896" spans="9:13" x14ac:dyDescent="0.3">
      <c r="I33896" s="82"/>
      <c r="M33896" s="85"/>
    </row>
    <row r="33897" spans="9:13" x14ac:dyDescent="0.3">
      <c r="I33897" s="82"/>
      <c r="M33897" s="85"/>
    </row>
    <row r="33898" spans="9:13" x14ac:dyDescent="0.3">
      <c r="I33898" s="82"/>
      <c r="M33898" s="85"/>
    </row>
    <row r="33899" spans="9:13" x14ac:dyDescent="0.3">
      <c r="I33899" s="82"/>
      <c r="M33899" s="85"/>
    </row>
    <row r="33900" spans="9:13" x14ac:dyDescent="0.3">
      <c r="I33900" s="82"/>
      <c r="M33900" s="85"/>
    </row>
    <row r="33901" spans="9:13" x14ac:dyDescent="0.3">
      <c r="I33901" s="82"/>
      <c r="M33901" s="85"/>
    </row>
    <row r="33902" spans="9:13" x14ac:dyDescent="0.3">
      <c r="I33902" s="82"/>
      <c r="M33902" s="85"/>
    </row>
    <row r="33903" spans="9:13" x14ac:dyDescent="0.3">
      <c r="I33903" s="82"/>
      <c r="M33903" s="85"/>
    </row>
    <row r="33904" spans="9:13" x14ac:dyDescent="0.3">
      <c r="I33904" s="82"/>
      <c r="M33904" s="85"/>
    </row>
    <row r="33905" spans="9:13" x14ac:dyDescent="0.3">
      <c r="I33905" s="82"/>
      <c r="M33905" s="85"/>
    </row>
    <row r="33906" spans="9:13" x14ac:dyDescent="0.3">
      <c r="I33906" s="82"/>
      <c r="M33906" s="85"/>
    </row>
    <row r="33907" spans="9:13" x14ac:dyDescent="0.3">
      <c r="I33907" s="82"/>
      <c r="M33907" s="85"/>
    </row>
    <row r="33908" spans="9:13" x14ac:dyDescent="0.3">
      <c r="I33908" s="82"/>
      <c r="M33908" s="85"/>
    </row>
    <row r="33909" spans="9:13" x14ac:dyDescent="0.3">
      <c r="I33909" s="82"/>
      <c r="M33909" s="85"/>
    </row>
    <row r="33910" spans="9:13" x14ac:dyDescent="0.3">
      <c r="I33910" s="82"/>
      <c r="M33910" s="85"/>
    </row>
    <row r="33911" spans="9:13" x14ac:dyDescent="0.3">
      <c r="I33911" s="82"/>
      <c r="M33911" s="85"/>
    </row>
    <row r="33912" spans="9:13" x14ac:dyDescent="0.3">
      <c r="I33912" s="82"/>
      <c r="M33912" s="85"/>
    </row>
    <row r="33913" spans="9:13" x14ac:dyDescent="0.3">
      <c r="I33913" s="82"/>
      <c r="M33913" s="85"/>
    </row>
    <row r="33914" spans="9:13" x14ac:dyDescent="0.3">
      <c r="I33914" s="82"/>
      <c r="M33914" s="85"/>
    </row>
    <row r="33915" spans="9:13" x14ac:dyDescent="0.3">
      <c r="I33915" s="82"/>
      <c r="M33915" s="85"/>
    </row>
    <row r="33916" spans="9:13" x14ac:dyDescent="0.3">
      <c r="I33916" s="82"/>
      <c r="M33916" s="85"/>
    </row>
    <row r="33917" spans="9:13" x14ac:dyDescent="0.3">
      <c r="I33917" s="82"/>
      <c r="M33917" s="85"/>
    </row>
    <row r="33918" spans="9:13" x14ac:dyDescent="0.3">
      <c r="I33918" s="82"/>
      <c r="M33918" s="85"/>
    </row>
    <row r="33919" spans="9:13" x14ac:dyDescent="0.3">
      <c r="I33919" s="82"/>
      <c r="M33919" s="85"/>
    </row>
    <row r="33920" spans="9:13" x14ac:dyDescent="0.3">
      <c r="I33920" s="82"/>
      <c r="M33920" s="85"/>
    </row>
    <row r="33921" spans="9:13" x14ac:dyDescent="0.3">
      <c r="I33921" s="82"/>
      <c r="M33921" s="85"/>
    </row>
    <row r="33922" spans="9:13" x14ac:dyDescent="0.3">
      <c r="I33922" s="82"/>
      <c r="M33922" s="85"/>
    </row>
    <row r="33923" spans="9:13" x14ac:dyDescent="0.3">
      <c r="I33923" s="82"/>
      <c r="M33923" s="85"/>
    </row>
    <row r="33924" spans="9:13" x14ac:dyDescent="0.3">
      <c r="I33924" s="82"/>
      <c r="M33924" s="85"/>
    </row>
    <row r="33925" spans="9:13" x14ac:dyDescent="0.3">
      <c r="I33925" s="82"/>
      <c r="M33925" s="85"/>
    </row>
    <row r="33926" spans="9:13" x14ac:dyDescent="0.3">
      <c r="I33926" s="82"/>
      <c r="M33926" s="85"/>
    </row>
    <row r="33927" spans="9:13" x14ac:dyDescent="0.3">
      <c r="I33927" s="82"/>
      <c r="M33927" s="85"/>
    </row>
    <row r="33928" spans="9:13" x14ac:dyDescent="0.3">
      <c r="I33928" s="82"/>
      <c r="M33928" s="85"/>
    </row>
    <row r="33929" spans="9:13" x14ac:dyDescent="0.3">
      <c r="I33929" s="82"/>
      <c r="M33929" s="85"/>
    </row>
    <row r="33930" spans="9:13" x14ac:dyDescent="0.3">
      <c r="I33930" s="82"/>
      <c r="M33930" s="85"/>
    </row>
    <row r="33931" spans="9:13" x14ac:dyDescent="0.3">
      <c r="I33931" s="82"/>
      <c r="M33931" s="85"/>
    </row>
    <row r="33932" spans="9:13" x14ac:dyDescent="0.3">
      <c r="I33932" s="82"/>
      <c r="M33932" s="85"/>
    </row>
    <row r="33933" spans="9:13" x14ac:dyDescent="0.3">
      <c r="I33933" s="82"/>
      <c r="M33933" s="85"/>
    </row>
    <row r="33934" spans="9:13" x14ac:dyDescent="0.3">
      <c r="I33934" s="82"/>
      <c r="M33934" s="85"/>
    </row>
    <row r="33935" spans="9:13" x14ac:dyDescent="0.3">
      <c r="I33935" s="82"/>
      <c r="M33935" s="85"/>
    </row>
    <row r="33936" spans="9:13" x14ac:dyDescent="0.3">
      <c r="I33936" s="82"/>
      <c r="M33936" s="85"/>
    </row>
    <row r="33937" spans="9:13" x14ac:dyDescent="0.3">
      <c r="I33937" s="82"/>
      <c r="M33937" s="85"/>
    </row>
    <row r="33938" spans="9:13" x14ac:dyDescent="0.3">
      <c r="I33938" s="82"/>
      <c r="M33938" s="85"/>
    </row>
    <row r="33939" spans="9:13" x14ac:dyDescent="0.3">
      <c r="I33939" s="82"/>
      <c r="M33939" s="85"/>
    </row>
    <row r="33940" spans="9:13" x14ac:dyDescent="0.3">
      <c r="I33940" s="82"/>
      <c r="M33940" s="85"/>
    </row>
    <row r="33941" spans="9:13" x14ac:dyDescent="0.3">
      <c r="I33941" s="82"/>
      <c r="M33941" s="85"/>
    </row>
    <row r="33942" spans="9:13" x14ac:dyDescent="0.3">
      <c r="I33942" s="82"/>
      <c r="M33942" s="85"/>
    </row>
    <row r="33943" spans="9:13" x14ac:dyDescent="0.3">
      <c r="I33943" s="82"/>
      <c r="M33943" s="85"/>
    </row>
    <row r="33944" spans="9:13" x14ac:dyDescent="0.3">
      <c r="I33944" s="82"/>
      <c r="M33944" s="85"/>
    </row>
    <row r="33945" spans="9:13" x14ac:dyDescent="0.3">
      <c r="I33945" s="82"/>
      <c r="M33945" s="85"/>
    </row>
    <row r="33946" spans="9:13" x14ac:dyDescent="0.3">
      <c r="I33946" s="82"/>
      <c r="M33946" s="85"/>
    </row>
    <row r="33947" spans="9:13" x14ac:dyDescent="0.3">
      <c r="I33947" s="82"/>
      <c r="M33947" s="85"/>
    </row>
    <row r="33948" spans="9:13" x14ac:dyDescent="0.3">
      <c r="I33948" s="82"/>
      <c r="M33948" s="85"/>
    </row>
    <row r="33949" spans="9:13" x14ac:dyDescent="0.3">
      <c r="I33949" s="82"/>
      <c r="M33949" s="85"/>
    </row>
    <row r="33950" spans="9:13" x14ac:dyDescent="0.3">
      <c r="I33950" s="82"/>
      <c r="M33950" s="85"/>
    </row>
    <row r="33951" spans="9:13" x14ac:dyDescent="0.3">
      <c r="I33951" s="82"/>
      <c r="M33951" s="85"/>
    </row>
    <row r="33952" spans="9:13" x14ac:dyDescent="0.3">
      <c r="I33952" s="82"/>
      <c r="M33952" s="85"/>
    </row>
    <row r="33953" spans="9:13" x14ac:dyDescent="0.3">
      <c r="I33953" s="82"/>
      <c r="M33953" s="85"/>
    </row>
    <row r="33954" spans="9:13" x14ac:dyDescent="0.3">
      <c r="I33954" s="82"/>
      <c r="M33954" s="85"/>
    </row>
    <row r="33955" spans="9:13" x14ac:dyDescent="0.3">
      <c r="I33955" s="82"/>
      <c r="M33955" s="85"/>
    </row>
    <row r="33956" spans="9:13" x14ac:dyDescent="0.3">
      <c r="I33956" s="82"/>
      <c r="M33956" s="85"/>
    </row>
    <row r="33957" spans="9:13" x14ac:dyDescent="0.3">
      <c r="I33957" s="82"/>
      <c r="M33957" s="85"/>
    </row>
    <row r="33958" spans="9:13" x14ac:dyDescent="0.3">
      <c r="I33958" s="82"/>
      <c r="M33958" s="85"/>
    </row>
    <row r="33959" spans="9:13" x14ac:dyDescent="0.3">
      <c r="I33959" s="82"/>
      <c r="M33959" s="85"/>
    </row>
    <row r="33960" spans="9:13" x14ac:dyDescent="0.3">
      <c r="I33960" s="82"/>
      <c r="M33960" s="85"/>
    </row>
    <row r="33961" spans="9:13" x14ac:dyDescent="0.3">
      <c r="I33961" s="82"/>
      <c r="M33961" s="85"/>
    </row>
    <row r="33962" spans="9:13" x14ac:dyDescent="0.3">
      <c r="I33962" s="82"/>
      <c r="M33962" s="85"/>
    </row>
    <row r="33963" spans="9:13" x14ac:dyDescent="0.3">
      <c r="I33963" s="82"/>
      <c r="M33963" s="85"/>
    </row>
    <row r="33964" spans="9:13" x14ac:dyDescent="0.3">
      <c r="I33964" s="82"/>
      <c r="M33964" s="85"/>
    </row>
    <row r="33965" spans="9:13" x14ac:dyDescent="0.3">
      <c r="I33965" s="82"/>
      <c r="M33965" s="85"/>
    </row>
    <row r="33966" spans="9:13" x14ac:dyDescent="0.3">
      <c r="I33966" s="82"/>
      <c r="M33966" s="85"/>
    </row>
    <row r="33967" spans="9:13" x14ac:dyDescent="0.3">
      <c r="I33967" s="82"/>
      <c r="M33967" s="85"/>
    </row>
    <row r="33968" spans="9:13" x14ac:dyDescent="0.3">
      <c r="I33968" s="82"/>
      <c r="M33968" s="85"/>
    </row>
    <row r="33969" spans="9:13" x14ac:dyDescent="0.3">
      <c r="I33969" s="82"/>
      <c r="M33969" s="85"/>
    </row>
    <row r="33970" spans="9:13" x14ac:dyDescent="0.3">
      <c r="I33970" s="82"/>
      <c r="M33970" s="85"/>
    </row>
    <row r="33971" spans="9:13" x14ac:dyDescent="0.3">
      <c r="I33971" s="82"/>
      <c r="M33971" s="85"/>
    </row>
    <row r="33972" spans="9:13" x14ac:dyDescent="0.3">
      <c r="I33972" s="82"/>
      <c r="M33972" s="85"/>
    </row>
    <row r="33973" spans="9:13" x14ac:dyDescent="0.3">
      <c r="I33973" s="82"/>
      <c r="M33973" s="85"/>
    </row>
    <row r="33974" spans="9:13" x14ac:dyDescent="0.3">
      <c r="I33974" s="82"/>
      <c r="M33974" s="85"/>
    </row>
    <row r="33975" spans="9:13" x14ac:dyDescent="0.3">
      <c r="I33975" s="82"/>
      <c r="M33975" s="85"/>
    </row>
    <row r="33976" spans="9:13" x14ac:dyDescent="0.3">
      <c r="I33976" s="82"/>
      <c r="M33976" s="85"/>
    </row>
    <row r="33977" spans="9:13" x14ac:dyDescent="0.3">
      <c r="I33977" s="82"/>
      <c r="M33977" s="85"/>
    </row>
    <row r="33978" spans="9:13" x14ac:dyDescent="0.3">
      <c r="I33978" s="82"/>
      <c r="M33978" s="85"/>
    </row>
    <row r="33979" spans="9:13" x14ac:dyDescent="0.3">
      <c r="I33979" s="82"/>
      <c r="M33979" s="85"/>
    </row>
    <row r="33980" spans="9:13" x14ac:dyDescent="0.3">
      <c r="I33980" s="82"/>
      <c r="M33980" s="85"/>
    </row>
    <row r="33981" spans="9:13" x14ac:dyDescent="0.3">
      <c r="I33981" s="82"/>
      <c r="M33981" s="85"/>
    </row>
    <row r="33982" spans="9:13" x14ac:dyDescent="0.3">
      <c r="I33982" s="82"/>
      <c r="M33982" s="85"/>
    </row>
    <row r="33983" spans="9:13" x14ac:dyDescent="0.3">
      <c r="I33983" s="82"/>
      <c r="M33983" s="85"/>
    </row>
    <row r="33984" spans="9:13" x14ac:dyDescent="0.3">
      <c r="I33984" s="82"/>
      <c r="M33984" s="85"/>
    </row>
    <row r="33985" spans="9:13" x14ac:dyDescent="0.3">
      <c r="I33985" s="82"/>
      <c r="M33985" s="85"/>
    </row>
    <row r="33986" spans="9:13" x14ac:dyDescent="0.3">
      <c r="I33986" s="82"/>
      <c r="M33986" s="85"/>
    </row>
    <row r="33987" spans="9:13" x14ac:dyDescent="0.3">
      <c r="I33987" s="82"/>
      <c r="M33987" s="85"/>
    </row>
    <row r="33988" spans="9:13" x14ac:dyDescent="0.3">
      <c r="I33988" s="82"/>
      <c r="M33988" s="85"/>
    </row>
    <row r="33989" spans="9:13" x14ac:dyDescent="0.3">
      <c r="I33989" s="82"/>
      <c r="M33989" s="85"/>
    </row>
    <row r="33990" spans="9:13" x14ac:dyDescent="0.3">
      <c r="I33990" s="82"/>
      <c r="M33990" s="85"/>
    </row>
    <row r="33991" spans="9:13" x14ac:dyDescent="0.3">
      <c r="I33991" s="82"/>
      <c r="M33991" s="85"/>
    </row>
    <row r="33992" spans="9:13" x14ac:dyDescent="0.3">
      <c r="I33992" s="82"/>
      <c r="M33992" s="85"/>
    </row>
    <row r="33993" spans="9:13" x14ac:dyDescent="0.3">
      <c r="I33993" s="82"/>
      <c r="M33993" s="85"/>
    </row>
    <row r="33994" spans="9:13" x14ac:dyDescent="0.3">
      <c r="I33994" s="82"/>
      <c r="M33994" s="85"/>
    </row>
    <row r="33995" spans="9:13" x14ac:dyDescent="0.3">
      <c r="I33995" s="82"/>
      <c r="M33995" s="85"/>
    </row>
    <row r="33996" spans="9:13" x14ac:dyDescent="0.3">
      <c r="I33996" s="82"/>
      <c r="M33996" s="85"/>
    </row>
    <row r="33997" spans="9:13" x14ac:dyDescent="0.3">
      <c r="I33997" s="82"/>
      <c r="M33997" s="85"/>
    </row>
    <row r="33998" spans="9:13" x14ac:dyDescent="0.3">
      <c r="I33998" s="82"/>
      <c r="M33998" s="85"/>
    </row>
    <row r="33999" spans="9:13" x14ac:dyDescent="0.3">
      <c r="I33999" s="82"/>
      <c r="M33999" s="85"/>
    </row>
    <row r="34000" spans="9:13" x14ac:dyDescent="0.3">
      <c r="I34000" s="82"/>
      <c r="M34000" s="85"/>
    </row>
    <row r="34001" spans="9:13" x14ac:dyDescent="0.3">
      <c r="I34001" s="82"/>
      <c r="M34001" s="85"/>
    </row>
    <row r="34002" spans="9:13" x14ac:dyDescent="0.3">
      <c r="I34002" s="82"/>
      <c r="M34002" s="85"/>
    </row>
    <row r="34003" spans="9:13" x14ac:dyDescent="0.3">
      <c r="I34003" s="82"/>
      <c r="M34003" s="85"/>
    </row>
    <row r="34004" spans="9:13" x14ac:dyDescent="0.3">
      <c r="I34004" s="82"/>
      <c r="M34004" s="85"/>
    </row>
    <row r="34005" spans="9:13" x14ac:dyDescent="0.3">
      <c r="I34005" s="82"/>
      <c r="M34005" s="85"/>
    </row>
    <row r="34006" spans="9:13" x14ac:dyDescent="0.3">
      <c r="I34006" s="82"/>
      <c r="M34006" s="85"/>
    </row>
    <row r="34007" spans="9:13" x14ac:dyDescent="0.3">
      <c r="I34007" s="82"/>
      <c r="M34007" s="85"/>
    </row>
    <row r="34008" spans="9:13" x14ac:dyDescent="0.3">
      <c r="I34008" s="82"/>
      <c r="M34008" s="85"/>
    </row>
    <row r="34009" spans="9:13" x14ac:dyDescent="0.3">
      <c r="I34009" s="82"/>
      <c r="M34009" s="85"/>
    </row>
    <row r="34010" spans="9:13" x14ac:dyDescent="0.3">
      <c r="I34010" s="82"/>
      <c r="M34010" s="85"/>
    </row>
    <row r="34011" spans="9:13" x14ac:dyDescent="0.3">
      <c r="I34011" s="82"/>
      <c r="M34011" s="85"/>
    </row>
    <row r="34012" spans="9:13" x14ac:dyDescent="0.3">
      <c r="I34012" s="82"/>
      <c r="M34012" s="85"/>
    </row>
    <row r="34013" spans="9:13" x14ac:dyDescent="0.3">
      <c r="I34013" s="82"/>
      <c r="M34013" s="85"/>
    </row>
    <row r="34014" spans="9:13" x14ac:dyDescent="0.3">
      <c r="I34014" s="82"/>
      <c r="M34014" s="85"/>
    </row>
    <row r="34015" spans="9:13" x14ac:dyDescent="0.3">
      <c r="I34015" s="82"/>
      <c r="M34015" s="85"/>
    </row>
    <row r="34016" spans="9:13" x14ac:dyDescent="0.3">
      <c r="I34016" s="82"/>
      <c r="M34016" s="85"/>
    </row>
    <row r="34017" spans="9:13" x14ac:dyDescent="0.3">
      <c r="I34017" s="82"/>
      <c r="M34017" s="85"/>
    </row>
    <row r="34018" spans="9:13" x14ac:dyDescent="0.3">
      <c r="I34018" s="82"/>
      <c r="M34018" s="85"/>
    </row>
    <row r="34019" spans="9:13" x14ac:dyDescent="0.3">
      <c r="I34019" s="82"/>
      <c r="M34019" s="85"/>
    </row>
    <row r="34020" spans="9:13" x14ac:dyDescent="0.3">
      <c r="I34020" s="82"/>
      <c r="M34020" s="85"/>
    </row>
    <row r="34021" spans="9:13" x14ac:dyDescent="0.3">
      <c r="I34021" s="82"/>
      <c r="M34021" s="85"/>
    </row>
    <row r="34022" spans="9:13" x14ac:dyDescent="0.3">
      <c r="I34022" s="82"/>
      <c r="M34022" s="85"/>
    </row>
    <row r="34023" spans="9:13" x14ac:dyDescent="0.3">
      <c r="I34023" s="82"/>
      <c r="M34023" s="85"/>
    </row>
    <row r="34024" spans="9:13" x14ac:dyDescent="0.3">
      <c r="I34024" s="82"/>
      <c r="M34024" s="85"/>
    </row>
    <row r="34025" spans="9:13" x14ac:dyDescent="0.3">
      <c r="I34025" s="82"/>
      <c r="M34025" s="85"/>
    </row>
    <row r="34026" spans="9:13" x14ac:dyDescent="0.3">
      <c r="I34026" s="82"/>
      <c r="M34026" s="85"/>
    </row>
    <row r="34027" spans="9:13" x14ac:dyDescent="0.3">
      <c r="I34027" s="82"/>
      <c r="M34027" s="85"/>
    </row>
    <row r="34028" spans="9:13" x14ac:dyDescent="0.3">
      <c r="I34028" s="82"/>
      <c r="M34028" s="85"/>
    </row>
    <row r="34029" spans="9:13" x14ac:dyDescent="0.3">
      <c r="I34029" s="82"/>
      <c r="M34029" s="85"/>
    </row>
    <row r="34030" spans="9:13" x14ac:dyDescent="0.3">
      <c r="I34030" s="82"/>
      <c r="M34030" s="85"/>
    </row>
    <row r="34031" spans="9:13" x14ac:dyDescent="0.3">
      <c r="I34031" s="82"/>
      <c r="M34031" s="85"/>
    </row>
    <row r="34032" spans="9:13" x14ac:dyDescent="0.3">
      <c r="I34032" s="82"/>
      <c r="M34032" s="85"/>
    </row>
    <row r="34033" spans="9:13" x14ac:dyDescent="0.3">
      <c r="I34033" s="82"/>
      <c r="M34033" s="85"/>
    </row>
    <row r="34034" spans="9:13" x14ac:dyDescent="0.3">
      <c r="I34034" s="82"/>
      <c r="M34034" s="85"/>
    </row>
    <row r="34035" spans="9:13" x14ac:dyDescent="0.3">
      <c r="I34035" s="82"/>
      <c r="M34035" s="85"/>
    </row>
    <row r="34036" spans="9:13" x14ac:dyDescent="0.3">
      <c r="I34036" s="82"/>
      <c r="M34036" s="85"/>
    </row>
    <row r="34037" spans="9:13" x14ac:dyDescent="0.3">
      <c r="I34037" s="82"/>
      <c r="M34037" s="85"/>
    </row>
    <row r="34038" spans="9:13" x14ac:dyDescent="0.3">
      <c r="I34038" s="82"/>
      <c r="M34038" s="85"/>
    </row>
    <row r="34039" spans="9:13" x14ac:dyDescent="0.3">
      <c r="I34039" s="82"/>
      <c r="M34039" s="85"/>
    </row>
    <row r="34040" spans="9:13" x14ac:dyDescent="0.3">
      <c r="I34040" s="82"/>
      <c r="M34040" s="85"/>
    </row>
    <row r="34041" spans="9:13" x14ac:dyDescent="0.3">
      <c r="I34041" s="82"/>
      <c r="M34041" s="85"/>
    </row>
    <row r="34042" spans="9:13" x14ac:dyDescent="0.3">
      <c r="I34042" s="82"/>
      <c r="M34042" s="85"/>
    </row>
    <row r="34043" spans="9:13" x14ac:dyDescent="0.3">
      <c r="I34043" s="82"/>
      <c r="M34043" s="85"/>
    </row>
    <row r="34044" spans="9:13" x14ac:dyDescent="0.3">
      <c r="I34044" s="82"/>
      <c r="M34044" s="85"/>
    </row>
    <row r="34045" spans="9:13" x14ac:dyDescent="0.3">
      <c r="I34045" s="82"/>
      <c r="M34045" s="85"/>
    </row>
    <row r="34046" spans="9:13" x14ac:dyDescent="0.3">
      <c r="I34046" s="82"/>
      <c r="M34046" s="85"/>
    </row>
    <row r="34047" spans="9:13" x14ac:dyDescent="0.3">
      <c r="I34047" s="82"/>
      <c r="M34047" s="85"/>
    </row>
    <row r="34048" spans="9:13" x14ac:dyDescent="0.3">
      <c r="I34048" s="82"/>
      <c r="M34048" s="85"/>
    </row>
    <row r="34049" spans="9:13" x14ac:dyDescent="0.3">
      <c r="I34049" s="82"/>
      <c r="M34049" s="85"/>
    </row>
    <row r="34050" spans="9:13" x14ac:dyDescent="0.3">
      <c r="I34050" s="82"/>
      <c r="M34050" s="85"/>
    </row>
    <row r="34051" spans="9:13" x14ac:dyDescent="0.3">
      <c r="I34051" s="82"/>
      <c r="M34051" s="85"/>
    </row>
    <row r="34052" spans="9:13" x14ac:dyDescent="0.3">
      <c r="I34052" s="82"/>
      <c r="M34052" s="85"/>
    </row>
    <row r="34053" spans="9:13" x14ac:dyDescent="0.3">
      <c r="I34053" s="82"/>
      <c r="M34053" s="85"/>
    </row>
    <row r="34054" spans="9:13" x14ac:dyDescent="0.3">
      <c r="I34054" s="82"/>
      <c r="M34054" s="85"/>
    </row>
    <row r="34055" spans="9:13" x14ac:dyDescent="0.3">
      <c r="I34055" s="82"/>
      <c r="M34055" s="85"/>
    </row>
    <row r="34056" spans="9:13" x14ac:dyDescent="0.3">
      <c r="I34056" s="82"/>
      <c r="M34056" s="85"/>
    </row>
    <row r="34057" spans="9:13" x14ac:dyDescent="0.3">
      <c r="I34057" s="82"/>
      <c r="M34057" s="85"/>
    </row>
    <row r="34058" spans="9:13" x14ac:dyDescent="0.3">
      <c r="I34058" s="82"/>
      <c r="M34058" s="85"/>
    </row>
    <row r="34059" spans="9:13" x14ac:dyDescent="0.3">
      <c r="I34059" s="82"/>
      <c r="M34059" s="85"/>
    </row>
    <row r="34060" spans="9:13" x14ac:dyDescent="0.3">
      <c r="I34060" s="82"/>
      <c r="M34060" s="85"/>
    </row>
    <row r="34061" spans="9:13" x14ac:dyDescent="0.3">
      <c r="I34061" s="82"/>
      <c r="M34061" s="85"/>
    </row>
    <row r="34062" spans="9:13" x14ac:dyDescent="0.3">
      <c r="I34062" s="82"/>
      <c r="M34062" s="85"/>
    </row>
    <row r="34063" spans="9:13" x14ac:dyDescent="0.3">
      <c r="I34063" s="82"/>
      <c r="M34063" s="85"/>
    </row>
    <row r="34064" spans="9:13" x14ac:dyDescent="0.3">
      <c r="I34064" s="82"/>
      <c r="M34064" s="85"/>
    </row>
    <row r="34065" spans="9:13" x14ac:dyDescent="0.3">
      <c r="I34065" s="82"/>
      <c r="M34065" s="85"/>
    </row>
    <row r="34066" spans="9:13" x14ac:dyDescent="0.3">
      <c r="I34066" s="82"/>
      <c r="M34066" s="85"/>
    </row>
    <row r="34067" spans="9:13" x14ac:dyDescent="0.3">
      <c r="I34067" s="82"/>
      <c r="M34067" s="85"/>
    </row>
    <row r="34068" spans="9:13" x14ac:dyDescent="0.3">
      <c r="I34068" s="82"/>
      <c r="M34068" s="85"/>
    </row>
    <row r="34069" spans="9:13" x14ac:dyDescent="0.3">
      <c r="I34069" s="82"/>
      <c r="M34069" s="85"/>
    </row>
    <row r="34070" spans="9:13" x14ac:dyDescent="0.3">
      <c r="I34070" s="82"/>
      <c r="M34070" s="85"/>
    </row>
    <row r="34071" spans="9:13" x14ac:dyDescent="0.3">
      <c r="I34071" s="82"/>
      <c r="M34071" s="85"/>
    </row>
    <row r="34072" spans="9:13" x14ac:dyDescent="0.3">
      <c r="I34072" s="82"/>
      <c r="M34072" s="85"/>
    </row>
    <row r="34073" spans="9:13" x14ac:dyDescent="0.3">
      <c r="I34073" s="82"/>
      <c r="M34073" s="85"/>
    </row>
    <row r="34074" spans="9:13" x14ac:dyDescent="0.3">
      <c r="I34074" s="82"/>
      <c r="M34074" s="85"/>
    </row>
    <row r="34075" spans="9:13" x14ac:dyDescent="0.3">
      <c r="I34075" s="82"/>
      <c r="M34075" s="85"/>
    </row>
    <row r="34076" spans="9:13" x14ac:dyDescent="0.3">
      <c r="I34076" s="82"/>
      <c r="M34076" s="85"/>
    </row>
    <row r="34077" spans="9:13" x14ac:dyDescent="0.3">
      <c r="I34077" s="82"/>
      <c r="M34077" s="85"/>
    </row>
    <row r="34078" spans="9:13" x14ac:dyDescent="0.3">
      <c r="I34078" s="82"/>
      <c r="M34078" s="85"/>
    </row>
    <row r="34079" spans="9:13" x14ac:dyDescent="0.3">
      <c r="I34079" s="82"/>
      <c r="M34079" s="85"/>
    </row>
    <row r="34080" spans="9:13" x14ac:dyDescent="0.3">
      <c r="I34080" s="82"/>
      <c r="M34080" s="85"/>
    </row>
    <row r="34081" spans="9:13" x14ac:dyDescent="0.3">
      <c r="I34081" s="82"/>
      <c r="M34081" s="85"/>
    </row>
    <row r="34082" spans="9:13" x14ac:dyDescent="0.3">
      <c r="I34082" s="82"/>
      <c r="M34082" s="85"/>
    </row>
    <row r="34083" spans="9:13" x14ac:dyDescent="0.3">
      <c r="I34083" s="82"/>
      <c r="M34083" s="85"/>
    </row>
    <row r="34084" spans="9:13" x14ac:dyDescent="0.3">
      <c r="I34084" s="82"/>
      <c r="M34084" s="85"/>
    </row>
    <row r="34085" spans="9:13" x14ac:dyDescent="0.3">
      <c r="I34085" s="82"/>
      <c r="M34085" s="85"/>
    </row>
    <row r="34086" spans="9:13" x14ac:dyDescent="0.3">
      <c r="I34086" s="82"/>
      <c r="M34086" s="85"/>
    </row>
    <row r="34087" spans="9:13" x14ac:dyDescent="0.3">
      <c r="I34087" s="82"/>
      <c r="M34087" s="85"/>
    </row>
    <row r="34088" spans="9:13" x14ac:dyDescent="0.3">
      <c r="I34088" s="82"/>
      <c r="M34088" s="85"/>
    </row>
    <row r="34089" spans="9:13" x14ac:dyDescent="0.3">
      <c r="I34089" s="82"/>
      <c r="M34089" s="85"/>
    </row>
    <row r="34090" spans="9:13" x14ac:dyDescent="0.3">
      <c r="I34090" s="82"/>
      <c r="M34090" s="85"/>
    </row>
    <row r="34091" spans="9:13" x14ac:dyDescent="0.3">
      <c r="I34091" s="82"/>
      <c r="M34091" s="85"/>
    </row>
    <row r="34092" spans="9:13" x14ac:dyDescent="0.3">
      <c r="I34092" s="82"/>
      <c r="M34092" s="85"/>
    </row>
    <row r="34093" spans="9:13" x14ac:dyDescent="0.3">
      <c r="I34093" s="82"/>
      <c r="M34093" s="85"/>
    </row>
    <row r="34094" spans="9:13" x14ac:dyDescent="0.3">
      <c r="I34094" s="82"/>
      <c r="M34094" s="85"/>
    </row>
    <row r="34095" spans="9:13" x14ac:dyDescent="0.3">
      <c r="I34095" s="82"/>
      <c r="M34095" s="85"/>
    </row>
    <row r="34096" spans="9:13" x14ac:dyDescent="0.3">
      <c r="I34096" s="82"/>
      <c r="M34096" s="85"/>
    </row>
    <row r="34097" spans="9:13" x14ac:dyDescent="0.3">
      <c r="I34097" s="82"/>
      <c r="M34097" s="85"/>
    </row>
    <row r="34098" spans="9:13" x14ac:dyDescent="0.3">
      <c r="I34098" s="82"/>
      <c r="M34098" s="85"/>
    </row>
    <row r="34099" spans="9:13" x14ac:dyDescent="0.3">
      <c r="I34099" s="82"/>
      <c r="M34099" s="85"/>
    </row>
    <row r="34100" spans="9:13" x14ac:dyDescent="0.3">
      <c r="I34100" s="82"/>
      <c r="M34100" s="85"/>
    </row>
    <row r="34101" spans="9:13" x14ac:dyDescent="0.3">
      <c r="I34101" s="82"/>
      <c r="M34101" s="85"/>
    </row>
    <row r="34102" spans="9:13" x14ac:dyDescent="0.3">
      <c r="I34102" s="82"/>
      <c r="M34102" s="85"/>
    </row>
    <row r="34103" spans="9:13" x14ac:dyDescent="0.3">
      <c r="I34103" s="82"/>
      <c r="M34103" s="85"/>
    </row>
    <row r="34104" spans="9:13" x14ac:dyDescent="0.3">
      <c r="I34104" s="82"/>
      <c r="M34104" s="85"/>
    </row>
    <row r="34105" spans="9:13" x14ac:dyDescent="0.3">
      <c r="I34105" s="82"/>
      <c r="M34105" s="85"/>
    </row>
    <row r="34106" spans="9:13" x14ac:dyDescent="0.3">
      <c r="I34106" s="82"/>
      <c r="M34106" s="85"/>
    </row>
    <row r="34107" spans="9:13" x14ac:dyDescent="0.3">
      <c r="I34107" s="82"/>
      <c r="M34107" s="85"/>
    </row>
    <row r="34108" spans="9:13" x14ac:dyDescent="0.3">
      <c r="I34108" s="82"/>
      <c r="M34108" s="85"/>
    </row>
    <row r="34109" spans="9:13" x14ac:dyDescent="0.3">
      <c r="I34109" s="82"/>
      <c r="M34109" s="85"/>
    </row>
    <row r="34110" spans="9:13" x14ac:dyDescent="0.3">
      <c r="I34110" s="82"/>
      <c r="M34110" s="85"/>
    </row>
    <row r="34111" spans="9:13" x14ac:dyDescent="0.3">
      <c r="I34111" s="82"/>
      <c r="M34111" s="85"/>
    </row>
    <row r="34112" spans="9:13" x14ac:dyDescent="0.3">
      <c r="I34112" s="82"/>
      <c r="M34112" s="85"/>
    </row>
    <row r="34113" spans="9:13" x14ac:dyDescent="0.3">
      <c r="I34113" s="82"/>
      <c r="M34113" s="85"/>
    </row>
    <row r="34114" spans="9:13" x14ac:dyDescent="0.3">
      <c r="I34114" s="82"/>
      <c r="M34114" s="85"/>
    </row>
    <row r="34115" spans="9:13" x14ac:dyDescent="0.3">
      <c r="I34115" s="82"/>
      <c r="M34115" s="85"/>
    </row>
    <row r="34116" spans="9:13" x14ac:dyDescent="0.3">
      <c r="I34116" s="82"/>
      <c r="M34116" s="85"/>
    </row>
    <row r="34117" spans="9:13" x14ac:dyDescent="0.3">
      <c r="I34117" s="82"/>
      <c r="M34117" s="85"/>
    </row>
    <row r="34118" spans="9:13" x14ac:dyDescent="0.3">
      <c r="I34118" s="82"/>
      <c r="M34118" s="85"/>
    </row>
    <row r="34119" spans="9:13" x14ac:dyDescent="0.3">
      <c r="I34119" s="82"/>
      <c r="M34119" s="85"/>
    </row>
    <row r="34120" spans="9:13" x14ac:dyDescent="0.3">
      <c r="I34120" s="82"/>
      <c r="M34120" s="85"/>
    </row>
    <row r="34121" spans="9:13" x14ac:dyDescent="0.3">
      <c r="I34121" s="82"/>
      <c r="M34121" s="85"/>
    </row>
    <row r="34122" spans="9:13" x14ac:dyDescent="0.3">
      <c r="I34122" s="82"/>
      <c r="M34122" s="85"/>
    </row>
    <row r="34123" spans="9:13" x14ac:dyDescent="0.3">
      <c r="I34123" s="82"/>
      <c r="M34123" s="85"/>
    </row>
    <row r="34124" spans="9:13" x14ac:dyDescent="0.3">
      <c r="I34124" s="82"/>
      <c r="M34124" s="85"/>
    </row>
    <row r="34125" spans="9:13" x14ac:dyDescent="0.3">
      <c r="I34125" s="82"/>
      <c r="M34125" s="85"/>
    </row>
    <row r="34126" spans="9:13" x14ac:dyDescent="0.3">
      <c r="I34126" s="82"/>
      <c r="M34126" s="85"/>
    </row>
    <row r="34127" spans="9:13" x14ac:dyDescent="0.3">
      <c r="I34127" s="82"/>
      <c r="M34127" s="85"/>
    </row>
    <row r="34128" spans="9:13" x14ac:dyDescent="0.3">
      <c r="I34128" s="82"/>
      <c r="M34128" s="85"/>
    </row>
    <row r="34129" spans="9:13" x14ac:dyDescent="0.3">
      <c r="I34129" s="82"/>
      <c r="M34129" s="85"/>
    </row>
    <row r="34130" spans="9:13" x14ac:dyDescent="0.3">
      <c r="I34130" s="82"/>
      <c r="M34130" s="85"/>
    </row>
    <row r="34131" spans="9:13" x14ac:dyDescent="0.3">
      <c r="I34131" s="82"/>
      <c r="M34131" s="85"/>
    </row>
    <row r="34132" spans="9:13" x14ac:dyDescent="0.3">
      <c r="I34132" s="82"/>
      <c r="M34132" s="85"/>
    </row>
    <row r="34133" spans="9:13" x14ac:dyDescent="0.3">
      <c r="I34133" s="82"/>
      <c r="M34133" s="85"/>
    </row>
    <row r="34134" spans="9:13" x14ac:dyDescent="0.3">
      <c r="I34134" s="82"/>
      <c r="M34134" s="85"/>
    </row>
    <row r="34135" spans="9:13" x14ac:dyDescent="0.3">
      <c r="I34135" s="82"/>
      <c r="M34135" s="85"/>
    </row>
    <row r="34136" spans="9:13" x14ac:dyDescent="0.3">
      <c r="I34136" s="82"/>
      <c r="M34136" s="85"/>
    </row>
    <row r="34137" spans="9:13" x14ac:dyDescent="0.3">
      <c r="I34137" s="82"/>
      <c r="M34137" s="85"/>
    </row>
    <row r="34138" spans="9:13" x14ac:dyDescent="0.3">
      <c r="I34138" s="82"/>
      <c r="M34138" s="85"/>
    </row>
    <row r="34139" spans="9:13" x14ac:dyDescent="0.3">
      <c r="I34139" s="82"/>
      <c r="M34139" s="85"/>
    </row>
    <row r="34140" spans="9:13" x14ac:dyDescent="0.3">
      <c r="I34140" s="82"/>
      <c r="M34140" s="85"/>
    </row>
    <row r="34141" spans="9:13" x14ac:dyDescent="0.3">
      <c r="I34141" s="82"/>
      <c r="M34141" s="85"/>
    </row>
    <row r="34142" spans="9:13" x14ac:dyDescent="0.3">
      <c r="I34142" s="82"/>
      <c r="M34142" s="85"/>
    </row>
    <row r="34143" spans="9:13" x14ac:dyDescent="0.3">
      <c r="I34143" s="82"/>
      <c r="M34143" s="85"/>
    </row>
    <row r="34144" spans="9:13" x14ac:dyDescent="0.3">
      <c r="I34144" s="82"/>
      <c r="M34144" s="85"/>
    </row>
    <row r="34145" spans="9:13" x14ac:dyDescent="0.3">
      <c r="I34145" s="82"/>
      <c r="M34145" s="85"/>
    </row>
    <row r="34146" spans="9:13" x14ac:dyDescent="0.3">
      <c r="I34146" s="82"/>
      <c r="M34146" s="85"/>
    </row>
    <row r="34147" spans="9:13" x14ac:dyDescent="0.3">
      <c r="I34147" s="82"/>
      <c r="M34147" s="85"/>
    </row>
    <row r="34148" spans="9:13" x14ac:dyDescent="0.3">
      <c r="I34148" s="82"/>
      <c r="M34148" s="85"/>
    </row>
    <row r="34149" spans="9:13" x14ac:dyDescent="0.3">
      <c r="I34149" s="82"/>
      <c r="M34149" s="85"/>
    </row>
    <row r="34150" spans="9:13" x14ac:dyDescent="0.3">
      <c r="I34150" s="82"/>
      <c r="M34150" s="85"/>
    </row>
    <row r="34151" spans="9:13" x14ac:dyDescent="0.3">
      <c r="I34151" s="82"/>
      <c r="M34151" s="85"/>
    </row>
    <row r="34152" spans="9:13" x14ac:dyDescent="0.3">
      <c r="I34152" s="82"/>
      <c r="M34152" s="85"/>
    </row>
    <row r="34153" spans="9:13" x14ac:dyDescent="0.3">
      <c r="I34153" s="82"/>
      <c r="M34153" s="85"/>
    </row>
    <row r="34154" spans="9:13" x14ac:dyDescent="0.3">
      <c r="I34154" s="82"/>
      <c r="M34154" s="85"/>
    </row>
    <row r="34155" spans="9:13" x14ac:dyDescent="0.3">
      <c r="I34155" s="82"/>
      <c r="M34155" s="85"/>
    </row>
    <row r="34156" spans="9:13" x14ac:dyDescent="0.3">
      <c r="I34156" s="82"/>
      <c r="M34156" s="85"/>
    </row>
    <row r="34157" spans="9:13" x14ac:dyDescent="0.3">
      <c r="I34157" s="82"/>
      <c r="M34157" s="85"/>
    </row>
    <row r="34158" spans="9:13" x14ac:dyDescent="0.3">
      <c r="I34158" s="82"/>
      <c r="M34158" s="85"/>
    </row>
    <row r="34159" spans="9:13" x14ac:dyDescent="0.3">
      <c r="I34159" s="82"/>
      <c r="M34159" s="85"/>
    </row>
    <row r="34160" spans="9:13" x14ac:dyDescent="0.3">
      <c r="I34160" s="82"/>
      <c r="M34160" s="85"/>
    </row>
    <row r="34161" spans="9:13" x14ac:dyDescent="0.3">
      <c r="I34161" s="82"/>
      <c r="M34161" s="85"/>
    </row>
    <row r="34162" spans="9:13" x14ac:dyDescent="0.3">
      <c r="I34162" s="82"/>
      <c r="M34162" s="85"/>
    </row>
    <row r="34163" spans="9:13" x14ac:dyDescent="0.3">
      <c r="I34163" s="82"/>
      <c r="M34163" s="85"/>
    </row>
    <row r="34164" spans="9:13" x14ac:dyDescent="0.3">
      <c r="I34164" s="82"/>
      <c r="M34164" s="85"/>
    </row>
    <row r="34165" spans="9:13" x14ac:dyDescent="0.3">
      <c r="I34165" s="82"/>
      <c r="M34165" s="85"/>
    </row>
    <row r="34166" spans="9:13" x14ac:dyDescent="0.3">
      <c r="I34166" s="82"/>
      <c r="M34166" s="85"/>
    </row>
    <row r="34167" spans="9:13" x14ac:dyDescent="0.3">
      <c r="I34167" s="82"/>
      <c r="M34167" s="85"/>
    </row>
    <row r="34168" spans="9:13" x14ac:dyDescent="0.3">
      <c r="I34168" s="82"/>
      <c r="M34168" s="85"/>
    </row>
    <row r="34169" spans="9:13" x14ac:dyDescent="0.3">
      <c r="I34169" s="82"/>
      <c r="M34169" s="85"/>
    </row>
    <row r="34170" spans="9:13" x14ac:dyDescent="0.3">
      <c r="I34170" s="82"/>
      <c r="M34170" s="85"/>
    </row>
    <row r="34171" spans="9:13" x14ac:dyDescent="0.3">
      <c r="I34171" s="82"/>
      <c r="M34171" s="85"/>
    </row>
    <row r="34172" spans="9:13" x14ac:dyDescent="0.3">
      <c r="I34172" s="82"/>
      <c r="M34172" s="85"/>
    </row>
    <row r="34173" spans="9:13" x14ac:dyDescent="0.3">
      <c r="I34173" s="82"/>
      <c r="M34173" s="85"/>
    </row>
    <row r="34174" spans="9:13" x14ac:dyDescent="0.3">
      <c r="I34174" s="82"/>
      <c r="M34174" s="85"/>
    </row>
    <row r="34175" spans="9:13" x14ac:dyDescent="0.3">
      <c r="I34175" s="82"/>
      <c r="M34175" s="85"/>
    </row>
    <row r="34176" spans="9:13" x14ac:dyDescent="0.3">
      <c r="I34176" s="82"/>
      <c r="M34176" s="85"/>
    </row>
    <row r="34177" spans="9:13" x14ac:dyDescent="0.3">
      <c r="I34177" s="82"/>
      <c r="M34177" s="85"/>
    </row>
    <row r="34178" spans="9:13" x14ac:dyDescent="0.3">
      <c r="I34178" s="82"/>
      <c r="M34178" s="85"/>
    </row>
    <row r="34179" spans="9:13" x14ac:dyDescent="0.3">
      <c r="I34179" s="82"/>
      <c r="M34179" s="85"/>
    </row>
    <row r="34180" spans="9:13" x14ac:dyDescent="0.3">
      <c r="I34180" s="82"/>
      <c r="M34180" s="85"/>
    </row>
    <row r="34181" spans="9:13" x14ac:dyDescent="0.3">
      <c r="I34181" s="82"/>
      <c r="M34181" s="85"/>
    </row>
    <row r="34182" spans="9:13" x14ac:dyDescent="0.3">
      <c r="I34182" s="82"/>
      <c r="M34182" s="85"/>
    </row>
    <row r="34183" spans="9:13" x14ac:dyDescent="0.3">
      <c r="I34183" s="82"/>
      <c r="M34183" s="85"/>
    </row>
    <row r="34184" spans="9:13" x14ac:dyDescent="0.3">
      <c r="I34184" s="82"/>
      <c r="M34184" s="85"/>
    </row>
    <row r="34185" spans="9:13" x14ac:dyDescent="0.3">
      <c r="I34185" s="82"/>
      <c r="M34185" s="85"/>
    </row>
    <row r="34186" spans="9:13" x14ac:dyDescent="0.3">
      <c r="I34186" s="82"/>
      <c r="M34186" s="85"/>
    </row>
    <row r="34187" spans="9:13" x14ac:dyDescent="0.3">
      <c r="I34187" s="82"/>
      <c r="M34187" s="85"/>
    </row>
    <row r="34188" spans="9:13" x14ac:dyDescent="0.3">
      <c r="I34188" s="82"/>
      <c r="M34188" s="85"/>
    </row>
    <row r="34189" spans="9:13" x14ac:dyDescent="0.3">
      <c r="I34189" s="82"/>
      <c r="M34189" s="85"/>
    </row>
    <row r="34190" spans="9:13" x14ac:dyDescent="0.3">
      <c r="I34190" s="82"/>
      <c r="M34190" s="85"/>
    </row>
    <row r="34191" spans="9:13" x14ac:dyDescent="0.3">
      <c r="I34191" s="82"/>
      <c r="M34191" s="85"/>
    </row>
    <row r="34192" spans="9:13" x14ac:dyDescent="0.3">
      <c r="I34192" s="82"/>
      <c r="M34192" s="85"/>
    </row>
    <row r="34193" spans="9:13" x14ac:dyDescent="0.3">
      <c r="I34193" s="82"/>
      <c r="M34193" s="85"/>
    </row>
    <row r="34194" spans="9:13" x14ac:dyDescent="0.3">
      <c r="I34194" s="82"/>
      <c r="M34194" s="85"/>
    </row>
    <row r="34195" spans="9:13" x14ac:dyDescent="0.3">
      <c r="I34195" s="82"/>
      <c r="M34195" s="85"/>
    </row>
    <row r="34196" spans="9:13" x14ac:dyDescent="0.3">
      <c r="I34196" s="82"/>
      <c r="M34196" s="85"/>
    </row>
    <row r="34197" spans="9:13" x14ac:dyDescent="0.3">
      <c r="I34197" s="82"/>
      <c r="M34197" s="85"/>
    </row>
    <row r="34198" spans="9:13" x14ac:dyDescent="0.3">
      <c r="I34198" s="82"/>
      <c r="M34198" s="85"/>
    </row>
    <row r="34199" spans="9:13" x14ac:dyDescent="0.3">
      <c r="I34199" s="82"/>
      <c r="M34199" s="85"/>
    </row>
    <row r="34200" spans="9:13" x14ac:dyDescent="0.3">
      <c r="I34200" s="82"/>
      <c r="M34200" s="85"/>
    </row>
    <row r="34201" spans="9:13" x14ac:dyDescent="0.3">
      <c r="I34201" s="82"/>
      <c r="M34201" s="85"/>
    </row>
    <row r="34202" spans="9:13" x14ac:dyDescent="0.3">
      <c r="I34202" s="82"/>
      <c r="M34202" s="85"/>
    </row>
    <row r="34203" spans="9:13" x14ac:dyDescent="0.3">
      <c r="I34203" s="82"/>
      <c r="M34203" s="85"/>
    </row>
    <row r="34204" spans="9:13" x14ac:dyDescent="0.3">
      <c r="I34204" s="82"/>
      <c r="M34204" s="85"/>
    </row>
    <row r="34205" spans="9:13" x14ac:dyDescent="0.3">
      <c r="I34205" s="82"/>
      <c r="M34205" s="85"/>
    </row>
    <row r="34206" spans="9:13" x14ac:dyDescent="0.3">
      <c r="I34206" s="82"/>
      <c r="M34206" s="85"/>
    </row>
    <row r="34207" spans="9:13" x14ac:dyDescent="0.3">
      <c r="I34207" s="82"/>
      <c r="M34207" s="85"/>
    </row>
    <row r="34208" spans="9:13" x14ac:dyDescent="0.3">
      <c r="I34208" s="82"/>
      <c r="M34208" s="85"/>
    </row>
    <row r="34209" spans="9:13" x14ac:dyDescent="0.3">
      <c r="I34209" s="82"/>
      <c r="M34209" s="85"/>
    </row>
    <row r="34210" spans="9:13" x14ac:dyDescent="0.3">
      <c r="I34210" s="82"/>
      <c r="M34210" s="85"/>
    </row>
    <row r="34211" spans="9:13" x14ac:dyDescent="0.3">
      <c r="I34211" s="82"/>
      <c r="M34211" s="85"/>
    </row>
    <row r="34212" spans="9:13" x14ac:dyDescent="0.3">
      <c r="I34212" s="82"/>
      <c r="M34212" s="85"/>
    </row>
    <row r="34213" spans="9:13" x14ac:dyDescent="0.3">
      <c r="I34213" s="82"/>
      <c r="M34213" s="85"/>
    </row>
    <row r="34214" spans="9:13" x14ac:dyDescent="0.3">
      <c r="I34214" s="82"/>
      <c r="M34214" s="85"/>
    </row>
    <row r="34215" spans="9:13" x14ac:dyDescent="0.3">
      <c r="I34215" s="82"/>
      <c r="M34215" s="85"/>
    </row>
    <row r="34216" spans="9:13" x14ac:dyDescent="0.3">
      <c r="I34216" s="82"/>
      <c r="M34216" s="85"/>
    </row>
    <row r="34217" spans="9:13" x14ac:dyDescent="0.3">
      <c r="I34217" s="82"/>
      <c r="M34217" s="85"/>
    </row>
    <row r="34218" spans="9:13" x14ac:dyDescent="0.3">
      <c r="I34218" s="82"/>
      <c r="M34218" s="85"/>
    </row>
    <row r="34219" spans="9:13" x14ac:dyDescent="0.3">
      <c r="I34219" s="82"/>
      <c r="M34219" s="85"/>
    </row>
    <row r="34220" spans="9:13" x14ac:dyDescent="0.3">
      <c r="I34220" s="82"/>
      <c r="M34220" s="85"/>
    </row>
    <row r="34221" spans="9:13" x14ac:dyDescent="0.3">
      <c r="I34221" s="82"/>
      <c r="M34221" s="85"/>
    </row>
    <row r="34222" spans="9:13" x14ac:dyDescent="0.3">
      <c r="I34222" s="82"/>
      <c r="M34222" s="85"/>
    </row>
    <row r="34223" spans="9:13" x14ac:dyDescent="0.3">
      <c r="I34223" s="82"/>
      <c r="M34223" s="85"/>
    </row>
    <row r="34224" spans="9:13" x14ac:dyDescent="0.3">
      <c r="I34224" s="82"/>
      <c r="M34224" s="85"/>
    </row>
    <row r="34225" spans="9:13" x14ac:dyDescent="0.3">
      <c r="I34225" s="82"/>
      <c r="M34225" s="85"/>
    </row>
    <row r="34226" spans="9:13" x14ac:dyDescent="0.3">
      <c r="I34226" s="82"/>
      <c r="M34226" s="85"/>
    </row>
    <row r="34227" spans="9:13" x14ac:dyDescent="0.3">
      <c r="I34227" s="82"/>
      <c r="M34227" s="85"/>
    </row>
    <row r="34228" spans="9:13" x14ac:dyDescent="0.3">
      <c r="I34228" s="82"/>
      <c r="M34228" s="85"/>
    </row>
    <row r="34229" spans="9:13" x14ac:dyDescent="0.3">
      <c r="I34229" s="82"/>
      <c r="M34229" s="85"/>
    </row>
    <row r="34230" spans="9:13" x14ac:dyDescent="0.3">
      <c r="I34230" s="82"/>
      <c r="M34230" s="85"/>
    </row>
    <row r="34231" spans="9:13" x14ac:dyDescent="0.3">
      <c r="I34231" s="82"/>
      <c r="M34231" s="85"/>
    </row>
    <row r="34232" spans="9:13" x14ac:dyDescent="0.3">
      <c r="I34232" s="82"/>
      <c r="M34232" s="85"/>
    </row>
    <row r="34233" spans="9:13" x14ac:dyDescent="0.3">
      <c r="I34233" s="82"/>
      <c r="M34233" s="85"/>
    </row>
    <row r="34234" spans="9:13" x14ac:dyDescent="0.3">
      <c r="I34234" s="82"/>
      <c r="M34234" s="85"/>
    </row>
    <row r="34235" spans="9:13" x14ac:dyDescent="0.3">
      <c r="I34235" s="82"/>
      <c r="M34235" s="85"/>
    </row>
    <row r="34236" spans="9:13" x14ac:dyDescent="0.3">
      <c r="I34236" s="82"/>
      <c r="M34236" s="85"/>
    </row>
    <row r="34237" spans="9:13" x14ac:dyDescent="0.3">
      <c r="I34237" s="82"/>
      <c r="M34237" s="85"/>
    </row>
    <row r="34238" spans="9:13" x14ac:dyDescent="0.3">
      <c r="I34238" s="82"/>
      <c r="M34238" s="85"/>
    </row>
    <row r="34239" spans="9:13" x14ac:dyDescent="0.3">
      <c r="I34239" s="82"/>
      <c r="M34239" s="85"/>
    </row>
    <row r="34240" spans="9:13" x14ac:dyDescent="0.3">
      <c r="I34240" s="82"/>
      <c r="M34240" s="85"/>
    </row>
    <row r="34241" spans="9:13" x14ac:dyDescent="0.3">
      <c r="I34241" s="82"/>
      <c r="M34241" s="85"/>
    </row>
    <row r="34242" spans="9:13" x14ac:dyDescent="0.3">
      <c r="I34242" s="82"/>
      <c r="M34242" s="85"/>
    </row>
    <row r="34243" spans="9:13" x14ac:dyDescent="0.3">
      <c r="I34243" s="82"/>
      <c r="M34243" s="85"/>
    </row>
    <row r="34244" spans="9:13" x14ac:dyDescent="0.3">
      <c r="I34244" s="82"/>
      <c r="M34244" s="85"/>
    </row>
    <row r="34245" spans="9:13" x14ac:dyDescent="0.3">
      <c r="I34245" s="82"/>
      <c r="M34245" s="85"/>
    </row>
    <row r="34246" spans="9:13" x14ac:dyDescent="0.3">
      <c r="I34246" s="82"/>
      <c r="M34246" s="85"/>
    </row>
    <row r="34247" spans="9:13" x14ac:dyDescent="0.3">
      <c r="I34247" s="82"/>
      <c r="M34247" s="85"/>
    </row>
    <row r="34248" spans="9:13" x14ac:dyDescent="0.3">
      <c r="I34248" s="82"/>
      <c r="M34248" s="85"/>
    </row>
    <row r="34249" spans="9:13" x14ac:dyDescent="0.3">
      <c r="I34249" s="82"/>
      <c r="M34249" s="85"/>
    </row>
    <row r="34250" spans="9:13" x14ac:dyDescent="0.3">
      <c r="I34250" s="82"/>
      <c r="M34250" s="85"/>
    </row>
    <row r="34251" spans="9:13" x14ac:dyDescent="0.3">
      <c r="I34251" s="82"/>
      <c r="M34251" s="85"/>
    </row>
    <row r="34252" spans="9:13" x14ac:dyDescent="0.3">
      <c r="I34252" s="82"/>
      <c r="M34252" s="85"/>
    </row>
    <row r="34253" spans="9:13" x14ac:dyDescent="0.3">
      <c r="I34253" s="82"/>
      <c r="M34253" s="85"/>
    </row>
    <row r="34254" spans="9:13" x14ac:dyDescent="0.3">
      <c r="I34254" s="82"/>
      <c r="M34254" s="85"/>
    </row>
    <row r="34255" spans="9:13" x14ac:dyDescent="0.3">
      <c r="I34255" s="82"/>
      <c r="M34255" s="85"/>
    </row>
    <row r="34256" spans="9:13" x14ac:dyDescent="0.3">
      <c r="I34256" s="82"/>
      <c r="M34256" s="85"/>
    </row>
    <row r="34257" spans="9:13" x14ac:dyDescent="0.3">
      <c r="I34257" s="82"/>
      <c r="M34257" s="85"/>
    </row>
    <row r="34258" spans="9:13" x14ac:dyDescent="0.3">
      <c r="I34258" s="82"/>
      <c r="M34258" s="85"/>
    </row>
    <row r="34259" spans="9:13" x14ac:dyDescent="0.3">
      <c r="I34259" s="82"/>
      <c r="M34259" s="85"/>
    </row>
    <row r="34260" spans="9:13" x14ac:dyDescent="0.3">
      <c r="I34260" s="82"/>
      <c r="M34260" s="85"/>
    </row>
    <row r="34261" spans="9:13" x14ac:dyDescent="0.3">
      <c r="I34261" s="82"/>
      <c r="M34261" s="85"/>
    </row>
    <row r="34262" spans="9:13" x14ac:dyDescent="0.3">
      <c r="I34262" s="82"/>
      <c r="M34262" s="85"/>
    </row>
    <row r="34263" spans="9:13" x14ac:dyDescent="0.3">
      <c r="I34263" s="82"/>
      <c r="M34263" s="85"/>
    </row>
    <row r="34264" spans="9:13" x14ac:dyDescent="0.3">
      <c r="I34264" s="82"/>
      <c r="M34264" s="85"/>
    </row>
    <row r="34265" spans="9:13" x14ac:dyDescent="0.3">
      <c r="I34265" s="82"/>
      <c r="M34265" s="85"/>
    </row>
    <row r="34266" spans="9:13" x14ac:dyDescent="0.3">
      <c r="I34266" s="82"/>
      <c r="M34266" s="85"/>
    </row>
    <row r="34267" spans="9:13" x14ac:dyDescent="0.3">
      <c r="I34267" s="82"/>
      <c r="M34267" s="85"/>
    </row>
    <row r="34268" spans="9:13" x14ac:dyDescent="0.3">
      <c r="I34268" s="82"/>
      <c r="M34268" s="85"/>
    </row>
    <row r="34269" spans="9:13" x14ac:dyDescent="0.3">
      <c r="I34269" s="82"/>
      <c r="M34269" s="85"/>
    </row>
    <row r="34270" spans="9:13" x14ac:dyDescent="0.3">
      <c r="I34270" s="82"/>
      <c r="M34270" s="85"/>
    </row>
    <row r="34271" spans="9:13" x14ac:dyDescent="0.3">
      <c r="I34271" s="82"/>
      <c r="M34271" s="85"/>
    </row>
    <row r="34272" spans="9:13" x14ac:dyDescent="0.3">
      <c r="I34272" s="82"/>
      <c r="M34272" s="85"/>
    </row>
    <row r="34273" spans="9:13" x14ac:dyDescent="0.3">
      <c r="I34273" s="82"/>
      <c r="M34273" s="85"/>
    </row>
    <row r="34274" spans="9:13" x14ac:dyDescent="0.3">
      <c r="I34274" s="82"/>
      <c r="M34274" s="85"/>
    </row>
    <row r="34275" spans="9:13" x14ac:dyDescent="0.3">
      <c r="I34275" s="82"/>
      <c r="M34275" s="85"/>
    </row>
    <row r="34276" spans="9:13" x14ac:dyDescent="0.3">
      <c r="I34276" s="82"/>
      <c r="M34276" s="85"/>
    </row>
    <row r="34277" spans="9:13" x14ac:dyDescent="0.3">
      <c r="I34277" s="82"/>
      <c r="M34277" s="85"/>
    </row>
    <row r="34278" spans="9:13" x14ac:dyDescent="0.3">
      <c r="I34278" s="82"/>
      <c r="M34278" s="85"/>
    </row>
    <row r="34279" spans="9:13" x14ac:dyDescent="0.3">
      <c r="I34279" s="82"/>
      <c r="M34279" s="85"/>
    </row>
    <row r="34280" spans="9:13" x14ac:dyDescent="0.3">
      <c r="I34280" s="82"/>
      <c r="M34280" s="85"/>
    </row>
    <row r="34281" spans="9:13" x14ac:dyDescent="0.3">
      <c r="I34281" s="82"/>
      <c r="M34281" s="85"/>
    </row>
    <row r="34282" spans="9:13" x14ac:dyDescent="0.3">
      <c r="I34282" s="82"/>
      <c r="M34282" s="85"/>
    </row>
    <row r="34283" spans="9:13" x14ac:dyDescent="0.3">
      <c r="I34283" s="82"/>
      <c r="M34283" s="85"/>
    </row>
    <row r="34284" spans="9:13" x14ac:dyDescent="0.3">
      <c r="I34284" s="82"/>
      <c r="M34284" s="85"/>
    </row>
    <row r="34285" spans="9:13" x14ac:dyDescent="0.3">
      <c r="I34285" s="82"/>
      <c r="M34285" s="85"/>
    </row>
    <row r="34286" spans="9:13" x14ac:dyDescent="0.3">
      <c r="I34286" s="82"/>
      <c r="M34286" s="85"/>
    </row>
    <row r="34287" spans="9:13" x14ac:dyDescent="0.3">
      <c r="I34287" s="82"/>
      <c r="M34287" s="85"/>
    </row>
    <row r="34288" spans="9:13" x14ac:dyDescent="0.3">
      <c r="I34288" s="82"/>
      <c r="M34288" s="85"/>
    </row>
    <row r="34289" spans="9:13" x14ac:dyDescent="0.3">
      <c r="I34289" s="82"/>
      <c r="M34289" s="85"/>
    </row>
    <row r="34290" spans="9:13" x14ac:dyDescent="0.3">
      <c r="I34290" s="82"/>
      <c r="M34290" s="85"/>
    </row>
    <row r="34291" spans="9:13" x14ac:dyDescent="0.3">
      <c r="I34291" s="82"/>
      <c r="M34291" s="85"/>
    </row>
    <row r="34292" spans="9:13" x14ac:dyDescent="0.3">
      <c r="I34292" s="82"/>
      <c r="M34292" s="85"/>
    </row>
    <row r="34293" spans="9:13" x14ac:dyDescent="0.3">
      <c r="I34293" s="82"/>
      <c r="M34293" s="85"/>
    </row>
    <row r="34294" spans="9:13" x14ac:dyDescent="0.3">
      <c r="I34294" s="82"/>
      <c r="M34294" s="85"/>
    </row>
    <row r="34295" spans="9:13" x14ac:dyDescent="0.3">
      <c r="I34295" s="82"/>
      <c r="M34295" s="85"/>
    </row>
    <row r="34296" spans="9:13" x14ac:dyDescent="0.3">
      <c r="I34296" s="82"/>
      <c r="M34296" s="85"/>
    </row>
    <row r="34297" spans="9:13" x14ac:dyDescent="0.3">
      <c r="I34297" s="82"/>
      <c r="M34297" s="85"/>
    </row>
    <row r="34298" spans="9:13" x14ac:dyDescent="0.3">
      <c r="I34298" s="82"/>
      <c r="M34298" s="85"/>
    </row>
    <row r="34299" spans="9:13" x14ac:dyDescent="0.3">
      <c r="I34299" s="82"/>
      <c r="M34299" s="85"/>
    </row>
    <row r="34300" spans="9:13" x14ac:dyDescent="0.3">
      <c r="I34300" s="82"/>
      <c r="M34300" s="85"/>
    </row>
    <row r="34301" spans="9:13" x14ac:dyDescent="0.3">
      <c r="I34301" s="82"/>
      <c r="M34301" s="85"/>
    </row>
    <row r="34302" spans="9:13" x14ac:dyDescent="0.3">
      <c r="I34302" s="82"/>
      <c r="M34302" s="85"/>
    </row>
    <row r="34303" spans="9:13" x14ac:dyDescent="0.3">
      <c r="I34303" s="82"/>
      <c r="M34303" s="85"/>
    </row>
    <row r="34304" spans="9:13" x14ac:dyDescent="0.3">
      <c r="I34304" s="82"/>
      <c r="M34304" s="85"/>
    </row>
    <row r="34305" spans="9:13" x14ac:dyDescent="0.3">
      <c r="I34305" s="82"/>
      <c r="M34305" s="85"/>
    </row>
    <row r="34306" spans="9:13" x14ac:dyDescent="0.3">
      <c r="I34306" s="82"/>
      <c r="M34306" s="85"/>
    </row>
    <row r="34307" spans="9:13" x14ac:dyDescent="0.3">
      <c r="I34307" s="82"/>
      <c r="M34307" s="85"/>
    </row>
    <row r="34308" spans="9:13" x14ac:dyDescent="0.3">
      <c r="I34308" s="82"/>
      <c r="M34308" s="85"/>
    </row>
    <row r="34309" spans="9:13" x14ac:dyDescent="0.3">
      <c r="I34309" s="82"/>
      <c r="M34309" s="85"/>
    </row>
    <row r="34310" spans="9:13" x14ac:dyDescent="0.3">
      <c r="I34310" s="82"/>
      <c r="M34310" s="85"/>
    </row>
    <row r="34311" spans="9:13" x14ac:dyDescent="0.3">
      <c r="I34311" s="82"/>
      <c r="M34311" s="85"/>
    </row>
    <row r="34312" spans="9:13" x14ac:dyDescent="0.3">
      <c r="I34312" s="82"/>
      <c r="M34312" s="85"/>
    </row>
    <row r="34313" spans="9:13" x14ac:dyDescent="0.3">
      <c r="I34313" s="82"/>
      <c r="M34313" s="85"/>
    </row>
    <row r="34314" spans="9:13" x14ac:dyDescent="0.3">
      <c r="I34314" s="82"/>
      <c r="M34314" s="85"/>
    </row>
    <row r="34315" spans="9:13" x14ac:dyDescent="0.3">
      <c r="I34315" s="82"/>
      <c r="M34315" s="85"/>
    </row>
    <row r="34316" spans="9:13" x14ac:dyDescent="0.3">
      <c r="I34316" s="82"/>
      <c r="M34316" s="85"/>
    </row>
    <row r="34317" spans="9:13" x14ac:dyDescent="0.3">
      <c r="I34317" s="82"/>
      <c r="M34317" s="85"/>
    </row>
    <row r="34318" spans="9:13" x14ac:dyDescent="0.3">
      <c r="I34318" s="82"/>
      <c r="M34318" s="85"/>
    </row>
    <row r="34319" spans="9:13" x14ac:dyDescent="0.3">
      <c r="I34319" s="82"/>
      <c r="M34319" s="85"/>
    </row>
    <row r="34320" spans="9:13" x14ac:dyDescent="0.3">
      <c r="I34320" s="82"/>
      <c r="M34320" s="85"/>
    </row>
    <row r="34321" spans="9:13" x14ac:dyDescent="0.3">
      <c r="I34321" s="82"/>
      <c r="M34321" s="85"/>
    </row>
    <row r="34322" spans="9:13" x14ac:dyDescent="0.3">
      <c r="I34322" s="82"/>
      <c r="M34322" s="85"/>
    </row>
    <row r="34323" spans="9:13" x14ac:dyDescent="0.3">
      <c r="I34323" s="82"/>
      <c r="M34323" s="85"/>
    </row>
    <row r="34324" spans="9:13" x14ac:dyDescent="0.3">
      <c r="I34324" s="82"/>
      <c r="M34324" s="85"/>
    </row>
    <row r="34325" spans="9:13" x14ac:dyDescent="0.3">
      <c r="I34325" s="82"/>
      <c r="M34325" s="85"/>
    </row>
    <row r="34326" spans="9:13" x14ac:dyDescent="0.3">
      <c r="I34326" s="82"/>
      <c r="M34326" s="85"/>
    </row>
    <row r="34327" spans="9:13" x14ac:dyDescent="0.3">
      <c r="I34327" s="82"/>
      <c r="M34327" s="85"/>
    </row>
    <row r="34328" spans="9:13" x14ac:dyDescent="0.3">
      <c r="I34328" s="82"/>
      <c r="M34328" s="85"/>
    </row>
    <row r="34329" spans="9:13" x14ac:dyDescent="0.3">
      <c r="I34329" s="82"/>
      <c r="M34329" s="85"/>
    </row>
    <row r="34330" spans="9:13" x14ac:dyDescent="0.3">
      <c r="I34330" s="82"/>
      <c r="M34330" s="85"/>
    </row>
    <row r="34331" spans="9:13" x14ac:dyDescent="0.3">
      <c r="I34331" s="82"/>
      <c r="M34331" s="85"/>
    </row>
    <row r="34332" spans="9:13" x14ac:dyDescent="0.3">
      <c r="I34332" s="82"/>
      <c r="M34332" s="85"/>
    </row>
    <row r="34333" spans="9:13" x14ac:dyDescent="0.3">
      <c r="I34333" s="82"/>
      <c r="M34333" s="85"/>
    </row>
    <row r="34334" spans="9:13" x14ac:dyDescent="0.3">
      <c r="I34334" s="82"/>
      <c r="M34334" s="85"/>
    </row>
    <row r="34335" spans="9:13" x14ac:dyDescent="0.3">
      <c r="I34335" s="82"/>
      <c r="M34335" s="85"/>
    </row>
    <row r="34336" spans="9:13" x14ac:dyDescent="0.3">
      <c r="I34336" s="82"/>
      <c r="M34336" s="85"/>
    </row>
    <row r="34337" spans="9:13" x14ac:dyDescent="0.3">
      <c r="I34337" s="82"/>
      <c r="M34337" s="85"/>
    </row>
    <row r="34338" spans="9:13" x14ac:dyDescent="0.3">
      <c r="I34338" s="82"/>
      <c r="M34338" s="85"/>
    </row>
    <row r="34339" spans="9:13" x14ac:dyDescent="0.3">
      <c r="I34339" s="82"/>
      <c r="M34339" s="85"/>
    </row>
    <row r="34340" spans="9:13" x14ac:dyDescent="0.3">
      <c r="I34340" s="82"/>
      <c r="M34340" s="85"/>
    </row>
    <row r="34341" spans="9:13" x14ac:dyDescent="0.3">
      <c r="I34341" s="82"/>
      <c r="M34341" s="85"/>
    </row>
    <row r="34342" spans="9:13" x14ac:dyDescent="0.3">
      <c r="I34342" s="82"/>
      <c r="M34342" s="85"/>
    </row>
    <row r="34343" spans="9:13" x14ac:dyDescent="0.3">
      <c r="I34343" s="82"/>
      <c r="M34343" s="85"/>
    </row>
    <row r="34344" spans="9:13" x14ac:dyDescent="0.3">
      <c r="I34344" s="82"/>
      <c r="M34344" s="85"/>
    </row>
    <row r="34345" spans="9:13" x14ac:dyDescent="0.3">
      <c r="I34345" s="82"/>
      <c r="M34345" s="85"/>
    </row>
    <row r="34346" spans="9:13" x14ac:dyDescent="0.3">
      <c r="I34346" s="82"/>
      <c r="M34346" s="85"/>
    </row>
    <row r="34347" spans="9:13" x14ac:dyDescent="0.3">
      <c r="I34347" s="82"/>
      <c r="M34347" s="85"/>
    </row>
    <row r="34348" spans="9:13" x14ac:dyDescent="0.3">
      <c r="I34348" s="82"/>
      <c r="M34348" s="85"/>
    </row>
    <row r="34349" spans="9:13" x14ac:dyDescent="0.3">
      <c r="I34349" s="82"/>
      <c r="M34349" s="85"/>
    </row>
    <row r="34350" spans="9:13" x14ac:dyDescent="0.3">
      <c r="I34350" s="82"/>
      <c r="M34350" s="85"/>
    </row>
    <row r="34351" spans="9:13" x14ac:dyDescent="0.3">
      <c r="I34351" s="82"/>
      <c r="M34351" s="85"/>
    </row>
    <row r="34352" spans="9:13" x14ac:dyDescent="0.3">
      <c r="I34352" s="82"/>
      <c r="M34352" s="85"/>
    </row>
    <row r="34353" spans="9:13" x14ac:dyDescent="0.3">
      <c r="I34353" s="82"/>
      <c r="M34353" s="85"/>
    </row>
    <row r="34354" spans="9:13" x14ac:dyDescent="0.3">
      <c r="I34354" s="82"/>
      <c r="M34354" s="85"/>
    </row>
    <row r="34355" spans="9:13" x14ac:dyDescent="0.3">
      <c r="I34355" s="82"/>
      <c r="M34355" s="85"/>
    </row>
    <row r="34356" spans="9:13" x14ac:dyDescent="0.3">
      <c r="I34356" s="82"/>
      <c r="M34356" s="85"/>
    </row>
    <row r="34357" spans="9:13" x14ac:dyDescent="0.3">
      <c r="I34357" s="82"/>
      <c r="M34357" s="85"/>
    </row>
    <row r="34358" spans="9:13" x14ac:dyDescent="0.3">
      <c r="I34358" s="82"/>
      <c r="M34358" s="85"/>
    </row>
    <row r="34359" spans="9:13" x14ac:dyDescent="0.3">
      <c r="I34359" s="82"/>
      <c r="M34359" s="85"/>
    </row>
    <row r="34360" spans="9:13" x14ac:dyDescent="0.3">
      <c r="I34360" s="82"/>
      <c r="M34360" s="85"/>
    </row>
    <row r="34361" spans="9:13" x14ac:dyDescent="0.3">
      <c r="I34361" s="82"/>
      <c r="M34361" s="85"/>
    </row>
    <row r="34362" spans="9:13" x14ac:dyDescent="0.3">
      <c r="I34362" s="82"/>
      <c r="M34362" s="85"/>
    </row>
    <row r="34363" spans="9:13" x14ac:dyDescent="0.3">
      <c r="I34363" s="82"/>
      <c r="M34363" s="85"/>
    </row>
    <row r="34364" spans="9:13" x14ac:dyDescent="0.3">
      <c r="I34364" s="82"/>
      <c r="M34364" s="85"/>
    </row>
    <row r="34365" spans="9:13" x14ac:dyDescent="0.3">
      <c r="I34365" s="82"/>
      <c r="M34365" s="85"/>
    </row>
    <row r="34366" spans="9:13" x14ac:dyDescent="0.3">
      <c r="I34366" s="82"/>
      <c r="M34366" s="85"/>
    </row>
    <row r="34367" spans="9:13" x14ac:dyDescent="0.3">
      <c r="I34367" s="82"/>
      <c r="M34367" s="85"/>
    </row>
    <row r="34368" spans="9:13" x14ac:dyDescent="0.3">
      <c r="I34368" s="82"/>
      <c r="M34368" s="85"/>
    </row>
    <row r="34369" spans="9:13" x14ac:dyDescent="0.3">
      <c r="I34369" s="82"/>
      <c r="M34369" s="85"/>
    </row>
    <row r="34370" spans="9:13" x14ac:dyDescent="0.3">
      <c r="I34370" s="82"/>
      <c r="M34370" s="85"/>
    </row>
    <row r="34371" spans="9:13" x14ac:dyDescent="0.3">
      <c r="I34371" s="82"/>
      <c r="M34371" s="85"/>
    </row>
    <row r="34372" spans="9:13" x14ac:dyDescent="0.3">
      <c r="I34372" s="82"/>
      <c r="M34372" s="85"/>
    </row>
    <row r="34373" spans="9:13" x14ac:dyDescent="0.3">
      <c r="I34373" s="82"/>
      <c r="M34373" s="85"/>
    </row>
    <row r="34374" spans="9:13" x14ac:dyDescent="0.3">
      <c r="I34374" s="82"/>
      <c r="M34374" s="85"/>
    </row>
    <row r="34375" spans="9:13" x14ac:dyDescent="0.3">
      <c r="I34375" s="82"/>
      <c r="M34375" s="85"/>
    </row>
    <row r="34376" spans="9:13" x14ac:dyDescent="0.3">
      <c r="I34376" s="82"/>
      <c r="M34376" s="85"/>
    </row>
    <row r="34377" spans="9:13" x14ac:dyDescent="0.3">
      <c r="I34377" s="82"/>
      <c r="M34377" s="85"/>
    </row>
    <row r="34378" spans="9:13" x14ac:dyDescent="0.3">
      <c r="I34378" s="82"/>
      <c r="M34378" s="85"/>
    </row>
    <row r="34379" spans="9:13" x14ac:dyDescent="0.3">
      <c r="I34379" s="82"/>
      <c r="M34379" s="85"/>
    </row>
    <row r="34380" spans="9:13" x14ac:dyDescent="0.3">
      <c r="I34380" s="82"/>
      <c r="M34380" s="85"/>
    </row>
    <row r="34381" spans="9:13" x14ac:dyDescent="0.3">
      <c r="I34381" s="82"/>
      <c r="M34381" s="85"/>
    </row>
    <row r="34382" spans="9:13" x14ac:dyDescent="0.3">
      <c r="I34382" s="82"/>
      <c r="M34382" s="85"/>
    </row>
    <row r="34383" spans="9:13" x14ac:dyDescent="0.3">
      <c r="I34383" s="82"/>
      <c r="M34383" s="85"/>
    </row>
    <row r="34384" spans="9:13" x14ac:dyDescent="0.3">
      <c r="I34384" s="82"/>
      <c r="M34384" s="85"/>
    </row>
    <row r="34385" spans="9:13" x14ac:dyDescent="0.3">
      <c r="I34385" s="82"/>
      <c r="M34385" s="85"/>
    </row>
    <row r="34386" spans="9:13" x14ac:dyDescent="0.3">
      <c r="I34386" s="82"/>
      <c r="M34386" s="85"/>
    </row>
    <row r="34387" spans="9:13" x14ac:dyDescent="0.3">
      <c r="I34387" s="82"/>
      <c r="M34387" s="85"/>
    </row>
    <row r="34388" spans="9:13" x14ac:dyDescent="0.3">
      <c r="I34388" s="82"/>
      <c r="M34388" s="85"/>
    </row>
    <row r="34389" spans="9:13" x14ac:dyDescent="0.3">
      <c r="I34389" s="82"/>
      <c r="M34389" s="85"/>
    </row>
    <row r="34390" spans="9:13" x14ac:dyDescent="0.3">
      <c r="I34390" s="82"/>
      <c r="M34390" s="85"/>
    </row>
    <row r="34391" spans="9:13" x14ac:dyDescent="0.3">
      <c r="I34391" s="82"/>
      <c r="M34391" s="85"/>
    </row>
    <row r="34392" spans="9:13" x14ac:dyDescent="0.3">
      <c r="I34392" s="82"/>
      <c r="M34392" s="85"/>
    </row>
    <row r="34393" spans="9:13" x14ac:dyDescent="0.3">
      <c r="I34393" s="82"/>
      <c r="M34393" s="85"/>
    </row>
    <row r="34394" spans="9:13" x14ac:dyDescent="0.3">
      <c r="I34394" s="82"/>
      <c r="M34394" s="85"/>
    </row>
    <row r="34395" spans="9:13" x14ac:dyDescent="0.3">
      <c r="I34395" s="82"/>
      <c r="M34395" s="85"/>
    </row>
    <row r="34396" spans="9:13" x14ac:dyDescent="0.3">
      <c r="I34396" s="82"/>
      <c r="M34396" s="85"/>
    </row>
    <row r="34397" spans="9:13" x14ac:dyDescent="0.3">
      <c r="I34397" s="82"/>
      <c r="M34397" s="85"/>
    </row>
    <row r="34398" spans="9:13" x14ac:dyDescent="0.3">
      <c r="I34398" s="82"/>
      <c r="M34398" s="85"/>
    </row>
    <row r="34399" spans="9:13" x14ac:dyDescent="0.3">
      <c r="I34399" s="82"/>
      <c r="M34399" s="85"/>
    </row>
    <row r="34400" spans="9:13" x14ac:dyDescent="0.3">
      <c r="I34400" s="82"/>
      <c r="M34400" s="85"/>
    </row>
    <row r="34401" spans="9:13" x14ac:dyDescent="0.3">
      <c r="I34401" s="82"/>
      <c r="M34401" s="85"/>
    </row>
    <row r="34402" spans="9:13" x14ac:dyDescent="0.3">
      <c r="I34402" s="82"/>
      <c r="M34402" s="85"/>
    </row>
    <row r="34403" spans="9:13" x14ac:dyDescent="0.3">
      <c r="I34403" s="82"/>
      <c r="M34403" s="85"/>
    </row>
    <row r="34404" spans="9:13" x14ac:dyDescent="0.3">
      <c r="I34404" s="82"/>
      <c r="M34404" s="85"/>
    </row>
    <row r="34405" spans="9:13" x14ac:dyDescent="0.3">
      <c r="I34405" s="82"/>
      <c r="M34405" s="85"/>
    </row>
    <row r="34406" spans="9:13" x14ac:dyDescent="0.3">
      <c r="I34406" s="82"/>
      <c r="M34406" s="85"/>
    </row>
    <row r="34407" spans="9:13" x14ac:dyDescent="0.3">
      <c r="I34407" s="82"/>
      <c r="M34407" s="85"/>
    </row>
    <row r="34408" spans="9:13" x14ac:dyDescent="0.3">
      <c r="I34408" s="82"/>
      <c r="M34408" s="85"/>
    </row>
    <row r="34409" spans="9:13" x14ac:dyDescent="0.3">
      <c r="I34409" s="82"/>
      <c r="M34409" s="85"/>
    </row>
    <row r="34410" spans="9:13" x14ac:dyDescent="0.3">
      <c r="I34410" s="82"/>
      <c r="M34410" s="85"/>
    </row>
    <row r="34411" spans="9:13" x14ac:dyDescent="0.3">
      <c r="I34411" s="82"/>
      <c r="M34411" s="85"/>
    </row>
    <row r="34412" spans="9:13" x14ac:dyDescent="0.3">
      <c r="I34412" s="82"/>
      <c r="M34412" s="85"/>
    </row>
    <row r="34413" spans="9:13" x14ac:dyDescent="0.3">
      <c r="I34413" s="82"/>
      <c r="M34413" s="85"/>
    </row>
    <row r="34414" spans="9:13" x14ac:dyDescent="0.3">
      <c r="I34414" s="82"/>
      <c r="M34414" s="85"/>
    </row>
    <row r="34415" spans="9:13" x14ac:dyDescent="0.3">
      <c r="I34415" s="82"/>
      <c r="M34415" s="85"/>
    </row>
    <row r="34416" spans="9:13" x14ac:dyDescent="0.3">
      <c r="I34416" s="82"/>
      <c r="M34416" s="85"/>
    </row>
    <row r="34417" spans="9:13" x14ac:dyDescent="0.3">
      <c r="I34417" s="82"/>
      <c r="M34417" s="85"/>
    </row>
    <row r="34418" spans="9:13" x14ac:dyDescent="0.3">
      <c r="I34418" s="82"/>
      <c r="M34418" s="85"/>
    </row>
    <row r="34419" spans="9:13" x14ac:dyDescent="0.3">
      <c r="I34419" s="82"/>
      <c r="M34419" s="85"/>
    </row>
    <row r="34420" spans="9:13" x14ac:dyDescent="0.3">
      <c r="I34420" s="82"/>
      <c r="M34420" s="85"/>
    </row>
    <row r="34421" spans="9:13" x14ac:dyDescent="0.3">
      <c r="I34421" s="82"/>
      <c r="M34421" s="85"/>
    </row>
    <row r="34422" spans="9:13" x14ac:dyDescent="0.3">
      <c r="I34422" s="82"/>
      <c r="M34422" s="85"/>
    </row>
    <row r="34423" spans="9:13" x14ac:dyDescent="0.3">
      <c r="I34423" s="82"/>
      <c r="M34423" s="85"/>
    </row>
    <row r="34424" spans="9:13" x14ac:dyDescent="0.3">
      <c r="I34424" s="82"/>
      <c r="M34424" s="85"/>
    </row>
    <row r="34425" spans="9:13" x14ac:dyDescent="0.3">
      <c r="I34425" s="82"/>
      <c r="M34425" s="85"/>
    </row>
    <row r="34426" spans="9:13" x14ac:dyDescent="0.3">
      <c r="I34426" s="82"/>
      <c r="M34426" s="85"/>
    </row>
    <row r="34427" spans="9:13" x14ac:dyDescent="0.3">
      <c r="I34427" s="82"/>
      <c r="M34427" s="85"/>
    </row>
    <row r="34428" spans="9:13" x14ac:dyDescent="0.3">
      <c r="I34428" s="82"/>
      <c r="M34428" s="85"/>
    </row>
    <row r="34429" spans="9:13" x14ac:dyDescent="0.3">
      <c r="I34429" s="82"/>
      <c r="M34429" s="85"/>
    </row>
    <row r="34430" spans="9:13" x14ac:dyDescent="0.3">
      <c r="I34430" s="82"/>
      <c r="M34430" s="85"/>
    </row>
    <row r="34431" spans="9:13" x14ac:dyDescent="0.3">
      <c r="I34431" s="82"/>
      <c r="M34431" s="85"/>
    </row>
    <row r="34432" spans="9:13" x14ac:dyDescent="0.3">
      <c r="I34432" s="82"/>
      <c r="M34432" s="85"/>
    </row>
    <row r="34433" spans="9:13" x14ac:dyDescent="0.3">
      <c r="I34433" s="82"/>
      <c r="M34433" s="85"/>
    </row>
    <row r="34434" spans="9:13" x14ac:dyDescent="0.3">
      <c r="I34434" s="82"/>
      <c r="M34434" s="85"/>
    </row>
    <row r="34435" spans="9:13" x14ac:dyDescent="0.3">
      <c r="I34435" s="82"/>
      <c r="M34435" s="85"/>
    </row>
    <row r="34436" spans="9:13" x14ac:dyDescent="0.3">
      <c r="I34436" s="82"/>
      <c r="M34436" s="85"/>
    </row>
    <row r="34437" spans="9:13" x14ac:dyDescent="0.3">
      <c r="I34437" s="82"/>
      <c r="M34437" s="85"/>
    </row>
    <row r="34438" spans="9:13" x14ac:dyDescent="0.3">
      <c r="I34438" s="82"/>
      <c r="M34438" s="85"/>
    </row>
    <row r="34439" spans="9:13" x14ac:dyDescent="0.3">
      <c r="I34439" s="82"/>
      <c r="M34439" s="85"/>
    </row>
    <row r="34440" spans="9:13" x14ac:dyDescent="0.3">
      <c r="I34440" s="82"/>
      <c r="M34440" s="85"/>
    </row>
    <row r="34441" spans="9:13" x14ac:dyDescent="0.3">
      <c r="I34441" s="82"/>
      <c r="M34441" s="85"/>
    </row>
    <row r="34442" spans="9:13" x14ac:dyDescent="0.3">
      <c r="I34442" s="82"/>
      <c r="M34442" s="85"/>
    </row>
    <row r="34443" spans="9:13" x14ac:dyDescent="0.3">
      <c r="I34443" s="82"/>
      <c r="M34443" s="85"/>
    </row>
    <row r="34444" spans="9:13" x14ac:dyDescent="0.3">
      <c r="I34444" s="82"/>
      <c r="M34444" s="85"/>
    </row>
    <row r="34445" spans="9:13" x14ac:dyDescent="0.3">
      <c r="I34445" s="82"/>
      <c r="M34445" s="85"/>
    </row>
    <row r="34446" spans="9:13" x14ac:dyDescent="0.3">
      <c r="I34446" s="82"/>
      <c r="M34446" s="85"/>
    </row>
    <row r="34447" spans="9:13" x14ac:dyDescent="0.3">
      <c r="I34447" s="82"/>
      <c r="M34447" s="85"/>
    </row>
    <row r="34448" spans="9:13" x14ac:dyDescent="0.3">
      <c r="I34448" s="82"/>
      <c r="M34448" s="85"/>
    </row>
    <row r="34449" spans="9:13" x14ac:dyDescent="0.3">
      <c r="I34449" s="82"/>
      <c r="M34449" s="85"/>
    </row>
    <row r="34450" spans="9:13" x14ac:dyDescent="0.3">
      <c r="I34450" s="82"/>
      <c r="M34450" s="85"/>
    </row>
    <row r="34451" spans="9:13" x14ac:dyDescent="0.3">
      <c r="I34451" s="82"/>
      <c r="M34451" s="85"/>
    </row>
    <row r="34452" spans="9:13" x14ac:dyDescent="0.3">
      <c r="I34452" s="82"/>
      <c r="M34452" s="85"/>
    </row>
    <row r="34453" spans="9:13" x14ac:dyDescent="0.3">
      <c r="I34453" s="82"/>
      <c r="M34453" s="85"/>
    </row>
    <row r="34454" spans="9:13" x14ac:dyDescent="0.3">
      <c r="I34454" s="82"/>
      <c r="M34454" s="85"/>
    </row>
    <row r="34455" spans="9:13" x14ac:dyDescent="0.3">
      <c r="I34455" s="82"/>
      <c r="M34455" s="85"/>
    </row>
    <row r="34456" spans="9:13" x14ac:dyDescent="0.3">
      <c r="I34456" s="82"/>
      <c r="M34456" s="85"/>
    </row>
    <row r="34457" spans="9:13" x14ac:dyDescent="0.3">
      <c r="I34457" s="82"/>
      <c r="M34457" s="85"/>
    </row>
    <row r="34458" spans="9:13" x14ac:dyDescent="0.3">
      <c r="I34458" s="82"/>
      <c r="M34458" s="85"/>
    </row>
    <row r="34459" spans="9:13" x14ac:dyDescent="0.3">
      <c r="I34459" s="82"/>
      <c r="M34459" s="85"/>
    </row>
    <row r="34460" spans="9:13" x14ac:dyDescent="0.3">
      <c r="I34460" s="82"/>
      <c r="M34460" s="85"/>
    </row>
    <row r="34461" spans="9:13" x14ac:dyDescent="0.3">
      <c r="I34461" s="82"/>
      <c r="M34461" s="85"/>
    </row>
    <row r="34462" spans="9:13" x14ac:dyDescent="0.3">
      <c r="I34462" s="82"/>
      <c r="M34462" s="85"/>
    </row>
    <row r="34463" spans="9:13" x14ac:dyDescent="0.3">
      <c r="I34463" s="82"/>
      <c r="M34463" s="85"/>
    </row>
    <row r="34464" spans="9:13" x14ac:dyDescent="0.3">
      <c r="I34464" s="82"/>
      <c r="M34464" s="85"/>
    </row>
    <row r="34465" spans="9:13" x14ac:dyDescent="0.3">
      <c r="I34465" s="82"/>
      <c r="M34465" s="85"/>
    </row>
    <row r="34466" spans="9:13" x14ac:dyDescent="0.3">
      <c r="I34466" s="82"/>
      <c r="M34466" s="85"/>
    </row>
    <row r="34467" spans="9:13" x14ac:dyDescent="0.3">
      <c r="I34467" s="82"/>
      <c r="M34467" s="85"/>
    </row>
    <row r="34468" spans="9:13" x14ac:dyDescent="0.3">
      <c r="I34468" s="82"/>
      <c r="M34468" s="85"/>
    </row>
    <row r="34469" spans="9:13" x14ac:dyDescent="0.3">
      <c r="I34469" s="82"/>
      <c r="M34469" s="85"/>
    </row>
    <row r="34470" spans="9:13" x14ac:dyDescent="0.3">
      <c r="I34470" s="82"/>
      <c r="M34470" s="85"/>
    </row>
    <row r="34471" spans="9:13" x14ac:dyDescent="0.3">
      <c r="I34471" s="82"/>
      <c r="M34471" s="85"/>
    </row>
    <row r="34472" spans="9:13" x14ac:dyDescent="0.3">
      <c r="I34472" s="82"/>
      <c r="M34472" s="85"/>
    </row>
    <row r="34473" spans="9:13" x14ac:dyDescent="0.3">
      <c r="I34473" s="82"/>
      <c r="M34473" s="85"/>
    </row>
    <row r="34474" spans="9:13" x14ac:dyDescent="0.3">
      <c r="I34474" s="82"/>
      <c r="M34474" s="85"/>
    </row>
    <row r="34475" spans="9:13" x14ac:dyDescent="0.3">
      <c r="I34475" s="82"/>
      <c r="M34475" s="85"/>
    </row>
    <row r="34476" spans="9:13" x14ac:dyDescent="0.3">
      <c r="I34476" s="82"/>
      <c r="M34476" s="85"/>
    </row>
    <row r="34477" spans="9:13" x14ac:dyDescent="0.3">
      <c r="I34477" s="82"/>
      <c r="M34477" s="85"/>
    </row>
    <row r="34478" spans="9:13" x14ac:dyDescent="0.3">
      <c r="I34478" s="82"/>
      <c r="M34478" s="85"/>
    </row>
    <row r="34479" spans="9:13" x14ac:dyDescent="0.3">
      <c r="I34479" s="82"/>
      <c r="M34479" s="85"/>
    </row>
    <row r="34480" spans="9:13" x14ac:dyDescent="0.3">
      <c r="I34480" s="82"/>
      <c r="M34480" s="85"/>
    </row>
    <row r="34481" spans="9:13" x14ac:dyDescent="0.3">
      <c r="I34481" s="82"/>
      <c r="M34481" s="85"/>
    </row>
    <row r="34482" spans="9:13" x14ac:dyDescent="0.3">
      <c r="I34482" s="82"/>
      <c r="M34482" s="85"/>
    </row>
    <row r="34483" spans="9:13" x14ac:dyDescent="0.3">
      <c r="I34483" s="82"/>
      <c r="M34483" s="85"/>
    </row>
    <row r="34484" spans="9:13" x14ac:dyDescent="0.3">
      <c r="I34484" s="82"/>
      <c r="M34484" s="85"/>
    </row>
    <row r="34485" spans="9:13" x14ac:dyDescent="0.3">
      <c r="I34485" s="82"/>
      <c r="M34485" s="85"/>
    </row>
    <row r="34486" spans="9:13" x14ac:dyDescent="0.3">
      <c r="I34486" s="82"/>
      <c r="M34486" s="85"/>
    </row>
    <row r="34487" spans="9:13" x14ac:dyDescent="0.3">
      <c r="I34487" s="82"/>
      <c r="M34487" s="85"/>
    </row>
    <row r="34488" spans="9:13" x14ac:dyDescent="0.3">
      <c r="I34488" s="82"/>
      <c r="M34488" s="85"/>
    </row>
    <row r="34489" spans="9:13" x14ac:dyDescent="0.3">
      <c r="I34489" s="82"/>
      <c r="M34489" s="85"/>
    </row>
    <row r="34490" spans="9:13" x14ac:dyDescent="0.3">
      <c r="I34490" s="82"/>
      <c r="M34490" s="85"/>
    </row>
    <row r="34491" spans="9:13" x14ac:dyDescent="0.3">
      <c r="I34491" s="82"/>
      <c r="M34491" s="85"/>
    </row>
    <row r="34492" spans="9:13" x14ac:dyDescent="0.3">
      <c r="I34492" s="82"/>
      <c r="M34492" s="85"/>
    </row>
    <row r="34493" spans="9:13" x14ac:dyDescent="0.3">
      <c r="I34493" s="82"/>
      <c r="M34493" s="85"/>
    </row>
    <row r="34494" spans="9:13" x14ac:dyDescent="0.3">
      <c r="I34494" s="82"/>
      <c r="M34494" s="85"/>
    </row>
    <row r="34495" spans="9:13" x14ac:dyDescent="0.3">
      <c r="I34495" s="82"/>
      <c r="M34495" s="85"/>
    </row>
    <row r="34496" spans="9:13" x14ac:dyDescent="0.3">
      <c r="I34496" s="82"/>
      <c r="M34496" s="85"/>
    </row>
    <row r="34497" spans="9:13" x14ac:dyDescent="0.3">
      <c r="I34497" s="82"/>
      <c r="M34497" s="85"/>
    </row>
    <row r="34498" spans="9:13" x14ac:dyDescent="0.3">
      <c r="I34498" s="82"/>
      <c r="M34498" s="85"/>
    </row>
    <row r="34499" spans="9:13" x14ac:dyDescent="0.3">
      <c r="I34499" s="82"/>
      <c r="M34499" s="85"/>
    </row>
    <row r="34500" spans="9:13" x14ac:dyDescent="0.3">
      <c r="I34500" s="82"/>
      <c r="M34500" s="85"/>
    </row>
    <row r="34501" spans="9:13" x14ac:dyDescent="0.3">
      <c r="I34501" s="82"/>
      <c r="M34501" s="85"/>
    </row>
    <row r="34502" spans="9:13" x14ac:dyDescent="0.3">
      <c r="I34502" s="82"/>
      <c r="M34502" s="85"/>
    </row>
    <row r="34503" spans="9:13" x14ac:dyDescent="0.3">
      <c r="I34503" s="82"/>
      <c r="M34503" s="85"/>
    </row>
    <row r="34504" spans="9:13" x14ac:dyDescent="0.3">
      <c r="I34504" s="82"/>
      <c r="M34504" s="85"/>
    </row>
    <row r="34505" spans="9:13" x14ac:dyDescent="0.3">
      <c r="I34505" s="82"/>
      <c r="M34505" s="85"/>
    </row>
    <row r="34506" spans="9:13" x14ac:dyDescent="0.3">
      <c r="I34506" s="82"/>
      <c r="M34506" s="85"/>
    </row>
    <row r="34507" spans="9:13" x14ac:dyDescent="0.3">
      <c r="I34507" s="82"/>
      <c r="M34507" s="85"/>
    </row>
    <row r="34508" spans="9:13" x14ac:dyDescent="0.3">
      <c r="I34508" s="82"/>
      <c r="M34508" s="85"/>
    </row>
    <row r="34509" spans="9:13" x14ac:dyDescent="0.3">
      <c r="I34509" s="82"/>
      <c r="M34509" s="85"/>
    </row>
    <row r="34510" spans="9:13" x14ac:dyDescent="0.3">
      <c r="I34510" s="82"/>
      <c r="M34510" s="85"/>
    </row>
    <row r="34511" spans="9:13" x14ac:dyDescent="0.3">
      <c r="I34511" s="82"/>
      <c r="M34511" s="85"/>
    </row>
    <row r="34512" spans="9:13" x14ac:dyDescent="0.3">
      <c r="I34512" s="82"/>
      <c r="M34512" s="85"/>
    </row>
    <row r="34513" spans="9:13" x14ac:dyDescent="0.3">
      <c r="I34513" s="82"/>
      <c r="M34513" s="85"/>
    </row>
    <row r="34514" spans="9:13" x14ac:dyDescent="0.3">
      <c r="I34514" s="82"/>
      <c r="M34514" s="85"/>
    </row>
    <row r="34515" spans="9:13" x14ac:dyDescent="0.3">
      <c r="I34515" s="82"/>
      <c r="M34515" s="85"/>
    </row>
    <row r="34516" spans="9:13" x14ac:dyDescent="0.3">
      <c r="I34516" s="82"/>
      <c r="M34516" s="85"/>
    </row>
    <row r="34517" spans="9:13" x14ac:dyDescent="0.3">
      <c r="I34517" s="82"/>
      <c r="M34517" s="85"/>
    </row>
    <row r="34518" spans="9:13" x14ac:dyDescent="0.3">
      <c r="I34518" s="82"/>
      <c r="M34518" s="85"/>
    </row>
    <row r="34519" spans="9:13" x14ac:dyDescent="0.3">
      <c r="I34519" s="82"/>
      <c r="M34519" s="85"/>
    </row>
    <row r="34520" spans="9:13" x14ac:dyDescent="0.3">
      <c r="I34520" s="82"/>
      <c r="M34520" s="85"/>
    </row>
    <row r="34521" spans="9:13" x14ac:dyDescent="0.3">
      <c r="I34521" s="82"/>
      <c r="M34521" s="85"/>
    </row>
    <row r="34522" spans="9:13" x14ac:dyDescent="0.3">
      <c r="I34522" s="82"/>
      <c r="M34522" s="85"/>
    </row>
    <row r="34523" spans="9:13" x14ac:dyDescent="0.3">
      <c r="I34523" s="82"/>
      <c r="M34523" s="85"/>
    </row>
    <row r="34524" spans="9:13" x14ac:dyDescent="0.3">
      <c r="I34524" s="82"/>
      <c r="M34524" s="85"/>
    </row>
    <row r="34525" spans="9:13" x14ac:dyDescent="0.3">
      <c r="I34525" s="82"/>
      <c r="M34525" s="85"/>
    </row>
    <row r="34526" spans="9:13" x14ac:dyDescent="0.3">
      <c r="I34526" s="82"/>
      <c r="M34526" s="85"/>
    </row>
    <row r="34527" spans="9:13" x14ac:dyDescent="0.3">
      <c r="I34527" s="82"/>
      <c r="M34527" s="85"/>
    </row>
    <row r="34528" spans="9:13" x14ac:dyDescent="0.3">
      <c r="I34528" s="82"/>
      <c r="M34528" s="85"/>
    </row>
    <row r="34529" spans="9:13" x14ac:dyDescent="0.3">
      <c r="I34529" s="82"/>
      <c r="M34529" s="85"/>
    </row>
    <row r="34530" spans="9:13" x14ac:dyDescent="0.3">
      <c r="I34530" s="82"/>
      <c r="M34530" s="85"/>
    </row>
    <row r="34531" spans="9:13" x14ac:dyDescent="0.3">
      <c r="I34531" s="82"/>
      <c r="M34531" s="85"/>
    </row>
    <row r="34532" spans="9:13" x14ac:dyDescent="0.3">
      <c r="I34532" s="82"/>
      <c r="M34532" s="85"/>
    </row>
    <row r="34533" spans="9:13" x14ac:dyDescent="0.3">
      <c r="I34533" s="82"/>
      <c r="M34533" s="85"/>
    </row>
    <row r="34534" spans="9:13" x14ac:dyDescent="0.3">
      <c r="I34534" s="82"/>
      <c r="M34534" s="85"/>
    </row>
    <row r="34535" spans="9:13" x14ac:dyDescent="0.3">
      <c r="I34535" s="82"/>
      <c r="M34535" s="85"/>
    </row>
    <row r="34536" spans="9:13" x14ac:dyDescent="0.3">
      <c r="I34536" s="82"/>
      <c r="M34536" s="85"/>
    </row>
    <row r="34537" spans="9:13" x14ac:dyDescent="0.3">
      <c r="I34537" s="82"/>
      <c r="M34537" s="85"/>
    </row>
    <row r="34538" spans="9:13" x14ac:dyDescent="0.3">
      <c r="I34538" s="82"/>
      <c r="M34538" s="85"/>
    </row>
    <row r="34539" spans="9:13" x14ac:dyDescent="0.3">
      <c r="I34539" s="82"/>
      <c r="M34539" s="85"/>
    </row>
    <row r="34540" spans="9:13" x14ac:dyDescent="0.3">
      <c r="I34540" s="82"/>
      <c r="M34540" s="85"/>
    </row>
    <row r="34541" spans="9:13" x14ac:dyDescent="0.3">
      <c r="I34541" s="82"/>
      <c r="M34541" s="85"/>
    </row>
    <row r="34542" spans="9:13" x14ac:dyDescent="0.3">
      <c r="I34542" s="82"/>
      <c r="M34542" s="85"/>
    </row>
    <row r="34543" spans="9:13" x14ac:dyDescent="0.3">
      <c r="I34543" s="82"/>
      <c r="M34543" s="85"/>
    </row>
    <row r="34544" spans="9:13" x14ac:dyDescent="0.3">
      <c r="I34544" s="82"/>
      <c r="M34544" s="85"/>
    </row>
    <row r="34545" spans="9:13" x14ac:dyDescent="0.3">
      <c r="I34545" s="82"/>
      <c r="M34545" s="85"/>
    </row>
    <row r="34546" spans="9:13" x14ac:dyDescent="0.3">
      <c r="I34546" s="82"/>
      <c r="M34546" s="85"/>
    </row>
    <row r="34547" spans="9:13" x14ac:dyDescent="0.3">
      <c r="I34547" s="82"/>
      <c r="M34547" s="85"/>
    </row>
    <row r="34548" spans="9:13" x14ac:dyDescent="0.3">
      <c r="I34548" s="82"/>
      <c r="M34548" s="85"/>
    </row>
    <row r="34549" spans="9:13" x14ac:dyDescent="0.3">
      <c r="I34549" s="82"/>
      <c r="M34549" s="85"/>
    </row>
    <row r="34550" spans="9:13" x14ac:dyDescent="0.3">
      <c r="I34550" s="82"/>
      <c r="M34550" s="85"/>
    </row>
    <row r="34551" spans="9:13" x14ac:dyDescent="0.3">
      <c r="I34551" s="82"/>
      <c r="M34551" s="85"/>
    </row>
    <row r="34552" spans="9:13" x14ac:dyDescent="0.3">
      <c r="I34552" s="82"/>
      <c r="M34552" s="85"/>
    </row>
    <row r="34553" spans="9:13" x14ac:dyDescent="0.3">
      <c r="I34553" s="82"/>
      <c r="M34553" s="85"/>
    </row>
    <row r="34554" spans="9:13" x14ac:dyDescent="0.3">
      <c r="I34554" s="82"/>
      <c r="M34554" s="85"/>
    </row>
    <row r="34555" spans="9:13" x14ac:dyDescent="0.3">
      <c r="I34555" s="82"/>
      <c r="M34555" s="85"/>
    </row>
    <row r="34556" spans="9:13" x14ac:dyDescent="0.3">
      <c r="I34556" s="82"/>
      <c r="M34556" s="85"/>
    </row>
    <row r="34557" spans="9:13" x14ac:dyDescent="0.3">
      <c r="I34557" s="82"/>
      <c r="M34557" s="85"/>
    </row>
    <row r="34558" spans="9:13" x14ac:dyDescent="0.3">
      <c r="I34558" s="82"/>
      <c r="M34558" s="85"/>
    </row>
    <row r="34559" spans="9:13" x14ac:dyDescent="0.3">
      <c r="I34559" s="82"/>
      <c r="M34559" s="85"/>
    </row>
    <row r="34560" spans="9:13" x14ac:dyDescent="0.3">
      <c r="I34560" s="82"/>
      <c r="M34560" s="85"/>
    </row>
    <row r="34561" spans="9:13" x14ac:dyDescent="0.3">
      <c r="I34561" s="82"/>
      <c r="M34561" s="85"/>
    </row>
    <row r="34562" spans="9:13" x14ac:dyDescent="0.3">
      <c r="I34562" s="82"/>
      <c r="M34562" s="85"/>
    </row>
    <row r="34563" spans="9:13" x14ac:dyDescent="0.3">
      <c r="I34563" s="82"/>
      <c r="M34563" s="85"/>
    </row>
    <row r="34564" spans="9:13" x14ac:dyDescent="0.3">
      <c r="I34564" s="82"/>
      <c r="M34564" s="85"/>
    </row>
    <row r="34565" spans="9:13" x14ac:dyDescent="0.3">
      <c r="I34565" s="82"/>
      <c r="M34565" s="85"/>
    </row>
    <row r="34566" spans="9:13" x14ac:dyDescent="0.3">
      <c r="I34566" s="82"/>
      <c r="M34566" s="85"/>
    </row>
    <row r="34567" spans="9:13" x14ac:dyDescent="0.3">
      <c r="I34567" s="82"/>
      <c r="M34567" s="85"/>
    </row>
    <row r="34568" spans="9:13" x14ac:dyDescent="0.3">
      <c r="I34568" s="82"/>
      <c r="M34568" s="85"/>
    </row>
    <row r="34569" spans="9:13" x14ac:dyDescent="0.3">
      <c r="I34569" s="82"/>
      <c r="M34569" s="85"/>
    </row>
    <row r="34570" spans="9:13" x14ac:dyDescent="0.3">
      <c r="I34570" s="82"/>
      <c r="M34570" s="85"/>
    </row>
    <row r="34571" spans="9:13" x14ac:dyDescent="0.3">
      <c r="I34571" s="82"/>
      <c r="M34571" s="85"/>
    </row>
    <row r="34572" spans="9:13" x14ac:dyDescent="0.3">
      <c r="I34572" s="82"/>
      <c r="M34572" s="85"/>
    </row>
    <row r="34573" spans="9:13" x14ac:dyDescent="0.3">
      <c r="I34573" s="82"/>
      <c r="M34573" s="85"/>
    </row>
    <row r="34574" spans="9:13" x14ac:dyDescent="0.3">
      <c r="I34574" s="82"/>
      <c r="M34574" s="85"/>
    </row>
    <row r="34575" spans="9:13" x14ac:dyDescent="0.3">
      <c r="I34575" s="82"/>
      <c r="M34575" s="85"/>
    </row>
    <row r="34576" spans="9:13" x14ac:dyDescent="0.3">
      <c r="I34576" s="82"/>
      <c r="M34576" s="85"/>
    </row>
    <row r="34577" spans="9:13" x14ac:dyDescent="0.3">
      <c r="I34577" s="82"/>
      <c r="M34577" s="85"/>
    </row>
    <row r="34578" spans="9:13" x14ac:dyDescent="0.3">
      <c r="I34578" s="82"/>
      <c r="M34578" s="85"/>
    </row>
    <row r="34579" spans="9:13" x14ac:dyDescent="0.3">
      <c r="I34579" s="82"/>
      <c r="M34579" s="85"/>
    </row>
    <row r="34580" spans="9:13" x14ac:dyDescent="0.3">
      <c r="I34580" s="82"/>
      <c r="M34580" s="85"/>
    </row>
    <row r="34581" spans="9:13" x14ac:dyDescent="0.3">
      <c r="I34581" s="82"/>
      <c r="M34581" s="85"/>
    </row>
    <row r="34582" spans="9:13" x14ac:dyDescent="0.3">
      <c r="I34582" s="82"/>
      <c r="M34582" s="85"/>
    </row>
    <row r="34583" spans="9:13" x14ac:dyDescent="0.3">
      <c r="I34583" s="82"/>
      <c r="M34583" s="85"/>
    </row>
    <row r="34584" spans="9:13" x14ac:dyDescent="0.3">
      <c r="I34584" s="82"/>
      <c r="M34584" s="85"/>
    </row>
    <row r="34585" spans="9:13" x14ac:dyDescent="0.3">
      <c r="I34585" s="82"/>
      <c r="M34585" s="85"/>
    </row>
    <row r="34586" spans="9:13" x14ac:dyDescent="0.3">
      <c r="I34586" s="82"/>
      <c r="M34586" s="85"/>
    </row>
    <row r="34587" spans="9:13" x14ac:dyDescent="0.3">
      <c r="I34587" s="82"/>
      <c r="M34587" s="85"/>
    </row>
    <row r="34588" spans="9:13" x14ac:dyDescent="0.3">
      <c r="I34588" s="82"/>
      <c r="M34588" s="85"/>
    </row>
    <row r="34589" spans="9:13" x14ac:dyDescent="0.3">
      <c r="I34589" s="82"/>
      <c r="M34589" s="85"/>
    </row>
    <row r="34590" spans="9:13" x14ac:dyDescent="0.3">
      <c r="I34590" s="82"/>
      <c r="M34590" s="85"/>
    </row>
    <row r="34591" spans="9:13" x14ac:dyDescent="0.3">
      <c r="I34591" s="82"/>
      <c r="M34591" s="85"/>
    </row>
    <row r="34592" spans="9:13" x14ac:dyDescent="0.3">
      <c r="I34592" s="82"/>
      <c r="M34592" s="85"/>
    </row>
    <row r="34593" spans="9:13" x14ac:dyDescent="0.3">
      <c r="I34593" s="82"/>
      <c r="M34593" s="85"/>
    </row>
    <row r="34594" spans="9:13" x14ac:dyDescent="0.3">
      <c r="I34594" s="82"/>
      <c r="M34594" s="85"/>
    </row>
    <row r="34595" spans="9:13" x14ac:dyDescent="0.3">
      <c r="I34595" s="82"/>
      <c r="M34595" s="85"/>
    </row>
    <row r="34596" spans="9:13" x14ac:dyDescent="0.3">
      <c r="I34596" s="82"/>
      <c r="M34596" s="85"/>
    </row>
    <row r="34597" spans="9:13" x14ac:dyDescent="0.3">
      <c r="I34597" s="82"/>
      <c r="M34597" s="85"/>
    </row>
    <row r="34598" spans="9:13" x14ac:dyDescent="0.3">
      <c r="I34598" s="82"/>
      <c r="M34598" s="85"/>
    </row>
    <row r="34599" spans="9:13" x14ac:dyDescent="0.3">
      <c r="I34599" s="82"/>
      <c r="M34599" s="85"/>
    </row>
    <row r="34600" spans="9:13" x14ac:dyDescent="0.3">
      <c r="I34600" s="82"/>
      <c r="M34600" s="85"/>
    </row>
    <row r="34601" spans="9:13" x14ac:dyDescent="0.3">
      <c r="I34601" s="82"/>
      <c r="M34601" s="85"/>
    </row>
    <row r="34602" spans="9:13" x14ac:dyDescent="0.3">
      <c r="I34602" s="82"/>
      <c r="M34602" s="85"/>
    </row>
    <row r="34603" spans="9:13" x14ac:dyDescent="0.3">
      <c r="I34603" s="82"/>
      <c r="M34603" s="85"/>
    </row>
    <row r="34604" spans="9:13" x14ac:dyDescent="0.3">
      <c r="I34604" s="82"/>
      <c r="M34604" s="85"/>
    </row>
    <row r="34605" spans="9:13" x14ac:dyDescent="0.3">
      <c r="I34605" s="82"/>
      <c r="M34605" s="85"/>
    </row>
    <row r="34606" spans="9:13" x14ac:dyDescent="0.3">
      <c r="I34606" s="82"/>
      <c r="M34606" s="85"/>
    </row>
    <row r="34607" spans="9:13" x14ac:dyDescent="0.3">
      <c r="I34607" s="82"/>
      <c r="M34607" s="85"/>
    </row>
    <row r="34608" spans="9:13" x14ac:dyDescent="0.3">
      <c r="I34608" s="82"/>
      <c r="M34608" s="85"/>
    </row>
    <row r="34609" spans="9:13" x14ac:dyDescent="0.3">
      <c r="I34609" s="82"/>
      <c r="M34609" s="85"/>
    </row>
    <row r="34610" spans="9:13" x14ac:dyDescent="0.3">
      <c r="I34610" s="82"/>
      <c r="M34610" s="85"/>
    </row>
    <row r="34611" spans="9:13" x14ac:dyDescent="0.3">
      <c r="I34611" s="82"/>
      <c r="M34611" s="85"/>
    </row>
    <row r="34612" spans="9:13" x14ac:dyDescent="0.3">
      <c r="I34612" s="82"/>
      <c r="M34612" s="85"/>
    </row>
    <row r="34613" spans="9:13" x14ac:dyDescent="0.3">
      <c r="I34613" s="82"/>
      <c r="M34613" s="85"/>
    </row>
    <row r="34614" spans="9:13" x14ac:dyDescent="0.3">
      <c r="I34614" s="82"/>
      <c r="M34614" s="85"/>
    </row>
    <row r="34615" spans="9:13" x14ac:dyDescent="0.3">
      <c r="I34615" s="82"/>
      <c r="M34615" s="85"/>
    </row>
    <row r="34616" spans="9:13" x14ac:dyDescent="0.3">
      <c r="I34616" s="82"/>
      <c r="M34616" s="85"/>
    </row>
    <row r="34617" spans="9:13" x14ac:dyDescent="0.3">
      <c r="I34617" s="82"/>
      <c r="M34617" s="85"/>
    </row>
    <row r="34618" spans="9:13" x14ac:dyDescent="0.3">
      <c r="I34618" s="82"/>
      <c r="M34618" s="85"/>
    </row>
    <row r="34619" spans="9:13" x14ac:dyDescent="0.3">
      <c r="I34619" s="82"/>
      <c r="M34619" s="85"/>
    </row>
    <row r="34620" spans="9:13" x14ac:dyDescent="0.3">
      <c r="I34620" s="82"/>
      <c r="M34620" s="85"/>
    </row>
    <row r="34621" spans="9:13" x14ac:dyDescent="0.3">
      <c r="I34621" s="82"/>
      <c r="M34621" s="85"/>
    </row>
    <row r="34622" spans="9:13" x14ac:dyDescent="0.3">
      <c r="I34622" s="82"/>
      <c r="M34622" s="85"/>
    </row>
    <row r="34623" spans="9:13" x14ac:dyDescent="0.3">
      <c r="I34623" s="82"/>
      <c r="M34623" s="85"/>
    </row>
    <row r="34624" spans="9:13" x14ac:dyDescent="0.3">
      <c r="I34624" s="82"/>
      <c r="M34624" s="85"/>
    </row>
    <row r="34625" spans="9:13" x14ac:dyDescent="0.3">
      <c r="I34625" s="82"/>
      <c r="M34625" s="85"/>
    </row>
    <row r="34626" spans="9:13" x14ac:dyDescent="0.3">
      <c r="I34626" s="82"/>
      <c r="M34626" s="85"/>
    </row>
    <row r="34627" spans="9:13" x14ac:dyDescent="0.3">
      <c r="I34627" s="82"/>
      <c r="M34627" s="85"/>
    </row>
    <row r="34628" spans="9:13" x14ac:dyDescent="0.3">
      <c r="I34628" s="82"/>
      <c r="M34628" s="85"/>
    </row>
    <row r="34629" spans="9:13" x14ac:dyDescent="0.3">
      <c r="I34629" s="82"/>
      <c r="M34629" s="85"/>
    </row>
    <row r="34630" spans="9:13" x14ac:dyDescent="0.3">
      <c r="I34630" s="82"/>
      <c r="M34630" s="85"/>
    </row>
    <row r="34631" spans="9:13" x14ac:dyDescent="0.3">
      <c r="I34631" s="82"/>
      <c r="M34631" s="85"/>
    </row>
    <row r="34632" spans="9:13" x14ac:dyDescent="0.3">
      <c r="I34632" s="82"/>
      <c r="M34632" s="85"/>
    </row>
    <row r="34633" spans="9:13" x14ac:dyDescent="0.3">
      <c r="I34633" s="82"/>
      <c r="M34633" s="85"/>
    </row>
    <row r="34634" spans="9:13" x14ac:dyDescent="0.3">
      <c r="I34634" s="82"/>
      <c r="M34634" s="85"/>
    </row>
    <row r="34635" spans="9:13" x14ac:dyDescent="0.3">
      <c r="I34635" s="82"/>
      <c r="M34635" s="85"/>
    </row>
    <row r="34636" spans="9:13" x14ac:dyDescent="0.3">
      <c r="I34636" s="82"/>
      <c r="M34636" s="85"/>
    </row>
    <row r="34637" spans="9:13" x14ac:dyDescent="0.3">
      <c r="I34637" s="82"/>
      <c r="M34637" s="85"/>
    </row>
    <row r="34638" spans="9:13" x14ac:dyDescent="0.3">
      <c r="I34638" s="82"/>
      <c r="M34638" s="85"/>
    </row>
    <row r="34639" spans="9:13" x14ac:dyDescent="0.3">
      <c r="I34639" s="82"/>
      <c r="M34639" s="85"/>
    </row>
    <row r="34640" spans="9:13" x14ac:dyDescent="0.3">
      <c r="I34640" s="82"/>
      <c r="M34640" s="85"/>
    </row>
    <row r="34641" spans="9:13" x14ac:dyDescent="0.3">
      <c r="I34641" s="82"/>
      <c r="M34641" s="85"/>
    </row>
    <row r="34642" spans="9:13" x14ac:dyDescent="0.3">
      <c r="I34642" s="82"/>
      <c r="M34642" s="85"/>
    </row>
    <row r="34643" spans="9:13" x14ac:dyDescent="0.3">
      <c r="I34643" s="82"/>
      <c r="M34643" s="85"/>
    </row>
    <row r="34644" spans="9:13" x14ac:dyDescent="0.3">
      <c r="I34644" s="82"/>
      <c r="M34644" s="85"/>
    </row>
    <row r="34645" spans="9:13" x14ac:dyDescent="0.3">
      <c r="I34645" s="82"/>
      <c r="M34645" s="85"/>
    </row>
    <row r="34646" spans="9:13" x14ac:dyDescent="0.3">
      <c r="I34646" s="82"/>
      <c r="M34646" s="85"/>
    </row>
    <row r="34647" spans="9:13" x14ac:dyDescent="0.3">
      <c r="I34647" s="82"/>
      <c r="M34647" s="85"/>
    </row>
    <row r="34648" spans="9:13" x14ac:dyDescent="0.3">
      <c r="I34648" s="82"/>
      <c r="M34648" s="85"/>
    </row>
    <row r="34649" spans="9:13" x14ac:dyDescent="0.3">
      <c r="I34649" s="82"/>
      <c r="M34649" s="85"/>
    </row>
    <row r="34650" spans="9:13" x14ac:dyDescent="0.3">
      <c r="I34650" s="82"/>
      <c r="M34650" s="85"/>
    </row>
    <row r="34651" spans="9:13" x14ac:dyDescent="0.3">
      <c r="I34651" s="82"/>
      <c r="M34651" s="85"/>
    </row>
    <row r="34652" spans="9:13" x14ac:dyDescent="0.3">
      <c r="I34652" s="82"/>
      <c r="M34652" s="85"/>
    </row>
    <row r="34653" spans="9:13" x14ac:dyDescent="0.3">
      <c r="I34653" s="82"/>
      <c r="M34653" s="85"/>
    </row>
    <row r="34654" spans="9:13" x14ac:dyDescent="0.3">
      <c r="I34654" s="82"/>
      <c r="M34654" s="85"/>
    </row>
    <row r="34655" spans="9:13" x14ac:dyDescent="0.3">
      <c r="I34655" s="82"/>
      <c r="M34655" s="85"/>
    </row>
    <row r="34656" spans="9:13" x14ac:dyDescent="0.3">
      <c r="I34656" s="82"/>
      <c r="M34656" s="85"/>
    </row>
    <row r="34657" spans="9:13" x14ac:dyDescent="0.3">
      <c r="I34657" s="82"/>
      <c r="M34657" s="85"/>
    </row>
    <row r="34658" spans="9:13" x14ac:dyDescent="0.3">
      <c r="I34658" s="82"/>
      <c r="M34658" s="85"/>
    </row>
    <row r="34659" spans="9:13" x14ac:dyDescent="0.3">
      <c r="I34659" s="82"/>
      <c r="M34659" s="85"/>
    </row>
    <row r="34660" spans="9:13" x14ac:dyDescent="0.3">
      <c r="I34660" s="82"/>
      <c r="M34660" s="85"/>
    </row>
    <row r="34661" spans="9:13" x14ac:dyDescent="0.3">
      <c r="I34661" s="82"/>
      <c r="M34661" s="85"/>
    </row>
    <row r="34662" spans="9:13" x14ac:dyDescent="0.3">
      <c r="I34662" s="82"/>
      <c r="M34662" s="85"/>
    </row>
    <row r="34663" spans="9:13" x14ac:dyDescent="0.3">
      <c r="I34663" s="82"/>
      <c r="M34663" s="85"/>
    </row>
    <row r="34664" spans="9:13" x14ac:dyDescent="0.3">
      <c r="I34664" s="82"/>
      <c r="M34664" s="85"/>
    </row>
    <row r="34665" spans="9:13" x14ac:dyDescent="0.3">
      <c r="I34665" s="82"/>
      <c r="M34665" s="85"/>
    </row>
    <row r="34666" spans="9:13" x14ac:dyDescent="0.3">
      <c r="I34666" s="82"/>
      <c r="M34666" s="85"/>
    </row>
    <row r="34667" spans="9:13" x14ac:dyDescent="0.3">
      <c r="I34667" s="82"/>
      <c r="M34667" s="85"/>
    </row>
    <row r="34668" spans="9:13" x14ac:dyDescent="0.3">
      <c r="I34668" s="82"/>
      <c r="M34668" s="85"/>
    </row>
    <row r="34669" spans="9:13" x14ac:dyDescent="0.3">
      <c r="I34669" s="82"/>
      <c r="M34669" s="85"/>
    </row>
    <row r="34670" spans="9:13" x14ac:dyDescent="0.3">
      <c r="I34670" s="82"/>
      <c r="M34670" s="85"/>
    </row>
    <row r="34671" spans="9:13" x14ac:dyDescent="0.3">
      <c r="I34671" s="82"/>
      <c r="M34671" s="85"/>
    </row>
    <row r="34672" spans="9:13" x14ac:dyDescent="0.3">
      <c r="I34672" s="82"/>
      <c r="M34672" s="85"/>
    </row>
    <row r="34673" spans="9:13" x14ac:dyDescent="0.3">
      <c r="I34673" s="82"/>
      <c r="M34673" s="85"/>
    </row>
    <row r="34674" spans="9:13" x14ac:dyDescent="0.3">
      <c r="I34674" s="82"/>
      <c r="M34674" s="85"/>
    </row>
    <row r="34675" spans="9:13" x14ac:dyDescent="0.3">
      <c r="I34675" s="82"/>
      <c r="M34675" s="85"/>
    </row>
    <row r="34676" spans="9:13" x14ac:dyDescent="0.3">
      <c r="I34676" s="82"/>
      <c r="M34676" s="85"/>
    </row>
    <row r="34677" spans="9:13" x14ac:dyDescent="0.3">
      <c r="I34677" s="82"/>
      <c r="M34677" s="85"/>
    </row>
    <row r="34678" spans="9:13" x14ac:dyDescent="0.3">
      <c r="I34678" s="82"/>
      <c r="M34678" s="85"/>
    </row>
    <row r="34679" spans="9:13" x14ac:dyDescent="0.3">
      <c r="I34679" s="82"/>
      <c r="M34679" s="85"/>
    </row>
    <row r="34680" spans="9:13" x14ac:dyDescent="0.3">
      <c r="I34680" s="82"/>
      <c r="M34680" s="85"/>
    </row>
    <row r="34681" spans="9:13" x14ac:dyDescent="0.3">
      <c r="I34681" s="82"/>
      <c r="M34681" s="85"/>
    </row>
    <row r="34682" spans="9:13" x14ac:dyDescent="0.3">
      <c r="I34682" s="82"/>
      <c r="M34682" s="85"/>
    </row>
    <row r="34683" spans="9:13" x14ac:dyDescent="0.3">
      <c r="I34683" s="82"/>
      <c r="M34683" s="85"/>
    </row>
    <row r="34684" spans="9:13" x14ac:dyDescent="0.3">
      <c r="I34684" s="82"/>
      <c r="M34684" s="85"/>
    </row>
    <row r="34685" spans="9:13" x14ac:dyDescent="0.3">
      <c r="I34685" s="82"/>
      <c r="M34685" s="85"/>
    </row>
    <row r="34686" spans="9:13" x14ac:dyDescent="0.3">
      <c r="I34686" s="82"/>
      <c r="M34686" s="85"/>
    </row>
    <row r="34687" spans="9:13" x14ac:dyDescent="0.3">
      <c r="I34687" s="82"/>
      <c r="M34687" s="85"/>
    </row>
    <row r="34688" spans="9:13" x14ac:dyDescent="0.3">
      <c r="I34688" s="82"/>
      <c r="M34688" s="85"/>
    </row>
    <row r="34689" spans="9:13" x14ac:dyDescent="0.3">
      <c r="I34689" s="82"/>
      <c r="M34689" s="85"/>
    </row>
    <row r="34690" spans="9:13" x14ac:dyDescent="0.3">
      <c r="I34690" s="82"/>
      <c r="M34690" s="85"/>
    </row>
    <row r="34691" spans="9:13" x14ac:dyDescent="0.3">
      <c r="I34691" s="82"/>
      <c r="M34691" s="85"/>
    </row>
    <row r="34692" spans="9:13" x14ac:dyDescent="0.3">
      <c r="I34692" s="82"/>
      <c r="M34692" s="85"/>
    </row>
    <row r="34693" spans="9:13" x14ac:dyDescent="0.3">
      <c r="I34693" s="82"/>
      <c r="M34693" s="85"/>
    </row>
    <row r="34694" spans="9:13" x14ac:dyDescent="0.3">
      <c r="I34694" s="82"/>
      <c r="M34694" s="85"/>
    </row>
    <row r="34695" spans="9:13" x14ac:dyDescent="0.3">
      <c r="I34695" s="82"/>
      <c r="M34695" s="85"/>
    </row>
    <row r="34696" spans="9:13" x14ac:dyDescent="0.3">
      <c r="I34696" s="82"/>
      <c r="M34696" s="85"/>
    </row>
    <row r="34697" spans="9:13" x14ac:dyDescent="0.3">
      <c r="I34697" s="82"/>
      <c r="M34697" s="85"/>
    </row>
    <row r="34698" spans="9:13" x14ac:dyDescent="0.3">
      <c r="I34698" s="82"/>
      <c r="M34698" s="85"/>
    </row>
    <row r="34699" spans="9:13" x14ac:dyDescent="0.3">
      <c r="I34699" s="82"/>
      <c r="M34699" s="85"/>
    </row>
    <row r="34700" spans="9:13" x14ac:dyDescent="0.3">
      <c r="I34700" s="82"/>
      <c r="M34700" s="85"/>
    </row>
    <row r="34701" spans="9:13" x14ac:dyDescent="0.3">
      <c r="I34701" s="82"/>
      <c r="M34701" s="85"/>
    </row>
    <row r="34702" spans="9:13" x14ac:dyDescent="0.3">
      <c r="I34702" s="82"/>
      <c r="M34702" s="85"/>
    </row>
    <row r="34703" spans="9:13" x14ac:dyDescent="0.3">
      <c r="I34703" s="82"/>
      <c r="M34703" s="85"/>
    </row>
    <row r="34704" spans="9:13" x14ac:dyDescent="0.3">
      <c r="I34704" s="82"/>
      <c r="M34704" s="85"/>
    </row>
    <row r="34705" spans="9:13" x14ac:dyDescent="0.3">
      <c r="I34705" s="82"/>
      <c r="M34705" s="85"/>
    </row>
    <row r="34706" spans="9:13" x14ac:dyDescent="0.3">
      <c r="I34706" s="82"/>
      <c r="M34706" s="85"/>
    </row>
    <row r="34707" spans="9:13" x14ac:dyDescent="0.3">
      <c r="I34707" s="82"/>
      <c r="M34707" s="85"/>
    </row>
    <row r="34708" spans="9:13" x14ac:dyDescent="0.3">
      <c r="I34708" s="82"/>
      <c r="M34708" s="85"/>
    </row>
    <row r="34709" spans="9:13" x14ac:dyDescent="0.3">
      <c r="I34709" s="82"/>
      <c r="M34709" s="85"/>
    </row>
    <row r="34710" spans="9:13" x14ac:dyDescent="0.3">
      <c r="I34710" s="82"/>
      <c r="M34710" s="85"/>
    </row>
    <row r="34711" spans="9:13" x14ac:dyDescent="0.3">
      <c r="I34711" s="82"/>
      <c r="M34711" s="85"/>
    </row>
    <row r="34712" spans="9:13" x14ac:dyDescent="0.3">
      <c r="I34712" s="82"/>
      <c r="M34712" s="85"/>
    </row>
    <row r="34713" spans="9:13" x14ac:dyDescent="0.3">
      <c r="I34713" s="82"/>
      <c r="M34713" s="85"/>
    </row>
    <row r="34714" spans="9:13" x14ac:dyDescent="0.3">
      <c r="I34714" s="82"/>
      <c r="M34714" s="85"/>
    </row>
    <row r="34715" spans="9:13" x14ac:dyDescent="0.3">
      <c r="I34715" s="82"/>
      <c r="M34715" s="85"/>
    </row>
    <row r="34716" spans="9:13" x14ac:dyDescent="0.3">
      <c r="I34716" s="82"/>
      <c r="M34716" s="85"/>
    </row>
    <row r="34717" spans="9:13" x14ac:dyDescent="0.3">
      <c r="I34717" s="82"/>
      <c r="M34717" s="85"/>
    </row>
    <row r="34718" spans="9:13" x14ac:dyDescent="0.3">
      <c r="I34718" s="82"/>
      <c r="M34718" s="85"/>
    </row>
    <row r="34719" spans="9:13" x14ac:dyDescent="0.3">
      <c r="I34719" s="82"/>
      <c r="M34719" s="85"/>
    </row>
    <row r="34720" spans="9:13" x14ac:dyDescent="0.3">
      <c r="I34720" s="82"/>
      <c r="M34720" s="85"/>
    </row>
    <row r="34721" spans="9:13" x14ac:dyDescent="0.3">
      <c r="I34721" s="82"/>
      <c r="M34721" s="85"/>
    </row>
    <row r="34722" spans="9:13" x14ac:dyDescent="0.3">
      <c r="I34722" s="82"/>
      <c r="M34722" s="85"/>
    </row>
    <row r="34723" spans="9:13" x14ac:dyDescent="0.3">
      <c r="I34723" s="82"/>
      <c r="M34723" s="85"/>
    </row>
    <row r="34724" spans="9:13" x14ac:dyDescent="0.3">
      <c r="I34724" s="82"/>
      <c r="M34724" s="85"/>
    </row>
    <row r="34725" spans="9:13" x14ac:dyDescent="0.3">
      <c r="I34725" s="82"/>
      <c r="M34725" s="85"/>
    </row>
    <row r="34726" spans="9:13" x14ac:dyDescent="0.3">
      <c r="I34726" s="82"/>
      <c r="M34726" s="85"/>
    </row>
    <row r="34727" spans="9:13" x14ac:dyDescent="0.3">
      <c r="I34727" s="82"/>
      <c r="M34727" s="85"/>
    </row>
    <row r="34728" spans="9:13" x14ac:dyDescent="0.3">
      <c r="I34728" s="82"/>
      <c r="M34728" s="85"/>
    </row>
    <row r="34729" spans="9:13" x14ac:dyDescent="0.3">
      <c r="I34729" s="82"/>
      <c r="M34729" s="85"/>
    </row>
    <row r="34730" spans="9:13" x14ac:dyDescent="0.3">
      <c r="I34730" s="82"/>
      <c r="M34730" s="85"/>
    </row>
    <row r="34731" spans="9:13" x14ac:dyDescent="0.3">
      <c r="I34731" s="82"/>
      <c r="M34731" s="85"/>
    </row>
    <row r="34732" spans="9:13" x14ac:dyDescent="0.3">
      <c r="I34732" s="82"/>
      <c r="M34732" s="85"/>
    </row>
    <row r="34733" spans="9:13" x14ac:dyDescent="0.3">
      <c r="I34733" s="82"/>
      <c r="M34733" s="85"/>
    </row>
    <row r="34734" spans="9:13" x14ac:dyDescent="0.3">
      <c r="I34734" s="82"/>
      <c r="M34734" s="85"/>
    </row>
    <row r="34735" spans="9:13" x14ac:dyDescent="0.3">
      <c r="I34735" s="82"/>
      <c r="M34735" s="85"/>
    </row>
    <row r="34736" spans="9:13" x14ac:dyDescent="0.3">
      <c r="I34736" s="82"/>
      <c r="M34736" s="85"/>
    </row>
    <row r="34737" spans="9:13" x14ac:dyDescent="0.3">
      <c r="I34737" s="82"/>
      <c r="M34737" s="85"/>
    </row>
    <row r="34738" spans="9:13" x14ac:dyDescent="0.3">
      <c r="I34738" s="82"/>
      <c r="M34738" s="85"/>
    </row>
    <row r="34739" spans="9:13" x14ac:dyDescent="0.3">
      <c r="I34739" s="82"/>
      <c r="M34739" s="85"/>
    </row>
    <row r="34740" spans="9:13" x14ac:dyDescent="0.3">
      <c r="I34740" s="82"/>
      <c r="M34740" s="85"/>
    </row>
    <row r="34741" spans="9:13" x14ac:dyDescent="0.3">
      <c r="I34741" s="82"/>
      <c r="M34741" s="85"/>
    </row>
    <row r="34742" spans="9:13" x14ac:dyDescent="0.3">
      <c r="I34742" s="82"/>
      <c r="M34742" s="85"/>
    </row>
    <row r="34743" spans="9:13" x14ac:dyDescent="0.3">
      <c r="I34743" s="82"/>
      <c r="M34743" s="85"/>
    </row>
    <row r="34744" spans="9:13" x14ac:dyDescent="0.3">
      <c r="I34744" s="82"/>
      <c r="M34744" s="85"/>
    </row>
    <row r="34745" spans="9:13" x14ac:dyDescent="0.3">
      <c r="I34745" s="82"/>
      <c r="M34745" s="85"/>
    </row>
    <row r="34746" spans="9:13" x14ac:dyDescent="0.3">
      <c r="I34746" s="82"/>
      <c r="M34746" s="85"/>
    </row>
    <row r="34747" spans="9:13" x14ac:dyDescent="0.3">
      <c r="I34747" s="82"/>
      <c r="M34747" s="85"/>
    </row>
    <row r="34748" spans="9:13" x14ac:dyDescent="0.3">
      <c r="I34748" s="82"/>
      <c r="M34748" s="85"/>
    </row>
    <row r="34749" spans="9:13" x14ac:dyDescent="0.3">
      <c r="I34749" s="82"/>
      <c r="M34749" s="85"/>
    </row>
    <row r="34750" spans="9:13" x14ac:dyDescent="0.3">
      <c r="I34750" s="82"/>
      <c r="M34750" s="85"/>
    </row>
    <row r="34751" spans="9:13" x14ac:dyDescent="0.3">
      <c r="I34751" s="82"/>
      <c r="M34751" s="85"/>
    </row>
    <row r="34752" spans="9:13" x14ac:dyDescent="0.3">
      <c r="I34752" s="82"/>
      <c r="M34752" s="85"/>
    </row>
    <row r="34753" spans="9:13" x14ac:dyDescent="0.3">
      <c r="I34753" s="82"/>
      <c r="M34753" s="85"/>
    </row>
    <row r="34754" spans="9:13" x14ac:dyDescent="0.3">
      <c r="I34754" s="82"/>
      <c r="M34754" s="85"/>
    </row>
    <row r="34755" spans="9:13" x14ac:dyDescent="0.3">
      <c r="I34755" s="82"/>
      <c r="M34755" s="85"/>
    </row>
    <row r="34756" spans="9:13" x14ac:dyDescent="0.3">
      <c r="I34756" s="82"/>
      <c r="M34756" s="85"/>
    </row>
    <row r="34757" spans="9:13" x14ac:dyDescent="0.3">
      <c r="I34757" s="82"/>
      <c r="M34757" s="85"/>
    </row>
    <row r="34758" spans="9:13" x14ac:dyDescent="0.3">
      <c r="I34758" s="82"/>
      <c r="M34758" s="85"/>
    </row>
    <row r="34759" spans="9:13" x14ac:dyDescent="0.3">
      <c r="I34759" s="82"/>
      <c r="M34759" s="85"/>
    </row>
    <row r="34760" spans="9:13" x14ac:dyDescent="0.3">
      <c r="I34760" s="82"/>
      <c r="M34760" s="85"/>
    </row>
    <row r="34761" spans="9:13" x14ac:dyDescent="0.3">
      <c r="I34761" s="82"/>
      <c r="M34761" s="85"/>
    </row>
    <row r="34762" spans="9:13" x14ac:dyDescent="0.3">
      <c r="I34762" s="82"/>
      <c r="M34762" s="85"/>
    </row>
    <row r="34763" spans="9:13" x14ac:dyDescent="0.3">
      <c r="I34763" s="82"/>
      <c r="M34763" s="85"/>
    </row>
    <row r="34764" spans="9:13" x14ac:dyDescent="0.3">
      <c r="I34764" s="82"/>
      <c r="M34764" s="85"/>
    </row>
    <row r="34765" spans="9:13" x14ac:dyDescent="0.3">
      <c r="I34765" s="82"/>
      <c r="M34765" s="85"/>
    </row>
    <row r="34766" spans="9:13" x14ac:dyDescent="0.3">
      <c r="I34766" s="82"/>
      <c r="M34766" s="85"/>
    </row>
    <row r="34767" spans="9:13" x14ac:dyDescent="0.3">
      <c r="I34767" s="82"/>
      <c r="M34767" s="85"/>
    </row>
    <row r="34768" spans="9:13" x14ac:dyDescent="0.3">
      <c r="I34768" s="82"/>
      <c r="M34768" s="85"/>
    </row>
    <row r="34769" spans="9:13" x14ac:dyDescent="0.3">
      <c r="I34769" s="82"/>
      <c r="M34769" s="85"/>
    </row>
    <row r="34770" spans="9:13" x14ac:dyDescent="0.3">
      <c r="I34770" s="82"/>
      <c r="M34770" s="85"/>
    </row>
    <row r="34771" spans="9:13" x14ac:dyDescent="0.3">
      <c r="I34771" s="82"/>
      <c r="M34771" s="85"/>
    </row>
    <row r="34772" spans="9:13" x14ac:dyDescent="0.3">
      <c r="I34772" s="82"/>
      <c r="M34772" s="85"/>
    </row>
    <row r="34773" spans="9:13" x14ac:dyDescent="0.3">
      <c r="I34773" s="82"/>
      <c r="M34773" s="85"/>
    </row>
    <row r="34774" spans="9:13" x14ac:dyDescent="0.3">
      <c r="I34774" s="82"/>
      <c r="M34774" s="85"/>
    </row>
    <row r="34775" spans="9:13" x14ac:dyDescent="0.3">
      <c r="I34775" s="82"/>
      <c r="M34775" s="85"/>
    </row>
    <row r="34776" spans="9:13" x14ac:dyDescent="0.3">
      <c r="I34776" s="82"/>
      <c r="M34776" s="85"/>
    </row>
    <row r="34777" spans="9:13" x14ac:dyDescent="0.3">
      <c r="I34777" s="82"/>
      <c r="M34777" s="85"/>
    </row>
    <row r="34778" spans="9:13" x14ac:dyDescent="0.3">
      <c r="I34778" s="82"/>
      <c r="M34778" s="85"/>
    </row>
    <row r="34779" spans="9:13" x14ac:dyDescent="0.3">
      <c r="I34779" s="82"/>
      <c r="M34779" s="85"/>
    </row>
    <row r="34780" spans="9:13" x14ac:dyDescent="0.3">
      <c r="I34780" s="82"/>
      <c r="M34780" s="85"/>
    </row>
    <row r="34781" spans="9:13" x14ac:dyDescent="0.3">
      <c r="I34781" s="82"/>
      <c r="M34781" s="85"/>
    </row>
    <row r="34782" spans="9:13" x14ac:dyDescent="0.3">
      <c r="I34782" s="82"/>
      <c r="M34782" s="85"/>
    </row>
    <row r="34783" spans="9:13" x14ac:dyDescent="0.3">
      <c r="I34783" s="82"/>
      <c r="M34783" s="85"/>
    </row>
    <row r="34784" spans="9:13" x14ac:dyDescent="0.3">
      <c r="I34784" s="82"/>
      <c r="M34784" s="85"/>
    </row>
    <row r="34785" spans="9:13" x14ac:dyDescent="0.3">
      <c r="I34785" s="82"/>
      <c r="M34785" s="85"/>
    </row>
    <row r="34786" spans="9:13" x14ac:dyDescent="0.3">
      <c r="I34786" s="82"/>
      <c r="M34786" s="85"/>
    </row>
    <row r="34787" spans="9:13" x14ac:dyDescent="0.3">
      <c r="I34787" s="82"/>
      <c r="M34787" s="85"/>
    </row>
    <row r="34788" spans="9:13" x14ac:dyDescent="0.3">
      <c r="I34788" s="82"/>
      <c r="M34788" s="85"/>
    </row>
    <row r="34789" spans="9:13" x14ac:dyDescent="0.3">
      <c r="I34789" s="82"/>
      <c r="M34789" s="85"/>
    </row>
    <row r="34790" spans="9:13" x14ac:dyDescent="0.3">
      <c r="I34790" s="82"/>
      <c r="M34790" s="85"/>
    </row>
    <row r="34791" spans="9:13" x14ac:dyDescent="0.3">
      <c r="I34791" s="82"/>
      <c r="M34791" s="85"/>
    </row>
    <row r="34792" spans="9:13" x14ac:dyDescent="0.3">
      <c r="I34792" s="82"/>
      <c r="M34792" s="85"/>
    </row>
    <row r="34793" spans="9:13" x14ac:dyDescent="0.3">
      <c r="I34793" s="82"/>
      <c r="M34793" s="85"/>
    </row>
    <row r="34794" spans="9:13" x14ac:dyDescent="0.3">
      <c r="I34794" s="82"/>
      <c r="M34794" s="85"/>
    </row>
    <row r="34795" spans="9:13" x14ac:dyDescent="0.3">
      <c r="I34795" s="82"/>
      <c r="M34795" s="85"/>
    </row>
    <row r="34796" spans="9:13" x14ac:dyDescent="0.3">
      <c r="I34796" s="82"/>
      <c r="M34796" s="85"/>
    </row>
    <row r="34797" spans="9:13" x14ac:dyDescent="0.3">
      <c r="I34797" s="82"/>
      <c r="M34797" s="85"/>
    </row>
    <row r="34798" spans="9:13" x14ac:dyDescent="0.3">
      <c r="I34798" s="82"/>
      <c r="M34798" s="85"/>
    </row>
    <row r="34799" spans="9:13" x14ac:dyDescent="0.3">
      <c r="I34799" s="82"/>
      <c r="M34799" s="85"/>
    </row>
    <row r="34800" spans="9:13" x14ac:dyDescent="0.3">
      <c r="I34800" s="82"/>
      <c r="M34800" s="85"/>
    </row>
    <row r="34801" spans="9:13" x14ac:dyDescent="0.3">
      <c r="I34801" s="82"/>
      <c r="M34801" s="85"/>
    </row>
    <row r="34802" spans="9:13" x14ac:dyDescent="0.3">
      <c r="I34802" s="82"/>
      <c r="M34802" s="85"/>
    </row>
    <row r="34803" spans="9:13" x14ac:dyDescent="0.3">
      <c r="I34803" s="82"/>
      <c r="M34803" s="85"/>
    </row>
    <row r="34804" spans="9:13" x14ac:dyDescent="0.3">
      <c r="I34804" s="82"/>
      <c r="M34804" s="85"/>
    </row>
    <row r="34805" spans="9:13" x14ac:dyDescent="0.3">
      <c r="I34805" s="82"/>
      <c r="M34805" s="85"/>
    </row>
    <row r="34806" spans="9:13" x14ac:dyDescent="0.3">
      <c r="I34806" s="82"/>
      <c r="M34806" s="85"/>
    </row>
    <row r="34807" spans="9:13" x14ac:dyDescent="0.3">
      <c r="I34807" s="82"/>
      <c r="M34807" s="85"/>
    </row>
    <row r="34808" spans="9:13" x14ac:dyDescent="0.3">
      <c r="I34808" s="82"/>
      <c r="M34808" s="85"/>
    </row>
    <row r="34809" spans="9:13" x14ac:dyDescent="0.3">
      <c r="I34809" s="82"/>
      <c r="M34809" s="85"/>
    </row>
    <row r="34810" spans="9:13" x14ac:dyDescent="0.3">
      <c r="I34810" s="82"/>
      <c r="M34810" s="85"/>
    </row>
    <row r="34811" spans="9:13" x14ac:dyDescent="0.3">
      <c r="I34811" s="82"/>
      <c r="M34811" s="85"/>
    </row>
    <row r="34812" spans="9:13" x14ac:dyDescent="0.3">
      <c r="I34812" s="82"/>
      <c r="M34812" s="85"/>
    </row>
    <row r="34813" spans="9:13" x14ac:dyDescent="0.3">
      <c r="I34813" s="82"/>
      <c r="M34813" s="85"/>
    </row>
    <row r="34814" spans="9:13" x14ac:dyDescent="0.3">
      <c r="I34814" s="82"/>
      <c r="M34814" s="85"/>
    </row>
    <row r="34815" spans="9:13" x14ac:dyDescent="0.3">
      <c r="I34815" s="82"/>
      <c r="M34815" s="85"/>
    </row>
    <row r="34816" spans="9:13" x14ac:dyDescent="0.3">
      <c r="I34816" s="82"/>
      <c r="M34816" s="85"/>
    </row>
    <row r="34817" spans="9:13" x14ac:dyDescent="0.3">
      <c r="I34817" s="82"/>
      <c r="M34817" s="85"/>
    </row>
    <row r="34818" spans="9:13" x14ac:dyDescent="0.3">
      <c r="I34818" s="82"/>
      <c r="M34818" s="85"/>
    </row>
    <row r="34819" spans="9:13" x14ac:dyDescent="0.3">
      <c r="I34819" s="82"/>
      <c r="M34819" s="85"/>
    </row>
    <row r="34820" spans="9:13" x14ac:dyDescent="0.3">
      <c r="I34820" s="82"/>
      <c r="M34820" s="85"/>
    </row>
    <row r="34821" spans="9:13" x14ac:dyDescent="0.3">
      <c r="I34821" s="82"/>
      <c r="M34821" s="85"/>
    </row>
    <row r="34822" spans="9:13" x14ac:dyDescent="0.3">
      <c r="I34822" s="82"/>
      <c r="M34822" s="85"/>
    </row>
    <row r="34823" spans="9:13" x14ac:dyDescent="0.3">
      <c r="I34823" s="82"/>
      <c r="M34823" s="85"/>
    </row>
    <row r="34824" spans="9:13" x14ac:dyDescent="0.3">
      <c r="I34824" s="82"/>
      <c r="M34824" s="85"/>
    </row>
    <row r="34825" spans="9:13" x14ac:dyDescent="0.3">
      <c r="I34825" s="82"/>
      <c r="M34825" s="85"/>
    </row>
    <row r="34826" spans="9:13" x14ac:dyDescent="0.3">
      <c r="I34826" s="82"/>
      <c r="M34826" s="85"/>
    </row>
    <row r="34827" spans="9:13" x14ac:dyDescent="0.3">
      <c r="I34827" s="82"/>
      <c r="M34827" s="85"/>
    </row>
    <row r="34828" spans="9:13" x14ac:dyDescent="0.3">
      <c r="I34828" s="82"/>
      <c r="M34828" s="85"/>
    </row>
    <row r="34829" spans="9:13" x14ac:dyDescent="0.3">
      <c r="I34829" s="82"/>
      <c r="M34829" s="85"/>
    </row>
    <row r="34830" spans="9:13" x14ac:dyDescent="0.3">
      <c r="I34830" s="82"/>
      <c r="M34830" s="85"/>
    </row>
    <row r="34831" spans="9:13" x14ac:dyDescent="0.3">
      <c r="I34831" s="82"/>
      <c r="M34831" s="85"/>
    </row>
    <row r="34832" spans="9:13" x14ac:dyDescent="0.3">
      <c r="I34832" s="82"/>
      <c r="M34832" s="85"/>
    </row>
    <row r="34833" spans="9:13" x14ac:dyDescent="0.3">
      <c r="I34833" s="82"/>
      <c r="M34833" s="85"/>
    </row>
    <row r="34834" spans="9:13" x14ac:dyDescent="0.3">
      <c r="I34834" s="82"/>
      <c r="M34834" s="85"/>
    </row>
    <row r="34835" spans="9:13" x14ac:dyDescent="0.3">
      <c r="I34835" s="82"/>
      <c r="M34835" s="85"/>
    </row>
    <row r="34836" spans="9:13" x14ac:dyDescent="0.3">
      <c r="I34836" s="82"/>
      <c r="M34836" s="85"/>
    </row>
    <row r="34837" spans="9:13" x14ac:dyDescent="0.3">
      <c r="I34837" s="82"/>
      <c r="M34837" s="85"/>
    </row>
    <row r="34838" spans="9:13" x14ac:dyDescent="0.3">
      <c r="I34838" s="82"/>
      <c r="M34838" s="85"/>
    </row>
    <row r="34839" spans="9:13" x14ac:dyDescent="0.3">
      <c r="I34839" s="82"/>
      <c r="M34839" s="85"/>
    </row>
    <row r="34840" spans="9:13" x14ac:dyDescent="0.3">
      <c r="I34840" s="82"/>
      <c r="M34840" s="85"/>
    </row>
    <row r="34841" spans="9:13" x14ac:dyDescent="0.3">
      <c r="I34841" s="82"/>
      <c r="M34841" s="85"/>
    </row>
    <row r="34842" spans="9:13" x14ac:dyDescent="0.3">
      <c r="I34842" s="82"/>
      <c r="M34842" s="85"/>
    </row>
    <row r="34843" spans="9:13" x14ac:dyDescent="0.3">
      <c r="I34843" s="82"/>
      <c r="M34843" s="85"/>
    </row>
    <row r="34844" spans="9:13" x14ac:dyDescent="0.3">
      <c r="I34844" s="82"/>
      <c r="M34844" s="85"/>
    </row>
    <row r="34845" spans="9:13" x14ac:dyDescent="0.3">
      <c r="I34845" s="82"/>
      <c r="M34845" s="85"/>
    </row>
    <row r="34846" spans="9:13" x14ac:dyDescent="0.3">
      <c r="I34846" s="82"/>
      <c r="M34846" s="85"/>
    </row>
    <row r="34847" spans="9:13" x14ac:dyDescent="0.3">
      <c r="I34847" s="82"/>
      <c r="M34847" s="85"/>
    </row>
    <row r="34848" spans="9:13" x14ac:dyDescent="0.3">
      <c r="I34848" s="82"/>
      <c r="M34848" s="85"/>
    </row>
    <row r="34849" spans="9:13" x14ac:dyDescent="0.3">
      <c r="I34849" s="82"/>
      <c r="M34849" s="85"/>
    </row>
    <row r="34850" spans="9:13" x14ac:dyDescent="0.3">
      <c r="I34850" s="82"/>
      <c r="M34850" s="85"/>
    </row>
    <row r="34851" spans="9:13" x14ac:dyDescent="0.3">
      <c r="I34851" s="82"/>
      <c r="M34851" s="85"/>
    </row>
    <row r="34852" spans="9:13" x14ac:dyDescent="0.3">
      <c r="I34852" s="82"/>
      <c r="M34852" s="85"/>
    </row>
    <row r="34853" spans="9:13" x14ac:dyDescent="0.3">
      <c r="I34853" s="82"/>
      <c r="M34853" s="85"/>
    </row>
    <row r="34854" spans="9:13" x14ac:dyDescent="0.3">
      <c r="I34854" s="82"/>
      <c r="M34854" s="85"/>
    </row>
    <row r="34855" spans="9:13" x14ac:dyDescent="0.3">
      <c r="I34855" s="82"/>
      <c r="M34855" s="85"/>
    </row>
    <row r="34856" spans="9:13" x14ac:dyDescent="0.3">
      <c r="I34856" s="82"/>
      <c r="M34856" s="85"/>
    </row>
    <row r="34857" spans="9:13" x14ac:dyDescent="0.3">
      <c r="I34857" s="82"/>
      <c r="M34857" s="85"/>
    </row>
    <row r="34858" spans="9:13" x14ac:dyDescent="0.3">
      <c r="I34858" s="82"/>
      <c r="M34858" s="85"/>
    </row>
    <row r="34859" spans="9:13" x14ac:dyDescent="0.3">
      <c r="I34859" s="82"/>
      <c r="M34859" s="85"/>
    </row>
    <row r="34860" spans="9:13" x14ac:dyDescent="0.3">
      <c r="I34860" s="82"/>
      <c r="M34860" s="85"/>
    </row>
    <row r="34861" spans="9:13" x14ac:dyDescent="0.3">
      <c r="I34861" s="82"/>
      <c r="M34861" s="85"/>
    </row>
    <row r="34862" spans="9:13" x14ac:dyDescent="0.3">
      <c r="I34862" s="82"/>
      <c r="M34862" s="85"/>
    </row>
    <row r="34863" spans="9:13" x14ac:dyDescent="0.3">
      <c r="I34863" s="82"/>
      <c r="M34863" s="85"/>
    </row>
    <row r="34864" spans="9:13" x14ac:dyDescent="0.3">
      <c r="I34864" s="82"/>
      <c r="M34864" s="85"/>
    </row>
    <row r="34865" spans="9:13" x14ac:dyDescent="0.3">
      <c r="I34865" s="82"/>
      <c r="M34865" s="85"/>
    </row>
    <row r="34866" spans="9:13" x14ac:dyDescent="0.3">
      <c r="I34866" s="82"/>
      <c r="M34866" s="85"/>
    </row>
    <row r="34867" spans="9:13" x14ac:dyDescent="0.3">
      <c r="I34867" s="82"/>
      <c r="M34867" s="85"/>
    </row>
    <row r="34868" spans="9:13" x14ac:dyDescent="0.3">
      <c r="I34868" s="82"/>
      <c r="M34868" s="85"/>
    </row>
    <row r="34869" spans="9:13" x14ac:dyDescent="0.3">
      <c r="I34869" s="82"/>
      <c r="M34869" s="85"/>
    </row>
    <row r="34870" spans="9:13" x14ac:dyDescent="0.3">
      <c r="I34870" s="82"/>
      <c r="M34870" s="85"/>
    </row>
    <row r="34871" spans="9:13" x14ac:dyDescent="0.3">
      <c r="I34871" s="82"/>
      <c r="M34871" s="85"/>
    </row>
    <row r="34872" spans="9:13" x14ac:dyDescent="0.3">
      <c r="I34872" s="82"/>
      <c r="M34872" s="85"/>
    </row>
    <row r="34873" spans="9:13" x14ac:dyDescent="0.3">
      <c r="I34873" s="82"/>
      <c r="M34873" s="85"/>
    </row>
    <row r="34874" spans="9:13" x14ac:dyDescent="0.3">
      <c r="I34874" s="82"/>
      <c r="M34874" s="85"/>
    </row>
    <row r="34875" spans="9:13" x14ac:dyDescent="0.3">
      <c r="I34875" s="82"/>
      <c r="M34875" s="85"/>
    </row>
    <row r="34876" spans="9:13" x14ac:dyDescent="0.3">
      <c r="I34876" s="82"/>
      <c r="M34876" s="85"/>
    </row>
    <row r="34877" spans="9:13" x14ac:dyDescent="0.3">
      <c r="I34877" s="82"/>
      <c r="M34877" s="85"/>
    </row>
    <row r="34878" spans="9:13" x14ac:dyDescent="0.3">
      <c r="I34878" s="82"/>
      <c r="M34878" s="85"/>
    </row>
    <row r="34879" spans="9:13" x14ac:dyDescent="0.3">
      <c r="I34879" s="82"/>
      <c r="M34879" s="85"/>
    </row>
    <row r="34880" spans="9:13" x14ac:dyDescent="0.3">
      <c r="I34880" s="82"/>
      <c r="M34880" s="85"/>
    </row>
    <row r="34881" spans="9:13" x14ac:dyDescent="0.3">
      <c r="I34881" s="82"/>
      <c r="M34881" s="85"/>
    </row>
    <row r="34882" spans="9:13" x14ac:dyDescent="0.3">
      <c r="I34882" s="82"/>
      <c r="M34882" s="85"/>
    </row>
    <row r="34883" spans="9:13" x14ac:dyDescent="0.3">
      <c r="I34883" s="82"/>
      <c r="M34883" s="85"/>
    </row>
    <row r="34884" spans="9:13" x14ac:dyDescent="0.3">
      <c r="I34884" s="82"/>
      <c r="M34884" s="85"/>
    </row>
    <row r="34885" spans="9:13" x14ac:dyDescent="0.3">
      <c r="I34885" s="82"/>
      <c r="M34885" s="85"/>
    </row>
    <row r="34886" spans="9:13" x14ac:dyDescent="0.3">
      <c r="I34886" s="82"/>
      <c r="M34886" s="85"/>
    </row>
    <row r="34887" spans="9:13" x14ac:dyDescent="0.3">
      <c r="I34887" s="82"/>
      <c r="M34887" s="85"/>
    </row>
    <row r="34888" spans="9:13" x14ac:dyDescent="0.3">
      <c r="I34888" s="82"/>
      <c r="M34888" s="85"/>
    </row>
    <row r="34889" spans="9:13" x14ac:dyDescent="0.3">
      <c r="I34889" s="82"/>
      <c r="M34889" s="85"/>
    </row>
    <row r="34890" spans="9:13" x14ac:dyDescent="0.3">
      <c r="I34890" s="82"/>
      <c r="M34890" s="85"/>
    </row>
    <row r="34891" spans="9:13" x14ac:dyDescent="0.3">
      <c r="I34891" s="82"/>
      <c r="M34891" s="85"/>
    </row>
    <row r="34892" spans="9:13" x14ac:dyDescent="0.3">
      <c r="I34892" s="82"/>
      <c r="M34892" s="85"/>
    </row>
    <row r="34893" spans="9:13" x14ac:dyDescent="0.3">
      <c r="I34893" s="82"/>
      <c r="M34893" s="85"/>
    </row>
    <row r="34894" spans="9:13" x14ac:dyDescent="0.3">
      <c r="I34894" s="82"/>
      <c r="M34894" s="85"/>
    </row>
    <row r="34895" spans="9:13" x14ac:dyDescent="0.3">
      <c r="I34895" s="82"/>
      <c r="M34895" s="85"/>
    </row>
    <row r="34896" spans="9:13" x14ac:dyDescent="0.3">
      <c r="I34896" s="82"/>
      <c r="M34896" s="85"/>
    </row>
    <row r="34897" spans="9:13" x14ac:dyDescent="0.3">
      <c r="I34897" s="82"/>
      <c r="M34897" s="85"/>
    </row>
    <row r="34898" spans="9:13" x14ac:dyDescent="0.3">
      <c r="I34898" s="82"/>
      <c r="M34898" s="85"/>
    </row>
    <row r="34899" spans="9:13" x14ac:dyDescent="0.3">
      <c r="I34899" s="82"/>
      <c r="M34899" s="85"/>
    </row>
    <row r="34900" spans="9:13" x14ac:dyDescent="0.3">
      <c r="I34900" s="82"/>
      <c r="M34900" s="85"/>
    </row>
    <row r="34901" spans="9:13" x14ac:dyDescent="0.3">
      <c r="I34901" s="82"/>
      <c r="M34901" s="85"/>
    </row>
    <row r="34902" spans="9:13" x14ac:dyDescent="0.3">
      <c r="I34902" s="82"/>
      <c r="M34902" s="85"/>
    </row>
    <row r="34903" spans="9:13" x14ac:dyDescent="0.3">
      <c r="I34903" s="82"/>
      <c r="M34903" s="85"/>
    </row>
    <row r="34904" spans="9:13" x14ac:dyDescent="0.3">
      <c r="I34904" s="82"/>
      <c r="M34904" s="85"/>
    </row>
    <row r="34905" spans="9:13" x14ac:dyDescent="0.3">
      <c r="I34905" s="82"/>
      <c r="M34905" s="85"/>
    </row>
    <row r="34906" spans="9:13" x14ac:dyDescent="0.3">
      <c r="I34906" s="82"/>
      <c r="M34906" s="85"/>
    </row>
    <row r="34907" spans="9:13" x14ac:dyDescent="0.3">
      <c r="I34907" s="82"/>
      <c r="M34907" s="85"/>
    </row>
    <row r="34908" spans="9:13" x14ac:dyDescent="0.3">
      <c r="I34908" s="82"/>
      <c r="M34908" s="85"/>
    </row>
    <row r="34909" spans="9:13" x14ac:dyDescent="0.3">
      <c r="I34909" s="82"/>
      <c r="M34909" s="85"/>
    </row>
    <row r="34910" spans="9:13" x14ac:dyDescent="0.3">
      <c r="I34910" s="82"/>
      <c r="M34910" s="85"/>
    </row>
    <row r="34911" spans="9:13" x14ac:dyDescent="0.3">
      <c r="I34911" s="82"/>
      <c r="M34911" s="85"/>
    </row>
    <row r="34912" spans="9:13" x14ac:dyDescent="0.3">
      <c r="I34912" s="82"/>
      <c r="M34912" s="85"/>
    </row>
    <row r="34913" spans="9:13" x14ac:dyDescent="0.3">
      <c r="I34913" s="82"/>
      <c r="M34913" s="85"/>
    </row>
    <row r="34914" spans="9:13" x14ac:dyDescent="0.3">
      <c r="I34914" s="82"/>
      <c r="M34914" s="85"/>
    </row>
    <row r="34915" spans="9:13" x14ac:dyDescent="0.3">
      <c r="I34915" s="82"/>
      <c r="M34915" s="85"/>
    </row>
    <row r="34916" spans="9:13" x14ac:dyDescent="0.3">
      <c r="I34916" s="82"/>
      <c r="M34916" s="85"/>
    </row>
    <row r="34917" spans="9:13" x14ac:dyDescent="0.3">
      <c r="I34917" s="82"/>
      <c r="M34917" s="85"/>
    </row>
    <row r="34918" spans="9:13" x14ac:dyDescent="0.3">
      <c r="I34918" s="82"/>
      <c r="M34918" s="85"/>
    </row>
    <row r="34919" spans="9:13" x14ac:dyDescent="0.3">
      <c r="I34919" s="82"/>
      <c r="M34919" s="85"/>
    </row>
    <row r="34920" spans="9:13" x14ac:dyDescent="0.3">
      <c r="I34920" s="82"/>
      <c r="M34920" s="85"/>
    </row>
    <row r="34921" spans="9:13" x14ac:dyDescent="0.3">
      <c r="I34921" s="82"/>
      <c r="M34921" s="85"/>
    </row>
    <row r="34922" spans="9:13" x14ac:dyDescent="0.3">
      <c r="I34922" s="82"/>
      <c r="M34922" s="85"/>
    </row>
    <row r="34923" spans="9:13" x14ac:dyDescent="0.3">
      <c r="I34923" s="82"/>
      <c r="M34923" s="85"/>
    </row>
    <row r="34924" spans="9:13" x14ac:dyDescent="0.3">
      <c r="I34924" s="82"/>
      <c r="M34924" s="85"/>
    </row>
    <row r="34925" spans="9:13" x14ac:dyDescent="0.3">
      <c r="I34925" s="82"/>
      <c r="M34925" s="85"/>
    </row>
    <row r="34926" spans="9:13" x14ac:dyDescent="0.3">
      <c r="I34926" s="82"/>
      <c r="M34926" s="85"/>
    </row>
    <row r="34927" spans="9:13" x14ac:dyDescent="0.3">
      <c r="I34927" s="82"/>
      <c r="M34927" s="85"/>
    </row>
    <row r="34928" spans="9:13" x14ac:dyDescent="0.3">
      <c r="I34928" s="82"/>
      <c r="M34928" s="85"/>
    </row>
    <row r="34929" spans="9:13" x14ac:dyDescent="0.3">
      <c r="I34929" s="82"/>
      <c r="M34929" s="85"/>
    </row>
    <row r="34930" spans="9:13" x14ac:dyDescent="0.3">
      <c r="I34930" s="82"/>
      <c r="M34930" s="85"/>
    </row>
    <row r="34931" spans="9:13" x14ac:dyDescent="0.3">
      <c r="I34931" s="82"/>
      <c r="M34931" s="85"/>
    </row>
    <row r="34932" spans="9:13" x14ac:dyDescent="0.3">
      <c r="I34932" s="82"/>
      <c r="M34932" s="85"/>
    </row>
    <row r="34933" spans="9:13" x14ac:dyDescent="0.3">
      <c r="I34933" s="82"/>
      <c r="M34933" s="85"/>
    </row>
    <row r="34934" spans="9:13" x14ac:dyDescent="0.3">
      <c r="I34934" s="82"/>
      <c r="M34934" s="85"/>
    </row>
    <row r="34935" spans="9:13" x14ac:dyDescent="0.3">
      <c r="I34935" s="82"/>
      <c r="M34935" s="85"/>
    </row>
    <row r="34936" spans="9:13" x14ac:dyDescent="0.3">
      <c r="I34936" s="82"/>
      <c r="M34936" s="85"/>
    </row>
    <row r="34937" spans="9:13" x14ac:dyDescent="0.3">
      <c r="I34937" s="82"/>
      <c r="M34937" s="85"/>
    </row>
    <row r="34938" spans="9:13" x14ac:dyDescent="0.3">
      <c r="I34938" s="82"/>
      <c r="M34938" s="85"/>
    </row>
    <row r="34939" spans="9:13" x14ac:dyDescent="0.3">
      <c r="I34939" s="82"/>
      <c r="M34939" s="85"/>
    </row>
    <row r="34940" spans="9:13" x14ac:dyDescent="0.3">
      <c r="I34940" s="82"/>
      <c r="M34940" s="85"/>
    </row>
    <row r="34941" spans="9:13" x14ac:dyDescent="0.3">
      <c r="I34941" s="82"/>
      <c r="M34941" s="85"/>
    </row>
    <row r="34942" spans="9:13" x14ac:dyDescent="0.3">
      <c r="I34942" s="82"/>
      <c r="M34942" s="85"/>
    </row>
    <row r="34943" spans="9:13" x14ac:dyDescent="0.3">
      <c r="I34943" s="82"/>
      <c r="M34943" s="85"/>
    </row>
    <row r="34944" spans="9:13" x14ac:dyDescent="0.3">
      <c r="I34944" s="82"/>
      <c r="M34944" s="85"/>
    </row>
    <row r="34945" spans="9:13" x14ac:dyDescent="0.3">
      <c r="I34945" s="82"/>
      <c r="M34945" s="85"/>
    </row>
    <row r="34946" spans="9:13" x14ac:dyDescent="0.3">
      <c r="I34946" s="82"/>
      <c r="M34946" s="85"/>
    </row>
    <row r="34947" spans="9:13" x14ac:dyDescent="0.3">
      <c r="I34947" s="82"/>
      <c r="M34947" s="85"/>
    </row>
    <row r="34948" spans="9:13" x14ac:dyDescent="0.3">
      <c r="I34948" s="82"/>
      <c r="M34948" s="85"/>
    </row>
    <row r="34949" spans="9:13" x14ac:dyDescent="0.3">
      <c r="I34949" s="82"/>
      <c r="M34949" s="85"/>
    </row>
    <row r="34950" spans="9:13" x14ac:dyDescent="0.3">
      <c r="I34950" s="82"/>
      <c r="M34950" s="85"/>
    </row>
    <row r="34951" spans="9:13" x14ac:dyDescent="0.3">
      <c r="I34951" s="82"/>
      <c r="M34951" s="85"/>
    </row>
    <row r="34952" spans="9:13" x14ac:dyDescent="0.3">
      <c r="I34952" s="82"/>
      <c r="M34952" s="85"/>
    </row>
    <row r="34953" spans="9:13" x14ac:dyDescent="0.3">
      <c r="I34953" s="82"/>
      <c r="M34953" s="85"/>
    </row>
    <row r="34954" spans="9:13" x14ac:dyDescent="0.3">
      <c r="I34954" s="82"/>
      <c r="M34954" s="85"/>
    </row>
    <row r="34955" spans="9:13" x14ac:dyDescent="0.3">
      <c r="I34955" s="82"/>
      <c r="M34955" s="85"/>
    </row>
    <row r="34956" spans="9:13" x14ac:dyDescent="0.3">
      <c r="I34956" s="82"/>
      <c r="M34956" s="85"/>
    </row>
    <row r="34957" spans="9:13" x14ac:dyDescent="0.3">
      <c r="I34957" s="82"/>
      <c r="M34957" s="85"/>
    </row>
    <row r="34958" spans="9:13" x14ac:dyDescent="0.3">
      <c r="I34958" s="82"/>
      <c r="M34958" s="85"/>
    </row>
    <row r="34959" spans="9:13" x14ac:dyDescent="0.3">
      <c r="I34959" s="82"/>
      <c r="M34959" s="85"/>
    </row>
    <row r="34960" spans="9:13" x14ac:dyDescent="0.3">
      <c r="I34960" s="82"/>
      <c r="M34960" s="85"/>
    </row>
    <row r="34961" spans="9:13" x14ac:dyDescent="0.3">
      <c r="I34961" s="82"/>
      <c r="M34961" s="85"/>
    </row>
    <row r="34962" spans="9:13" x14ac:dyDescent="0.3">
      <c r="I34962" s="82"/>
      <c r="M34962" s="85"/>
    </row>
    <row r="34963" spans="9:13" x14ac:dyDescent="0.3">
      <c r="I34963" s="82"/>
      <c r="M34963" s="85"/>
    </row>
    <row r="34964" spans="9:13" x14ac:dyDescent="0.3">
      <c r="I34964" s="82"/>
      <c r="M34964" s="85"/>
    </row>
    <row r="34965" spans="9:13" x14ac:dyDescent="0.3">
      <c r="I34965" s="82"/>
      <c r="M34965" s="85"/>
    </row>
    <row r="34966" spans="9:13" x14ac:dyDescent="0.3">
      <c r="I34966" s="82"/>
      <c r="M34966" s="85"/>
    </row>
    <row r="34967" spans="9:13" x14ac:dyDescent="0.3">
      <c r="I34967" s="82"/>
      <c r="M34967" s="85"/>
    </row>
    <row r="34968" spans="9:13" x14ac:dyDescent="0.3">
      <c r="I34968" s="82"/>
      <c r="M34968" s="85"/>
    </row>
    <row r="34969" spans="9:13" x14ac:dyDescent="0.3">
      <c r="I34969" s="82"/>
      <c r="M34969" s="85"/>
    </row>
    <row r="34970" spans="9:13" x14ac:dyDescent="0.3">
      <c r="I34970" s="82"/>
      <c r="M34970" s="85"/>
    </row>
    <row r="34971" spans="9:13" x14ac:dyDescent="0.3">
      <c r="I34971" s="82"/>
      <c r="M34971" s="85"/>
    </row>
    <row r="34972" spans="9:13" x14ac:dyDescent="0.3">
      <c r="I34972" s="82"/>
      <c r="M34972" s="85"/>
    </row>
    <row r="34973" spans="9:13" x14ac:dyDescent="0.3">
      <c r="I34973" s="82"/>
      <c r="M34973" s="85"/>
    </row>
    <row r="34974" spans="9:13" x14ac:dyDescent="0.3">
      <c r="I34974" s="82"/>
      <c r="M34974" s="85"/>
    </row>
    <row r="34975" spans="9:13" x14ac:dyDescent="0.3">
      <c r="I34975" s="82"/>
      <c r="M34975" s="85"/>
    </row>
    <row r="34976" spans="9:13" x14ac:dyDescent="0.3">
      <c r="I34976" s="82"/>
      <c r="M34976" s="85"/>
    </row>
    <row r="34977" spans="9:13" x14ac:dyDescent="0.3">
      <c r="I34977" s="82"/>
      <c r="M34977" s="85"/>
    </row>
    <row r="34978" spans="9:13" x14ac:dyDescent="0.3">
      <c r="I34978" s="82"/>
      <c r="M34978" s="85"/>
    </row>
    <row r="34979" spans="9:13" x14ac:dyDescent="0.3">
      <c r="I34979" s="82"/>
      <c r="M34979" s="85"/>
    </row>
    <row r="34980" spans="9:13" x14ac:dyDescent="0.3">
      <c r="I34980" s="82"/>
      <c r="M34980" s="85"/>
    </row>
    <row r="34981" spans="9:13" x14ac:dyDescent="0.3">
      <c r="I34981" s="82"/>
      <c r="M34981" s="85"/>
    </row>
    <row r="34982" spans="9:13" x14ac:dyDescent="0.3">
      <c r="I34982" s="82"/>
      <c r="M34982" s="85"/>
    </row>
    <row r="34983" spans="9:13" x14ac:dyDescent="0.3">
      <c r="I34983" s="82"/>
      <c r="M34983" s="85"/>
    </row>
    <row r="34984" spans="9:13" x14ac:dyDescent="0.3">
      <c r="I34984" s="82"/>
      <c r="M34984" s="85"/>
    </row>
    <row r="34985" spans="9:13" x14ac:dyDescent="0.3">
      <c r="I34985" s="82"/>
      <c r="M34985" s="85"/>
    </row>
    <row r="34986" spans="9:13" x14ac:dyDescent="0.3">
      <c r="I34986" s="82"/>
      <c r="M34986" s="85"/>
    </row>
    <row r="34987" spans="9:13" x14ac:dyDescent="0.3">
      <c r="I34987" s="82"/>
      <c r="M34987" s="85"/>
    </row>
    <row r="34988" spans="9:13" x14ac:dyDescent="0.3">
      <c r="I34988" s="82"/>
      <c r="M34988" s="85"/>
    </row>
    <row r="34989" spans="9:13" x14ac:dyDescent="0.3">
      <c r="I34989" s="82"/>
      <c r="M34989" s="85"/>
    </row>
    <row r="34990" spans="9:13" x14ac:dyDescent="0.3">
      <c r="I34990" s="82"/>
      <c r="M34990" s="85"/>
    </row>
    <row r="34991" spans="9:13" x14ac:dyDescent="0.3">
      <c r="I34991" s="82"/>
      <c r="M34991" s="85"/>
    </row>
    <row r="34992" spans="9:13" x14ac:dyDescent="0.3">
      <c r="I34992" s="82"/>
      <c r="M34992" s="85"/>
    </row>
    <row r="34993" spans="9:13" x14ac:dyDescent="0.3">
      <c r="I34993" s="82"/>
      <c r="M34993" s="85"/>
    </row>
    <row r="34994" spans="9:13" x14ac:dyDescent="0.3">
      <c r="I34994" s="82"/>
      <c r="M34994" s="85"/>
    </row>
    <row r="34995" spans="9:13" x14ac:dyDescent="0.3">
      <c r="I34995" s="82"/>
      <c r="M34995" s="85"/>
    </row>
    <row r="34996" spans="9:13" x14ac:dyDescent="0.3">
      <c r="I34996" s="82"/>
      <c r="M34996" s="85"/>
    </row>
    <row r="34997" spans="9:13" x14ac:dyDescent="0.3">
      <c r="I34997" s="82"/>
      <c r="M34997" s="85"/>
    </row>
    <row r="34998" spans="9:13" x14ac:dyDescent="0.3">
      <c r="I34998" s="82"/>
      <c r="M34998" s="85"/>
    </row>
    <row r="34999" spans="9:13" x14ac:dyDescent="0.3">
      <c r="I34999" s="82"/>
      <c r="M34999" s="85"/>
    </row>
    <row r="35000" spans="9:13" x14ac:dyDescent="0.3">
      <c r="I35000" s="82"/>
      <c r="M35000" s="85"/>
    </row>
    <row r="35001" spans="9:13" x14ac:dyDescent="0.3">
      <c r="I35001" s="82"/>
      <c r="M35001" s="85"/>
    </row>
    <row r="35002" spans="9:13" x14ac:dyDescent="0.3">
      <c r="I35002" s="82"/>
      <c r="M35002" s="85"/>
    </row>
    <row r="35003" spans="9:13" x14ac:dyDescent="0.3">
      <c r="I35003" s="82"/>
      <c r="M35003" s="85"/>
    </row>
    <row r="35004" spans="9:13" x14ac:dyDescent="0.3">
      <c r="I35004" s="82"/>
      <c r="M35004" s="85"/>
    </row>
    <row r="35005" spans="9:13" x14ac:dyDescent="0.3">
      <c r="I35005" s="82"/>
      <c r="M35005" s="85"/>
    </row>
    <row r="35006" spans="9:13" x14ac:dyDescent="0.3">
      <c r="I35006" s="82"/>
      <c r="M35006" s="85"/>
    </row>
    <row r="35007" spans="9:13" x14ac:dyDescent="0.3">
      <c r="I35007" s="82"/>
      <c r="M35007" s="85"/>
    </row>
    <row r="35008" spans="9:13" x14ac:dyDescent="0.3">
      <c r="I35008" s="82"/>
      <c r="M35008" s="85"/>
    </row>
    <row r="35009" spans="9:13" x14ac:dyDescent="0.3">
      <c r="I35009" s="82"/>
      <c r="M35009" s="85"/>
    </row>
    <row r="35010" spans="9:13" x14ac:dyDescent="0.3">
      <c r="I35010" s="82"/>
      <c r="M35010" s="85"/>
    </row>
    <row r="35011" spans="9:13" x14ac:dyDescent="0.3">
      <c r="I35011" s="82"/>
      <c r="M35011" s="85"/>
    </row>
    <row r="35012" spans="9:13" x14ac:dyDescent="0.3">
      <c r="I35012" s="82"/>
      <c r="M35012" s="85"/>
    </row>
    <row r="35013" spans="9:13" x14ac:dyDescent="0.3">
      <c r="I35013" s="82"/>
      <c r="M35013" s="85"/>
    </row>
    <row r="35014" spans="9:13" x14ac:dyDescent="0.3">
      <c r="I35014" s="82"/>
      <c r="M35014" s="85"/>
    </row>
    <row r="35015" spans="9:13" x14ac:dyDescent="0.3">
      <c r="I35015" s="82"/>
      <c r="M35015" s="85"/>
    </row>
    <row r="35016" spans="9:13" x14ac:dyDescent="0.3">
      <c r="I35016" s="82"/>
      <c r="M35016" s="85"/>
    </row>
    <row r="35017" spans="9:13" x14ac:dyDescent="0.3">
      <c r="I35017" s="82"/>
      <c r="M35017" s="85"/>
    </row>
    <row r="35018" spans="9:13" x14ac:dyDescent="0.3">
      <c r="I35018" s="82"/>
      <c r="M35018" s="85"/>
    </row>
    <row r="35019" spans="9:13" x14ac:dyDescent="0.3">
      <c r="I35019" s="82"/>
      <c r="M35019" s="85"/>
    </row>
    <row r="35020" spans="9:13" x14ac:dyDescent="0.3">
      <c r="I35020" s="82"/>
      <c r="M35020" s="85"/>
    </row>
    <row r="35021" spans="9:13" x14ac:dyDescent="0.3">
      <c r="I35021" s="82"/>
      <c r="M35021" s="85"/>
    </row>
    <row r="35022" spans="9:13" x14ac:dyDescent="0.3">
      <c r="I35022" s="82"/>
      <c r="M35022" s="85"/>
    </row>
    <row r="35023" spans="9:13" x14ac:dyDescent="0.3">
      <c r="I35023" s="82"/>
      <c r="M35023" s="85"/>
    </row>
    <row r="35024" spans="9:13" x14ac:dyDescent="0.3">
      <c r="I35024" s="82"/>
      <c r="M35024" s="85"/>
    </row>
    <row r="35025" spans="9:13" x14ac:dyDescent="0.3">
      <c r="I35025" s="82"/>
      <c r="M35025" s="85"/>
    </row>
    <row r="35026" spans="9:13" x14ac:dyDescent="0.3">
      <c r="I35026" s="82"/>
      <c r="M35026" s="85"/>
    </row>
    <row r="35027" spans="9:13" x14ac:dyDescent="0.3">
      <c r="I35027" s="82"/>
      <c r="M35027" s="85"/>
    </row>
    <row r="35028" spans="9:13" x14ac:dyDescent="0.3">
      <c r="I35028" s="82"/>
      <c r="M35028" s="85"/>
    </row>
    <row r="35029" spans="9:13" x14ac:dyDescent="0.3">
      <c r="I35029" s="82"/>
      <c r="M35029" s="85"/>
    </row>
    <row r="35030" spans="9:13" x14ac:dyDescent="0.3">
      <c r="I35030" s="82"/>
      <c r="M35030" s="85"/>
    </row>
    <row r="35031" spans="9:13" x14ac:dyDescent="0.3">
      <c r="I35031" s="82"/>
      <c r="M35031" s="85"/>
    </row>
    <row r="35032" spans="9:13" x14ac:dyDescent="0.3">
      <c r="I35032" s="82"/>
      <c r="M35032" s="85"/>
    </row>
    <row r="35033" spans="9:13" x14ac:dyDescent="0.3">
      <c r="I35033" s="82"/>
      <c r="M35033" s="85"/>
    </row>
    <row r="35034" spans="9:13" x14ac:dyDescent="0.3">
      <c r="I35034" s="82"/>
      <c r="M35034" s="85"/>
    </row>
    <row r="35035" spans="9:13" x14ac:dyDescent="0.3">
      <c r="I35035" s="82"/>
      <c r="M35035" s="85"/>
    </row>
    <row r="35036" spans="9:13" x14ac:dyDescent="0.3">
      <c r="I35036" s="82"/>
      <c r="M35036" s="85"/>
    </row>
    <row r="35037" spans="9:13" x14ac:dyDescent="0.3">
      <c r="I35037" s="82"/>
      <c r="M35037" s="85"/>
    </row>
    <row r="35038" spans="9:13" x14ac:dyDescent="0.3">
      <c r="I35038" s="82"/>
      <c r="M35038" s="85"/>
    </row>
    <row r="35039" spans="9:13" x14ac:dyDescent="0.3">
      <c r="I35039" s="82"/>
      <c r="M35039" s="85"/>
    </row>
    <row r="35040" spans="9:13" x14ac:dyDescent="0.3">
      <c r="I35040" s="82"/>
      <c r="M35040" s="85"/>
    </row>
    <row r="35041" spans="9:13" x14ac:dyDescent="0.3">
      <c r="I35041" s="82"/>
      <c r="M35041" s="85"/>
    </row>
    <row r="35042" spans="9:13" x14ac:dyDescent="0.3">
      <c r="I35042" s="82"/>
      <c r="M35042" s="85"/>
    </row>
    <row r="35043" spans="9:13" x14ac:dyDescent="0.3">
      <c r="I35043" s="82"/>
      <c r="M35043" s="85"/>
    </row>
    <row r="35044" spans="9:13" x14ac:dyDescent="0.3">
      <c r="I35044" s="82"/>
      <c r="M35044" s="85"/>
    </row>
    <row r="35045" spans="9:13" x14ac:dyDescent="0.3">
      <c r="I35045" s="82"/>
      <c r="M35045" s="85"/>
    </row>
    <row r="35046" spans="9:13" x14ac:dyDescent="0.3">
      <c r="I35046" s="82"/>
      <c r="M35046" s="85"/>
    </row>
    <row r="35047" spans="9:13" x14ac:dyDescent="0.3">
      <c r="I35047" s="82"/>
      <c r="M35047" s="85"/>
    </row>
    <row r="35048" spans="9:13" x14ac:dyDescent="0.3">
      <c r="I35048" s="82"/>
      <c r="M35048" s="85"/>
    </row>
    <row r="35049" spans="9:13" x14ac:dyDescent="0.3">
      <c r="I35049" s="82"/>
      <c r="M35049" s="85"/>
    </row>
    <row r="35050" spans="9:13" x14ac:dyDescent="0.3">
      <c r="I35050" s="82"/>
      <c r="M35050" s="85"/>
    </row>
    <row r="35051" spans="9:13" x14ac:dyDescent="0.3">
      <c r="I35051" s="82"/>
      <c r="M35051" s="85"/>
    </row>
    <row r="35052" spans="9:13" x14ac:dyDescent="0.3">
      <c r="I35052" s="82"/>
      <c r="M35052" s="85"/>
    </row>
    <row r="35053" spans="9:13" x14ac:dyDescent="0.3">
      <c r="I35053" s="82"/>
      <c r="M35053" s="85"/>
    </row>
    <row r="35054" spans="9:13" x14ac:dyDescent="0.3">
      <c r="I35054" s="82"/>
      <c r="M35054" s="85"/>
    </row>
    <row r="35055" spans="9:13" x14ac:dyDescent="0.3">
      <c r="I35055" s="82"/>
      <c r="M35055" s="85"/>
    </row>
    <row r="35056" spans="9:13" x14ac:dyDescent="0.3">
      <c r="I35056" s="82"/>
      <c r="M35056" s="85"/>
    </row>
    <row r="35057" spans="9:13" x14ac:dyDescent="0.3">
      <c r="I35057" s="82"/>
      <c r="M35057" s="85"/>
    </row>
    <row r="35058" spans="9:13" x14ac:dyDescent="0.3">
      <c r="I35058" s="82"/>
      <c r="M35058" s="85"/>
    </row>
    <row r="35059" spans="9:13" x14ac:dyDescent="0.3">
      <c r="I35059" s="82"/>
      <c r="M35059" s="85"/>
    </row>
    <row r="35060" spans="9:13" x14ac:dyDescent="0.3">
      <c r="I35060" s="82"/>
      <c r="M35060" s="85"/>
    </row>
    <row r="35061" spans="9:13" x14ac:dyDescent="0.3">
      <c r="I35061" s="82"/>
      <c r="M35061" s="85"/>
    </row>
    <row r="35062" spans="9:13" x14ac:dyDescent="0.3">
      <c r="I35062" s="82"/>
      <c r="M35062" s="85"/>
    </row>
    <row r="35063" spans="9:13" x14ac:dyDescent="0.3">
      <c r="I35063" s="82"/>
      <c r="M35063" s="85"/>
    </row>
    <row r="35064" spans="9:13" x14ac:dyDescent="0.3">
      <c r="I35064" s="82"/>
      <c r="M35064" s="85"/>
    </row>
    <row r="35065" spans="9:13" x14ac:dyDescent="0.3">
      <c r="I35065" s="82"/>
      <c r="M35065" s="85"/>
    </row>
    <row r="35066" spans="9:13" x14ac:dyDescent="0.3">
      <c r="I35066" s="82"/>
      <c r="M35066" s="85"/>
    </row>
    <row r="35067" spans="9:13" x14ac:dyDescent="0.3">
      <c r="I35067" s="82"/>
      <c r="M35067" s="85"/>
    </row>
    <row r="35068" spans="9:13" x14ac:dyDescent="0.3">
      <c r="I35068" s="82"/>
      <c r="M35068" s="85"/>
    </row>
    <row r="35069" spans="9:13" x14ac:dyDescent="0.3">
      <c r="I35069" s="82"/>
      <c r="M35069" s="85"/>
    </row>
    <row r="35070" spans="9:13" x14ac:dyDescent="0.3">
      <c r="I35070" s="82"/>
      <c r="M35070" s="85"/>
    </row>
    <row r="35071" spans="9:13" x14ac:dyDescent="0.3">
      <c r="I35071" s="82"/>
      <c r="M35071" s="85"/>
    </row>
    <row r="35072" spans="9:13" x14ac:dyDescent="0.3">
      <c r="I35072" s="82"/>
      <c r="M35072" s="85"/>
    </row>
    <row r="35073" spans="9:13" x14ac:dyDescent="0.3">
      <c r="I35073" s="82"/>
      <c r="M35073" s="85"/>
    </row>
    <row r="35074" spans="9:13" x14ac:dyDescent="0.3">
      <c r="I35074" s="82"/>
      <c r="M35074" s="85"/>
    </row>
    <row r="35075" spans="9:13" x14ac:dyDescent="0.3">
      <c r="I35075" s="82"/>
      <c r="M35075" s="85"/>
    </row>
    <row r="35076" spans="9:13" x14ac:dyDescent="0.3">
      <c r="I35076" s="82"/>
      <c r="M35076" s="85"/>
    </row>
    <row r="35077" spans="9:13" x14ac:dyDescent="0.3">
      <c r="I35077" s="82"/>
      <c r="M35077" s="85"/>
    </row>
    <row r="35078" spans="9:13" x14ac:dyDescent="0.3">
      <c r="I35078" s="82"/>
      <c r="M35078" s="85"/>
    </row>
    <row r="35079" spans="9:13" x14ac:dyDescent="0.3">
      <c r="I35079" s="82"/>
      <c r="M35079" s="85"/>
    </row>
    <row r="35080" spans="9:13" x14ac:dyDescent="0.3">
      <c r="I35080" s="82"/>
      <c r="M35080" s="85"/>
    </row>
    <row r="35081" spans="9:13" x14ac:dyDescent="0.3">
      <c r="I35081" s="82"/>
      <c r="M35081" s="85"/>
    </row>
    <row r="35082" spans="9:13" x14ac:dyDescent="0.3">
      <c r="I35082" s="82"/>
      <c r="M35082" s="85"/>
    </row>
    <row r="35083" spans="9:13" x14ac:dyDescent="0.3">
      <c r="I35083" s="82"/>
      <c r="M35083" s="85"/>
    </row>
    <row r="35084" spans="9:13" x14ac:dyDescent="0.3">
      <c r="I35084" s="82"/>
      <c r="M35084" s="85"/>
    </row>
    <row r="35085" spans="9:13" x14ac:dyDescent="0.3">
      <c r="I35085" s="82"/>
      <c r="M35085" s="85"/>
    </row>
    <row r="35086" spans="9:13" x14ac:dyDescent="0.3">
      <c r="I35086" s="82"/>
      <c r="M35086" s="85"/>
    </row>
    <row r="35087" spans="9:13" x14ac:dyDescent="0.3">
      <c r="I35087" s="82"/>
      <c r="M35087" s="85"/>
    </row>
    <row r="35088" spans="9:13" x14ac:dyDescent="0.3">
      <c r="I35088" s="82"/>
      <c r="M35088" s="85"/>
    </row>
    <row r="35089" spans="9:13" x14ac:dyDescent="0.3">
      <c r="I35089" s="82"/>
      <c r="M35089" s="85"/>
    </row>
    <row r="35090" spans="9:13" x14ac:dyDescent="0.3">
      <c r="I35090" s="82"/>
      <c r="M35090" s="85"/>
    </row>
    <row r="35091" spans="9:13" x14ac:dyDescent="0.3">
      <c r="I35091" s="82"/>
      <c r="M35091" s="85"/>
    </row>
    <row r="35092" spans="9:13" x14ac:dyDescent="0.3">
      <c r="I35092" s="82"/>
      <c r="M35092" s="85"/>
    </row>
    <row r="35093" spans="9:13" x14ac:dyDescent="0.3">
      <c r="I35093" s="82"/>
      <c r="M35093" s="85"/>
    </row>
    <row r="35094" spans="9:13" x14ac:dyDescent="0.3">
      <c r="I35094" s="82"/>
      <c r="M35094" s="85"/>
    </row>
    <row r="35095" spans="9:13" x14ac:dyDescent="0.3">
      <c r="I35095" s="82"/>
      <c r="M35095" s="85"/>
    </row>
    <row r="35096" spans="9:13" x14ac:dyDescent="0.3">
      <c r="I35096" s="82"/>
      <c r="M35096" s="85"/>
    </row>
    <row r="35097" spans="9:13" x14ac:dyDescent="0.3">
      <c r="I35097" s="82"/>
      <c r="M35097" s="85"/>
    </row>
    <row r="35098" spans="9:13" x14ac:dyDescent="0.3">
      <c r="I35098" s="82"/>
      <c r="M35098" s="85"/>
    </row>
    <row r="35099" spans="9:13" x14ac:dyDescent="0.3">
      <c r="I35099" s="82"/>
      <c r="M35099" s="85"/>
    </row>
    <row r="35100" spans="9:13" x14ac:dyDescent="0.3">
      <c r="I35100" s="82"/>
      <c r="M35100" s="85"/>
    </row>
    <row r="35101" spans="9:13" x14ac:dyDescent="0.3">
      <c r="I35101" s="82"/>
      <c r="M35101" s="85"/>
    </row>
    <row r="35102" spans="9:13" x14ac:dyDescent="0.3">
      <c r="I35102" s="82"/>
      <c r="M35102" s="85"/>
    </row>
    <row r="35103" spans="9:13" x14ac:dyDescent="0.3">
      <c r="I35103" s="82"/>
      <c r="M35103" s="85"/>
    </row>
    <row r="35104" spans="9:13" x14ac:dyDescent="0.3">
      <c r="I35104" s="82"/>
      <c r="M35104" s="85"/>
    </row>
    <row r="35105" spans="9:13" x14ac:dyDescent="0.3">
      <c r="I35105" s="82"/>
      <c r="M35105" s="85"/>
    </row>
    <row r="35106" spans="9:13" x14ac:dyDescent="0.3">
      <c r="I35106" s="82"/>
      <c r="M35106" s="85"/>
    </row>
    <row r="35107" spans="9:13" x14ac:dyDescent="0.3">
      <c r="I35107" s="82"/>
      <c r="M35107" s="85"/>
    </row>
    <row r="35108" spans="9:13" x14ac:dyDescent="0.3">
      <c r="I35108" s="82"/>
      <c r="M35108" s="85"/>
    </row>
    <row r="35109" spans="9:13" x14ac:dyDescent="0.3">
      <c r="I35109" s="82"/>
      <c r="M35109" s="85"/>
    </row>
    <row r="35110" spans="9:13" x14ac:dyDescent="0.3">
      <c r="I35110" s="82"/>
      <c r="M35110" s="85"/>
    </row>
    <row r="35111" spans="9:13" x14ac:dyDescent="0.3">
      <c r="I35111" s="82"/>
      <c r="M35111" s="85"/>
    </row>
    <row r="35112" spans="9:13" x14ac:dyDescent="0.3">
      <c r="I35112" s="82"/>
      <c r="M35112" s="85"/>
    </row>
    <row r="35113" spans="9:13" x14ac:dyDescent="0.3">
      <c r="I35113" s="82"/>
      <c r="M35113" s="85"/>
    </row>
    <row r="35114" spans="9:13" x14ac:dyDescent="0.3">
      <c r="I35114" s="82"/>
      <c r="M35114" s="85"/>
    </row>
    <row r="35115" spans="9:13" x14ac:dyDescent="0.3">
      <c r="I35115" s="82"/>
      <c r="M35115" s="85"/>
    </row>
    <row r="35116" spans="9:13" x14ac:dyDescent="0.3">
      <c r="I35116" s="82"/>
      <c r="M35116" s="85"/>
    </row>
    <row r="35117" spans="9:13" x14ac:dyDescent="0.3">
      <c r="I35117" s="82"/>
      <c r="M35117" s="85"/>
    </row>
    <row r="35118" spans="9:13" x14ac:dyDescent="0.3">
      <c r="I35118" s="82"/>
      <c r="M35118" s="85"/>
    </row>
    <row r="35119" spans="9:13" x14ac:dyDescent="0.3">
      <c r="I35119" s="82"/>
      <c r="M35119" s="85"/>
    </row>
    <row r="35120" spans="9:13" x14ac:dyDescent="0.3">
      <c r="I35120" s="82"/>
      <c r="M35120" s="85"/>
    </row>
    <row r="35121" spans="9:13" x14ac:dyDescent="0.3">
      <c r="I35121" s="82"/>
      <c r="M35121" s="85"/>
    </row>
    <row r="35122" spans="9:13" x14ac:dyDescent="0.3">
      <c r="I35122" s="82"/>
      <c r="M35122" s="85"/>
    </row>
    <row r="35123" spans="9:13" x14ac:dyDescent="0.3">
      <c r="I35123" s="82"/>
      <c r="M35123" s="85"/>
    </row>
    <row r="35124" spans="9:13" x14ac:dyDescent="0.3">
      <c r="I35124" s="82"/>
      <c r="M35124" s="85"/>
    </row>
    <row r="35125" spans="9:13" x14ac:dyDescent="0.3">
      <c r="I35125" s="82"/>
      <c r="M35125" s="85"/>
    </row>
    <row r="35126" spans="9:13" x14ac:dyDescent="0.3">
      <c r="I35126" s="82"/>
      <c r="M35126" s="85"/>
    </row>
    <row r="35127" spans="9:13" x14ac:dyDescent="0.3">
      <c r="I35127" s="82"/>
      <c r="M35127" s="85"/>
    </row>
    <row r="35128" spans="9:13" x14ac:dyDescent="0.3">
      <c r="I35128" s="82"/>
      <c r="M35128" s="85"/>
    </row>
    <row r="35129" spans="9:13" x14ac:dyDescent="0.3">
      <c r="I35129" s="82"/>
      <c r="M35129" s="85"/>
    </row>
    <row r="35130" spans="9:13" x14ac:dyDescent="0.3">
      <c r="I35130" s="82"/>
      <c r="M35130" s="85"/>
    </row>
    <row r="35131" spans="9:13" x14ac:dyDescent="0.3">
      <c r="I35131" s="82"/>
      <c r="M35131" s="85"/>
    </row>
    <row r="35132" spans="9:13" x14ac:dyDescent="0.3">
      <c r="I35132" s="82"/>
      <c r="M35132" s="85"/>
    </row>
    <row r="35133" spans="9:13" x14ac:dyDescent="0.3">
      <c r="I35133" s="82"/>
      <c r="M35133" s="85"/>
    </row>
    <row r="35134" spans="9:13" x14ac:dyDescent="0.3">
      <c r="I35134" s="82"/>
      <c r="M35134" s="85"/>
    </row>
    <row r="35135" spans="9:13" x14ac:dyDescent="0.3">
      <c r="I35135" s="82"/>
      <c r="M35135" s="85"/>
    </row>
    <row r="35136" spans="9:13" x14ac:dyDescent="0.3">
      <c r="I35136" s="82"/>
      <c r="M35136" s="85"/>
    </row>
    <row r="35137" spans="9:13" x14ac:dyDescent="0.3">
      <c r="I35137" s="82"/>
      <c r="M35137" s="85"/>
    </row>
    <row r="35138" spans="9:13" x14ac:dyDescent="0.3">
      <c r="I35138" s="82"/>
      <c r="M35138" s="85"/>
    </row>
    <row r="35139" spans="9:13" x14ac:dyDescent="0.3">
      <c r="I35139" s="82"/>
      <c r="M35139" s="85"/>
    </row>
    <row r="35140" spans="9:13" x14ac:dyDescent="0.3">
      <c r="I35140" s="82"/>
      <c r="M35140" s="85"/>
    </row>
    <row r="35141" spans="9:13" x14ac:dyDescent="0.3">
      <c r="I35141" s="82"/>
      <c r="M35141" s="85"/>
    </row>
    <row r="35142" spans="9:13" x14ac:dyDescent="0.3">
      <c r="I35142" s="82"/>
      <c r="M35142" s="85"/>
    </row>
    <row r="35143" spans="9:13" x14ac:dyDescent="0.3">
      <c r="I35143" s="82"/>
      <c r="M35143" s="85"/>
    </row>
    <row r="35144" spans="9:13" x14ac:dyDescent="0.3">
      <c r="I35144" s="82"/>
      <c r="M35144" s="85"/>
    </row>
    <row r="35145" spans="9:13" x14ac:dyDescent="0.3">
      <c r="I35145" s="82"/>
      <c r="M35145" s="85"/>
    </row>
    <row r="35146" spans="9:13" x14ac:dyDescent="0.3">
      <c r="I35146" s="82"/>
      <c r="M35146" s="85"/>
    </row>
    <row r="35147" spans="9:13" x14ac:dyDescent="0.3">
      <c r="I35147" s="82"/>
      <c r="M35147" s="85"/>
    </row>
    <row r="35148" spans="9:13" x14ac:dyDescent="0.3">
      <c r="I35148" s="82"/>
      <c r="M35148" s="85"/>
    </row>
    <row r="35149" spans="9:13" x14ac:dyDescent="0.3">
      <c r="I35149" s="82"/>
      <c r="M35149" s="85"/>
    </row>
    <row r="35150" spans="9:13" x14ac:dyDescent="0.3">
      <c r="I35150" s="82"/>
      <c r="M35150" s="85"/>
    </row>
    <row r="35151" spans="9:13" x14ac:dyDescent="0.3">
      <c r="I35151" s="82"/>
      <c r="M35151" s="85"/>
    </row>
    <row r="35152" spans="9:13" x14ac:dyDescent="0.3">
      <c r="I35152" s="82"/>
      <c r="M35152" s="85"/>
    </row>
    <row r="35153" spans="9:13" x14ac:dyDescent="0.3">
      <c r="I35153" s="82"/>
      <c r="M35153" s="85"/>
    </row>
    <row r="35154" spans="9:13" x14ac:dyDescent="0.3">
      <c r="I35154" s="82"/>
      <c r="M35154" s="85"/>
    </row>
    <row r="35155" spans="9:13" x14ac:dyDescent="0.3">
      <c r="I35155" s="82"/>
      <c r="M35155" s="85"/>
    </row>
    <row r="35156" spans="9:13" x14ac:dyDescent="0.3">
      <c r="I35156" s="82"/>
      <c r="M35156" s="85"/>
    </row>
    <row r="35157" spans="9:13" x14ac:dyDescent="0.3">
      <c r="I35157" s="82"/>
      <c r="M35157" s="85"/>
    </row>
    <row r="35158" spans="9:13" x14ac:dyDescent="0.3">
      <c r="I35158" s="82"/>
      <c r="M35158" s="85"/>
    </row>
    <row r="35159" spans="9:13" x14ac:dyDescent="0.3">
      <c r="I35159" s="82"/>
      <c r="M35159" s="85"/>
    </row>
    <row r="35160" spans="9:13" x14ac:dyDescent="0.3">
      <c r="I35160" s="82"/>
      <c r="M35160" s="85"/>
    </row>
    <row r="35161" spans="9:13" x14ac:dyDescent="0.3">
      <c r="I35161" s="82"/>
      <c r="M35161" s="85"/>
    </row>
    <row r="35162" spans="9:13" x14ac:dyDescent="0.3">
      <c r="I35162" s="82"/>
      <c r="M35162" s="85"/>
    </row>
    <row r="35163" spans="9:13" x14ac:dyDescent="0.3">
      <c r="I35163" s="82"/>
      <c r="M35163" s="85"/>
    </row>
    <row r="35164" spans="9:13" x14ac:dyDescent="0.3">
      <c r="I35164" s="82"/>
      <c r="M35164" s="85"/>
    </row>
    <row r="35165" spans="9:13" x14ac:dyDescent="0.3">
      <c r="I35165" s="82"/>
      <c r="M35165" s="85"/>
    </row>
    <row r="35166" spans="9:13" x14ac:dyDescent="0.3">
      <c r="I35166" s="82"/>
      <c r="M35166" s="85"/>
    </row>
    <row r="35167" spans="9:13" x14ac:dyDescent="0.3">
      <c r="I35167" s="82"/>
      <c r="M35167" s="85"/>
    </row>
    <row r="35168" spans="9:13" x14ac:dyDescent="0.3">
      <c r="I35168" s="82"/>
      <c r="M35168" s="85"/>
    </row>
    <row r="35169" spans="9:13" x14ac:dyDescent="0.3">
      <c r="I35169" s="82"/>
      <c r="M35169" s="85"/>
    </row>
    <row r="35170" spans="9:13" x14ac:dyDescent="0.3">
      <c r="I35170" s="82"/>
      <c r="M35170" s="85"/>
    </row>
    <row r="35171" spans="9:13" x14ac:dyDescent="0.3">
      <c r="I35171" s="82"/>
      <c r="M35171" s="85"/>
    </row>
    <row r="35172" spans="9:13" x14ac:dyDescent="0.3">
      <c r="I35172" s="82"/>
      <c r="M35172" s="85"/>
    </row>
    <row r="35173" spans="9:13" x14ac:dyDescent="0.3">
      <c r="I35173" s="82"/>
      <c r="M35173" s="85"/>
    </row>
    <row r="35174" spans="9:13" x14ac:dyDescent="0.3">
      <c r="I35174" s="82"/>
      <c r="M35174" s="85"/>
    </row>
    <row r="35175" spans="9:13" x14ac:dyDescent="0.3">
      <c r="I35175" s="82"/>
      <c r="M35175" s="85"/>
    </row>
    <row r="35176" spans="9:13" x14ac:dyDescent="0.3">
      <c r="I35176" s="82"/>
      <c r="M35176" s="85"/>
    </row>
    <row r="35177" spans="9:13" x14ac:dyDescent="0.3">
      <c r="I35177" s="82"/>
      <c r="M35177" s="85"/>
    </row>
    <row r="35178" spans="9:13" x14ac:dyDescent="0.3">
      <c r="I35178" s="82"/>
      <c r="M35178" s="85"/>
    </row>
    <row r="35179" spans="9:13" x14ac:dyDescent="0.3">
      <c r="I35179" s="82"/>
      <c r="M35179" s="85"/>
    </row>
    <row r="35180" spans="9:13" x14ac:dyDescent="0.3">
      <c r="I35180" s="82"/>
      <c r="M35180" s="85"/>
    </row>
    <row r="35181" spans="9:13" x14ac:dyDescent="0.3">
      <c r="I35181" s="82"/>
      <c r="M35181" s="85"/>
    </row>
    <row r="35182" spans="9:13" x14ac:dyDescent="0.3">
      <c r="I35182" s="82"/>
      <c r="M35182" s="85"/>
    </row>
    <row r="35183" spans="9:13" x14ac:dyDescent="0.3">
      <c r="I35183" s="82"/>
      <c r="M35183" s="85"/>
    </row>
    <row r="35184" spans="9:13" x14ac:dyDescent="0.3">
      <c r="I35184" s="82"/>
      <c r="M35184" s="85"/>
    </row>
    <row r="35185" spans="9:13" x14ac:dyDescent="0.3">
      <c r="I35185" s="82"/>
      <c r="M35185" s="85"/>
    </row>
    <row r="35186" spans="9:13" x14ac:dyDescent="0.3">
      <c r="I35186" s="82"/>
      <c r="M35186" s="85"/>
    </row>
    <row r="35187" spans="9:13" x14ac:dyDescent="0.3">
      <c r="I35187" s="82"/>
      <c r="M35187" s="85"/>
    </row>
    <row r="35188" spans="9:13" x14ac:dyDescent="0.3">
      <c r="I35188" s="82"/>
      <c r="M35188" s="85"/>
    </row>
    <row r="35189" spans="9:13" x14ac:dyDescent="0.3">
      <c r="I35189" s="82"/>
      <c r="M35189" s="85"/>
    </row>
    <row r="35190" spans="9:13" x14ac:dyDescent="0.3">
      <c r="I35190" s="82"/>
      <c r="M35190" s="85"/>
    </row>
    <row r="35191" spans="9:13" x14ac:dyDescent="0.3">
      <c r="I35191" s="82"/>
      <c r="M35191" s="85"/>
    </row>
    <row r="35192" spans="9:13" x14ac:dyDescent="0.3">
      <c r="I35192" s="82"/>
      <c r="M35192" s="85"/>
    </row>
    <row r="35193" spans="9:13" x14ac:dyDescent="0.3">
      <c r="I35193" s="82"/>
      <c r="M35193" s="85"/>
    </row>
    <row r="35194" spans="9:13" x14ac:dyDescent="0.3">
      <c r="I35194" s="82"/>
      <c r="M35194" s="85"/>
    </row>
    <row r="35195" spans="9:13" x14ac:dyDescent="0.3">
      <c r="I35195" s="82"/>
      <c r="M35195" s="85"/>
    </row>
    <row r="35196" spans="9:13" x14ac:dyDescent="0.3">
      <c r="I35196" s="82"/>
      <c r="M35196" s="85"/>
    </row>
    <row r="35197" spans="9:13" x14ac:dyDescent="0.3">
      <c r="I35197" s="82"/>
      <c r="M35197" s="85"/>
    </row>
    <row r="35198" spans="9:13" x14ac:dyDescent="0.3">
      <c r="I35198" s="82"/>
      <c r="M35198" s="85"/>
    </row>
    <row r="35199" spans="9:13" x14ac:dyDescent="0.3">
      <c r="I35199" s="82"/>
      <c r="M35199" s="85"/>
    </row>
    <row r="35200" spans="9:13" x14ac:dyDescent="0.3">
      <c r="I35200" s="82"/>
      <c r="M35200" s="85"/>
    </row>
    <row r="35201" spans="9:13" x14ac:dyDescent="0.3">
      <c r="I35201" s="82"/>
      <c r="M35201" s="85"/>
    </row>
    <row r="35202" spans="9:13" x14ac:dyDescent="0.3">
      <c r="I35202" s="82"/>
      <c r="M35202" s="85"/>
    </row>
    <row r="35203" spans="9:13" x14ac:dyDescent="0.3">
      <c r="I35203" s="82"/>
      <c r="M35203" s="85"/>
    </row>
    <row r="35204" spans="9:13" x14ac:dyDescent="0.3">
      <c r="I35204" s="82"/>
      <c r="M35204" s="85"/>
    </row>
    <row r="35205" spans="9:13" x14ac:dyDescent="0.3">
      <c r="I35205" s="82"/>
      <c r="M35205" s="85"/>
    </row>
    <row r="35206" spans="9:13" x14ac:dyDescent="0.3">
      <c r="I35206" s="82"/>
      <c r="M35206" s="85"/>
    </row>
    <row r="35207" spans="9:13" x14ac:dyDescent="0.3">
      <c r="I35207" s="82"/>
      <c r="M35207" s="85"/>
    </row>
    <row r="35208" spans="9:13" x14ac:dyDescent="0.3">
      <c r="I35208" s="82"/>
      <c r="M35208" s="85"/>
    </row>
    <row r="35209" spans="9:13" x14ac:dyDescent="0.3">
      <c r="I35209" s="82"/>
      <c r="M35209" s="85"/>
    </row>
    <row r="35210" spans="9:13" x14ac:dyDescent="0.3">
      <c r="I35210" s="82"/>
      <c r="M35210" s="85"/>
    </row>
    <row r="35211" spans="9:13" x14ac:dyDescent="0.3">
      <c r="I35211" s="82"/>
      <c r="M35211" s="85"/>
    </row>
    <row r="35212" spans="9:13" x14ac:dyDescent="0.3">
      <c r="I35212" s="82"/>
      <c r="M35212" s="85"/>
    </row>
    <row r="35213" spans="9:13" x14ac:dyDescent="0.3">
      <c r="I35213" s="82"/>
      <c r="M35213" s="85"/>
    </row>
    <row r="35214" spans="9:13" x14ac:dyDescent="0.3">
      <c r="I35214" s="82"/>
      <c r="M35214" s="85"/>
    </row>
    <row r="35215" spans="9:13" x14ac:dyDescent="0.3">
      <c r="I35215" s="82"/>
      <c r="M35215" s="85"/>
    </row>
    <row r="35216" spans="9:13" x14ac:dyDescent="0.3">
      <c r="I35216" s="82"/>
      <c r="M35216" s="85"/>
    </row>
    <row r="35217" spans="9:13" x14ac:dyDescent="0.3">
      <c r="I35217" s="82"/>
      <c r="M35217" s="85"/>
    </row>
    <row r="35218" spans="9:13" x14ac:dyDescent="0.3">
      <c r="I35218" s="82"/>
      <c r="M35218" s="85"/>
    </row>
    <row r="35219" spans="9:13" x14ac:dyDescent="0.3">
      <c r="I35219" s="82"/>
      <c r="M35219" s="85"/>
    </row>
    <row r="35220" spans="9:13" x14ac:dyDescent="0.3">
      <c r="I35220" s="82"/>
      <c r="M35220" s="85"/>
    </row>
    <row r="35221" spans="9:13" x14ac:dyDescent="0.3">
      <c r="I35221" s="82"/>
      <c r="M35221" s="85"/>
    </row>
    <row r="35222" spans="9:13" x14ac:dyDescent="0.3">
      <c r="I35222" s="82"/>
      <c r="M35222" s="85"/>
    </row>
    <row r="35223" spans="9:13" x14ac:dyDescent="0.3">
      <c r="I35223" s="82"/>
      <c r="M35223" s="85"/>
    </row>
    <row r="35224" spans="9:13" x14ac:dyDescent="0.3">
      <c r="I35224" s="82"/>
      <c r="M35224" s="85"/>
    </row>
    <row r="35225" spans="9:13" x14ac:dyDescent="0.3">
      <c r="I35225" s="82"/>
      <c r="M35225" s="85"/>
    </row>
    <row r="35226" spans="9:13" x14ac:dyDescent="0.3">
      <c r="I35226" s="82"/>
      <c r="M35226" s="85"/>
    </row>
    <row r="35227" spans="9:13" x14ac:dyDescent="0.3">
      <c r="I35227" s="82"/>
      <c r="M35227" s="85"/>
    </row>
    <row r="35228" spans="9:13" x14ac:dyDescent="0.3">
      <c r="I35228" s="82"/>
      <c r="M35228" s="85"/>
    </row>
    <row r="35229" spans="9:13" x14ac:dyDescent="0.3">
      <c r="I35229" s="82"/>
      <c r="M35229" s="85"/>
    </row>
    <row r="35230" spans="9:13" x14ac:dyDescent="0.3">
      <c r="I35230" s="82"/>
      <c r="M35230" s="85"/>
    </row>
    <row r="35231" spans="9:13" x14ac:dyDescent="0.3">
      <c r="I35231" s="82"/>
      <c r="M35231" s="85"/>
    </row>
    <row r="35232" spans="9:13" x14ac:dyDescent="0.3">
      <c r="I35232" s="82"/>
      <c r="M35232" s="85"/>
    </row>
    <row r="35233" spans="9:13" x14ac:dyDescent="0.3">
      <c r="I35233" s="82"/>
      <c r="M35233" s="85"/>
    </row>
    <row r="35234" spans="9:13" x14ac:dyDescent="0.3">
      <c r="I35234" s="82"/>
      <c r="M35234" s="85"/>
    </row>
    <row r="35235" spans="9:13" x14ac:dyDescent="0.3">
      <c r="I35235" s="82"/>
      <c r="M35235" s="85"/>
    </row>
    <row r="35236" spans="9:13" x14ac:dyDescent="0.3">
      <c r="I35236" s="82"/>
      <c r="M35236" s="85"/>
    </row>
    <row r="35237" spans="9:13" x14ac:dyDescent="0.3">
      <c r="I35237" s="82"/>
      <c r="M35237" s="85"/>
    </row>
    <row r="35238" spans="9:13" x14ac:dyDescent="0.3">
      <c r="I35238" s="82"/>
      <c r="M35238" s="85"/>
    </row>
    <row r="35239" spans="9:13" x14ac:dyDescent="0.3">
      <c r="I35239" s="82"/>
      <c r="M35239" s="85"/>
    </row>
    <row r="35240" spans="9:13" x14ac:dyDescent="0.3">
      <c r="I35240" s="82"/>
      <c r="M35240" s="85"/>
    </row>
    <row r="35241" spans="9:13" x14ac:dyDescent="0.3">
      <c r="I35241" s="82"/>
      <c r="M35241" s="85"/>
    </row>
    <row r="35242" spans="9:13" x14ac:dyDescent="0.3">
      <c r="I35242" s="82"/>
      <c r="M35242" s="85"/>
    </row>
    <row r="35243" spans="9:13" x14ac:dyDescent="0.3">
      <c r="I35243" s="82"/>
      <c r="M35243" s="85"/>
    </row>
    <row r="35244" spans="9:13" x14ac:dyDescent="0.3">
      <c r="I35244" s="82"/>
      <c r="M35244" s="85"/>
    </row>
    <row r="35245" spans="9:13" x14ac:dyDescent="0.3">
      <c r="I35245" s="82"/>
      <c r="M35245" s="85"/>
    </row>
    <row r="35246" spans="9:13" x14ac:dyDescent="0.3">
      <c r="I35246" s="82"/>
      <c r="M35246" s="85"/>
    </row>
    <row r="35247" spans="9:13" x14ac:dyDescent="0.3">
      <c r="I35247" s="82"/>
      <c r="M35247" s="85"/>
    </row>
    <row r="35248" spans="9:13" x14ac:dyDescent="0.3">
      <c r="I35248" s="82"/>
      <c r="M35248" s="85"/>
    </row>
    <row r="35249" spans="9:13" x14ac:dyDescent="0.3">
      <c r="I35249" s="82"/>
      <c r="M35249" s="85"/>
    </row>
    <row r="35250" spans="9:13" x14ac:dyDescent="0.3">
      <c r="I35250" s="82"/>
      <c r="M35250" s="85"/>
    </row>
    <row r="35251" spans="9:13" x14ac:dyDescent="0.3">
      <c r="I35251" s="82"/>
      <c r="M35251" s="85"/>
    </row>
    <row r="35252" spans="9:13" x14ac:dyDescent="0.3">
      <c r="I35252" s="82"/>
      <c r="M35252" s="85"/>
    </row>
    <row r="35253" spans="9:13" x14ac:dyDescent="0.3">
      <c r="I35253" s="82"/>
      <c r="M35253" s="85"/>
    </row>
    <row r="35254" spans="9:13" x14ac:dyDescent="0.3">
      <c r="I35254" s="82"/>
      <c r="M35254" s="85"/>
    </row>
    <row r="35255" spans="9:13" x14ac:dyDescent="0.3">
      <c r="I35255" s="82"/>
      <c r="M35255" s="85"/>
    </row>
    <row r="35256" spans="9:13" x14ac:dyDescent="0.3">
      <c r="I35256" s="82"/>
      <c r="M35256" s="85"/>
    </row>
    <row r="35257" spans="9:13" x14ac:dyDescent="0.3">
      <c r="I35257" s="82"/>
      <c r="M35257" s="85"/>
    </row>
    <row r="35258" spans="9:13" x14ac:dyDescent="0.3">
      <c r="I35258" s="82"/>
      <c r="M35258" s="85"/>
    </row>
    <row r="35259" spans="9:13" x14ac:dyDescent="0.3">
      <c r="I35259" s="82"/>
      <c r="M35259" s="85"/>
    </row>
    <row r="35260" spans="9:13" x14ac:dyDescent="0.3">
      <c r="I35260" s="82"/>
      <c r="M35260" s="85"/>
    </row>
    <row r="35261" spans="9:13" x14ac:dyDescent="0.3">
      <c r="I35261" s="82"/>
      <c r="M35261" s="85"/>
    </row>
    <row r="35262" spans="9:13" x14ac:dyDescent="0.3">
      <c r="I35262" s="82"/>
      <c r="M35262" s="85"/>
    </row>
    <row r="35263" spans="9:13" x14ac:dyDescent="0.3">
      <c r="I35263" s="82"/>
      <c r="M35263" s="85"/>
    </row>
    <row r="35264" spans="9:13" x14ac:dyDescent="0.3">
      <c r="I35264" s="82"/>
      <c r="M35264" s="85"/>
    </row>
    <row r="35265" spans="9:13" x14ac:dyDescent="0.3">
      <c r="I35265" s="82"/>
      <c r="M35265" s="85"/>
    </row>
    <row r="35266" spans="9:13" x14ac:dyDescent="0.3">
      <c r="I35266" s="82"/>
      <c r="M35266" s="85"/>
    </row>
    <row r="35267" spans="9:13" x14ac:dyDescent="0.3">
      <c r="I35267" s="82"/>
      <c r="M35267" s="85"/>
    </row>
    <row r="35268" spans="9:13" x14ac:dyDescent="0.3">
      <c r="I35268" s="82"/>
      <c r="M35268" s="85"/>
    </row>
    <row r="35269" spans="9:13" x14ac:dyDescent="0.3">
      <c r="I35269" s="82"/>
      <c r="M35269" s="85"/>
    </row>
    <row r="35270" spans="9:13" x14ac:dyDescent="0.3">
      <c r="I35270" s="82"/>
      <c r="M35270" s="85"/>
    </row>
    <row r="35271" spans="9:13" x14ac:dyDescent="0.3">
      <c r="I35271" s="82"/>
      <c r="M35271" s="85"/>
    </row>
    <row r="35272" spans="9:13" x14ac:dyDescent="0.3">
      <c r="I35272" s="82"/>
      <c r="M35272" s="85"/>
    </row>
    <row r="35273" spans="9:13" x14ac:dyDescent="0.3">
      <c r="I35273" s="82"/>
      <c r="M35273" s="85"/>
    </row>
    <row r="35274" spans="9:13" x14ac:dyDescent="0.3">
      <c r="I35274" s="82"/>
      <c r="M35274" s="85"/>
    </row>
    <row r="35275" spans="9:13" x14ac:dyDescent="0.3">
      <c r="I35275" s="82"/>
      <c r="M35275" s="85"/>
    </row>
    <row r="35276" spans="9:13" x14ac:dyDescent="0.3">
      <c r="I35276" s="82"/>
      <c r="M35276" s="85"/>
    </row>
    <row r="35277" spans="9:13" x14ac:dyDescent="0.3">
      <c r="I35277" s="82"/>
      <c r="M35277" s="85"/>
    </row>
    <row r="35278" spans="9:13" x14ac:dyDescent="0.3">
      <c r="I35278" s="82"/>
      <c r="M35278" s="85"/>
    </row>
    <row r="35279" spans="9:13" x14ac:dyDescent="0.3">
      <c r="I35279" s="82"/>
      <c r="M35279" s="85"/>
    </row>
    <row r="35280" spans="9:13" x14ac:dyDescent="0.3">
      <c r="I35280" s="82"/>
      <c r="M35280" s="85"/>
    </row>
    <row r="35281" spans="9:13" x14ac:dyDescent="0.3">
      <c r="I35281" s="82"/>
      <c r="M35281" s="85"/>
    </row>
    <row r="35282" spans="9:13" x14ac:dyDescent="0.3">
      <c r="I35282" s="82"/>
      <c r="M35282" s="85"/>
    </row>
    <row r="35283" spans="9:13" x14ac:dyDescent="0.3">
      <c r="I35283" s="82"/>
      <c r="M35283" s="85"/>
    </row>
    <row r="35284" spans="9:13" x14ac:dyDescent="0.3">
      <c r="I35284" s="82"/>
      <c r="M35284" s="85"/>
    </row>
    <row r="35285" spans="9:13" x14ac:dyDescent="0.3">
      <c r="I35285" s="82"/>
      <c r="M35285" s="85"/>
    </row>
    <row r="35286" spans="9:13" x14ac:dyDescent="0.3">
      <c r="I35286" s="82"/>
      <c r="M35286" s="85"/>
    </row>
    <row r="35287" spans="9:13" x14ac:dyDescent="0.3">
      <c r="I35287" s="82"/>
      <c r="M35287" s="85"/>
    </row>
    <row r="35288" spans="9:13" x14ac:dyDescent="0.3">
      <c r="I35288" s="82"/>
      <c r="M35288" s="85"/>
    </row>
    <row r="35289" spans="9:13" x14ac:dyDescent="0.3">
      <c r="I35289" s="82"/>
      <c r="M35289" s="85"/>
    </row>
    <row r="35290" spans="9:13" x14ac:dyDescent="0.3">
      <c r="I35290" s="82"/>
      <c r="M35290" s="85"/>
    </row>
    <row r="35291" spans="9:13" x14ac:dyDescent="0.3">
      <c r="I35291" s="82"/>
      <c r="M35291" s="85"/>
    </row>
    <row r="35292" spans="9:13" x14ac:dyDescent="0.3">
      <c r="I35292" s="82"/>
      <c r="M35292" s="85"/>
    </row>
    <row r="35293" spans="9:13" x14ac:dyDescent="0.3">
      <c r="I35293" s="82"/>
      <c r="M35293" s="85"/>
    </row>
    <row r="35294" spans="9:13" x14ac:dyDescent="0.3">
      <c r="I35294" s="82"/>
      <c r="M35294" s="85"/>
    </row>
    <row r="35295" spans="9:13" x14ac:dyDescent="0.3">
      <c r="I35295" s="82"/>
      <c r="M35295" s="85"/>
    </row>
    <row r="35296" spans="9:13" x14ac:dyDescent="0.3">
      <c r="I35296" s="82"/>
      <c r="M35296" s="85"/>
    </row>
    <row r="35297" spans="9:13" x14ac:dyDescent="0.3">
      <c r="I35297" s="82"/>
      <c r="M35297" s="85"/>
    </row>
    <row r="35298" spans="9:13" x14ac:dyDescent="0.3">
      <c r="I35298" s="82"/>
      <c r="M35298" s="85"/>
    </row>
    <row r="35299" spans="9:13" x14ac:dyDescent="0.3">
      <c r="I35299" s="82"/>
      <c r="M35299" s="85"/>
    </row>
    <row r="35300" spans="9:13" x14ac:dyDescent="0.3">
      <c r="I35300" s="82"/>
      <c r="M35300" s="85"/>
    </row>
    <row r="35301" spans="9:13" x14ac:dyDescent="0.3">
      <c r="I35301" s="82"/>
      <c r="M35301" s="85"/>
    </row>
    <row r="35302" spans="9:13" x14ac:dyDescent="0.3">
      <c r="I35302" s="82"/>
      <c r="M35302" s="85"/>
    </row>
    <row r="35303" spans="9:13" x14ac:dyDescent="0.3">
      <c r="I35303" s="82"/>
      <c r="M35303" s="85"/>
    </row>
    <row r="35304" spans="9:13" x14ac:dyDescent="0.3">
      <c r="I35304" s="82"/>
      <c r="M35304" s="85"/>
    </row>
    <row r="35305" spans="9:13" x14ac:dyDescent="0.3">
      <c r="I35305" s="82"/>
      <c r="M35305" s="85"/>
    </row>
    <row r="35306" spans="9:13" x14ac:dyDescent="0.3">
      <c r="I35306" s="82"/>
      <c r="M35306" s="85"/>
    </row>
    <row r="35307" spans="9:13" x14ac:dyDescent="0.3">
      <c r="I35307" s="82"/>
      <c r="M35307" s="85"/>
    </row>
    <row r="35308" spans="9:13" x14ac:dyDescent="0.3">
      <c r="I35308" s="82"/>
      <c r="M35308" s="85"/>
    </row>
    <row r="35309" spans="9:13" x14ac:dyDescent="0.3">
      <c r="I35309" s="82"/>
      <c r="M35309" s="85"/>
    </row>
    <row r="35310" spans="9:13" x14ac:dyDescent="0.3">
      <c r="I35310" s="82"/>
      <c r="M35310" s="85"/>
    </row>
    <row r="35311" spans="9:13" x14ac:dyDescent="0.3">
      <c r="I35311" s="82"/>
      <c r="M35311" s="85"/>
    </row>
    <row r="35312" spans="9:13" x14ac:dyDescent="0.3">
      <c r="I35312" s="82"/>
      <c r="M35312" s="85"/>
    </row>
    <row r="35313" spans="9:13" x14ac:dyDescent="0.3">
      <c r="I35313" s="82"/>
      <c r="M35313" s="85"/>
    </row>
    <row r="35314" spans="9:13" x14ac:dyDescent="0.3">
      <c r="I35314" s="82"/>
      <c r="M35314" s="85"/>
    </row>
    <row r="35315" spans="9:13" x14ac:dyDescent="0.3">
      <c r="I35315" s="82"/>
      <c r="M35315" s="85"/>
    </row>
    <row r="35316" spans="9:13" x14ac:dyDescent="0.3">
      <c r="I35316" s="82"/>
      <c r="M35316" s="85"/>
    </row>
    <row r="35317" spans="9:13" x14ac:dyDescent="0.3">
      <c r="I35317" s="82"/>
      <c r="M35317" s="85"/>
    </row>
    <row r="35318" spans="9:13" x14ac:dyDescent="0.3">
      <c r="I35318" s="82"/>
      <c r="M35318" s="85"/>
    </row>
    <row r="35319" spans="9:13" x14ac:dyDescent="0.3">
      <c r="I35319" s="82"/>
      <c r="M35319" s="85"/>
    </row>
    <row r="35320" spans="9:13" x14ac:dyDescent="0.3">
      <c r="I35320" s="82"/>
      <c r="M35320" s="85"/>
    </row>
    <row r="35321" spans="9:13" x14ac:dyDescent="0.3">
      <c r="I35321" s="82"/>
      <c r="M35321" s="85"/>
    </row>
    <row r="35322" spans="9:13" x14ac:dyDescent="0.3">
      <c r="I35322" s="82"/>
      <c r="M35322" s="85"/>
    </row>
    <row r="35323" spans="9:13" x14ac:dyDescent="0.3">
      <c r="I35323" s="82"/>
      <c r="M35323" s="85"/>
    </row>
    <row r="35324" spans="9:13" x14ac:dyDescent="0.3">
      <c r="I35324" s="82"/>
      <c r="M35324" s="85"/>
    </row>
    <row r="35325" spans="9:13" x14ac:dyDescent="0.3">
      <c r="I35325" s="82"/>
      <c r="M35325" s="85"/>
    </row>
    <row r="35326" spans="9:13" x14ac:dyDescent="0.3">
      <c r="I35326" s="82"/>
      <c r="M35326" s="85"/>
    </row>
    <row r="35327" spans="9:13" x14ac:dyDescent="0.3">
      <c r="I35327" s="82"/>
      <c r="M35327" s="85"/>
    </row>
    <row r="35328" spans="9:13" x14ac:dyDescent="0.3">
      <c r="I35328" s="82"/>
      <c r="M35328" s="85"/>
    </row>
    <row r="35329" spans="9:13" x14ac:dyDescent="0.3">
      <c r="I35329" s="82"/>
      <c r="M35329" s="85"/>
    </row>
    <row r="35330" spans="9:13" x14ac:dyDescent="0.3">
      <c r="I35330" s="82"/>
      <c r="M35330" s="85"/>
    </row>
    <row r="35331" spans="9:13" x14ac:dyDescent="0.3">
      <c r="I35331" s="82"/>
      <c r="M35331" s="85"/>
    </row>
    <row r="35332" spans="9:13" x14ac:dyDescent="0.3">
      <c r="I35332" s="82"/>
      <c r="M35332" s="85"/>
    </row>
    <row r="35333" spans="9:13" x14ac:dyDescent="0.3">
      <c r="I35333" s="82"/>
      <c r="M35333" s="85"/>
    </row>
    <row r="35334" spans="9:13" x14ac:dyDescent="0.3">
      <c r="I35334" s="82"/>
      <c r="M35334" s="85"/>
    </row>
    <row r="35335" spans="9:13" x14ac:dyDescent="0.3">
      <c r="I35335" s="82"/>
      <c r="M35335" s="85"/>
    </row>
    <row r="35336" spans="9:13" x14ac:dyDescent="0.3">
      <c r="I35336" s="82"/>
      <c r="M35336" s="85"/>
    </row>
    <row r="35337" spans="9:13" x14ac:dyDescent="0.3">
      <c r="I35337" s="82"/>
      <c r="M35337" s="85"/>
    </row>
    <row r="35338" spans="9:13" x14ac:dyDescent="0.3">
      <c r="I35338" s="82"/>
      <c r="M35338" s="85"/>
    </row>
    <row r="35339" spans="9:13" x14ac:dyDescent="0.3">
      <c r="I35339" s="82"/>
      <c r="M35339" s="85"/>
    </row>
    <row r="35340" spans="9:13" x14ac:dyDescent="0.3">
      <c r="I35340" s="82"/>
      <c r="M35340" s="85"/>
    </row>
    <row r="35341" spans="9:13" x14ac:dyDescent="0.3">
      <c r="I35341" s="82"/>
      <c r="M35341" s="85"/>
    </row>
    <row r="35342" spans="9:13" x14ac:dyDescent="0.3">
      <c r="I35342" s="82"/>
      <c r="M35342" s="85"/>
    </row>
    <row r="35343" spans="9:13" x14ac:dyDescent="0.3">
      <c r="I35343" s="82"/>
      <c r="M35343" s="85"/>
    </row>
    <row r="35344" spans="9:13" x14ac:dyDescent="0.3">
      <c r="I35344" s="82"/>
      <c r="M35344" s="85"/>
    </row>
    <row r="35345" spans="9:13" x14ac:dyDescent="0.3">
      <c r="I35345" s="82"/>
      <c r="M35345" s="85"/>
    </row>
    <row r="35346" spans="9:13" x14ac:dyDescent="0.3">
      <c r="I35346" s="82"/>
      <c r="M35346" s="85"/>
    </row>
    <row r="35347" spans="9:13" x14ac:dyDescent="0.3">
      <c r="I35347" s="82"/>
      <c r="M35347" s="85"/>
    </row>
    <row r="35348" spans="9:13" x14ac:dyDescent="0.3">
      <c r="I35348" s="82"/>
      <c r="M35348" s="85"/>
    </row>
    <row r="35349" spans="9:13" x14ac:dyDescent="0.3">
      <c r="I35349" s="82"/>
      <c r="M35349" s="85"/>
    </row>
    <row r="35350" spans="9:13" x14ac:dyDescent="0.3">
      <c r="I35350" s="82"/>
      <c r="M35350" s="85"/>
    </row>
    <row r="35351" spans="9:13" x14ac:dyDescent="0.3">
      <c r="I35351" s="82"/>
      <c r="M35351" s="85"/>
    </row>
    <row r="35352" spans="9:13" x14ac:dyDescent="0.3">
      <c r="I35352" s="82"/>
      <c r="M35352" s="85"/>
    </row>
    <row r="35353" spans="9:13" x14ac:dyDescent="0.3">
      <c r="I35353" s="82"/>
      <c r="M35353" s="85"/>
    </row>
    <row r="35354" spans="9:13" x14ac:dyDescent="0.3">
      <c r="I35354" s="82"/>
      <c r="M35354" s="85"/>
    </row>
    <row r="35355" spans="9:13" x14ac:dyDescent="0.3">
      <c r="I35355" s="82"/>
      <c r="M35355" s="85"/>
    </row>
    <row r="35356" spans="9:13" x14ac:dyDescent="0.3">
      <c r="I35356" s="82"/>
      <c r="M35356" s="85"/>
    </row>
    <row r="35357" spans="9:13" x14ac:dyDescent="0.3">
      <c r="I35357" s="82"/>
      <c r="M35357" s="85"/>
    </row>
    <row r="35358" spans="9:13" x14ac:dyDescent="0.3">
      <c r="I35358" s="82"/>
      <c r="M35358" s="85"/>
    </row>
    <row r="35359" spans="9:13" x14ac:dyDescent="0.3">
      <c r="I35359" s="82"/>
      <c r="M35359" s="85"/>
    </row>
    <row r="35360" spans="9:13" x14ac:dyDescent="0.3">
      <c r="I35360" s="82"/>
      <c r="M35360" s="85"/>
    </row>
    <row r="35361" spans="9:13" x14ac:dyDescent="0.3">
      <c r="I35361" s="82"/>
      <c r="M35361" s="85"/>
    </row>
    <row r="35362" spans="9:13" x14ac:dyDescent="0.3">
      <c r="I35362" s="82"/>
      <c r="M35362" s="85"/>
    </row>
    <row r="35363" spans="9:13" x14ac:dyDescent="0.3">
      <c r="I35363" s="82"/>
      <c r="M35363" s="85"/>
    </row>
    <row r="35364" spans="9:13" x14ac:dyDescent="0.3">
      <c r="I35364" s="82"/>
      <c r="M35364" s="85"/>
    </row>
    <row r="35365" spans="9:13" x14ac:dyDescent="0.3">
      <c r="I35365" s="82"/>
      <c r="M35365" s="85"/>
    </row>
    <row r="35366" spans="9:13" x14ac:dyDescent="0.3">
      <c r="I35366" s="82"/>
      <c r="M35366" s="85"/>
    </row>
    <row r="35367" spans="9:13" x14ac:dyDescent="0.3">
      <c r="I35367" s="82"/>
      <c r="M35367" s="85"/>
    </row>
    <row r="35368" spans="9:13" x14ac:dyDescent="0.3">
      <c r="I35368" s="82"/>
      <c r="M35368" s="85"/>
    </row>
    <row r="35369" spans="9:13" x14ac:dyDescent="0.3">
      <c r="I35369" s="82"/>
      <c r="M35369" s="85"/>
    </row>
    <row r="35370" spans="9:13" x14ac:dyDescent="0.3">
      <c r="I35370" s="82"/>
      <c r="M35370" s="85"/>
    </row>
    <row r="35371" spans="9:13" x14ac:dyDescent="0.3">
      <c r="I35371" s="82"/>
      <c r="M35371" s="85"/>
    </row>
    <row r="35372" spans="9:13" x14ac:dyDescent="0.3">
      <c r="I35372" s="82"/>
      <c r="M35372" s="85"/>
    </row>
    <row r="35373" spans="9:13" x14ac:dyDescent="0.3">
      <c r="I35373" s="82"/>
      <c r="M35373" s="85"/>
    </row>
    <row r="35374" spans="9:13" x14ac:dyDescent="0.3">
      <c r="I35374" s="82"/>
      <c r="M35374" s="85"/>
    </row>
    <row r="35375" spans="9:13" x14ac:dyDescent="0.3">
      <c r="I35375" s="82"/>
      <c r="M35375" s="85"/>
    </row>
    <row r="35376" spans="9:13" x14ac:dyDescent="0.3">
      <c r="I35376" s="82"/>
      <c r="M35376" s="85"/>
    </row>
    <row r="35377" spans="9:13" x14ac:dyDescent="0.3">
      <c r="I35377" s="82"/>
      <c r="M35377" s="85"/>
    </row>
    <row r="35378" spans="9:13" x14ac:dyDescent="0.3">
      <c r="I35378" s="82"/>
      <c r="M35378" s="85"/>
    </row>
    <row r="35379" spans="9:13" x14ac:dyDescent="0.3">
      <c r="I35379" s="82"/>
      <c r="M35379" s="85"/>
    </row>
    <row r="35380" spans="9:13" x14ac:dyDescent="0.3">
      <c r="I35380" s="82"/>
      <c r="M35380" s="85"/>
    </row>
    <row r="35381" spans="9:13" x14ac:dyDescent="0.3">
      <c r="I35381" s="82"/>
      <c r="M35381" s="85"/>
    </row>
    <row r="35382" spans="9:13" x14ac:dyDescent="0.3">
      <c r="I35382" s="82"/>
      <c r="M35382" s="85"/>
    </row>
    <row r="35383" spans="9:13" x14ac:dyDescent="0.3">
      <c r="I35383" s="82"/>
      <c r="M35383" s="85"/>
    </row>
    <row r="35384" spans="9:13" x14ac:dyDescent="0.3">
      <c r="I35384" s="82"/>
      <c r="M35384" s="85"/>
    </row>
    <row r="35385" spans="9:13" x14ac:dyDescent="0.3">
      <c r="I35385" s="82"/>
      <c r="M35385" s="85"/>
    </row>
    <row r="35386" spans="9:13" x14ac:dyDescent="0.3">
      <c r="I35386" s="82"/>
      <c r="M35386" s="85"/>
    </row>
    <row r="35387" spans="9:13" x14ac:dyDescent="0.3">
      <c r="I35387" s="82"/>
      <c r="M35387" s="85"/>
    </row>
    <row r="35388" spans="9:13" x14ac:dyDescent="0.3">
      <c r="I35388" s="82"/>
      <c r="M35388" s="85"/>
    </row>
    <row r="35389" spans="9:13" x14ac:dyDescent="0.3">
      <c r="I35389" s="82"/>
      <c r="M35389" s="85"/>
    </row>
    <row r="35390" spans="9:13" x14ac:dyDescent="0.3">
      <c r="I35390" s="82"/>
      <c r="M35390" s="85"/>
    </row>
    <row r="35391" spans="9:13" x14ac:dyDescent="0.3">
      <c r="I35391" s="82"/>
      <c r="M35391" s="85"/>
    </row>
    <row r="35392" spans="9:13" x14ac:dyDescent="0.3">
      <c r="I35392" s="82"/>
      <c r="M35392" s="85"/>
    </row>
    <row r="35393" spans="9:13" x14ac:dyDescent="0.3">
      <c r="I35393" s="82"/>
      <c r="M35393" s="85"/>
    </row>
    <row r="35394" spans="9:13" x14ac:dyDescent="0.3">
      <c r="I35394" s="82"/>
      <c r="M35394" s="85"/>
    </row>
    <row r="35395" spans="9:13" x14ac:dyDescent="0.3">
      <c r="I35395" s="82"/>
      <c r="M35395" s="85"/>
    </row>
    <row r="35396" spans="9:13" x14ac:dyDescent="0.3">
      <c r="I35396" s="82"/>
      <c r="M35396" s="85"/>
    </row>
    <row r="35397" spans="9:13" x14ac:dyDescent="0.3">
      <c r="I35397" s="82"/>
      <c r="M35397" s="85"/>
    </row>
    <row r="35398" spans="9:13" x14ac:dyDescent="0.3">
      <c r="I35398" s="82"/>
      <c r="M35398" s="85"/>
    </row>
    <row r="35399" spans="9:13" x14ac:dyDescent="0.3">
      <c r="I35399" s="82"/>
      <c r="M35399" s="85"/>
    </row>
    <row r="35400" spans="9:13" x14ac:dyDescent="0.3">
      <c r="I35400" s="82"/>
      <c r="M35400" s="85"/>
    </row>
    <row r="35401" spans="9:13" x14ac:dyDescent="0.3">
      <c r="I35401" s="82"/>
      <c r="M35401" s="85"/>
    </row>
    <row r="35402" spans="9:13" x14ac:dyDescent="0.3">
      <c r="I35402" s="82"/>
      <c r="M35402" s="85"/>
    </row>
    <row r="35403" spans="9:13" x14ac:dyDescent="0.3">
      <c r="I35403" s="82"/>
      <c r="M35403" s="85"/>
    </row>
    <row r="35404" spans="9:13" x14ac:dyDescent="0.3">
      <c r="I35404" s="82"/>
      <c r="M35404" s="85"/>
    </row>
    <row r="35405" spans="9:13" x14ac:dyDescent="0.3">
      <c r="I35405" s="82"/>
      <c r="M35405" s="85"/>
    </row>
    <row r="35406" spans="9:13" x14ac:dyDescent="0.3">
      <c r="I35406" s="82"/>
      <c r="M35406" s="85"/>
    </row>
    <row r="35407" spans="9:13" x14ac:dyDescent="0.3">
      <c r="I35407" s="82"/>
      <c r="M35407" s="85"/>
    </row>
    <row r="35408" spans="9:13" x14ac:dyDescent="0.3">
      <c r="I35408" s="82"/>
      <c r="M35408" s="85"/>
    </row>
    <row r="35409" spans="9:13" x14ac:dyDescent="0.3">
      <c r="I35409" s="82"/>
      <c r="M35409" s="85"/>
    </row>
    <row r="35410" spans="9:13" x14ac:dyDescent="0.3">
      <c r="I35410" s="82"/>
      <c r="M35410" s="85"/>
    </row>
    <row r="35411" spans="9:13" x14ac:dyDescent="0.3">
      <c r="I35411" s="82"/>
      <c r="M35411" s="85"/>
    </row>
    <row r="35412" spans="9:13" x14ac:dyDescent="0.3">
      <c r="I35412" s="82"/>
      <c r="M35412" s="85"/>
    </row>
    <row r="35413" spans="9:13" x14ac:dyDescent="0.3">
      <c r="I35413" s="82"/>
      <c r="M35413" s="85"/>
    </row>
    <row r="35414" spans="9:13" x14ac:dyDescent="0.3">
      <c r="I35414" s="82"/>
      <c r="M35414" s="85"/>
    </row>
    <row r="35415" spans="9:13" x14ac:dyDescent="0.3">
      <c r="I35415" s="82"/>
      <c r="M35415" s="85"/>
    </row>
    <row r="35416" spans="9:13" x14ac:dyDescent="0.3">
      <c r="I35416" s="82"/>
      <c r="M35416" s="85"/>
    </row>
    <row r="35417" spans="9:13" x14ac:dyDescent="0.3">
      <c r="I35417" s="82"/>
      <c r="M35417" s="85"/>
    </row>
    <row r="35418" spans="9:13" x14ac:dyDescent="0.3">
      <c r="I35418" s="82"/>
      <c r="M35418" s="85"/>
    </row>
    <row r="35419" spans="9:13" x14ac:dyDescent="0.3">
      <c r="I35419" s="82"/>
      <c r="M35419" s="85"/>
    </row>
    <row r="35420" spans="9:13" x14ac:dyDescent="0.3">
      <c r="I35420" s="82"/>
      <c r="M35420" s="85"/>
    </row>
    <row r="35421" spans="9:13" x14ac:dyDescent="0.3">
      <c r="I35421" s="82"/>
      <c r="M35421" s="85"/>
    </row>
    <row r="35422" spans="9:13" x14ac:dyDescent="0.3">
      <c r="I35422" s="82"/>
      <c r="M35422" s="85"/>
    </row>
    <row r="35423" spans="9:13" x14ac:dyDescent="0.3">
      <c r="I35423" s="82"/>
      <c r="M35423" s="85"/>
    </row>
    <row r="35424" spans="9:13" x14ac:dyDescent="0.3">
      <c r="I35424" s="82"/>
      <c r="M35424" s="85"/>
    </row>
    <row r="35425" spans="9:13" x14ac:dyDescent="0.3">
      <c r="I35425" s="82"/>
      <c r="M35425" s="85"/>
    </row>
    <row r="35426" spans="9:13" x14ac:dyDescent="0.3">
      <c r="I35426" s="82"/>
      <c r="M35426" s="85"/>
    </row>
    <row r="35427" spans="9:13" x14ac:dyDescent="0.3">
      <c r="I35427" s="82"/>
      <c r="M35427" s="85"/>
    </row>
    <row r="35428" spans="9:13" x14ac:dyDescent="0.3">
      <c r="I35428" s="82"/>
      <c r="M35428" s="85"/>
    </row>
    <row r="35429" spans="9:13" x14ac:dyDescent="0.3">
      <c r="I35429" s="82"/>
      <c r="M35429" s="85"/>
    </row>
    <row r="35430" spans="9:13" x14ac:dyDescent="0.3">
      <c r="I35430" s="82"/>
      <c r="M35430" s="85"/>
    </row>
    <row r="35431" spans="9:13" x14ac:dyDescent="0.3">
      <c r="I35431" s="82"/>
      <c r="M35431" s="85"/>
    </row>
    <row r="35432" spans="9:13" x14ac:dyDescent="0.3">
      <c r="I35432" s="82"/>
      <c r="M35432" s="85"/>
    </row>
    <row r="35433" spans="9:13" x14ac:dyDescent="0.3">
      <c r="I35433" s="82"/>
      <c r="M35433" s="85"/>
    </row>
    <row r="35434" spans="9:13" x14ac:dyDescent="0.3">
      <c r="I35434" s="82"/>
      <c r="M35434" s="85"/>
    </row>
    <row r="35435" spans="9:13" x14ac:dyDescent="0.3">
      <c r="I35435" s="82"/>
      <c r="M35435" s="85"/>
    </row>
    <row r="35436" spans="9:13" x14ac:dyDescent="0.3">
      <c r="I35436" s="82"/>
      <c r="M35436" s="85"/>
    </row>
    <row r="35437" spans="9:13" x14ac:dyDescent="0.3">
      <c r="I35437" s="82"/>
      <c r="M35437" s="85"/>
    </row>
    <row r="35438" spans="9:13" x14ac:dyDescent="0.3">
      <c r="I35438" s="82"/>
      <c r="M35438" s="85"/>
    </row>
    <row r="35439" spans="9:13" x14ac:dyDescent="0.3">
      <c r="I35439" s="82"/>
      <c r="M35439" s="85"/>
    </row>
    <row r="35440" spans="9:13" x14ac:dyDescent="0.3">
      <c r="I35440" s="82"/>
      <c r="M35440" s="85"/>
    </row>
    <row r="35441" spans="9:13" x14ac:dyDescent="0.3">
      <c r="I35441" s="82"/>
      <c r="M35441" s="85"/>
    </row>
    <row r="35442" spans="9:13" x14ac:dyDescent="0.3">
      <c r="I35442" s="82"/>
      <c r="M35442" s="85"/>
    </row>
    <row r="35443" spans="9:13" x14ac:dyDescent="0.3">
      <c r="I35443" s="82"/>
      <c r="M35443" s="85"/>
    </row>
    <row r="35444" spans="9:13" x14ac:dyDescent="0.3">
      <c r="I35444" s="82"/>
      <c r="M35444" s="85"/>
    </row>
    <row r="35445" spans="9:13" x14ac:dyDescent="0.3">
      <c r="I35445" s="82"/>
      <c r="M35445" s="85"/>
    </row>
    <row r="35446" spans="9:13" x14ac:dyDescent="0.3">
      <c r="I35446" s="82"/>
      <c r="M35446" s="85"/>
    </row>
    <row r="35447" spans="9:13" x14ac:dyDescent="0.3">
      <c r="I35447" s="82"/>
      <c r="M35447" s="85"/>
    </row>
    <row r="35448" spans="9:13" x14ac:dyDescent="0.3">
      <c r="I35448" s="82"/>
      <c r="M35448" s="85"/>
    </row>
    <row r="35449" spans="9:13" x14ac:dyDescent="0.3">
      <c r="I35449" s="82"/>
      <c r="M35449" s="85"/>
    </row>
    <row r="35450" spans="9:13" x14ac:dyDescent="0.3">
      <c r="I35450" s="82"/>
      <c r="M35450" s="85"/>
    </row>
    <row r="35451" spans="9:13" x14ac:dyDescent="0.3">
      <c r="I35451" s="82"/>
      <c r="M35451" s="85"/>
    </row>
    <row r="35452" spans="9:13" x14ac:dyDescent="0.3">
      <c r="I35452" s="82"/>
      <c r="M35452" s="85"/>
    </row>
    <row r="35453" spans="9:13" x14ac:dyDescent="0.3">
      <c r="I35453" s="82"/>
      <c r="M35453" s="85"/>
    </row>
    <row r="35454" spans="9:13" x14ac:dyDescent="0.3">
      <c r="I35454" s="82"/>
      <c r="M35454" s="85"/>
    </row>
    <row r="35455" spans="9:13" x14ac:dyDescent="0.3">
      <c r="I35455" s="82"/>
      <c r="M35455" s="85"/>
    </row>
    <row r="35456" spans="9:13" x14ac:dyDescent="0.3">
      <c r="I35456" s="82"/>
      <c r="M35456" s="85"/>
    </row>
    <row r="35457" spans="9:13" x14ac:dyDescent="0.3">
      <c r="I35457" s="82"/>
      <c r="M35457" s="85"/>
    </row>
    <row r="35458" spans="9:13" x14ac:dyDescent="0.3">
      <c r="I35458" s="82"/>
      <c r="M35458" s="85"/>
    </row>
    <row r="35459" spans="9:13" x14ac:dyDescent="0.3">
      <c r="I35459" s="82"/>
      <c r="M35459" s="85"/>
    </row>
    <row r="35460" spans="9:13" x14ac:dyDescent="0.3">
      <c r="I35460" s="82"/>
      <c r="M35460" s="85"/>
    </row>
    <row r="35461" spans="9:13" x14ac:dyDescent="0.3">
      <c r="I35461" s="82"/>
      <c r="M35461" s="85"/>
    </row>
    <row r="35462" spans="9:13" x14ac:dyDescent="0.3">
      <c r="I35462" s="82"/>
      <c r="M35462" s="85"/>
    </row>
    <row r="35463" spans="9:13" x14ac:dyDescent="0.3">
      <c r="I35463" s="82"/>
      <c r="M35463" s="85"/>
    </row>
    <row r="35464" spans="9:13" x14ac:dyDescent="0.3">
      <c r="I35464" s="82"/>
      <c r="M35464" s="85"/>
    </row>
    <row r="35465" spans="9:13" x14ac:dyDescent="0.3">
      <c r="I35465" s="82"/>
      <c r="M35465" s="85"/>
    </row>
    <row r="35466" spans="9:13" x14ac:dyDescent="0.3">
      <c r="I35466" s="82"/>
      <c r="M35466" s="85"/>
    </row>
    <row r="35467" spans="9:13" x14ac:dyDescent="0.3">
      <c r="I35467" s="82"/>
      <c r="M35467" s="85"/>
    </row>
    <row r="35468" spans="9:13" x14ac:dyDescent="0.3">
      <c r="I35468" s="82"/>
      <c r="M35468" s="85"/>
    </row>
    <row r="35469" spans="9:13" x14ac:dyDescent="0.3">
      <c r="I35469" s="82"/>
      <c r="M35469" s="85"/>
    </row>
    <row r="35470" spans="9:13" x14ac:dyDescent="0.3">
      <c r="I35470" s="82"/>
      <c r="M35470" s="85"/>
    </row>
    <row r="35471" spans="9:13" x14ac:dyDescent="0.3">
      <c r="I35471" s="82"/>
      <c r="M35471" s="85"/>
    </row>
    <row r="35472" spans="9:13" x14ac:dyDescent="0.3">
      <c r="I35472" s="82"/>
      <c r="M35472" s="85"/>
    </row>
    <row r="35473" spans="9:13" x14ac:dyDescent="0.3">
      <c r="I35473" s="82"/>
      <c r="M35473" s="85"/>
    </row>
    <row r="35474" spans="9:13" x14ac:dyDescent="0.3">
      <c r="I35474" s="82"/>
      <c r="M35474" s="85"/>
    </row>
    <row r="35475" spans="9:13" x14ac:dyDescent="0.3">
      <c r="I35475" s="82"/>
      <c r="M35475" s="85"/>
    </row>
    <row r="35476" spans="9:13" x14ac:dyDescent="0.3">
      <c r="I35476" s="82"/>
      <c r="M35476" s="85"/>
    </row>
    <row r="35477" spans="9:13" x14ac:dyDescent="0.3">
      <c r="I35477" s="82"/>
      <c r="M35477" s="85"/>
    </row>
    <row r="35478" spans="9:13" x14ac:dyDescent="0.3">
      <c r="I35478" s="82"/>
      <c r="M35478" s="85"/>
    </row>
    <row r="35479" spans="9:13" x14ac:dyDescent="0.3">
      <c r="I35479" s="82"/>
      <c r="M35479" s="85"/>
    </row>
    <row r="35480" spans="9:13" x14ac:dyDescent="0.3">
      <c r="I35480" s="82"/>
      <c r="M35480" s="85"/>
    </row>
    <row r="35481" spans="9:13" x14ac:dyDescent="0.3">
      <c r="I35481" s="82"/>
      <c r="M35481" s="85"/>
    </row>
    <row r="35482" spans="9:13" x14ac:dyDescent="0.3">
      <c r="I35482" s="82"/>
      <c r="M35482" s="85"/>
    </row>
    <row r="35483" spans="9:13" x14ac:dyDescent="0.3">
      <c r="I35483" s="82"/>
      <c r="M35483" s="85"/>
    </row>
    <row r="35484" spans="9:13" x14ac:dyDescent="0.3">
      <c r="I35484" s="82"/>
      <c r="M35484" s="85"/>
    </row>
    <row r="35485" spans="9:13" x14ac:dyDescent="0.3">
      <c r="I35485" s="82"/>
      <c r="M35485" s="85"/>
    </row>
    <row r="35486" spans="9:13" x14ac:dyDescent="0.3">
      <c r="I35486" s="82"/>
      <c r="M35486" s="85"/>
    </row>
    <row r="35487" spans="9:13" x14ac:dyDescent="0.3">
      <c r="I35487" s="82"/>
      <c r="M35487" s="85"/>
    </row>
    <row r="35488" spans="9:13" x14ac:dyDescent="0.3">
      <c r="I35488" s="82"/>
      <c r="M35488" s="85"/>
    </row>
    <row r="35489" spans="9:13" x14ac:dyDescent="0.3">
      <c r="I35489" s="82"/>
      <c r="M35489" s="85"/>
    </row>
    <row r="35490" spans="9:13" x14ac:dyDescent="0.3">
      <c r="I35490" s="82"/>
      <c r="M35490" s="85"/>
    </row>
    <row r="35491" spans="9:13" x14ac:dyDescent="0.3">
      <c r="I35491" s="82"/>
      <c r="M35491" s="85"/>
    </row>
    <row r="35492" spans="9:13" x14ac:dyDescent="0.3">
      <c r="I35492" s="82"/>
      <c r="M35492" s="85"/>
    </row>
    <row r="35493" spans="9:13" x14ac:dyDescent="0.3">
      <c r="I35493" s="82"/>
      <c r="M35493" s="85"/>
    </row>
    <row r="35494" spans="9:13" x14ac:dyDescent="0.3">
      <c r="I35494" s="82"/>
      <c r="M35494" s="85"/>
    </row>
    <row r="35495" spans="9:13" x14ac:dyDescent="0.3">
      <c r="I35495" s="82"/>
      <c r="M35495" s="85"/>
    </row>
    <row r="35496" spans="9:13" x14ac:dyDescent="0.3">
      <c r="I35496" s="82"/>
      <c r="M35496" s="85"/>
    </row>
    <row r="35497" spans="9:13" x14ac:dyDescent="0.3">
      <c r="I35497" s="82"/>
      <c r="M35497" s="85"/>
    </row>
    <row r="35498" spans="9:13" x14ac:dyDescent="0.3">
      <c r="I35498" s="82"/>
      <c r="M35498" s="85"/>
    </row>
    <row r="35499" spans="9:13" x14ac:dyDescent="0.3">
      <c r="I35499" s="82"/>
      <c r="M35499" s="85"/>
    </row>
    <row r="35500" spans="9:13" x14ac:dyDescent="0.3">
      <c r="I35500" s="82"/>
      <c r="M35500" s="85"/>
    </row>
    <row r="35501" spans="9:13" x14ac:dyDescent="0.3">
      <c r="I35501" s="82"/>
      <c r="M35501" s="85"/>
    </row>
    <row r="35502" spans="9:13" x14ac:dyDescent="0.3">
      <c r="I35502" s="82"/>
      <c r="M35502" s="85"/>
    </row>
    <row r="35503" spans="9:13" x14ac:dyDescent="0.3">
      <c r="I35503" s="82"/>
      <c r="M35503" s="85"/>
    </row>
    <row r="35504" spans="9:13" x14ac:dyDescent="0.3">
      <c r="I35504" s="82"/>
      <c r="M35504" s="85"/>
    </row>
    <row r="35505" spans="9:13" x14ac:dyDescent="0.3">
      <c r="I35505" s="82"/>
      <c r="M35505" s="85"/>
    </row>
    <row r="35506" spans="9:13" x14ac:dyDescent="0.3">
      <c r="I35506" s="82"/>
      <c r="M35506" s="85"/>
    </row>
    <row r="35507" spans="9:13" x14ac:dyDescent="0.3">
      <c r="I35507" s="82"/>
      <c r="M35507" s="85"/>
    </row>
    <row r="35508" spans="9:13" x14ac:dyDescent="0.3">
      <c r="I35508" s="82"/>
      <c r="M35508" s="85"/>
    </row>
    <row r="35509" spans="9:13" x14ac:dyDescent="0.3">
      <c r="I35509" s="82"/>
      <c r="M35509" s="85"/>
    </row>
    <row r="35510" spans="9:13" x14ac:dyDescent="0.3">
      <c r="I35510" s="82"/>
      <c r="M35510" s="85"/>
    </row>
    <row r="35511" spans="9:13" x14ac:dyDescent="0.3">
      <c r="I35511" s="82"/>
      <c r="M35511" s="85"/>
    </row>
    <row r="35512" spans="9:13" x14ac:dyDescent="0.3">
      <c r="I35512" s="82"/>
      <c r="M35512" s="85"/>
    </row>
    <row r="35513" spans="9:13" x14ac:dyDescent="0.3">
      <c r="I35513" s="82"/>
      <c r="M35513" s="85"/>
    </row>
    <row r="35514" spans="9:13" x14ac:dyDescent="0.3">
      <c r="I35514" s="82"/>
      <c r="M35514" s="85"/>
    </row>
    <row r="35515" spans="9:13" x14ac:dyDescent="0.3">
      <c r="I35515" s="82"/>
      <c r="M35515" s="85"/>
    </row>
    <row r="35516" spans="9:13" x14ac:dyDescent="0.3">
      <c r="I35516" s="82"/>
      <c r="M35516" s="85"/>
    </row>
    <row r="35517" spans="9:13" x14ac:dyDescent="0.3">
      <c r="I35517" s="82"/>
      <c r="M35517" s="85"/>
    </row>
    <row r="35518" spans="9:13" x14ac:dyDescent="0.3">
      <c r="I35518" s="82"/>
      <c r="M35518" s="85"/>
    </row>
    <row r="35519" spans="9:13" x14ac:dyDescent="0.3">
      <c r="I35519" s="82"/>
      <c r="M35519" s="85"/>
    </row>
    <row r="35520" spans="9:13" x14ac:dyDescent="0.3">
      <c r="I35520" s="82"/>
      <c r="M35520" s="85"/>
    </row>
    <row r="35521" spans="9:13" x14ac:dyDescent="0.3">
      <c r="I35521" s="82"/>
      <c r="M35521" s="85"/>
    </row>
    <row r="35522" spans="9:13" x14ac:dyDescent="0.3">
      <c r="I35522" s="82"/>
      <c r="M35522" s="85"/>
    </row>
    <row r="35523" spans="9:13" x14ac:dyDescent="0.3">
      <c r="I35523" s="82"/>
      <c r="M35523" s="85"/>
    </row>
    <row r="35524" spans="9:13" x14ac:dyDescent="0.3">
      <c r="I35524" s="82"/>
      <c r="M35524" s="85"/>
    </row>
    <row r="35525" spans="9:13" x14ac:dyDescent="0.3">
      <c r="I35525" s="82"/>
      <c r="M35525" s="85"/>
    </row>
    <row r="35526" spans="9:13" x14ac:dyDescent="0.3">
      <c r="I35526" s="82"/>
      <c r="M35526" s="85"/>
    </row>
    <row r="35527" spans="9:13" x14ac:dyDescent="0.3">
      <c r="I35527" s="82"/>
      <c r="M35527" s="85"/>
    </row>
    <row r="35528" spans="9:13" x14ac:dyDescent="0.3">
      <c r="I35528" s="82"/>
      <c r="M35528" s="85"/>
    </row>
    <row r="35529" spans="9:13" x14ac:dyDescent="0.3">
      <c r="I35529" s="82"/>
      <c r="M35529" s="85"/>
    </row>
    <row r="35530" spans="9:13" x14ac:dyDescent="0.3">
      <c r="I35530" s="82"/>
      <c r="M35530" s="85"/>
    </row>
    <row r="35531" spans="9:13" x14ac:dyDescent="0.3">
      <c r="I35531" s="82"/>
      <c r="M35531" s="85"/>
    </row>
    <row r="35532" spans="9:13" x14ac:dyDescent="0.3">
      <c r="I35532" s="82"/>
      <c r="M35532" s="85"/>
    </row>
    <row r="35533" spans="9:13" x14ac:dyDescent="0.3">
      <c r="I35533" s="82"/>
      <c r="M35533" s="85"/>
    </row>
    <row r="35534" spans="9:13" x14ac:dyDescent="0.3">
      <c r="I35534" s="82"/>
      <c r="M35534" s="85"/>
    </row>
    <row r="35535" spans="9:13" x14ac:dyDescent="0.3">
      <c r="I35535" s="82"/>
      <c r="M35535" s="85"/>
    </row>
    <row r="35536" spans="9:13" x14ac:dyDescent="0.3">
      <c r="I35536" s="82"/>
      <c r="M35536" s="85"/>
    </row>
    <row r="35537" spans="9:13" x14ac:dyDescent="0.3">
      <c r="I35537" s="82"/>
      <c r="M35537" s="85"/>
    </row>
    <row r="35538" spans="9:13" x14ac:dyDescent="0.3">
      <c r="I35538" s="82"/>
      <c r="M35538" s="85"/>
    </row>
    <row r="35539" spans="9:13" x14ac:dyDescent="0.3">
      <c r="I35539" s="82"/>
      <c r="M35539" s="85"/>
    </row>
    <row r="35540" spans="9:13" x14ac:dyDescent="0.3">
      <c r="I35540" s="82"/>
      <c r="M35540" s="85"/>
    </row>
    <row r="35541" spans="9:13" x14ac:dyDescent="0.3">
      <c r="I35541" s="82"/>
      <c r="M35541" s="85"/>
    </row>
    <row r="35542" spans="9:13" x14ac:dyDescent="0.3">
      <c r="I35542" s="82"/>
      <c r="M35542" s="85"/>
    </row>
    <row r="35543" spans="9:13" x14ac:dyDescent="0.3">
      <c r="I35543" s="82"/>
      <c r="M35543" s="85"/>
    </row>
    <row r="35544" spans="9:13" x14ac:dyDescent="0.3">
      <c r="I35544" s="82"/>
      <c r="M35544" s="85"/>
    </row>
    <row r="35545" spans="9:13" x14ac:dyDescent="0.3">
      <c r="I35545" s="82"/>
      <c r="M35545" s="85"/>
    </row>
    <row r="35546" spans="9:13" x14ac:dyDescent="0.3">
      <c r="I35546" s="82"/>
      <c r="M35546" s="85"/>
    </row>
    <row r="35547" spans="9:13" x14ac:dyDescent="0.3">
      <c r="I35547" s="82"/>
      <c r="M35547" s="85"/>
    </row>
    <row r="35548" spans="9:13" x14ac:dyDescent="0.3">
      <c r="I35548" s="82"/>
      <c r="M35548" s="85"/>
    </row>
    <row r="35549" spans="9:13" x14ac:dyDescent="0.3">
      <c r="I35549" s="82"/>
      <c r="M35549" s="85"/>
    </row>
    <row r="35550" spans="9:13" x14ac:dyDescent="0.3">
      <c r="I35550" s="82"/>
      <c r="M35550" s="85"/>
    </row>
    <row r="35551" spans="9:13" x14ac:dyDescent="0.3">
      <c r="I35551" s="82"/>
      <c r="M35551" s="85"/>
    </row>
    <row r="35552" spans="9:13" x14ac:dyDescent="0.3">
      <c r="I35552" s="82"/>
      <c r="M35552" s="85"/>
    </row>
    <row r="35553" spans="9:13" x14ac:dyDescent="0.3">
      <c r="I35553" s="82"/>
      <c r="M35553" s="85"/>
    </row>
    <row r="35554" spans="9:13" x14ac:dyDescent="0.3">
      <c r="I35554" s="82"/>
      <c r="M35554" s="85"/>
    </row>
    <row r="35555" spans="9:13" x14ac:dyDescent="0.3">
      <c r="I35555" s="82"/>
      <c r="M35555" s="85"/>
    </row>
    <row r="35556" spans="9:13" x14ac:dyDescent="0.3">
      <c r="I35556" s="82"/>
      <c r="M35556" s="85"/>
    </row>
    <row r="35557" spans="9:13" x14ac:dyDescent="0.3">
      <c r="I35557" s="82"/>
      <c r="M35557" s="85"/>
    </row>
    <row r="35558" spans="9:13" x14ac:dyDescent="0.3">
      <c r="I35558" s="82"/>
      <c r="M35558" s="85"/>
    </row>
    <row r="35559" spans="9:13" x14ac:dyDescent="0.3">
      <c r="I35559" s="82"/>
      <c r="M35559" s="85"/>
    </row>
    <row r="35560" spans="9:13" x14ac:dyDescent="0.3">
      <c r="I35560" s="82"/>
      <c r="M35560" s="85"/>
    </row>
    <row r="35561" spans="9:13" x14ac:dyDescent="0.3">
      <c r="I35561" s="82"/>
      <c r="M35561" s="85"/>
    </row>
    <row r="35562" spans="9:13" x14ac:dyDescent="0.3">
      <c r="I35562" s="82"/>
      <c r="M35562" s="85"/>
    </row>
    <row r="35563" spans="9:13" x14ac:dyDescent="0.3">
      <c r="I35563" s="82"/>
      <c r="M35563" s="85"/>
    </row>
    <row r="35564" spans="9:13" x14ac:dyDescent="0.3">
      <c r="I35564" s="82"/>
      <c r="M35564" s="85"/>
    </row>
    <row r="35565" spans="9:13" x14ac:dyDescent="0.3">
      <c r="I35565" s="82"/>
      <c r="M35565" s="85"/>
    </row>
    <row r="35566" spans="9:13" x14ac:dyDescent="0.3">
      <c r="I35566" s="82"/>
      <c r="M35566" s="85"/>
    </row>
    <row r="35567" spans="9:13" x14ac:dyDescent="0.3">
      <c r="I35567" s="82"/>
      <c r="M35567" s="85"/>
    </row>
    <row r="35568" spans="9:13" x14ac:dyDescent="0.3">
      <c r="I35568" s="82"/>
      <c r="M35568" s="85"/>
    </row>
    <row r="35569" spans="9:13" x14ac:dyDescent="0.3">
      <c r="I35569" s="82"/>
      <c r="M35569" s="85"/>
    </row>
    <row r="35570" spans="9:13" x14ac:dyDescent="0.3">
      <c r="I35570" s="82"/>
      <c r="M35570" s="85"/>
    </row>
    <row r="35571" spans="9:13" x14ac:dyDescent="0.3">
      <c r="I35571" s="82"/>
      <c r="M35571" s="85"/>
    </row>
    <row r="35572" spans="9:13" x14ac:dyDescent="0.3">
      <c r="I35572" s="82"/>
      <c r="M35572" s="85"/>
    </row>
    <row r="35573" spans="9:13" x14ac:dyDescent="0.3">
      <c r="I35573" s="82"/>
      <c r="M35573" s="85"/>
    </row>
    <row r="35574" spans="9:13" x14ac:dyDescent="0.3">
      <c r="I35574" s="82"/>
      <c r="M35574" s="85"/>
    </row>
    <row r="35575" spans="9:13" x14ac:dyDescent="0.3">
      <c r="I35575" s="82"/>
      <c r="M35575" s="85"/>
    </row>
    <row r="35576" spans="9:13" x14ac:dyDescent="0.3">
      <c r="I35576" s="82"/>
      <c r="M35576" s="85"/>
    </row>
    <row r="35577" spans="9:13" x14ac:dyDescent="0.3">
      <c r="I35577" s="82"/>
      <c r="M35577" s="85"/>
    </row>
    <row r="35578" spans="9:13" x14ac:dyDescent="0.3">
      <c r="I35578" s="82"/>
      <c r="M35578" s="85"/>
    </row>
    <row r="35579" spans="9:13" x14ac:dyDescent="0.3">
      <c r="I35579" s="82"/>
      <c r="M35579" s="85"/>
    </row>
    <row r="35580" spans="9:13" x14ac:dyDescent="0.3">
      <c r="I35580" s="82"/>
      <c r="M35580" s="85"/>
    </row>
    <row r="35581" spans="9:13" x14ac:dyDescent="0.3">
      <c r="I35581" s="82"/>
      <c r="M35581" s="85"/>
    </row>
    <row r="35582" spans="9:13" x14ac:dyDescent="0.3">
      <c r="I35582" s="82"/>
      <c r="M35582" s="85"/>
    </row>
    <row r="35583" spans="9:13" x14ac:dyDescent="0.3">
      <c r="I35583" s="82"/>
      <c r="M35583" s="85"/>
    </row>
    <row r="35584" spans="9:13" x14ac:dyDescent="0.3">
      <c r="I35584" s="82"/>
      <c r="M35584" s="85"/>
    </row>
    <row r="35585" spans="9:13" x14ac:dyDescent="0.3">
      <c r="I35585" s="82"/>
      <c r="M35585" s="85"/>
    </row>
    <row r="35586" spans="9:13" x14ac:dyDescent="0.3">
      <c r="I35586" s="82"/>
      <c r="M35586" s="85"/>
    </row>
    <row r="35587" spans="9:13" x14ac:dyDescent="0.3">
      <c r="I35587" s="82"/>
      <c r="M35587" s="85"/>
    </row>
    <row r="35588" spans="9:13" x14ac:dyDescent="0.3">
      <c r="I35588" s="82"/>
      <c r="M35588" s="85"/>
    </row>
    <row r="35589" spans="9:13" x14ac:dyDescent="0.3">
      <c r="I35589" s="82"/>
      <c r="M35589" s="85"/>
    </row>
    <row r="35590" spans="9:13" x14ac:dyDescent="0.3">
      <c r="I35590" s="82"/>
      <c r="M35590" s="85"/>
    </row>
    <row r="35591" spans="9:13" x14ac:dyDescent="0.3">
      <c r="I35591" s="82"/>
      <c r="M35591" s="85"/>
    </row>
    <row r="35592" spans="9:13" x14ac:dyDescent="0.3">
      <c r="I35592" s="82"/>
      <c r="M35592" s="85"/>
    </row>
    <row r="35593" spans="9:13" x14ac:dyDescent="0.3">
      <c r="I35593" s="82"/>
      <c r="M35593" s="85"/>
    </row>
    <row r="35594" spans="9:13" x14ac:dyDescent="0.3">
      <c r="I35594" s="82"/>
      <c r="M35594" s="85"/>
    </row>
    <row r="35595" spans="9:13" x14ac:dyDescent="0.3">
      <c r="I35595" s="82"/>
      <c r="M35595" s="85"/>
    </row>
    <row r="35596" spans="9:13" x14ac:dyDescent="0.3">
      <c r="I35596" s="82"/>
      <c r="M35596" s="85"/>
    </row>
    <row r="35597" spans="9:13" x14ac:dyDescent="0.3">
      <c r="I35597" s="82"/>
      <c r="M35597" s="85"/>
    </row>
    <row r="35598" spans="9:13" x14ac:dyDescent="0.3">
      <c r="I35598" s="82"/>
      <c r="M35598" s="85"/>
    </row>
    <row r="35599" spans="9:13" x14ac:dyDescent="0.3">
      <c r="I35599" s="82"/>
      <c r="M35599" s="85"/>
    </row>
    <row r="35600" spans="9:13" x14ac:dyDescent="0.3">
      <c r="I35600" s="82"/>
      <c r="M35600" s="85"/>
    </row>
    <row r="35601" spans="9:13" x14ac:dyDescent="0.3">
      <c r="I35601" s="82"/>
      <c r="M35601" s="85"/>
    </row>
    <row r="35602" spans="9:13" x14ac:dyDescent="0.3">
      <c r="I35602" s="82"/>
      <c r="M35602" s="85"/>
    </row>
    <row r="35603" spans="9:13" x14ac:dyDescent="0.3">
      <c r="I35603" s="82"/>
      <c r="M35603" s="85"/>
    </row>
    <row r="35604" spans="9:13" x14ac:dyDescent="0.3">
      <c r="I35604" s="82"/>
      <c r="M35604" s="85"/>
    </row>
    <row r="35605" spans="9:13" x14ac:dyDescent="0.3">
      <c r="I35605" s="82"/>
      <c r="M35605" s="85"/>
    </row>
    <row r="35606" spans="9:13" x14ac:dyDescent="0.3">
      <c r="I35606" s="82"/>
      <c r="M35606" s="85"/>
    </row>
    <row r="35607" spans="9:13" x14ac:dyDescent="0.3">
      <c r="I35607" s="82"/>
      <c r="M35607" s="85"/>
    </row>
    <row r="35608" spans="9:13" x14ac:dyDescent="0.3">
      <c r="I35608" s="82"/>
      <c r="M35608" s="85"/>
    </row>
    <row r="35609" spans="9:13" x14ac:dyDescent="0.3">
      <c r="I35609" s="82"/>
      <c r="M35609" s="85"/>
    </row>
    <row r="35610" spans="9:13" x14ac:dyDescent="0.3">
      <c r="I35610" s="82"/>
      <c r="M35610" s="85"/>
    </row>
    <row r="35611" spans="9:13" x14ac:dyDescent="0.3">
      <c r="I35611" s="82"/>
      <c r="M35611" s="85"/>
    </row>
    <row r="35612" spans="9:13" x14ac:dyDescent="0.3">
      <c r="I35612" s="82"/>
      <c r="M35612" s="85"/>
    </row>
    <row r="35613" spans="9:13" x14ac:dyDescent="0.3">
      <c r="I35613" s="82"/>
      <c r="M35613" s="85"/>
    </row>
    <row r="35614" spans="9:13" x14ac:dyDescent="0.3">
      <c r="I35614" s="82"/>
      <c r="M35614" s="85"/>
    </row>
    <row r="35615" spans="9:13" x14ac:dyDescent="0.3">
      <c r="I35615" s="82"/>
      <c r="M35615" s="85"/>
    </row>
    <row r="35616" spans="9:13" x14ac:dyDescent="0.3">
      <c r="I35616" s="82"/>
      <c r="M35616" s="85"/>
    </row>
    <row r="35617" spans="9:13" x14ac:dyDescent="0.3">
      <c r="I35617" s="82"/>
      <c r="M35617" s="85"/>
    </row>
    <row r="35618" spans="9:13" x14ac:dyDescent="0.3">
      <c r="I35618" s="82"/>
      <c r="M35618" s="85"/>
    </row>
    <row r="35619" spans="9:13" x14ac:dyDescent="0.3">
      <c r="I35619" s="82"/>
      <c r="M35619" s="85"/>
    </row>
    <row r="35620" spans="9:13" x14ac:dyDescent="0.3">
      <c r="I35620" s="82"/>
      <c r="M35620" s="85"/>
    </row>
    <row r="35621" spans="9:13" x14ac:dyDescent="0.3">
      <c r="I35621" s="82"/>
      <c r="M35621" s="85"/>
    </row>
    <row r="35622" spans="9:13" x14ac:dyDescent="0.3">
      <c r="I35622" s="82"/>
      <c r="M35622" s="85"/>
    </row>
    <row r="35623" spans="9:13" x14ac:dyDescent="0.3">
      <c r="I35623" s="82"/>
      <c r="M35623" s="85"/>
    </row>
    <row r="35624" spans="9:13" x14ac:dyDescent="0.3">
      <c r="I35624" s="82"/>
      <c r="M35624" s="85"/>
    </row>
    <row r="35625" spans="9:13" x14ac:dyDescent="0.3">
      <c r="I35625" s="82"/>
      <c r="M35625" s="85"/>
    </row>
    <row r="35626" spans="9:13" x14ac:dyDescent="0.3">
      <c r="I35626" s="82"/>
      <c r="M35626" s="85"/>
    </row>
    <row r="35627" spans="9:13" x14ac:dyDescent="0.3">
      <c r="I35627" s="82"/>
      <c r="M35627" s="85"/>
    </row>
    <row r="35628" spans="9:13" x14ac:dyDescent="0.3">
      <c r="I35628" s="82"/>
      <c r="M35628" s="85"/>
    </row>
    <row r="35629" spans="9:13" x14ac:dyDescent="0.3">
      <c r="I35629" s="82"/>
      <c r="M35629" s="85"/>
    </row>
    <row r="35630" spans="9:13" x14ac:dyDescent="0.3">
      <c r="I35630" s="82"/>
      <c r="M35630" s="85"/>
    </row>
    <row r="35631" spans="9:13" x14ac:dyDescent="0.3">
      <c r="I35631" s="82"/>
      <c r="M35631" s="85"/>
    </row>
    <row r="35632" spans="9:13" x14ac:dyDescent="0.3">
      <c r="I35632" s="82"/>
      <c r="M35632" s="85"/>
    </row>
    <row r="35633" spans="9:13" x14ac:dyDescent="0.3">
      <c r="I35633" s="82"/>
      <c r="M35633" s="85"/>
    </row>
    <row r="35634" spans="9:13" x14ac:dyDescent="0.3">
      <c r="I35634" s="82"/>
      <c r="M35634" s="85"/>
    </row>
    <row r="35635" spans="9:13" x14ac:dyDescent="0.3">
      <c r="I35635" s="82"/>
      <c r="M35635" s="85"/>
    </row>
    <row r="35636" spans="9:13" x14ac:dyDescent="0.3">
      <c r="I35636" s="82"/>
      <c r="M35636" s="85"/>
    </row>
    <row r="35637" spans="9:13" x14ac:dyDescent="0.3">
      <c r="I35637" s="82"/>
      <c r="M35637" s="85"/>
    </row>
    <row r="35638" spans="9:13" x14ac:dyDescent="0.3">
      <c r="I35638" s="82"/>
      <c r="M35638" s="85"/>
    </row>
    <row r="35639" spans="9:13" x14ac:dyDescent="0.3">
      <c r="I35639" s="82"/>
      <c r="M35639" s="85"/>
    </row>
    <row r="35640" spans="9:13" x14ac:dyDescent="0.3">
      <c r="I35640" s="82"/>
      <c r="M35640" s="85"/>
    </row>
    <row r="35641" spans="9:13" x14ac:dyDescent="0.3">
      <c r="I35641" s="82"/>
      <c r="M35641" s="85"/>
    </row>
    <row r="35642" spans="9:13" x14ac:dyDescent="0.3">
      <c r="I35642" s="82"/>
      <c r="M35642" s="85"/>
    </row>
    <row r="35643" spans="9:13" x14ac:dyDescent="0.3">
      <c r="I35643" s="82"/>
      <c r="M35643" s="85"/>
    </row>
    <row r="35644" spans="9:13" x14ac:dyDescent="0.3">
      <c r="I35644" s="82"/>
      <c r="M35644" s="85"/>
    </row>
    <row r="35645" spans="9:13" x14ac:dyDescent="0.3">
      <c r="I35645" s="82"/>
      <c r="M35645" s="85"/>
    </row>
    <row r="35646" spans="9:13" x14ac:dyDescent="0.3">
      <c r="I35646" s="82"/>
      <c r="M35646" s="85"/>
    </row>
    <row r="35647" spans="9:13" x14ac:dyDescent="0.3">
      <c r="I35647" s="82"/>
      <c r="M35647" s="85"/>
    </row>
    <row r="35648" spans="9:13" x14ac:dyDescent="0.3">
      <c r="I35648" s="82"/>
      <c r="M35648" s="85"/>
    </row>
    <row r="35649" spans="9:13" x14ac:dyDescent="0.3">
      <c r="I35649" s="82"/>
      <c r="M35649" s="85"/>
    </row>
    <row r="35650" spans="9:13" x14ac:dyDescent="0.3">
      <c r="I35650" s="82"/>
      <c r="M35650" s="85"/>
    </row>
    <row r="35651" spans="9:13" x14ac:dyDescent="0.3">
      <c r="I35651" s="82"/>
      <c r="M35651" s="85"/>
    </row>
    <row r="35652" spans="9:13" x14ac:dyDescent="0.3">
      <c r="I35652" s="82"/>
      <c r="M35652" s="85"/>
    </row>
    <row r="35653" spans="9:13" x14ac:dyDescent="0.3">
      <c r="I35653" s="82"/>
      <c r="M35653" s="85"/>
    </row>
    <row r="35654" spans="9:13" x14ac:dyDescent="0.3">
      <c r="I35654" s="82"/>
      <c r="M35654" s="85"/>
    </row>
    <row r="35655" spans="9:13" x14ac:dyDescent="0.3">
      <c r="I35655" s="82"/>
      <c r="M35655" s="85"/>
    </row>
    <row r="35656" spans="9:13" x14ac:dyDescent="0.3">
      <c r="I35656" s="82"/>
      <c r="M35656" s="85"/>
    </row>
    <row r="35657" spans="9:13" x14ac:dyDescent="0.3">
      <c r="I35657" s="82"/>
      <c r="M35657" s="85"/>
    </row>
    <row r="35658" spans="9:13" x14ac:dyDescent="0.3">
      <c r="I35658" s="82"/>
      <c r="M35658" s="85"/>
    </row>
    <row r="35659" spans="9:13" x14ac:dyDescent="0.3">
      <c r="I35659" s="82"/>
      <c r="M35659" s="85"/>
    </row>
    <row r="35660" spans="9:13" x14ac:dyDescent="0.3">
      <c r="I35660" s="82"/>
      <c r="M35660" s="85"/>
    </row>
    <row r="35661" spans="9:13" x14ac:dyDescent="0.3">
      <c r="I35661" s="82"/>
      <c r="M35661" s="85"/>
    </row>
    <row r="35662" spans="9:13" x14ac:dyDescent="0.3">
      <c r="I35662" s="82"/>
      <c r="M35662" s="85"/>
    </row>
    <row r="35663" spans="9:13" x14ac:dyDescent="0.3">
      <c r="I35663" s="82"/>
      <c r="M35663" s="85"/>
    </row>
    <row r="35664" spans="9:13" x14ac:dyDescent="0.3">
      <c r="I35664" s="82"/>
      <c r="M35664" s="85"/>
    </row>
    <row r="35665" spans="9:13" x14ac:dyDescent="0.3">
      <c r="I35665" s="82"/>
      <c r="M35665" s="85"/>
    </row>
    <row r="35666" spans="9:13" x14ac:dyDescent="0.3">
      <c r="I35666" s="82"/>
      <c r="M35666" s="85"/>
    </row>
    <row r="35667" spans="9:13" x14ac:dyDescent="0.3">
      <c r="I35667" s="82"/>
      <c r="M35667" s="85"/>
    </row>
    <row r="35668" spans="9:13" x14ac:dyDescent="0.3">
      <c r="I35668" s="82"/>
      <c r="M35668" s="85"/>
    </row>
    <row r="35669" spans="9:13" x14ac:dyDescent="0.3">
      <c r="I35669" s="82"/>
      <c r="M35669" s="85"/>
    </row>
    <row r="35670" spans="9:13" x14ac:dyDescent="0.3">
      <c r="I35670" s="82"/>
      <c r="M35670" s="85"/>
    </row>
    <row r="35671" spans="9:13" x14ac:dyDescent="0.3">
      <c r="I35671" s="82"/>
      <c r="M35671" s="85"/>
    </row>
    <row r="35672" spans="9:13" x14ac:dyDescent="0.3">
      <c r="I35672" s="82"/>
      <c r="M35672" s="85"/>
    </row>
    <row r="35673" spans="9:13" x14ac:dyDescent="0.3">
      <c r="I35673" s="82"/>
      <c r="M35673" s="85"/>
    </row>
    <row r="35674" spans="9:13" x14ac:dyDescent="0.3">
      <c r="I35674" s="82"/>
      <c r="M35674" s="85"/>
    </row>
    <row r="35675" spans="9:13" x14ac:dyDescent="0.3">
      <c r="I35675" s="82"/>
      <c r="M35675" s="85"/>
    </row>
    <row r="35676" spans="9:13" x14ac:dyDescent="0.3">
      <c r="I35676" s="82"/>
      <c r="M35676" s="85"/>
    </row>
    <row r="35677" spans="9:13" x14ac:dyDescent="0.3">
      <c r="I35677" s="82"/>
      <c r="M35677" s="85"/>
    </row>
    <row r="35678" spans="9:13" x14ac:dyDescent="0.3">
      <c r="I35678" s="82"/>
      <c r="M35678" s="85"/>
    </row>
    <row r="35679" spans="9:13" x14ac:dyDescent="0.3">
      <c r="I35679" s="82"/>
      <c r="M35679" s="85"/>
    </row>
    <row r="35680" spans="9:13" x14ac:dyDescent="0.3">
      <c r="I35680" s="82"/>
      <c r="M35680" s="85"/>
    </row>
    <row r="35681" spans="9:13" x14ac:dyDescent="0.3">
      <c r="I35681" s="82"/>
      <c r="M35681" s="85"/>
    </row>
    <row r="35682" spans="9:13" x14ac:dyDescent="0.3">
      <c r="I35682" s="82"/>
      <c r="M35682" s="85"/>
    </row>
    <row r="35683" spans="9:13" x14ac:dyDescent="0.3">
      <c r="I35683" s="82"/>
      <c r="M35683" s="85"/>
    </row>
    <row r="35684" spans="9:13" x14ac:dyDescent="0.3">
      <c r="I35684" s="82"/>
      <c r="M35684" s="85"/>
    </row>
    <row r="35685" spans="9:13" x14ac:dyDescent="0.3">
      <c r="I35685" s="82"/>
      <c r="M35685" s="85"/>
    </row>
    <row r="35686" spans="9:13" x14ac:dyDescent="0.3">
      <c r="I35686" s="82"/>
      <c r="M35686" s="85"/>
    </row>
    <row r="35687" spans="9:13" x14ac:dyDescent="0.3">
      <c r="I35687" s="82"/>
      <c r="M35687" s="85"/>
    </row>
    <row r="35688" spans="9:13" x14ac:dyDescent="0.3">
      <c r="I35688" s="82"/>
      <c r="M35688" s="85"/>
    </row>
    <row r="35689" spans="9:13" x14ac:dyDescent="0.3">
      <c r="I35689" s="82"/>
      <c r="M35689" s="85"/>
    </row>
    <row r="35690" spans="9:13" x14ac:dyDescent="0.3">
      <c r="I35690" s="82"/>
      <c r="M35690" s="85"/>
    </row>
    <row r="35691" spans="9:13" x14ac:dyDescent="0.3">
      <c r="I35691" s="82"/>
      <c r="M35691" s="85"/>
    </row>
    <row r="35692" spans="9:13" x14ac:dyDescent="0.3">
      <c r="I35692" s="82"/>
      <c r="M35692" s="85"/>
    </row>
    <row r="35693" spans="9:13" x14ac:dyDescent="0.3">
      <c r="I35693" s="82"/>
      <c r="M35693" s="85"/>
    </row>
    <row r="35694" spans="9:13" x14ac:dyDescent="0.3">
      <c r="I35694" s="82"/>
      <c r="M35694" s="85"/>
    </row>
    <row r="35695" spans="9:13" x14ac:dyDescent="0.3">
      <c r="I35695" s="82"/>
      <c r="M35695" s="85"/>
    </row>
    <row r="35696" spans="9:13" x14ac:dyDescent="0.3">
      <c r="I35696" s="82"/>
      <c r="M35696" s="85"/>
    </row>
    <row r="35697" spans="9:13" x14ac:dyDescent="0.3">
      <c r="I35697" s="82"/>
      <c r="M35697" s="85"/>
    </row>
    <row r="35698" spans="9:13" x14ac:dyDescent="0.3">
      <c r="I35698" s="82"/>
      <c r="M35698" s="85"/>
    </row>
    <row r="35699" spans="9:13" x14ac:dyDescent="0.3">
      <c r="I35699" s="82"/>
      <c r="M35699" s="85"/>
    </row>
    <row r="35700" spans="9:13" x14ac:dyDescent="0.3">
      <c r="I35700" s="82"/>
      <c r="M35700" s="85"/>
    </row>
    <row r="35701" spans="9:13" x14ac:dyDescent="0.3">
      <c r="I35701" s="82"/>
      <c r="M35701" s="85"/>
    </row>
    <row r="35702" spans="9:13" x14ac:dyDescent="0.3">
      <c r="I35702" s="82"/>
      <c r="M35702" s="85"/>
    </row>
    <row r="35703" spans="9:13" x14ac:dyDescent="0.3">
      <c r="I35703" s="82"/>
      <c r="M35703" s="85"/>
    </row>
    <row r="35704" spans="9:13" x14ac:dyDescent="0.3">
      <c r="I35704" s="82"/>
      <c r="M35704" s="85"/>
    </row>
    <row r="35705" spans="9:13" x14ac:dyDescent="0.3">
      <c r="I35705" s="82"/>
      <c r="M35705" s="85"/>
    </row>
    <row r="35706" spans="9:13" x14ac:dyDescent="0.3">
      <c r="I35706" s="82"/>
      <c r="M35706" s="85"/>
    </row>
    <row r="35707" spans="9:13" x14ac:dyDescent="0.3">
      <c r="I35707" s="82"/>
      <c r="M35707" s="85"/>
    </row>
    <row r="35708" spans="9:13" x14ac:dyDescent="0.3">
      <c r="I35708" s="82"/>
      <c r="M35708" s="85"/>
    </row>
    <row r="35709" spans="9:13" x14ac:dyDescent="0.3">
      <c r="I35709" s="82"/>
      <c r="M35709" s="85"/>
    </row>
    <row r="35710" spans="9:13" x14ac:dyDescent="0.3">
      <c r="I35710" s="82"/>
      <c r="M35710" s="85"/>
    </row>
    <row r="35711" spans="9:13" x14ac:dyDescent="0.3">
      <c r="I35711" s="82"/>
      <c r="M35711" s="85"/>
    </row>
    <row r="35712" spans="9:13" x14ac:dyDescent="0.3">
      <c r="I35712" s="82"/>
      <c r="M35712" s="85"/>
    </row>
    <row r="35713" spans="9:13" x14ac:dyDescent="0.3">
      <c r="I35713" s="82"/>
      <c r="M35713" s="85"/>
    </row>
    <row r="35714" spans="9:13" x14ac:dyDescent="0.3">
      <c r="I35714" s="82"/>
      <c r="M35714" s="85"/>
    </row>
    <row r="35715" spans="9:13" x14ac:dyDescent="0.3">
      <c r="I35715" s="82"/>
      <c r="M35715" s="85"/>
    </row>
    <row r="35716" spans="9:13" x14ac:dyDescent="0.3">
      <c r="I35716" s="82"/>
      <c r="M35716" s="85"/>
    </row>
    <row r="35717" spans="9:13" x14ac:dyDescent="0.3">
      <c r="I35717" s="82"/>
      <c r="M35717" s="85"/>
    </row>
    <row r="35718" spans="9:13" x14ac:dyDescent="0.3">
      <c r="I35718" s="82"/>
      <c r="M35718" s="85"/>
    </row>
    <row r="35719" spans="9:13" x14ac:dyDescent="0.3">
      <c r="I35719" s="82"/>
      <c r="M35719" s="85"/>
    </row>
    <row r="35720" spans="9:13" x14ac:dyDescent="0.3">
      <c r="I35720" s="82"/>
      <c r="M35720" s="85"/>
    </row>
    <row r="35721" spans="9:13" x14ac:dyDescent="0.3">
      <c r="I35721" s="82"/>
      <c r="M35721" s="85"/>
    </row>
    <row r="35722" spans="9:13" x14ac:dyDescent="0.3">
      <c r="I35722" s="82"/>
      <c r="M35722" s="85"/>
    </row>
    <row r="35723" spans="9:13" x14ac:dyDescent="0.3">
      <c r="I35723" s="82"/>
      <c r="M35723" s="85"/>
    </row>
    <row r="35724" spans="9:13" x14ac:dyDescent="0.3">
      <c r="I35724" s="82"/>
      <c r="M35724" s="85"/>
    </row>
    <row r="35725" spans="9:13" x14ac:dyDescent="0.3">
      <c r="I35725" s="82"/>
      <c r="M35725" s="85"/>
    </row>
    <row r="35726" spans="9:13" x14ac:dyDescent="0.3">
      <c r="I35726" s="82"/>
      <c r="M35726" s="85"/>
    </row>
    <row r="35727" spans="9:13" x14ac:dyDescent="0.3">
      <c r="I35727" s="82"/>
      <c r="M35727" s="85"/>
    </row>
    <row r="35728" spans="9:13" x14ac:dyDescent="0.3">
      <c r="I35728" s="82"/>
      <c r="M35728" s="85"/>
    </row>
    <row r="35729" spans="9:13" x14ac:dyDescent="0.3">
      <c r="I35729" s="82"/>
      <c r="M35729" s="85"/>
    </row>
    <row r="35730" spans="9:13" x14ac:dyDescent="0.3">
      <c r="I35730" s="82"/>
      <c r="M35730" s="85"/>
    </row>
    <row r="35731" spans="9:13" x14ac:dyDescent="0.3">
      <c r="I35731" s="82"/>
      <c r="M35731" s="85"/>
    </row>
    <row r="35732" spans="9:13" x14ac:dyDescent="0.3">
      <c r="I35732" s="82"/>
      <c r="M35732" s="85"/>
    </row>
    <row r="35733" spans="9:13" x14ac:dyDescent="0.3">
      <c r="I35733" s="82"/>
      <c r="M35733" s="85"/>
    </row>
    <row r="35734" spans="9:13" x14ac:dyDescent="0.3">
      <c r="I35734" s="82"/>
      <c r="M35734" s="85"/>
    </row>
    <row r="35735" spans="9:13" x14ac:dyDescent="0.3">
      <c r="I35735" s="82"/>
      <c r="M35735" s="85"/>
    </row>
    <row r="35736" spans="9:13" x14ac:dyDescent="0.3">
      <c r="I35736" s="82"/>
      <c r="M35736" s="85"/>
    </row>
    <row r="35737" spans="9:13" x14ac:dyDescent="0.3">
      <c r="I35737" s="82"/>
      <c r="M35737" s="85"/>
    </row>
    <row r="35738" spans="9:13" x14ac:dyDescent="0.3">
      <c r="I35738" s="82"/>
      <c r="M35738" s="85"/>
    </row>
    <row r="35739" spans="9:13" x14ac:dyDescent="0.3">
      <c r="I35739" s="82"/>
      <c r="M35739" s="85"/>
    </row>
    <row r="35740" spans="9:13" x14ac:dyDescent="0.3">
      <c r="I35740" s="82"/>
      <c r="M35740" s="85"/>
    </row>
    <row r="35741" spans="9:13" x14ac:dyDescent="0.3">
      <c r="I35741" s="82"/>
      <c r="M35741" s="85"/>
    </row>
    <row r="35742" spans="9:13" x14ac:dyDescent="0.3">
      <c r="I35742" s="82"/>
      <c r="M35742" s="85"/>
    </row>
    <row r="35743" spans="9:13" x14ac:dyDescent="0.3">
      <c r="I35743" s="82"/>
      <c r="M35743" s="85"/>
    </row>
    <row r="35744" spans="9:13" x14ac:dyDescent="0.3">
      <c r="I35744" s="82"/>
      <c r="M35744" s="85"/>
    </row>
    <row r="35745" spans="9:13" x14ac:dyDescent="0.3">
      <c r="I35745" s="82"/>
      <c r="M35745" s="85"/>
    </row>
    <row r="35746" spans="9:13" x14ac:dyDescent="0.3">
      <c r="I35746" s="82"/>
      <c r="M35746" s="85"/>
    </row>
    <row r="35747" spans="9:13" x14ac:dyDescent="0.3">
      <c r="I35747" s="82"/>
      <c r="M35747" s="85"/>
    </row>
    <row r="35748" spans="9:13" x14ac:dyDescent="0.3">
      <c r="I35748" s="82"/>
      <c r="M35748" s="85"/>
    </row>
    <row r="35749" spans="9:13" x14ac:dyDescent="0.3">
      <c r="I35749" s="82"/>
      <c r="M35749" s="85"/>
    </row>
    <row r="35750" spans="9:13" x14ac:dyDescent="0.3">
      <c r="I35750" s="82"/>
      <c r="M35750" s="85"/>
    </row>
    <row r="35751" spans="9:13" x14ac:dyDescent="0.3">
      <c r="I35751" s="82"/>
      <c r="M35751" s="85"/>
    </row>
    <row r="35752" spans="9:13" x14ac:dyDescent="0.3">
      <c r="I35752" s="82"/>
      <c r="M35752" s="85"/>
    </row>
    <row r="35753" spans="9:13" x14ac:dyDescent="0.3">
      <c r="I35753" s="82"/>
      <c r="M35753" s="85"/>
    </row>
    <row r="35754" spans="9:13" x14ac:dyDescent="0.3">
      <c r="I35754" s="82"/>
      <c r="M35754" s="85"/>
    </row>
    <row r="35755" spans="9:13" x14ac:dyDescent="0.3">
      <c r="I35755" s="82"/>
      <c r="M35755" s="85"/>
    </row>
    <row r="35756" spans="9:13" x14ac:dyDescent="0.3">
      <c r="I35756" s="82"/>
      <c r="M35756" s="85"/>
    </row>
    <row r="35757" spans="9:13" x14ac:dyDescent="0.3">
      <c r="I35757" s="82"/>
      <c r="M35757" s="85"/>
    </row>
    <row r="35758" spans="9:13" x14ac:dyDescent="0.3">
      <c r="I35758" s="82"/>
      <c r="M35758" s="85"/>
    </row>
    <row r="35759" spans="9:13" x14ac:dyDescent="0.3">
      <c r="I35759" s="82"/>
      <c r="M35759" s="85"/>
    </row>
    <row r="35760" spans="9:13" x14ac:dyDescent="0.3">
      <c r="I35760" s="82"/>
      <c r="M35760" s="85"/>
    </row>
    <row r="35761" spans="9:13" x14ac:dyDescent="0.3">
      <c r="I35761" s="82"/>
      <c r="M35761" s="85"/>
    </row>
    <row r="35762" spans="9:13" x14ac:dyDescent="0.3">
      <c r="I35762" s="82"/>
      <c r="M35762" s="85"/>
    </row>
    <row r="35763" spans="9:13" x14ac:dyDescent="0.3">
      <c r="I35763" s="82"/>
      <c r="M35763" s="85"/>
    </row>
    <row r="35764" spans="9:13" x14ac:dyDescent="0.3">
      <c r="I35764" s="82"/>
      <c r="M35764" s="85"/>
    </row>
    <row r="35765" spans="9:13" x14ac:dyDescent="0.3">
      <c r="I35765" s="82"/>
      <c r="M35765" s="85"/>
    </row>
    <row r="35766" spans="9:13" x14ac:dyDescent="0.3">
      <c r="I35766" s="82"/>
      <c r="M35766" s="85"/>
    </row>
    <row r="35767" spans="9:13" x14ac:dyDescent="0.3">
      <c r="I35767" s="82"/>
      <c r="M35767" s="85"/>
    </row>
    <row r="35768" spans="9:13" x14ac:dyDescent="0.3">
      <c r="I35768" s="82"/>
      <c r="M35768" s="85"/>
    </row>
    <row r="35769" spans="9:13" x14ac:dyDescent="0.3">
      <c r="I35769" s="82"/>
      <c r="M35769" s="85"/>
    </row>
    <row r="35770" spans="9:13" x14ac:dyDescent="0.3">
      <c r="I35770" s="82"/>
      <c r="M35770" s="85"/>
    </row>
    <row r="35771" spans="9:13" x14ac:dyDescent="0.3">
      <c r="I35771" s="82"/>
      <c r="M35771" s="85"/>
    </row>
    <row r="35772" spans="9:13" x14ac:dyDescent="0.3">
      <c r="I35772" s="82"/>
      <c r="M35772" s="85"/>
    </row>
    <row r="35773" spans="9:13" x14ac:dyDescent="0.3">
      <c r="I35773" s="82"/>
      <c r="M35773" s="85"/>
    </row>
    <row r="35774" spans="9:13" x14ac:dyDescent="0.3">
      <c r="I35774" s="82"/>
      <c r="M35774" s="85"/>
    </row>
    <row r="35775" spans="9:13" x14ac:dyDescent="0.3">
      <c r="I35775" s="82"/>
      <c r="M35775" s="85"/>
    </row>
    <row r="35776" spans="9:13" x14ac:dyDescent="0.3">
      <c r="I35776" s="82"/>
      <c r="M35776" s="85"/>
    </row>
    <row r="35777" spans="9:13" x14ac:dyDescent="0.3">
      <c r="I35777" s="82"/>
      <c r="M35777" s="85"/>
    </row>
    <row r="35778" spans="9:13" x14ac:dyDescent="0.3">
      <c r="I35778" s="82"/>
      <c r="M35778" s="85"/>
    </row>
    <row r="35779" spans="9:13" x14ac:dyDescent="0.3">
      <c r="I35779" s="82"/>
      <c r="M35779" s="85"/>
    </row>
    <row r="35780" spans="9:13" x14ac:dyDescent="0.3">
      <c r="I35780" s="82"/>
      <c r="M35780" s="85"/>
    </row>
    <row r="35781" spans="9:13" x14ac:dyDescent="0.3">
      <c r="I35781" s="82"/>
      <c r="M35781" s="85"/>
    </row>
    <row r="35782" spans="9:13" x14ac:dyDescent="0.3">
      <c r="I35782" s="82"/>
      <c r="M35782" s="85"/>
    </row>
    <row r="35783" spans="9:13" x14ac:dyDescent="0.3">
      <c r="I35783" s="82"/>
      <c r="M35783" s="85"/>
    </row>
    <row r="35784" spans="9:13" x14ac:dyDescent="0.3">
      <c r="I35784" s="82"/>
      <c r="M35784" s="85"/>
    </row>
    <row r="35785" spans="9:13" x14ac:dyDescent="0.3">
      <c r="I35785" s="82"/>
      <c r="M35785" s="85"/>
    </row>
    <row r="35786" spans="9:13" x14ac:dyDescent="0.3">
      <c r="I35786" s="82"/>
      <c r="M35786" s="85"/>
    </row>
    <row r="35787" spans="9:13" x14ac:dyDescent="0.3">
      <c r="I35787" s="82"/>
      <c r="M35787" s="85"/>
    </row>
    <row r="35788" spans="9:13" x14ac:dyDescent="0.3">
      <c r="I35788" s="82"/>
      <c r="M35788" s="85"/>
    </row>
    <row r="35789" spans="9:13" x14ac:dyDescent="0.3">
      <c r="I35789" s="82"/>
      <c r="M35789" s="85"/>
    </row>
    <row r="35790" spans="9:13" x14ac:dyDescent="0.3">
      <c r="I35790" s="82"/>
      <c r="M35790" s="85"/>
    </row>
    <row r="35791" spans="9:13" x14ac:dyDescent="0.3">
      <c r="I35791" s="82"/>
      <c r="M35791" s="85"/>
    </row>
    <row r="35792" spans="9:13" x14ac:dyDescent="0.3">
      <c r="I35792" s="82"/>
      <c r="M35792" s="85"/>
    </row>
    <row r="35793" spans="9:13" x14ac:dyDescent="0.3">
      <c r="I35793" s="82"/>
      <c r="M35793" s="85"/>
    </row>
    <row r="35794" spans="9:13" x14ac:dyDescent="0.3">
      <c r="I35794" s="82"/>
      <c r="M35794" s="85"/>
    </row>
    <row r="35795" spans="9:13" x14ac:dyDescent="0.3">
      <c r="I35795" s="82"/>
      <c r="M35795" s="85"/>
    </row>
    <row r="35796" spans="9:13" x14ac:dyDescent="0.3">
      <c r="I35796" s="82"/>
      <c r="M35796" s="85"/>
    </row>
    <row r="35797" spans="9:13" x14ac:dyDescent="0.3">
      <c r="I35797" s="82"/>
      <c r="M35797" s="85"/>
    </row>
    <row r="35798" spans="9:13" x14ac:dyDescent="0.3">
      <c r="I35798" s="82"/>
      <c r="M35798" s="85"/>
    </row>
    <row r="35799" spans="9:13" x14ac:dyDescent="0.3">
      <c r="I35799" s="82"/>
      <c r="M35799" s="85"/>
    </row>
    <row r="35800" spans="9:13" x14ac:dyDescent="0.3">
      <c r="I35800" s="82"/>
      <c r="M35800" s="85"/>
    </row>
    <row r="35801" spans="9:13" x14ac:dyDescent="0.3">
      <c r="I35801" s="82"/>
      <c r="M35801" s="85"/>
    </row>
    <row r="35802" spans="9:13" x14ac:dyDescent="0.3">
      <c r="I35802" s="82"/>
      <c r="M35802" s="85"/>
    </row>
    <row r="35803" spans="9:13" x14ac:dyDescent="0.3">
      <c r="I35803" s="82"/>
      <c r="M35803" s="85"/>
    </row>
    <row r="35804" spans="9:13" x14ac:dyDescent="0.3">
      <c r="I35804" s="82"/>
      <c r="M35804" s="85"/>
    </row>
    <row r="35805" spans="9:13" x14ac:dyDescent="0.3">
      <c r="I35805" s="82"/>
      <c r="M35805" s="85"/>
    </row>
    <row r="35806" spans="9:13" x14ac:dyDescent="0.3">
      <c r="I35806" s="82"/>
      <c r="M35806" s="85"/>
    </row>
    <row r="35807" spans="9:13" x14ac:dyDescent="0.3">
      <c r="I35807" s="82"/>
      <c r="M35807" s="85"/>
    </row>
    <row r="35808" spans="9:13" x14ac:dyDescent="0.3">
      <c r="I35808" s="82"/>
      <c r="M35808" s="85"/>
    </row>
    <row r="35809" spans="9:13" x14ac:dyDescent="0.3">
      <c r="I35809" s="82"/>
      <c r="M35809" s="85"/>
    </row>
    <row r="35810" spans="9:13" x14ac:dyDescent="0.3">
      <c r="I35810" s="82"/>
      <c r="M35810" s="85"/>
    </row>
    <row r="35811" spans="9:13" x14ac:dyDescent="0.3">
      <c r="I35811" s="82"/>
      <c r="M35811" s="85"/>
    </row>
    <row r="35812" spans="9:13" x14ac:dyDescent="0.3">
      <c r="I35812" s="82"/>
      <c r="M35812" s="85"/>
    </row>
    <row r="35813" spans="9:13" x14ac:dyDescent="0.3">
      <c r="I35813" s="82"/>
      <c r="M35813" s="85"/>
    </row>
    <row r="35814" spans="9:13" x14ac:dyDescent="0.3">
      <c r="I35814" s="82"/>
      <c r="M35814" s="85"/>
    </row>
    <row r="35815" spans="9:13" x14ac:dyDescent="0.3">
      <c r="I35815" s="82"/>
      <c r="M35815" s="85"/>
    </row>
    <row r="35816" spans="9:13" x14ac:dyDescent="0.3">
      <c r="I35816" s="82"/>
      <c r="M35816" s="85"/>
    </row>
    <row r="35817" spans="9:13" x14ac:dyDescent="0.3">
      <c r="I35817" s="82"/>
      <c r="M35817" s="85"/>
    </row>
    <row r="35818" spans="9:13" x14ac:dyDescent="0.3">
      <c r="I35818" s="82"/>
      <c r="M35818" s="85"/>
    </row>
    <row r="35819" spans="9:13" x14ac:dyDescent="0.3">
      <c r="I35819" s="82"/>
      <c r="M35819" s="85"/>
    </row>
    <row r="35820" spans="9:13" x14ac:dyDescent="0.3">
      <c r="I35820" s="82"/>
      <c r="M35820" s="85"/>
    </row>
    <row r="35821" spans="9:13" x14ac:dyDescent="0.3">
      <c r="I35821" s="82"/>
      <c r="M35821" s="85"/>
    </row>
    <row r="35822" spans="9:13" x14ac:dyDescent="0.3">
      <c r="I35822" s="82"/>
      <c r="M35822" s="85"/>
    </row>
    <row r="35823" spans="9:13" x14ac:dyDescent="0.3">
      <c r="I35823" s="82"/>
      <c r="M35823" s="85"/>
    </row>
    <row r="35824" spans="9:13" x14ac:dyDescent="0.3">
      <c r="I35824" s="82"/>
      <c r="M35824" s="85"/>
    </row>
    <row r="35825" spans="9:13" x14ac:dyDescent="0.3">
      <c r="I35825" s="82"/>
      <c r="M35825" s="85"/>
    </row>
    <row r="35826" spans="9:13" x14ac:dyDescent="0.3">
      <c r="I35826" s="82"/>
      <c r="M35826" s="85"/>
    </row>
    <row r="35827" spans="9:13" x14ac:dyDescent="0.3">
      <c r="I35827" s="82"/>
      <c r="M35827" s="85"/>
    </row>
    <row r="35828" spans="9:13" x14ac:dyDescent="0.3">
      <c r="I35828" s="82"/>
      <c r="M35828" s="85"/>
    </row>
    <row r="35829" spans="9:13" x14ac:dyDescent="0.3">
      <c r="I35829" s="82"/>
      <c r="M35829" s="85"/>
    </row>
    <row r="35830" spans="9:13" x14ac:dyDescent="0.3">
      <c r="I35830" s="82"/>
      <c r="M35830" s="85"/>
    </row>
    <row r="35831" spans="9:13" x14ac:dyDescent="0.3">
      <c r="I35831" s="82"/>
      <c r="M35831" s="85"/>
    </row>
    <row r="35832" spans="9:13" x14ac:dyDescent="0.3">
      <c r="I35832" s="82"/>
      <c r="M35832" s="85"/>
    </row>
    <row r="35833" spans="9:13" x14ac:dyDescent="0.3">
      <c r="I35833" s="82"/>
      <c r="M35833" s="85"/>
    </row>
    <row r="35834" spans="9:13" x14ac:dyDescent="0.3">
      <c r="I35834" s="82"/>
      <c r="M35834" s="85"/>
    </row>
    <row r="35835" spans="9:13" x14ac:dyDescent="0.3">
      <c r="I35835" s="82"/>
      <c r="M35835" s="85"/>
    </row>
    <row r="35836" spans="9:13" x14ac:dyDescent="0.3">
      <c r="I35836" s="82"/>
      <c r="M35836" s="85"/>
    </row>
    <row r="35837" spans="9:13" x14ac:dyDescent="0.3">
      <c r="I35837" s="82"/>
      <c r="M35837" s="85"/>
    </row>
    <row r="35838" spans="9:13" x14ac:dyDescent="0.3">
      <c r="I35838" s="82"/>
      <c r="M35838" s="85"/>
    </row>
    <row r="35839" spans="9:13" x14ac:dyDescent="0.3">
      <c r="I35839" s="82"/>
      <c r="M35839" s="85"/>
    </row>
    <row r="35840" spans="9:13" x14ac:dyDescent="0.3">
      <c r="I35840" s="82"/>
      <c r="M35840" s="85"/>
    </row>
    <row r="35841" spans="9:13" x14ac:dyDescent="0.3">
      <c r="I35841" s="82"/>
      <c r="M35841" s="85"/>
    </row>
    <row r="35842" spans="9:13" x14ac:dyDescent="0.3">
      <c r="I35842" s="82"/>
      <c r="M35842" s="85"/>
    </row>
    <row r="35843" spans="9:13" x14ac:dyDescent="0.3">
      <c r="I35843" s="82"/>
      <c r="M35843" s="85"/>
    </row>
    <row r="35844" spans="9:13" x14ac:dyDescent="0.3">
      <c r="I35844" s="82"/>
      <c r="M35844" s="85"/>
    </row>
    <row r="35845" spans="9:13" x14ac:dyDescent="0.3">
      <c r="I35845" s="82"/>
      <c r="M35845" s="85"/>
    </row>
    <row r="35846" spans="9:13" x14ac:dyDescent="0.3">
      <c r="I35846" s="82"/>
      <c r="M35846" s="85"/>
    </row>
    <row r="35847" spans="9:13" x14ac:dyDescent="0.3">
      <c r="I35847" s="82"/>
      <c r="M35847" s="85"/>
    </row>
    <row r="35848" spans="9:13" x14ac:dyDescent="0.3">
      <c r="I35848" s="82"/>
      <c r="M35848" s="85"/>
    </row>
    <row r="35849" spans="9:13" x14ac:dyDescent="0.3">
      <c r="I35849" s="82"/>
      <c r="M35849" s="85"/>
    </row>
    <row r="35850" spans="9:13" x14ac:dyDescent="0.3">
      <c r="I35850" s="82"/>
      <c r="M35850" s="85"/>
    </row>
    <row r="35851" spans="9:13" x14ac:dyDescent="0.3">
      <c r="I35851" s="82"/>
      <c r="M35851" s="85"/>
    </row>
    <row r="35852" spans="9:13" x14ac:dyDescent="0.3">
      <c r="I35852" s="82"/>
      <c r="M35852" s="85"/>
    </row>
    <row r="35853" spans="9:13" x14ac:dyDescent="0.3">
      <c r="I35853" s="82"/>
      <c r="M35853" s="85"/>
    </row>
    <row r="35854" spans="9:13" x14ac:dyDescent="0.3">
      <c r="I35854" s="82"/>
      <c r="M35854" s="85"/>
    </row>
    <row r="35855" spans="9:13" x14ac:dyDescent="0.3">
      <c r="I35855" s="82"/>
      <c r="M35855" s="85"/>
    </row>
    <row r="35856" spans="9:13" x14ac:dyDescent="0.3">
      <c r="I35856" s="82"/>
      <c r="M35856" s="85"/>
    </row>
    <row r="35857" spans="9:13" x14ac:dyDescent="0.3">
      <c r="I35857" s="82"/>
      <c r="M35857" s="85"/>
    </row>
    <row r="35858" spans="9:13" x14ac:dyDescent="0.3">
      <c r="I35858" s="82"/>
      <c r="M35858" s="85"/>
    </row>
    <row r="35859" spans="9:13" x14ac:dyDescent="0.3">
      <c r="I35859" s="82"/>
      <c r="M35859" s="85"/>
    </row>
    <row r="35860" spans="9:13" x14ac:dyDescent="0.3">
      <c r="I35860" s="82"/>
      <c r="M35860" s="85"/>
    </row>
    <row r="35861" spans="9:13" x14ac:dyDescent="0.3">
      <c r="I35861" s="82"/>
      <c r="M35861" s="85"/>
    </row>
    <row r="35862" spans="9:13" x14ac:dyDescent="0.3">
      <c r="I35862" s="82"/>
      <c r="M35862" s="85"/>
    </row>
    <row r="35863" spans="9:13" x14ac:dyDescent="0.3">
      <c r="I35863" s="82"/>
      <c r="M35863" s="85"/>
    </row>
    <row r="35864" spans="9:13" x14ac:dyDescent="0.3">
      <c r="I35864" s="82"/>
      <c r="M35864" s="85"/>
    </row>
    <row r="35865" spans="9:13" x14ac:dyDescent="0.3">
      <c r="I35865" s="82"/>
      <c r="M35865" s="85"/>
    </row>
    <row r="35866" spans="9:13" x14ac:dyDescent="0.3">
      <c r="I35866" s="82"/>
      <c r="M35866" s="85"/>
    </row>
    <row r="35867" spans="9:13" x14ac:dyDescent="0.3">
      <c r="I35867" s="82"/>
      <c r="M35867" s="85"/>
    </row>
    <row r="35868" spans="9:13" x14ac:dyDescent="0.3">
      <c r="I35868" s="82"/>
      <c r="M35868" s="85"/>
    </row>
    <row r="35869" spans="9:13" x14ac:dyDescent="0.3">
      <c r="I35869" s="82"/>
      <c r="M35869" s="85"/>
    </row>
    <row r="35870" spans="9:13" x14ac:dyDescent="0.3">
      <c r="I35870" s="82"/>
      <c r="M35870" s="85"/>
    </row>
    <row r="35871" spans="9:13" x14ac:dyDescent="0.3">
      <c r="I35871" s="82"/>
      <c r="M35871" s="85"/>
    </row>
    <row r="35872" spans="9:13" x14ac:dyDescent="0.3">
      <c r="I35872" s="82"/>
      <c r="M35872" s="85"/>
    </row>
    <row r="35873" spans="9:13" x14ac:dyDescent="0.3">
      <c r="I35873" s="82"/>
      <c r="M35873" s="85"/>
    </row>
    <row r="35874" spans="9:13" x14ac:dyDescent="0.3">
      <c r="I35874" s="82"/>
      <c r="M35874" s="85"/>
    </row>
    <row r="35875" spans="9:13" x14ac:dyDescent="0.3">
      <c r="I35875" s="82"/>
      <c r="M35875" s="85"/>
    </row>
    <row r="35876" spans="9:13" x14ac:dyDescent="0.3">
      <c r="I35876" s="82"/>
      <c r="M35876" s="85"/>
    </row>
    <row r="35877" spans="9:13" x14ac:dyDescent="0.3">
      <c r="I35877" s="82"/>
      <c r="M35877" s="85"/>
    </row>
    <row r="35878" spans="9:13" x14ac:dyDescent="0.3">
      <c r="I35878" s="82"/>
      <c r="M35878" s="85"/>
    </row>
    <row r="35879" spans="9:13" x14ac:dyDescent="0.3">
      <c r="I35879" s="82"/>
      <c r="M35879" s="85"/>
    </row>
    <row r="35880" spans="9:13" x14ac:dyDescent="0.3">
      <c r="I35880" s="82"/>
      <c r="M35880" s="85"/>
    </row>
    <row r="35881" spans="9:13" x14ac:dyDescent="0.3">
      <c r="I35881" s="82"/>
      <c r="M35881" s="85"/>
    </row>
    <row r="35882" spans="9:13" x14ac:dyDescent="0.3">
      <c r="I35882" s="82"/>
      <c r="M35882" s="85"/>
    </row>
    <row r="35883" spans="9:13" x14ac:dyDescent="0.3">
      <c r="I35883" s="82"/>
      <c r="M35883" s="85"/>
    </row>
    <row r="35884" spans="9:13" x14ac:dyDescent="0.3">
      <c r="I35884" s="82"/>
      <c r="M35884" s="85"/>
    </row>
    <row r="35885" spans="9:13" x14ac:dyDescent="0.3">
      <c r="I35885" s="82"/>
      <c r="M35885" s="85"/>
    </row>
    <row r="35886" spans="9:13" x14ac:dyDescent="0.3">
      <c r="I35886" s="82"/>
      <c r="M35886" s="85"/>
    </row>
    <row r="35887" spans="9:13" x14ac:dyDescent="0.3">
      <c r="I35887" s="82"/>
      <c r="M35887" s="85"/>
    </row>
    <row r="35888" spans="9:13" x14ac:dyDescent="0.3">
      <c r="I35888" s="82"/>
      <c r="M35888" s="85"/>
    </row>
    <row r="35889" spans="9:13" x14ac:dyDescent="0.3">
      <c r="I35889" s="82"/>
      <c r="M35889" s="85"/>
    </row>
    <row r="35890" spans="9:13" x14ac:dyDescent="0.3">
      <c r="I35890" s="82"/>
      <c r="M35890" s="85"/>
    </row>
    <row r="35891" spans="9:13" x14ac:dyDescent="0.3">
      <c r="I35891" s="82"/>
      <c r="M35891" s="85"/>
    </row>
    <row r="35892" spans="9:13" x14ac:dyDescent="0.3">
      <c r="I35892" s="82"/>
      <c r="M35892" s="85"/>
    </row>
    <row r="35893" spans="9:13" x14ac:dyDescent="0.3">
      <c r="I35893" s="82"/>
      <c r="M35893" s="85"/>
    </row>
    <row r="35894" spans="9:13" x14ac:dyDescent="0.3">
      <c r="I35894" s="82"/>
      <c r="M35894" s="85"/>
    </row>
    <row r="35895" spans="9:13" x14ac:dyDescent="0.3">
      <c r="I35895" s="82"/>
      <c r="M35895" s="85"/>
    </row>
    <row r="35896" spans="9:13" x14ac:dyDescent="0.3">
      <c r="I35896" s="82"/>
      <c r="M35896" s="85"/>
    </row>
    <row r="35897" spans="9:13" x14ac:dyDescent="0.3">
      <c r="I35897" s="82"/>
      <c r="M35897" s="85"/>
    </row>
    <row r="35898" spans="9:13" x14ac:dyDescent="0.3">
      <c r="I35898" s="82"/>
      <c r="M35898" s="85"/>
    </row>
    <row r="35899" spans="9:13" x14ac:dyDescent="0.3">
      <c r="I35899" s="82"/>
      <c r="M35899" s="85"/>
    </row>
    <row r="35900" spans="9:13" x14ac:dyDescent="0.3">
      <c r="I35900" s="82"/>
      <c r="M35900" s="85"/>
    </row>
    <row r="35901" spans="9:13" x14ac:dyDescent="0.3">
      <c r="I35901" s="82"/>
      <c r="M35901" s="85"/>
    </row>
    <row r="35902" spans="9:13" x14ac:dyDescent="0.3">
      <c r="I35902" s="82"/>
      <c r="M35902" s="85"/>
    </row>
    <row r="35903" spans="9:13" x14ac:dyDescent="0.3">
      <c r="I35903" s="82"/>
      <c r="M35903" s="85"/>
    </row>
    <row r="35904" spans="9:13" x14ac:dyDescent="0.3">
      <c r="I35904" s="82"/>
      <c r="M35904" s="85"/>
    </row>
    <row r="35905" spans="9:13" x14ac:dyDescent="0.3">
      <c r="I35905" s="82"/>
      <c r="M35905" s="85"/>
    </row>
    <row r="35906" spans="9:13" x14ac:dyDescent="0.3">
      <c r="I35906" s="82"/>
      <c r="M35906" s="85"/>
    </row>
    <row r="35907" spans="9:13" x14ac:dyDescent="0.3">
      <c r="I35907" s="82"/>
      <c r="M35907" s="85"/>
    </row>
    <row r="35908" spans="9:13" x14ac:dyDescent="0.3">
      <c r="I35908" s="82"/>
      <c r="M35908" s="85"/>
    </row>
    <row r="35909" spans="9:13" x14ac:dyDescent="0.3">
      <c r="I35909" s="82"/>
      <c r="M35909" s="85"/>
    </row>
    <row r="35910" spans="9:13" x14ac:dyDescent="0.3">
      <c r="I35910" s="82"/>
      <c r="M35910" s="85"/>
    </row>
    <row r="35911" spans="9:13" x14ac:dyDescent="0.3">
      <c r="I35911" s="82"/>
      <c r="M35911" s="85"/>
    </row>
    <row r="35912" spans="9:13" x14ac:dyDescent="0.3">
      <c r="I35912" s="82"/>
      <c r="M35912" s="85"/>
    </row>
    <row r="35913" spans="9:13" x14ac:dyDescent="0.3">
      <c r="I35913" s="82"/>
      <c r="M35913" s="85"/>
    </row>
    <row r="35914" spans="9:13" x14ac:dyDescent="0.3">
      <c r="I35914" s="82"/>
      <c r="M35914" s="85"/>
    </row>
    <row r="35915" spans="9:13" x14ac:dyDescent="0.3">
      <c r="I35915" s="82"/>
      <c r="M35915" s="85"/>
    </row>
    <row r="35916" spans="9:13" x14ac:dyDescent="0.3">
      <c r="I35916" s="82"/>
      <c r="M35916" s="85"/>
    </row>
    <row r="35917" spans="9:13" x14ac:dyDescent="0.3">
      <c r="I35917" s="82"/>
      <c r="M35917" s="85"/>
    </row>
    <row r="35918" spans="9:13" x14ac:dyDescent="0.3">
      <c r="I35918" s="82"/>
      <c r="M35918" s="85"/>
    </row>
    <row r="35919" spans="9:13" x14ac:dyDescent="0.3">
      <c r="I35919" s="82"/>
      <c r="M35919" s="85"/>
    </row>
    <row r="35920" spans="9:13" x14ac:dyDescent="0.3">
      <c r="I35920" s="82"/>
      <c r="M35920" s="85"/>
    </row>
    <row r="35921" spans="9:13" x14ac:dyDescent="0.3">
      <c r="I35921" s="82"/>
      <c r="M35921" s="85"/>
    </row>
    <row r="35922" spans="9:13" x14ac:dyDescent="0.3">
      <c r="I35922" s="82"/>
      <c r="M35922" s="85"/>
    </row>
    <row r="35923" spans="9:13" x14ac:dyDescent="0.3">
      <c r="I35923" s="82"/>
      <c r="M35923" s="85"/>
    </row>
    <row r="35924" spans="9:13" x14ac:dyDescent="0.3">
      <c r="I35924" s="82"/>
      <c r="M35924" s="85"/>
    </row>
    <row r="35925" spans="9:13" x14ac:dyDescent="0.3">
      <c r="I35925" s="82"/>
      <c r="M35925" s="85"/>
    </row>
    <row r="35926" spans="9:13" x14ac:dyDescent="0.3">
      <c r="I35926" s="82"/>
      <c r="M35926" s="85"/>
    </row>
    <row r="35927" spans="9:13" x14ac:dyDescent="0.3">
      <c r="I35927" s="82"/>
      <c r="M35927" s="85"/>
    </row>
    <row r="35928" spans="9:13" x14ac:dyDescent="0.3">
      <c r="I35928" s="82"/>
      <c r="M35928" s="85"/>
    </row>
    <row r="35929" spans="9:13" x14ac:dyDescent="0.3">
      <c r="I35929" s="82"/>
      <c r="M35929" s="85"/>
    </row>
    <row r="35930" spans="9:13" x14ac:dyDescent="0.3">
      <c r="I35930" s="82"/>
      <c r="M35930" s="85"/>
    </row>
    <row r="35931" spans="9:13" x14ac:dyDescent="0.3">
      <c r="I35931" s="82"/>
      <c r="M35931" s="85"/>
    </row>
    <row r="35932" spans="9:13" x14ac:dyDescent="0.3">
      <c r="I35932" s="82"/>
      <c r="M35932" s="85"/>
    </row>
    <row r="35933" spans="9:13" x14ac:dyDescent="0.3">
      <c r="I35933" s="82"/>
      <c r="M35933" s="85"/>
    </row>
    <row r="35934" spans="9:13" x14ac:dyDescent="0.3">
      <c r="I35934" s="82"/>
      <c r="M35934" s="85"/>
    </row>
    <row r="35935" spans="9:13" x14ac:dyDescent="0.3">
      <c r="I35935" s="82"/>
      <c r="M35935" s="85"/>
    </row>
    <row r="35936" spans="9:13" x14ac:dyDescent="0.3">
      <c r="I35936" s="82"/>
      <c r="M35936" s="85"/>
    </row>
    <row r="35937" spans="9:13" x14ac:dyDescent="0.3">
      <c r="I35937" s="82"/>
      <c r="M35937" s="85"/>
    </row>
    <row r="35938" spans="9:13" x14ac:dyDescent="0.3">
      <c r="I35938" s="82"/>
      <c r="M35938" s="85"/>
    </row>
    <row r="35939" spans="9:13" x14ac:dyDescent="0.3">
      <c r="I35939" s="82"/>
      <c r="M35939" s="85"/>
    </row>
    <row r="35940" spans="9:13" x14ac:dyDescent="0.3">
      <c r="I35940" s="82"/>
      <c r="M35940" s="85"/>
    </row>
    <row r="35941" spans="9:13" x14ac:dyDescent="0.3">
      <c r="I35941" s="82"/>
      <c r="M35941" s="85"/>
    </row>
    <row r="35942" spans="9:13" x14ac:dyDescent="0.3">
      <c r="I35942" s="82"/>
      <c r="M35942" s="85"/>
    </row>
    <row r="35943" spans="9:13" x14ac:dyDescent="0.3">
      <c r="I35943" s="82"/>
      <c r="M35943" s="85"/>
    </row>
    <row r="35944" spans="9:13" x14ac:dyDescent="0.3">
      <c r="I35944" s="82"/>
      <c r="M35944" s="85"/>
    </row>
    <row r="35945" spans="9:13" x14ac:dyDescent="0.3">
      <c r="I35945" s="82"/>
      <c r="M35945" s="85"/>
    </row>
    <row r="35946" spans="9:13" x14ac:dyDescent="0.3">
      <c r="I35946" s="82"/>
      <c r="M35946" s="85"/>
    </row>
    <row r="35947" spans="9:13" x14ac:dyDescent="0.3">
      <c r="I35947" s="82"/>
      <c r="M35947" s="85"/>
    </row>
    <row r="35948" spans="9:13" x14ac:dyDescent="0.3">
      <c r="I35948" s="82"/>
      <c r="M35948" s="85"/>
    </row>
    <row r="35949" spans="9:13" x14ac:dyDescent="0.3">
      <c r="I35949" s="82"/>
      <c r="M35949" s="85"/>
    </row>
    <row r="35950" spans="9:13" x14ac:dyDescent="0.3">
      <c r="I35950" s="82"/>
      <c r="M35950" s="85"/>
    </row>
    <row r="35951" spans="9:13" x14ac:dyDescent="0.3">
      <c r="I35951" s="82"/>
      <c r="M35951" s="85"/>
    </row>
    <row r="35952" spans="9:13" x14ac:dyDescent="0.3">
      <c r="I35952" s="82"/>
      <c r="M35952" s="85"/>
    </row>
    <row r="35953" spans="9:13" x14ac:dyDescent="0.3">
      <c r="I35953" s="82"/>
      <c r="M35953" s="85"/>
    </row>
    <row r="35954" spans="9:13" x14ac:dyDescent="0.3">
      <c r="I35954" s="82"/>
      <c r="M35954" s="85"/>
    </row>
    <row r="35955" spans="9:13" x14ac:dyDescent="0.3">
      <c r="I35955" s="82"/>
      <c r="M35955" s="85"/>
    </row>
    <row r="35956" spans="9:13" x14ac:dyDescent="0.3">
      <c r="I35956" s="82"/>
      <c r="M35956" s="85"/>
    </row>
    <row r="35957" spans="9:13" x14ac:dyDescent="0.3">
      <c r="I35957" s="82"/>
      <c r="M35957" s="85"/>
    </row>
    <row r="35958" spans="9:13" x14ac:dyDescent="0.3">
      <c r="I35958" s="82"/>
      <c r="M35958" s="85"/>
    </row>
    <row r="35959" spans="9:13" x14ac:dyDescent="0.3">
      <c r="I35959" s="82"/>
      <c r="M35959" s="85"/>
    </row>
    <row r="35960" spans="9:13" x14ac:dyDescent="0.3">
      <c r="I35960" s="82"/>
      <c r="M35960" s="85"/>
    </row>
    <row r="35961" spans="9:13" x14ac:dyDescent="0.3">
      <c r="I35961" s="82"/>
      <c r="M35961" s="85"/>
    </row>
    <row r="35962" spans="9:13" x14ac:dyDescent="0.3">
      <c r="I35962" s="82"/>
      <c r="M35962" s="85"/>
    </row>
    <row r="35963" spans="9:13" x14ac:dyDescent="0.3">
      <c r="I35963" s="82"/>
      <c r="M35963" s="85"/>
    </row>
    <row r="35964" spans="9:13" x14ac:dyDescent="0.3">
      <c r="I35964" s="82"/>
      <c r="M35964" s="85"/>
    </row>
    <row r="35965" spans="9:13" x14ac:dyDescent="0.3">
      <c r="I35965" s="82"/>
      <c r="M35965" s="85"/>
    </row>
    <row r="35966" spans="9:13" x14ac:dyDescent="0.3">
      <c r="I35966" s="82"/>
      <c r="M35966" s="85"/>
    </row>
    <row r="35967" spans="9:13" x14ac:dyDescent="0.3">
      <c r="I35967" s="82"/>
      <c r="M35967" s="85"/>
    </row>
    <row r="35968" spans="9:13" x14ac:dyDescent="0.3">
      <c r="I35968" s="82"/>
      <c r="M35968" s="85"/>
    </row>
    <row r="35969" spans="9:13" x14ac:dyDescent="0.3">
      <c r="I35969" s="82"/>
      <c r="M35969" s="85"/>
    </row>
    <row r="35970" spans="9:13" x14ac:dyDescent="0.3">
      <c r="I35970" s="82"/>
      <c r="M35970" s="85"/>
    </row>
    <row r="35971" spans="9:13" x14ac:dyDescent="0.3">
      <c r="I35971" s="82"/>
      <c r="M35971" s="85"/>
    </row>
    <row r="35972" spans="9:13" x14ac:dyDescent="0.3">
      <c r="I35972" s="82"/>
      <c r="M35972" s="85"/>
    </row>
    <row r="35973" spans="9:13" x14ac:dyDescent="0.3">
      <c r="I35973" s="82"/>
      <c r="M35973" s="85"/>
    </row>
    <row r="35974" spans="9:13" x14ac:dyDescent="0.3">
      <c r="I35974" s="82"/>
      <c r="M35974" s="85"/>
    </row>
    <row r="35975" spans="9:13" x14ac:dyDescent="0.3">
      <c r="I35975" s="82"/>
      <c r="M35975" s="85"/>
    </row>
    <row r="35976" spans="9:13" x14ac:dyDescent="0.3">
      <c r="I35976" s="82"/>
      <c r="M35976" s="85"/>
    </row>
    <row r="35977" spans="9:13" x14ac:dyDescent="0.3">
      <c r="I35977" s="82"/>
      <c r="M35977" s="85"/>
    </row>
    <row r="35978" spans="9:13" x14ac:dyDescent="0.3">
      <c r="I35978" s="82"/>
      <c r="M35978" s="85"/>
    </row>
    <row r="35979" spans="9:13" x14ac:dyDescent="0.3">
      <c r="I35979" s="82"/>
      <c r="M35979" s="85"/>
    </row>
    <row r="35980" spans="9:13" x14ac:dyDescent="0.3">
      <c r="I35980" s="82"/>
      <c r="M35980" s="85"/>
    </row>
    <row r="35981" spans="9:13" x14ac:dyDescent="0.3">
      <c r="I35981" s="82"/>
      <c r="M35981" s="85"/>
    </row>
    <row r="35982" spans="9:13" x14ac:dyDescent="0.3">
      <c r="I35982" s="82"/>
      <c r="M35982" s="85"/>
    </row>
    <row r="35983" spans="9:13" x14ac:dyDescent="0.3">
      <c r="I35983" s="82"/>
      <c r="M35983" s="85"/>
    </row>
    <row r="35984" spans="9:13" x14ac:dyDescent="0.3">
      <c r="I35984" s="82"/>
      <c r="M35984" s="85"/>
    </row>
    <row r="35985" spans="9:13" x14ac:dyDescent="0.3">
      <c r="I35985" s="82"/>
      <c r="M35985" s="85"/>
    </row>
    <row r="35986" spans="9:13" x14ac:dyDescent="0.3">
      <c r="I35986" s="82"/>
      <c r="M35986" s="85"/>
    </row>
    <row r="35987" spans="9:13" x14ac:dyDescent="0.3">
      <c r="I35987" s="82"/>
      <c r="M35987" s="85"/>
    </row>
    <row r="35988" spans="9:13" x14ac:dyDescent="0.3">
      <c r="I35988" s="82"/>
      <c r="M35988" s="85"/>
    </row>
    <row r="35989" spans="9:13" x14ac:dyDescent="0.3">
      <c r="I35989" s="82"/>
      <c r="M35989" s="85"/>
    </row>
    <row r="35990" spans="9:13" x14ac:dyDescent="0.3">
      <c r="I35990" s="82"/>
      <c r="M35990" s="85"/>
    </row>
    <row r="35991" spans="9:13" x14ac:dyDescent="0.3">
      <c r="I35991" s="82"/>
      <c r="M35991" s="85"/>
    </row>
    <row r="35992" spans="9:13" x14ac:dyDescent="0.3">
      <c r="I35992" s="82"/>
      <c r="M35992" s="85"/>
    </row>
    <row r="35993" spans="9:13" x14ac:dyDescent="0.3">
      <c r="I35993" s="82"/>
      <c r="M35993" s="85"/>
    </row>
    <row r="35994" spans="9:13" x14ac:dyDescent="0.3">
      <c r="I35994" s="82"/>
      <c r="M35994" s="85"/>
    </row>
    <row r="35995" spans="9:13" x14ac:dyDescent="0.3">
      <c r="I35995" s="82"/>
      <c r="M35995" s="85"/>
    </row>
    <row r="35996" spans="9:13" x14ac:dyDescent="0.3">
      <c r="I35996" s="82"/>
      <c r="M35996" s="85"/>
    </row>
    <row r="35997" spans="9:13" x14ac:dyDescent="0.3">
      <c r="I35997" s="82"/>
      <c r="M35997" s="85"/>
    </row>
    <row r="35998" spans="9:13" x14ac:dyDescent="0.3">
      <c r="I35998" s="82"/>
      <c r="M35998" s="85"/>
    </row>
    <row r="35999" spans="9:13" x14ac:dyDescent="0.3">
      <c r="I35999" s="82"/>
      <c r="M35999" s="85"/>
    </row>
    <row r="36000" spans="9:13" x14ac:dyDescent="0.3">
      <c r="I36000" s="82"/>
      <c r="M36000" s="85"/>
    </row>
    <row r="36001" spans="9:13" x14ac:dyDescent="0.3">
      <c r="I36001" s="82"/>
      <c r="M36001" s="85"/>
    </row>
    <row r="36002" spans="9:13" x14ac:dyDescent="0.3">
      <c r="I36002" s="82"/>
      <c r="M36002" s="85"/>
    </row>
    <row r="36003" spans="9:13" x14ac:dyDescent="0.3">
      <c r="I36003" s="82"/>
      <c r="M36003" s="85"/>
    </row>
    <row r="36004" spans="9:13" x14ac:dyDescent="0.3">
      <c r="I36004" s="82"/>
      <c r="M36004" s="85"/>
    </row>
    <row r="36005" spans="9:13" x14ac:dyDescent="0.3">
      <c r="I36005" s="82"/>
      <c r="M36005" s="85"/>
    </row>
    <row r="36006" spans="9:13" x14ac:dyDescent="0.3">
      <c r="I36006" s="82"/>
      <c r="M36006" s="85"/>
    </row>
    <row r="36007" spans="9:13" x14ac:dyDescent="0.3">
      <c r="I36007" s="82"/>
      <c r="M36007" s="85"/>
    </row>
    <row r="36008" spans="9:13" x14ac:dyDescent="0.3">
      <c r="I36008" s="82"/>
      <c r="M36008" s="85"/>
    </row>
    <row r="36009" spans="9:13" x14ac:dyDescent="0.3">
      <c r="I36009" s="82"/>
      <c r="M36009" s="85"/>
    </row>
    <row r="36010" spans="9:13" x14ac:dyDescent="0.3">
      <c r="I36010" s="82"/>
      <c r="M36010" s="85"/>
    </row>
    <row r="36011" spans="9:13" x14ac:dyDescent="0.3">
      <c r="I36011" s="82"/>
      <c r="M36011" s="85"/>
    </row>
    <row r="36012" spans="9:13" x14ac:dyDescent="0.3">
      <c r="I36012" s="82"/>
      <c r="M36012" s="85"/>
    </row>
    <row r="36013" spans="9:13" x14ac:dyDescent="0.3">
      <c r="I36013" s="82"/>
      <c r="M36013" s="85"/>
    </row>
    <row r="36014" spans="9:13" x14ac:dyDescent="0.3">
      <c r="I36014" s="82"/>
      <c r="M36014" s="85"/>
    </row>
    <row r="36015" spans="9:13" x14ac:dyDescent="0.3">
      <c r="I36015" s="82"/>
      <c r="M36015" s="85"/>
    </row>
    <row r="36016" spans="9:13" x14ac:dyDescent="0.3">
      <c r="I36016" s="82"/>
      <c r="M36016" s="85"/>
    </row>
    <row r="36017" spans="9:13" x14ac:dyDescent="0.3">
      <c r="I36017" s="82"/>
      <c r="M36017" s="85"/>
    </row>
    <row r="36018" spans="9:13" x14ac:dyDescent="0.3">
      <c r="I36018" s="82"/>
      <c r="M36018" s="85"/>
    </row>
    <row r="36019" spans="9:13" x14ac:dyDescent="0.3">
      <c r="I36019" s="82"/>
      <c r="M36019" s="85"/>
    </row>
    <row r="36020" spans="9:13" x14ac:dyDescent="0.3">
      <c r="I36020" s="82"/>
      <c r="M36020" s="85"/>
    </row>
    <row r="36021" spans="9:13" x14ac:dyDescent="0.3">
      <c r="I36021" s="82"/>
      <c r="M36021" s="85"/>
    </row>
    <row r="36022" spans="9:13" x14ac:dyDescent="0.3">
      <c r="I36022" s="82"/>
      <c r="M36022" s="85"/>
    </row>
    <row r="36023" spans="9:13" x14ac:dyDescent="0.3">
      <c r="I36023" s="82"/>
      <c r="M36023" s="85"/>
    </row>
    <row r="36024" spans="9:13" x14ac:dyDescent="0.3">
      <c r="I36024" s="82"/>
      <c r="M36024" s="85"/>
    </row>
    <row r="36025" spans="9:13" x14ac:dyDescent="0.3">
      <c r="I36025" s="82"/>
      <c r="M36025" s="85"/>
    </row>
    <row r="36026" spans="9:13" x14ac:dyDescent="0.3">
      <c r="I36026" s="82"/>
      <c r="M36026" s="85"/>
    </row>
    <row r="36027" spans="9:13" x14ac:dyDescent="0.3">
      <c r="I36027" s="82"/>
      <c r="M36027" s="85"/>
    </row>
    <row r="36028" spans="9:13" x14ac:dyDescent="0.3">
      <c r="I36028" s="82"/>
      <c r="M36028" s="85"/>
    </row>
    <row r="36029" spans="9:13" x14ac:dyDescent="0.3">
      <c r="I36029" s="82"/>
      <c r="M36029" s="85"/>
    </row>
    <row r="36030" spans="9:13" x14ac:dyDescent="0.3">
      <c r="I36030" s="82"/>
      <c r="M36030" s="85"/>
    </row>
    <row r="36031" spans="9:13" x14ac:dyDescent="0.3">
      <c r="I36031" s="82"/>
      <c r="M36031" s="85"/>
    </row>
    <row r="36032" spans="9:13" x14ac:dyDescent="0.3">
      <c r="I36032" s="82"/>
      <c r="M36032" s="85"/>
    </row>
    <row r="36033" spans="9:13" x14ac:dyDescent="0.3">
      <c r="I36033" s="82"/>
      <c r="M36033" s="85"/>
    </row>
    <row r="36034" spans="9:13" x14ac:dyDescent="0.3">
      <c r="I36034" s="82"/>
      <c r="M36034" s="85"/>
    </row>
    <row r="36035" spans="9:13" x14ac:dyDescent="0.3">
      <c r="I36035" s="82"/>
      <c r="M36035" s="85"/>
    </row>
    <row r="36036" spans="9:13" x14ac:dyDescent="0.3">
      <c r="I36036" s="82"/>
      <c r="M36036" s="85"/>
    </row>
    <row r="36037" spans="9:13" x14ac:dyDescent="0.3">
      <c r="I36037" s="82"/>
      <c r="M36037" s="85"/>
    </row>
    <row r="36038" spans="9:13" x14ac:dyDescent="0.3">
      <c r="I36038" s="82"/>
      <c r="M36038" s="85"/>
    </row>
    <row r="36039" spans="9:13" x14ac:dyDescent="0.3">
      <c r="I36039" s="82"/>
      <c r="M36039" s="85"/>
    </row>
    <row r="36040" spans="9:13" x14ac:dyDescent="0.3">
      <c r="I36040" s="82"/>
      <c r="M36040" s="85"/>
    </row>
    <row r="36041" spans="9:13" x14ac:dyDescent="0.3">
      <c r="I36041" s="82"/>
      <c r="M36041" s="85"/>
    </row>
    <row r="36042" spans="9:13" x14ac:dyDescent="0.3">
      <c r="I36042" s="82"/>
      <c r="M36042" s="85"/>
    </row>
    <row r="36043" spans="9:13" x14ac:dyDescent="0.3">
      <c r="I36043" s="82"/>
      <c r="M36043" s="85"/>
    </row>
    <row r="36044" spans="9:13" x14ac:dyDescent="0.3">
      <c r="I36044" s="82"/>
      <c r="M36044" s="85"/>
    </row>
    <row r="36045" spans="9:13" x14ac:dyDescent="0.3">
      <c r="I36045" s="82"/>
      <c r="M36045" s="85"/>
    </row>
    <row r="36046" spans="9:13" x14ac:dyDescent="0.3">
      <c r="I36046" s="82"/>
      <c r="M36046" s="85"/>
    </row>
    <row r="36047" spans="9:13" x14ac:dyDescent="0.3">
      <c r="I36047" s="82"/>
      <c r="M36047" s="85"/>
    </row>
    <row r="36048" spans="9:13" x14ac:dyDescent="0.3">
      <c r="I36048" s="82"/>
      <c r="M36048" s="85"/>
    </row>
    <row r="36049" spans="9:13" x14ac:dyDescent="0.3">
      <c r="I36049" s="82"/>
      <c r="M36049" s="85"/>
    </row>
    <row r="36050" spans="9:13" x14ac:dyDescent="0.3">
      <c r="I36050" s="82"/>
      <c r="M36050" s="85"/>
    </row>
    <row r="36051" spans="9:13" x14ac:dyDescent="0.3">
      <c r="I36051" s="82"/>
      <c r="M36051" s="85"/>
    </row>
    <row r="36052" spans="9:13" x14ac:dyDescent="0.3">
      <c r="I36052" s="82"/>
      <c r="M36052" s="85"/>
    </row>
    <row r="36053" spans="9:13" x14ac:dyDescent="0.3">
      <c r="I36053" s="82"/>
      <c r="M36053" s="85"/>
    </row>
    <row r="36054" spans="9:13" x14ac:dyDescent="0.3">
      <c r="I36054" s="82"/>
      <c r="M36054" s="85"/>
    </row>
    <row r="36055" spans="9:13" x14ac:dyDescent="0.3">
      <c r="I36055" s="82"/>
      <c r="M36055" s="85"/>
    </row>
    <row r="36056" spans="9:13" x14ac:dyDescent="0.3">
      <c r="I36056" s="82"/>
      <c r="M36056" s="85"/>
    </row>
    <row r="36057" spans="9:13" x14ac:dyDescent="0.3">
      <c r="I36057" s="82"/>
      <c r="M36057" s="85"/>
    </row>
    <row r="36058" spans="9:13" x14ac:dyDescent="0.3">
      <c r="I36058" s="82"/>
      <c r="M36058" s="85"/>
    </row>
    <row r="36059" spans="9:13" x14ac:dyDescent="0.3">
      <c r="I36059" s="82"/>
      <c r="M36059" s="85"/>
    </row>
    <row r="36060" spans="9:13" x14ac:dyDescent="0.3">
      <c r="I36060" s="82"/>
      <c r="M36060" s="85"/>
    </row>
    <row r="36061" spans="9:13" x14ac:dyDescent="0.3">
      <c r="I36061" s="82"/>
      <c r="M36061" s="85"/>
    </row>
    <row r="36062" spans="9:13" x14ac:dyDescent="0.3">
      <c r="I36062" s="82"/>
      <c r="M36062" s="85"/>
    </row>
    <row r="36063" spans="9:13" x14ac:dyDescent="0.3">
      <c r="I36063" s="82"/>
      <c r="M36063" s="85"/>
    </row>
    <row r="36064" spans="9:13" x14ac:dyDescent="0.3">
      <c r="I36064" s="82"/>
      <c r="M36064" s="85"/>
    </row>
    <row r="36065" spans="9:13" x14ac:dyDescent="0.3">
      <c r="I36065" s="82"/>
      <c r="M36065" s="85"/>
    </row>
    <row r="36066" spans="9:13" x14ac:dyDescent="0.3">
      <c r="I36066" s="82"/>
      <c r="M36066" s="85"/>
    </row>
    <row r="36067" spans="9:13" x14ac:dyDescent="0.3">
      <c r="I36067" s="82"/>
      <c r="M36067" s="85"/>
    </row>
    <row r="36068" spans="9:13" x14ac:dyDescent="0.3">
      <c r="I36068" s="82"/>
      <c r="M36068" s="85"/>
    </row>
    <row r="36069" spans="9:13" x14ac:dyDescent="0.3">
      <c r="I36069" s="82"/>
      <c r="M36069" s="85"/>
    </row>
    <row r="36070" spans="9:13" x14ac:dyDescent="0.3">
      <c r="I36070" s="82"/>
      <c r="M36070" s="85"/>
    </row>
    <row r="36071" spans="9:13" x14ac:dyDescent="0.3">
      <c r="I36071" s="82"/>
      <c r="M36071" s="85"/>
    </row>
    <row r="36072" spans="9:13" x14ac:dyDescent="0.3">
      <c r="I36072" s="82"/>
      <c r="M36072" s="85"/>
    </row>
    <row r="36073" spans="9:13" x14ac:dyDescent="0.3">
      <c r="I36073" s="82"/>
      <c r="M36073" s="85"/>
    </row>
    <row r="36074" spans="9:13" x14ac:dyDescent="0.3">
      <c r="I36074" s="82"/>
      <c r="M36074" s="85"/>
    </row>
    <row r="36075" spans="9:13" x14ac:dyDescent="0.3">
      <c r="I36075" s="82"/>
      <c r="M36075" s="85"/>
    </row>
    <row r="36076" spans="9:13" x14ac:dyDescent="0.3">
      <c r="I36076" s="82"/>
      <c r="M36076" s="85"/>
    </row>
    <row r="36077" spans="9:13" x14ac:dyDescent="0.3">
      <c r="I36077" s="82"/>
      <c r="M36077" s="85"/>
    </row>
    <row r="36078" spans="9:13" x14ac:dyDescent="0.3">
      <c r="I36078" s="82"/>
      <c r="M36078" s="85"/>
    </row>
    <row r="36079" spans="9:13" x14ac:dyDescent="0.3">
      <c r="I36079" s="82"/>
      <c r="M36079" s="85"/>
    </row>
    <row r="36080" spans="9:13" x14ac:dyDescent="0.3">
      <c r="I36080" s="82"/>
      <c r="M36080" s="85"/>
    </row>
    <row r="36081" spans="9:13" x14ac:dyDescent="0.3">
      <c r="I36081" s="82"/>
      <c r="M36081" s="85"/>
    </row>
    <row r="36082" spans="9:13" x14ac:dyDescent="0.3">
      <c r="I36082" s="82"/>
      <c r="M36082" s="85"/>
    </row>
    <row r="36083" spans="9:13" x14ac:dyDescent="0.3">
      <c r="I36083" s="82"/>
      <c r="M36083" s="85"/>
    </row>
    <row r="36084" spans="9:13" x14ac:dyDescent="0.3">
      <c r="I36084" s="82"/>
      <c r="M36084" s="85"/>
    </row>
    <row r="36085" spans="9:13" x14ac:dyDescent="0.3">
      <c r="I36085" s="82"/>
      <c r="M36085" s="85"/>
    </row>
    <row r="36086" spans="9:13" x14ac:dyDescent="0.3">
      <c r="I36086" s="82"/>
      <c r="M36086" s="85"/>
    </row>
    <row r="36087" spans="9:13" x14ac:dyDescent="0.3">
      <c r="I36087" s="82"/>
      <c r="M36087" s="85"/>
    </row>
    <row r="36088" spans="9:13" x14ac:dyDescent="0.3">
      <c r="I36088" s="82"/>
      <c r="M36088" s="85"/>
    </row>
    <row r="36089" spans="9:13" x14ac:dyDescent="0.3">
      <c r="I36089" s="82"/>
      <c r="M36089" s="85"/>
    </row>
    <row r="36090" spans="9:13" x14ac:dyDescent="0.3">
      <c r="I36090" s="82"/>
      <c r="M36090" s="85"/>
    </row>
    <row r="36091" spans="9:13" x14ac:dyDescent="0.3">
      <c r="I36091" s="82"/>
      <c r="M36091" s="85"/>
    </row>
    <row r="36092" spans="9:13" x14ac:dyDescent="0.3">
      <c r="I36092" s="82"/>
      <c r="M36092" s="85"/>
    </row>
    <row r="36093" spans="9:13" x14ac:dyDescent="0.3">
      <c r="I36093" s="82"/>
      <c r="M36093" s="85"/>
    </row>
    <row r="36094" spans="9:13" x14ac:dyDescent="0.3">
      <c r="I36094" s="82"/>
      <c r="M36094" s="85"/>
    </row>
    <row r="36095" spans="9:13" x14ac:dyDescent="0.3">
      <c r="I36095" s="82"/>
      <c r="M36095" s="85"/>
    </row>
    <row r="36096" spans="9:13" x14ac:dyDescent="0.3">
      <c r="I36096" s="82"/>
      <c r="M36096" s="85"/>
    </row>
    <row r="36097" spans="9:13" x14ac:dyDescent="0.3">
      <c r="I36097" s="82"/>
      <c r="M36097" s="85"/>
    </row>
    <row r="36098" spans="9:13" x14ac:dyDescent="0.3">
      <c r="I36098" s="82"/>
      <c r="M36098" s="85"/>
    </row>
    <row r="36099" spans="9:13" x14ac:dyDescent="0.3">
      <c r="I36099" s="82"/>
      <c r="M36099" s="85"/>
    </row>
    <row r="36100" spans="9:13" x14ac:dyDescent="0.3">
      <c r="I36100" s="82"/>
      <c r="M36100" s="85"/>
    </row>
    <row r="36101" spans="9:13" x14ac:dyDescent="0.3">
      <c r="I36101" s="82"/>
      <c r="M36101" s="85"/>
    </row>
    <row r="36102" spans="9:13" x14ac:dyDescent="0.3">
      <c r="I36102" s="82"/>
      <c r="M36102" s="85"/>
    </row>
    <row r="36103" spans="9:13" x14ac:dyDescent="0.3">
      <c r="I36103" s="82"/>
      <c r="M36103" s="85"/>
    </row>
    <row r="36104" spans="9:13" x14ac:dyDescent="0.3">
      <c r="I36104" s="82"/>
      <c r="M36104" s="85"/>
    </row>
    <row r="36105" spans="9:13" x14ac:dyDescent="0.3">
      <c r="I36105" s="82"/>
      <c r="M36105" s="85"/>
    </row>
    <row r="36106" spans="9:13" x14ac:dyDescent="0.3">
      <c r="I36106" s="82"/>
      <c r="M36106" s="85"/>
    </row>
    <row r="36107" spans="9:13" x14ac:dyDescent="0.3">
      <c r="I36107" s="82"/>
      <c r="M36107" s="85"/>
    </row>
    <row r="36108" spans="9:13" x14ac:dyDescent="0.3">
      <c r="I36108" s="82"/>
      <c r="M36108" s="85"/>
    </row>
    <row r="36109" spans="9:13" x14ac:dyDescent="0.3">
      <c r="I36109" s="82"/>
      <c r="M36109" s="85"/>
    </row>
    <row r="36110" spans="9:13" x14ac:dyDescent="0.3">
      <c r="I36110" s="82"/>
      <c r="M36110" s="85"/>
    </row>
    <row r="36111" spans="9:13" x14ac:dyDescent="0.3">
      <c r="I36111" s="82"/>
      <c r="M36111" s="85"/>
    </row>
    <row r="36112" spans="9:13" x14ac:dyDescent="0.3">
      <c r="I36112" s="82"/>
      <c r="M36112" s="85"/>
    </row>
    <row r="36113" spans="9:13" x14ac:dyDescent="0.3">
      <c r="I36113" s="82"/>
      <c r="M36113" s="85"/>
    </row>
    <row r="36114" spans="9:13" x14ac:dyDescent="0.3">
      <c r="I36114" s="82"/>
      <c r="M36114" s="85"/>
    </row>
    <row r="36115" spans="9:13" x14ac:dyDescent="0.3">
      <c r="I36115" s="82"/>
      <c r="M36115" s="85"/>
    </row>
    <row r="36116" spans="9:13" x14ac:dyDescent="0.3">
      <c r="I36116" s="82"/>
      <c r="M36116" s="85"/>
    </row>
    <row r="36117" spans="9:13" x14ac:dyDescent="0.3">
      <c r="I36117" s="82"/>
      <c r="M36117" s="85"/>
    </row>
    <row r="36118" spans="9:13" x14ac:dyDescent="0.3">
      <c r="I36118" s="82"/>
      <c r="M36118" s="85"/>
    </row>
    <row r="36119" spans="9:13" x14ac:dyDescent="0.3">
      <c r="I36119" s="82"/>
      <c r="M36119" s="85"/>
    </row>
    <row r="36120" spans="9:13" x14ac:dyDescent="0.3">
      <c r="I36120" s="82"/>
      <c r="M36120" s="85"/>
    </row>
    <row r="36121" spans="9:13" x14ac:dyDescent="0.3">
      <c r="I36121" s="82"/>
      <c r="M36121" s="85"/>
    </row>
    <row r="36122" spans="9:13" x14ac:dyDescent="0.3">
      <c r="I36122" s="82"/>
      <c r="M36122" s="85"/>
    </row>
    <row r="36123" spans="9:13" x14ac:dyDescent="0.3">
      <c r="I36123" s="82"/>
      <c r="M36123" s="85"/>
    </row>
    <row r="36124" spans="9:13" x14ac:dyDescent="0.3">
      <c r="I36124" s="82"/>
      <c r="M36124" s="85"/>
    </row>
    <row r="36125" spans="9:13" x14ac:dyDescent="0.3">
      <c r="I36125" s="82"/>
      <c r="M36125" s="85"/>
    </row>
    <row r="36126" spans="9:13" x14ac:dyDescent="0.3">
      <c r="I36126" s="82"/>
      <c r="M36126" s="85"/>
    </row>
    <row r="36127" spans="9:13" x14ac:dyDescent="0.3">
      <c r="I36127" s="82"/>
      <c r="M36127" s="85"/>
    </row>
    <row r="36128" spans="9:13" x14ac:dyDescent="0.3">
      <c r="I36128" s="82"/>
      <c r="M36128" s="85"/>
    </row>
    <row r="36129" spans="9:13" x14ac:dyDescent="0.3">
      <c r="I36129" s="82"/>
      <c r="M36129" s="85"/>
    </row>
    <row r="36130" spans="9:13" x14ac:dyDescent="0.3">
      <c r="I36130" s="82"/>
      <c r="M36130" s="85"/>
    </row>
    <row r="36131" spans="9:13" x14ac:dyDescent="0.3">
      <c r="I36131" s="82"/>
      <c r="M36131" s="85"/>
    </row>
    <row r="36132" spans="9:13" x14ac:dyDescent="0.3">
      <c r="I36132" s="82"/>
      <c r="M36132" s="85"/>
    </row>
    <row r="36133" spans="9:13" x14ac:dyDescent="0.3">
      <c r="I36133" s="82"/>
      <c r="M36133" s="85"/>
    </row>
    <row r="36134" spans="9:13" x14ac:dyDescent="0.3">
      <c r="I36134" s="82"/>
      <c r="M36134" s="85"/>
    </row>
    <row r="36135" spans="9:13" x14ac:dyDescent="0.3">
      <c r="I36135" s="82"/>
      <c r="M36135" s="85"/>
    </row>
    <row r="36136" spans="9:13" x14ac:dyDescent="0.3">
      <c r="I36136" s="82"/>
      <c r="M36136" s="85"/>
    </row>
    <row r="36137" spans="9:13" x14ac:dyDescent="0.3">
      <c r="I36137" s="82"/>
      <c r="M36137" s="85"/>
    </row>
    <row r="36138" spans="9:13" x14ac:dyDescent="0.3">
      <c r="I36138" s="82"/>
      <c r="M36138" s="85"/>
    </row>
    <row r="36139" spans="9:13" x14ac:dyDescent="0.3">
      <c r="I36139" s="82"/>
      <c r="M36139" s="85"/>
    </row>
    <row r="36140" spans="9:13" x14ac:dyDescent="0.3">
      <c r="I36140" s="82"/>
      <c r="M36140" s="85"/>
    </row>
    <row r="36141" spans="9:13" x14ac:dyDescent="0.3">
      <c r="I36141" s="82"/>
      <c r="M36141" s="85"/>
    </row>
    <row r="36142" spans="9:13" x14ac:dyDescent="0.3">
      <c r="I36142" s="82"/>
      <c r="M36142" s="85"/>
    </row>
    <row r="36143" spans="9:13" x14ac:dyDescent="0.3">
      <c r="I36143" s="82"/>
      <c r="M36143" s="85"/>
    </row>
    <row r="36144" spans="9:13" x14ac:dyDescent="0.3">
      <c r="I36144" s="82"/>
      <c r="M36144" s="85"/>
    </row>
    <row r="36145" spans="9:13" x14ac:dyDescent="0.3">
      <c r="I36145" s="82"/>
      <c r="M36145" s="85"/>
    </row>
    <row r="36146" spans="9:13" x14ac:dyDescent="0.3">
      <c r="I36146" s="82"/>
      <c r="M36146" s="85"/>
    </row>
    <row r="36147" spans="9:13" x14ac:dyDescent="0.3">
      <c r="I36147" s="82"/>
      <c r="M36147" s="85"/>
    </row>
    <row r="36148" spans="9:13" x14ac:dyDescent="0.3">
      <c r="I36148" s="82"/>
      <c r="M36148" s="85"/>
    </row>
    <row r="36149" spans="9:13" x14ac:dyDescent="0.3">
      <c r="I36149" s="82"/>
      <c r="M36149" s="85"/>
    </row>
    <row r="36150" spans="9:13" x14ac:dyDescent="0.3">
      <c r="I36150" s="82"/>
      <c r="M36150" s="85"/>
    </row>
    <row r="36151" spans="9:13" x14ac:dyDescent="0.3">
      <c r="I36151" s="82"/>
      <c r="M36151" s="85"/>
    </row>
    <row r="36152" spans="9:13" x14ac:dyDescent="0.3">
      <c r="I36152" s="82"/>
      <c r="M36152" s="85"/>
    </row>
    <row r="36153" spans="9:13" x14ac:dyDescent="0.3">
      <c r="I36153" s="82"/>
      <c r="M36153" s="85"/>
    </row>
    <row r="36154" spans="9:13" x14ac:dyDescent="0.3">
      <c r="I36154" s="82"/>
      <c r="M36154" s="85"/>
    </row>
    <row r="36155" spans="9:13" x14ac:dyDescent="0.3">
      <c r="I36155" s="82"/>
      <c r="M36155" s="85"/>
    </row>
    <row r="36156" spans="9:13" x14ac:dyDescent="0.3">
      <c r="I36156" s="82"/>
      <c r="M36156" s="85"/>
    </row>
    <row r="36157" spans="9:13" x14ac:dyDescent="0.3">
      <c r="I36157" s="82"/>
      <c r="M36157" s="85"/>
    </row>
    <row r="36158" spans="9:13" x14ac:dyDescent="0.3">
      <c r="I36158" s="82"/>
      <c r="M36158" s="85"/>
    </row>
    <row r="36159" spans="9:13" x14ac:dyDescent="0.3">
      <c r="I36159" s="82"/>
      <c r="M36159" s="85"/>
    </row>
    <row r="36160" spans="9:13" x14ac:dyDescent="0.3">
      <c r="I36160" s="82"/>
      <c r="M36160" s="85"/>
    </row>
    <row r="36161" spans="9:13" x14ac:dyDescent="0.3">
      <c r="I36161" s="82"/>
      <c r="M36161" s="85"/>
    </row>
    <row r="36162" spans="9:13" x14ac:dyDescent="0.3">
      <c r="I36162" s="82"/>
      <c r="M36162" s="85"/>
    </row>
    <row r="36163" spans="9:13" x14ac:dyDescent="0.3">
      <c r="I36163" s="82"/>
      <c r="M36163" s="85"/>
    </row>
    <row r="36164" spans="9:13" x14ac:dyDescent="0.3">
      <c r="I36164" s="82"/>
      <c r="M36164" s="85"/>
    </row>
    <row r="36165" spans="9:13" x14ac:dyDescent="0.3">
      <c r="I36165" s="82"/>
      <c r="M36165" s="85"/>
    </row>
    <row r="36166" spans="9:13" x14ac:dyDescent="0.3">
      <c r="I36166" s="82"/>
      <c r="M36166" s="85"/>
    </row>
    <row r="36167" spans="9:13" x14ac:dyDescent="0.3">
      <c r="I36167" s="82"/>
      <c r="M36167" s="85"/>
    </row>
    <row r="36168" spans="9:13" x14ac:dyDescent="0.3">
      <c r="I36168" s="82"/>
      <c r="M36168" s="85"/>
    </row>
    <row r="36169" spans="9:13" x14ac:dyDescent="0.3">
      <c r="I36169" s="82"/>
      <c r="M36169" s="85"/>
    </row>
    <row r="36170" spans="9:13" x14ac:dyDescent="0.3">
      <c r="I36170" s="82"/>
      <c r="M36170" s="85"/>
    </row>
    <row r="36171" spans="9:13" x14ac:dyDescent="0.3">
      <c r="I36171" s="82"/>
      <c r="M36171" s="85"/>
    </row>
    <row r="36172" spans="9:13" x14ac:dyDescent="0.3">
      <c r="I36172" s="82"/>
      <c r="M36172" s="85"/>
    </row>
    <row r="36173" spans="9:13" x14ac:dyDescent="0.3">
      <c r="I36173" s="82"/>
      <c r="M36173" s="85"/>
    </row>
    <row r="36174" spans="9:13" x14ac:dyDescent="0.3">
      <c r="I36174" s="82"/>
      <c r="M36174" s="85"/>
    </row>
    <row r="36175" spans="9:13" x14ac:dyDescent="0.3">
      <c r="I36175" s="82"/>
      <c r="M36175" s="85"/>
    </row>
    <row r="36176" spans="9:13" x14ac:dyDescent="0.3">
      <c r="I36176" s="82"/>
      <c r="M36176" s="85"/>
    </row>
    <row r="36177" spans="9:13" x14ac:dyDescent="0.3">
      <c r="I36177" s="82"/>
      <c r="M36177" s="85"/>
    </row>
    <row r="36178" spans="9:13" x14ac:dyDescent="0.3">
      <c r="I36178" s="82"/>
      <c r="M36178" s="85"/>
    </row>
    <row r="36179" spans="9:13" x14ac:dyDescent="0.3">
      <c r="I36179" s="82"/>
      <c r="M36179" s="85"/>
    </row>
    <row r="36180" spans="9:13" x14ac:dyDescent="0.3">
      <c r="I36180" s="82"/>
      <c r="M36180" s="85"/>
    </row>
    <row r="36181" spans="9:13" x14ac:dyDescent="0.3">
      <c r="I36181" s="82"/>
      <c r="M36181" s="85"/>
    </row>
    <row r="36182" spans="9:13" x14ac:dyDescent="0.3">
      <c r="I36182" s="82"/>
      <c r="M36182" s="85"/>
    </row>
    <row r="36183" spans="9:13" x14ac:dyDescent="0.3">
      <c r="I36183" s="82"/>
      <c r="M36183" s="85"/>
    </row>
    <row r="36184" spans="9:13" x14ac:dyDescent="0.3">
      <c r="I36184" s="82"/>
      <c r="M36184" s="85"/>
    </row>
    <row r="36185" spans="9:13" x14ac:dyDescent="0.3">
      <c r="I36185" s="82"/>
      <c r="M36185" s="85"/>
    </row>
    <row r="36186" spans="9:13" x14ac:dyDescent="0.3">
      <c r="I36186" s="82"/>
      <c r="M36186" s="85"/>
    </row>
    <row r="36187" spans="9:13" x14ac:dyDescent="0.3">
      <c r="I36187" s="82"/>
      <c r="M36187" s="85"/>
    </row>
    <row r="36188" spans="9:13" x14ac:dyDescent="0.3">
      <c r="I36188" s="82"/>
      <c r="M36188" s="85"/>
    </row>
    <row r="36189" spans="9:13" x14ac:dyDescent="0.3">
      <c r="I36189" s="82"/>
      <c r="M36189" s="85"/>
    </row>
    <row r="36190" spans="9:13" x14ac:dyDescent="0.3">
      <c r="I36190" s="82"/>
      <c r="M36190" s="85"/>
    </row>
    <row r="36191" spans="9:13" x14ac:dyDescent="0.3">
      <c r="I36191" s="82"/>
      <c r="M36191" s="85"/>
    </row>
    <row r="36192" spans="9:13" x14ac:dyDescent="0.3">
      <c r="I36192" s="82"/>
      <c r="M36192" s="85"/>
    </row>
    <row r="36193" spans="9:13" x14ac:dyDescent="0.3">
      <c r="I36193" s="82"/>
      <c r="M36193" s="85"/>
    </row>
    <row r="36194" spans="9:13" x14ac:dyDescent="0.3">
      <c r="I36194" s="82"/>
      <c r="M36194" s="85"/>
    </row>
    <row r="36195" spans="9:13" x14ac:dyDescent="0.3">
      <c r="I36195" s="82"/>
      <c r="M36195" s="85"/>
    </row>
    <row r="36196" spans="9:13" x14ac:dyDescent="0.3">
      <c r="I36196" s="82"/>
      <c r="M36196" s="85"/>
    </row>
    <row r="36197" spans="9:13" x14ac:dyDescent="0.3">
      <c r="I36197" s="82"/>
      <c r="M36197" s="85"/>
    </row>
    <row r="36198" spans="9:13" x14ac:dyDescent="0.3">
      <c r="I36198" s="82"/>
      <c r="M36198" s="85"/>
    </row>
    <row r="36199" spans="9:13" x14ac:dyDescent="0.3">
      <c r="I36199" s="82"/>
      <c r="M36199" s="85"/>
    </row>
    <row r="36200" spans="9:13" x14ac:dyDescent="0.3">
      <c r="I36200" s="82"/>
      <c r="M36200" s="85"/>
    </row>
    <row r="36201" spans="9:13" x14ac:dyDescent="0.3">
      <c r="I36201" s="82"/>
      <c r="M36201" s="85"/>
    </row>
    <row r="36202" spans="9:13" x14ac:dyDescent="0.3">
      <c r="I36202" s="82"/>
      <c r="M36202" s="85"/>
    </row>
    <row r="36203" spans="9:13" x14ac:dyDescent="0.3">
      <c r="I36203" s="82"/>
      <c r="M36203" s="85"/>
    </row>
    <row r="36204" spans="9:13" x14ac:dyDescent="0.3">
      <c r="I36204" s="82"/>
      <c r="M36204" s="85"/>
    </row>
    <row r="36205" spans="9:13" x14ac:dyDescent="0.3">
      <c r="I36205" s="82"/>
      <c r="M36205" s="85"/>
    </row>
    <row r="36206" spans="9:13" x14ac:dyDescent="0.3">
      <c r="I36206" s="82"/>
      <c r="M36206" s="85"/>
    </row>
    <row r="36207" spans="9:13" x14ac:dyDescent="0.3">
      <c r="I36207" s="82"/>
      <c r="M36207" s="85"/>
    </row>
    <row r="36208" spans="9:13" x14ac:dyDescent="0.3">
      <c r="I36208" s="82"/>
      <c r="M36208" s="85"/>
    </row>
    <row r="36209" spans="9:13" x14ac:dyDescent="0.3">
      <c r="I36209" s="82"/>
      <c r="M36209" s="85"/>
    </row>
    <row r="36210" spans="9:13" x14ac:dyDescent="0.3">
      <c r="I36210" s="82"/>
      <c r="M36210" s="85"/>
    </row>
    <row r="36211" spans="9:13" x14ac:dyDescent="0.3">
      <c r="I36211" s="82"/>
      <c r="M36211" s="85"/>
    </row>
    <row r="36212" spans="9:13" x14ac:dyDescent="0.3">
      <c r="I36212" s="82"/>
      <c r="M36212" s="85"/>
    </row>
    <row r="36213" spans="9:13" x14ac:dyDescent="0.3">
      <c r="I36213" s="82"/>
      <c r="M36213" s="85"/>
    </row>
    <row r="36214" spans="9:13" x14ac:dyDescent="0.3">
      <c r="I36214" s="82"/>
      <c r="M36214" s="85"/>
    </row>
    <row r="36215" spans="9:13" x14ac:dyDescent="0.3">
      <c r="I36215" s="82"/>
      <c r="M36215" s="85"/>
    </row>
    <row r="36216" spans="9:13" x14ac:dyDescent="0.3">
      <c r="I36216" s="82"/>
      <c r="M36216" s="85"/>
    </row>
    <row r="36217" spans="9:13" x14ac:dyDescent="0.3">
      <c r="I36217" s="82"/>
      <c r="M36217" s="85"/>
    </row>
    <row r="36218" spans="9:13" x14ac:dyDescent="0.3">
      <c r="I36218" s="82"/>
      <c r="M36218" s="85"/>
    </row>
    <row r="36219" spans="9:13" x14ac:dyDescent="0.3">
      <c r="I36219" s="82"/>
      <c r="M36219" s="85"/>
    </row>
    <row r="36220" spans="9:13" x14ac:dyDescent="0.3">
      <c r="I36220" s="82"/>
      <c r="M36220" s="85"/>
    </row>
    <row r="36221" spans="9:13" x14ac:dyDescent="0.3">
      <c r="I36221" s="82"/>
      <c r="M36221" s="85"/>
    </row>
    <row r="36222" spans="9:13" x14ac:dyDescent="0.3">
      <c r="I36222" s="82"/>
      <c r="M36222" s="85"/>
    </row>
    <row r="36223" spans="9:13" x14ac:dyDescent="0.3">
      <c r="I36223" s="82"/>
      <c r="M36223" s="85"/>
    </row>
    <row r="36224" spans="9:13" x14ac:dyDescent="0.3">
      <c r="I36224" s="82"/>
      <c r="M36224" s="85"/>
    </row>
    <row r="36225" spans="9:13" x14ac:dyDescent="0.3">
      <c r="I36225" s="82"/>
      <c r="M36225" s="85"/>
    </row>
    <row r="36226" spans="9:13" x14ac:dyDescent="0.3">
      <c r="I36226" s="82"/>
      <c r="M36226" s="85"/>
    </row>
    <row r="36227" spans="9:13" x14ac:dyDescent="0.3">
      <c r="I36227" s="82"/>
      <c r="M36227" s="85"/>
    </row>
    <row r="36228" spans="9:13" x14ac:dyDescent="0.3">
      <c r="I36228" s="82"/>
      <c r="M36228" s="85"/>
    </row>
    <row r="36229" spans="9:13" x14ac:dyDescent="0.3">
      <c r="I36229" s="82"/>
      <c r="M36229" s="85"/>
    </row>
    <row r="36230" spans="9:13" x14ac:dyDescent="0.3">
      <c r="I36230" s="82"/>
      <c r="M36230" s="85"/>
    </row>
    <row r="36231" spans="9:13" x14ac:dyDescent="0.3">
      <c r="I36231" s="82"/>
      <c r="M36231" s="85"/>
    </row>
    <row r="36232" spans="9:13" x14ac:dyDescent="0.3">
      <c r="I36232" s="82"/>
      <c r="M36232" s="85"/>
    </row>
    <row r="36233" spans="9:13" x14ac:dyDescent="0.3">
      <c r="I36233" s="82"/>
      <c r="M36233" s="85"/>
    </row>
    <row r="36234" spans="9:13" x14ac:dyDescent="0.3">
      <c r="I36234" s="82"/>
      <c r="M36234" s="85"/>
    </row>
    <row r="36235" spans="9:13" x14ac:dyDescent="0.3">
      <c r="I36235" s="82"/>
      <c r="M36235" s="85"/>
    </row>
    <row r="36236" spans="9:13" x14ac:dyDescent="0.3">
      <c r="I36236" s="82"/>
      <c r="M36236" s="85"/>
    </row>
    <row r="36237" spans="9:13" x14ac:dyDescent="0.3">
      <c r="I36237" s="82"/>
      <c r="M36237" s="85"/>
    </row>
    <row r="36238" spans="9:13" x14ac:dyDescent="0.3">
      <c r="I36238" s="82"/>
      <c r="M36238" s="85"/>
    </row>
    <row r="36239" spans="9:13" x14ac:dyDescent="0.3">
      <c r="I36239" s="82"/>
      <c r="M36239" s="85"/>
    </row>
    <row r="36240" spans="9:13" x14ac:dyDescent="0.3">
      <c r="I36240" s="82"/>
      <c r="M36240" s="85"/>
    </row>
    <row r="36241" spans="9:13" x14ac:dyDescent="0.3">
      <c r="I36241" s="82"/>
      <c r="M36241" s="85"/>
    </row>
    <row r="36242" spans="9:13" x14ac:dyDescent="0.3">
      <c r="I36242" s="82"/>
      <c r="M36242" s="85"/>
    </row>
    <row r="36243" spans="9:13" x14ac:dyDescent="0.3">
      <c r="I36243" s="82"/>
      <c r="M36243" s="85"/>
    </row>
    <row r="36244" spans="9:13" x14ac:dyDescent="0.3">
      <c r="I36244" s="82"/>
      <c r="M36244" s="85"/>
    </row>
    <row r="36245" spans="9:13" x14ac:dyDescent="0.3">
      <c r="I36245" s="82"/>
      <c r="M36245" s="85"/>
    </row>
    <row r="36246" spans="9:13" x14ac:dyDescent="0.3">
      <c r="I36246" s="82"/>
      <c r="M36246" s="85"/>
    </row>
    <row r="36247" spans="9:13" x14ac:dyDescent="0.3">
      <c r="I36247" s="82"/>
      <c r="M36247" s="85"/>
    </row>
    <row r="36248" spans="9:13" x14ac:dyDescent="0.3">
      <c r="I36248" s="82"/>
      <c r="M36248" s="85"/>
    </row>
    <row r="36249" spans="9:13" x14ac:dyDescent="0.3">
      <c r="I36249" s="82"/>
      <c r="M36249" s="85"/>
    </row>
    <row r="36250" spans="9:13" x14ac:dyDescent="0.3">
      <c r="I36250" s="82"/>
      <c r="M36250" s="85"/>
    </row>
    <row r="36251" spans="9:13" x14ac:dyDescent="0.3">
      <c r="I36251" s="82"/>
      <c r="M36251" s="85"/>
    </row>
    <row r="36252" spans="9:13" x14ac:dyDescent="0.3">
      <c r="I36252" s="82"/>
      <c r="M36252" s="85"/>
    </row>
    <row r="36253" spans="9:13" x14ac:dyDescent="0.3">
      <c r="I36253" s="82"/>
      <c r="M36253" s="85"/>
    </row>
    <row r="36254" spans="9:13" x14ac:dyDescent="0.3">
      <c r="I36254" s="82"/>
      <c r="M36254" s="85"/>
    </row>
    <row r="36255" spans="9:13" x14ac:dyDescent="0.3">
      <c r="I36255" s="82"/>
      <c r="M36255" s="85"/>
    </row>
    <row r="36256" spans="9:13" x14ac:dyDescent="0.3">
      <c r="I36256" s="82"/>
      <c r="M36256" s="85"/>
    </row>
    <row r="36257" spans="9:13" x14ac:dyDescent="0.3">
      <c r="I36257" s="82"/>
      <c r="M36257" s="85"/>
    </row>
    <row r="36258" spans="9:13" x14ac:dyDescent="0.3">
      <c r="I36258" s="82"/>
      <c r="M36258" s="85"/>
    </row>
    <row r="36259" spans="9:13" x14ac:dyDescent="0.3">
      <c r="I36259" s="82"/>
      <c r="M36259" s="85"/>
    </row>
    <row r="36260" spans="9:13" x14ac:dyDescent="0.3">
      <c r="I36260" s="82"/>
      <c r="M36260" s="85"/>
    </row>
    <row r="36261" spans="9:13" x14ac:dyDescent="0.3">
      <c r="I36261" s="82"/>
      <c r="M36261" s="85"/>
    </row>
    <row r="36262" spans="9:13" x14ac:dyDescent="0.3">
      <c r="I36262" s="82"/>
      <c r="M36262" s="85"/>
    </row>
    <row r="36263" spans="9:13" x14ac:dyDescent="0.3">
      <c r="I36263" s="82"/>
      <c r="M36263" s="85"/>
    </row>
    <row r="36264" spans="9:13" x14ac:dyDescent="0.3">
      <c r="I36264" s="82"/>
      <c r="M36264" s="85"/>
    </row>
    <row r="36265" spans="9:13" x14ac:dyDescent="0.3">
      <c r="I36265" s="82"/>
      <c r="M36265" s="85"/>
    </row>
    <row r="36266" spans="9:13" x14ac:dyDescent="0.3">
      <c r="I36266" s="82"/>
      <c r="M36266" s="85"/>
    </row>
    <row r="36267" spans="9:13" x14ac:dyDescent="0.3">
      <c r="I36267" s="82"/>
      <c r="M36267" s="85"/>
    </row>
    <row r="36268" spans="9:13" x14ac:dyDescent="0.3">
      <c r="I36268" s="82"/>
      <c r="M36268" s="85"/>
    </row>
    <row r="36269" spans="9:13" x14ac:dyDescent="0.3">
      <c r="I36269" s="82"/>
      <c r="M36269" s="85"/>
    </row>
    <row r="36270" spans="9:13" x14ac:dyDescent="0.3">
      <c r="I36270" s="82"/>
      <c r="M36270" s="85"/>
    </row>
    <row r="36271" spans="9:13" x14ac:dyDescent="0.3">
      <c r="I36271" s="82"/>
      <c r="M36271" s="85"/>
    </row>
    <row r="36272" spans="9:13" x14ac:dyDescent="0.3">
      <c r="I36272" s="82"/>
      <c r="M36272" s="85"/>
    </row>
    <row r="36273" spans="9:13" x14ac:dyDescent="0.3">
      <c r="I36273" s="82"/>
      <c r="M36273" s="85"/>
    </row>
    <row r="36274" spans="9:13" x14ac:dyDescent="0.3">
      <c r="I36274" s="82"/>
      <c r="M36274" s="85"/>
    </row>
    <row r="36275" spans="9:13" x14ac:dyDescent="0.3">
      <c r="I36275" s="82"/>
      <c r="M36275" s="85"/>
    </row>
    <row r="36276" spans="9:13" x14ac:dyDescent="0.3">
      <c r="I36276" s="82"/>
      <c r="M36276" s="85"/>
    </row>
    <row r="36277" spans="9:13" x14ac:dyDescent="0.3">
      <c r="I36277" s="82"/>
      <c r="M36277" s="85"/>
    </row>
    <row r="36278" spans="9:13" x14ac:dyDescent="0.3">
      <c r="I36278" s="82"/>
      <c r="M36278" s="85"/>
    </row>
    <row r="36279" spans="9:13" x14ac:dyDescent="0.3">
      <c r="I36279" s="82"/>
      <c r="M36279" s="85"/>
    </row>
    <row r="36280" spans="9:13" x14ac:dyDescent="0.3">
      <c r="I36280" s="82"/>
      <c r="M36280" s="85"/>
    </row>
    <row r="36281" spans="9:13" x14ac:dyDescent="0.3">
      <c r="I36281" s="82"/>
      <c r="M36281" s="85"/>
    </row>
    <row r="36282" spans="9:13" x14ac:dyDescent="0.3">
      <c r="I36282" s="82"/>
      <c r="M36282" s="85"/>
    </row>
    <row r="36283" spans="9:13" x14ac:dyDescent="0.3">
      <c r="I36283" s="82"/>
      <c r="M36283" s="85"/>
    </row>
    <row r="36284" spans="9:13" x14ac:dyDescent="0.3">
      <c r="I36284" s="82"/>
      <c r="M36284" s="85"/>
    </row>
    <row r="36285" spans="9:13" x14ac:dyDescent="0.3">
      <c r="I36285" s="82"/>
      <c r="M36285" s="85"/>
    </row>
    <row r="36286" spans="9:13" x14ac:dyDescent="0.3">
      <c r="I36286" s="82"/>
      <c r="M36286" s="85"/>
    </row>
    <row r="36287" spans="9:13" x14ac:dyDescent="0.3">
      <c r="I36287" s="82"/>
      <c r="M36287" s="85"/>
    </row>
    <row r="36288" spans="9:13" x14ac:dyDescent="0.3">
      <c r="I36288" s="82"/>
      <c r="M36288" s="85"/>
    </row>
    <row r="36289" spans="9:13" x14ac:dyDescent="0.3">
      <c r="I36289" s="82"/>
      <c r="M36289" s="85"/>
    </row>
    <row r="36290" spans="9:13" x14ac:dyDescent="0.3">
      <c r="I36290" s="82"/>
      <c r="M36290" s="85"/>
    </row>
    <row r="36291" spans="9:13" x14ac:dyDescent="0.3">
      <c r="I36291" s="82"/>
      <c r="M36291" s="85"/>
    </row>
    <row r="36292" spans="9:13" x14ac:dyDescent="0.3">
      <c r="I36292" s="82"/>
      <c r="M36292" s="85"/>
    </row>
    <row r="36293" spans="9:13" x14ac:dyDescent="0.3">
      <c r="I36293" s="82"/>
      <c r="M36293" s="85"/>
    </row>
    <row r="36294" spans="9:13" x14ac:dyDescent="0.3">
      <c r="I36294" s="82"/>
      <c r="M36294" s="85"/>
    </row>
    <row r="36295" spans="9:13" x14ac:dyDescent="0.3">
      <c r="I36295" s="82"/>
      <c r="M36295" s="85"/>
    </row>
    <row r="36296" spans="9:13" x14ac:dyDescent="0.3">
      <c r="I36296" s="82"/>
      <c r="M36296" s="85"/>
    </row>
    <row r="36297" spans="9:13" x14ac:dyDescent="0.3">
      <c r="I36297" s="82"/>
      <c r="M36297" s="85"/>
    </row>
    <row r="36298" spans="9:13" x14ac:dyDescent="0.3">
      <c r="I36298" s="82"/>
      <c r="M36298" s="85"/>
    </row>
    <row r="36299" spans="9:13" x14ac:dyDescent="0.3">
      <c r="I36299" s="82"/>
      <c r="M36299" s="85"/>
    </row>
    <row r="36300" spans="9:13" x14ac:dyDescent="0.3">
      <c r="I36300" s="82"/>
      <c r="M36300" s="85"/>
    </row>
    <row r="36301" spans="9:13" x14ac:dyDescent="0.3">
      <c r="I36301" s="82"/>
      <c r="M36301" s="85"/>
    </row>
    <row r="36302" spans="9:13" x14ac:dyDescent="0.3">
      <c r="I36302" s="82"/>
      <c r="M36302" s="85"/>
    </row>
    <row r="36303" spans="9:13" x14ac:dyDescent="0.3">
      <c r="I36303" s="82"/>
      <c r="M36303" s="85"/>
    </row>
    <row r="36304" spans="9:13" x14ac:dyDescent="0.3">
      <c r="I36304" s="82"/>
      <c r="M36304" s="85"/>
    </row>
    <row r="36305" spans="9:13" x14ac:dyDescent="0.3">
      <c r="I36305" s="82"/>
      <c r="M36305" s="85"/>
    </row>
    <row r="36306" spans="9:13" x14ac:dyDescent="0.3">
      <c r="I36306" s="82"/>
      <c r="M36306" s="85"/>
    </row>
    <row r="36307" spans="9:13" x14ac:dyDescent="0.3">
      <c r="I36307" s="82"/>
      <c r="M36307" s="85"/>
    </row>
    <row r="36308" spans="9:13" x14ac:dyDescent="0.3">
      <c r="I36308" s="82"/>
      <c r="M36308" s="85"/>
    </row>
    <row r="36309" spans="9:13" x14ac:dyDescent="0.3">
      <c r="I36309" s="82"/>
      <c r="M36309" s="85"/>
    </row>
    <row r="36310" spans="9:13" x14ac:dyDescent="0.3">
      <c r="I36310" s="82"/>
      <c r="M36310" s="85"/>
    </row>
    <row r="36311" spans="9:13" x14ac:dyDescent="0.3">
      <c r="I36311" s="82"/>
      <c r="M36311" s="85"/>
    </row>
    <row r="36312" spans="9:13" x14ac:dyDescent="0.3">
      <c r="I36312" s="82"/>
      <c r="M36312" s="85"/>
    </row>
    <row r="36313" spans="9:13" x14ac:dyDescent="0.3">
      <c r="I36313" s="82"/>
      <c r="M36313" s="85"/>
    </row>
    <row r="36314" spans="9:13" x14ac:dyDescent="0.3">
      <c r="I36314" s="82"/>
      <c r="M36314" s="85"/>
    </row>
    <row r="36315" spans="9:13" x14ac:dyDescent="0.3">
      <c r="I36315" s="82"/>
      <c r="M36315" s="85"/>
    </row>
    <row r="36316" spans="9:13" x14ac:dyDescent="0.3">
      <c r="I36316" s="82"/>
      <c r="M36316" s="85"/>
    </row>
    <row r="36317" spans="9:13" x14ac:dyDescent="0.3">
      <c r="I36317" s="82"/>
      <c r="M36317" s="85"/>
    </row>
    <row r="36318" spans="9:13" x14ac:dyDescent="0.3">
      <c r="I36318" s="82"/>
      <c r="M36318" s="85"/>
    </row>
    <row r="36319" spans="9:13" x14ac:dyDescent="0.3">
      <c r="I36319" s="82"/>
      <c r="M36319" s="85"/>
    </row>
    <row r="36320" spans="9:13" x14ac:dyDescent="0.3">
      <c r="I36320" s="82"/>
      <c r="M36320" s="85"/>
    </row>
    <row r="36321" spans="9:13" x14ac:dyDescent="0.3">
      <c r="I36321" s="82"/>
      <c r="M36321" s="85"/>
    </row>
    <row r="36322" spans="9:13" x14ac:dyDescent="0.3">
      <c r="I36322" s="82"/>
      <c r="M36322" s="85"/>
    </row>
    <row r="36323" spans="9:13" x14ac:dyDescent="0.3">
      <c r="I36323" s="82"/>
      <c r="M36323" s="85"/>
    </row>
    <row r="36324" spans="9:13" x14ac:dyDescent="0.3">
      <c r="I36324" s="82"/>
      <c r="M36324" s="85"/>
    </row>
    <row r="36325" spans="9:13" x14ac:dyDescent="0.3">
      <c r="I36325" s="82"/>
      <c r="M36325" s="85"/>
    </row>
    <row r="36326" spans="9:13" x14ac:dyDescent="0.3">
      <c r="I36326" s="82"/>
      <c r="M36326" s="85"/>
    </row>
    <row r="36327" spans="9:13" x14ac:dyDescent="0.3">
      <c r="I36327" s="82"/>
      <c r="M36327" s="85"/>
    </row>
    <row r="36328" spans="9:13" x14ac:dyDescent="0.3">
      <c r="I36328" s="82"/>
      <c r="M36328" s="85"/>
    </row>
    <row r="36329" spans="9:13" x14ac:dyDescent="0.3">
      <c r="I36329" s="82"/>
      <c r="M36329" s="85"/>
    </row>
    <row r="36330" spans="9:13" x14ac:dyDescent="0.3">
      <c r="I36330" s="82"/>
      <c r="M36330" s="85"/>
    </row>
    <row r="36331" spans="9:13" x14ac:dyDescent="0.3">
      <c r="I36331" s="82"/>
      <c r="M36331" s="85"/>
    </row>
    <row r="36332" spans="9:13" x14ac:dyDescent="0.3">
      <c r="I36332" s="82"/>
      <c r="M36332" s="85"/>
    </row>
    <row r="36333" spans="9:13" x14ac:dyDescent="0.3">
      <c r="I36333" s="82"/>
      <c r="M36333" s="85"/>
    </row>
    <row r="36334" spans="9:13" x14ac:dyDescent="0.3">
      <c r="I36334" s="82"/>
      <c r="M36334" s="85"/>
    </row>
    <row r="36335" spans="9:13" x14ac:dyDescent="0.3">
      <c r="I36335" s="82"/>
      <c r="M36335" s="85"/>
    </row>
    <row r="36336" spans="9:13" x14ac:dyDescent="0.3">
      <c r="I36336" s="82"/>
      <c r="M36336" s="85"/>
    </row>
    <row r="36337" spans="9:13" x14ac:dyDescent="0.3">
      <c r="I36337" s="82"/>
      <c r="M36337" s="85"/>
    </row>
    <row r="36338" spans="9:13" x14ac:dyDescent="0.3">
      <c r="I36338" s="82"/>
      <c r="M36338" s="85"/>
    </row>
    <row r="36339" spans="9:13" x14ac:dyDescent="0.3">
      <c r="I36339" s="82"/>
      <c r="M36339" s="85"/>
    </row>
    <row r="36340" spans="9:13" x14ac:dyDescent="0.3">
      <c r="I36340" s="82"/>
      <c r="M36340" s="85"/>
    </row>
    <row r="36341" spans="9:13" x14ac:dyDescent="0.3">
      <c r="I36341" s="82"/>
      <c r="M36341" s="85"/>
    </row>
    <row r="36342" spans="9:13" x14ac:dyDescent="0.3">
      <c r="I36342" s="82"/>
      <c r="M36342" s="85"/>
    </row>
    <row r="36343" spans="9:13" x14ac:dyDescent="0.3">
      <c r="I36343" s="82"/>
      <c r="M36343" s="85"/>
    </row>
    <row r="36344" spans="9:13" x14ac:dyDescent="0.3">
      <c r="I36344" s="82"/>
      <c r="M36344" s="85"/>
    </row>
    <row r="36345" spans="9:13" x14ac:dyDescent="0.3">
      <c r="I36345" s="82"/>
      <c r="M36345" s="85"/>
    </row>
    <row r="36346" spans="9:13" x14ac:dyDescent="0.3">
      <c r="I36346" s="82"/>
      <c r="M36346" s="85"/>
    </row>
    <row r="36347" spans="9:13" x14ac:dyDescent="0.3">
      <c r="I36347" s="82"/>
      <c r="M36347" s="85"/>
    </row>
    <row r="36348" spans="9:13" x14ac:dyDescent="0.3">
      <c r="I36348" s="82"/>
      <c r="M36348" s="85"/>
    </row>
    <row r="36349" spans="9:13" x14ac:dyDescent="0.3">
      <c r="I36349" s="82"/>
      <c r="M36349" s="85"/>
    </row>
    <row r="36350" spans="9:13" x14ac:dyDescent="0.3">
      <c r="I36350" s="82"/>
      <c r="M36350" s="85"/>
    </row>
    <row r="36351" spans="9:13" x14ac:dyDescent="0.3">
      <c r="I36351" s="82"/>
      <c r="M36351" s="85"/>
    </row>
    <row r="36352" spans="9:13" x14ac:dyDescent="0.3">
      <c r="I36352" s="82"/>
      <c r="M36352" s="85"/>
    </row>
    <row r="36353" spans="9:13" x14ac:dyDescent="0.3">
      <c r="I36353" s="82"/>
      <c r="M36353" s="85"/>
    </row>
    <row r="36354" spans="9:13" x14ac:dyDescent="0.3">
      <c r="I36354" s="82"/>
      <c r="M36354" s="85"/>
    </row>
    <row r="36355" spans="9:13" x14ac:dyDescent="0.3">
      <c r="I36355" s="82"/>
      <c r="M36355" s="85"/>
    </row>
    <row r="36356" spans="9:13" x14ac:dyDescent="0.3">
      <c r="I36356" s="82"/>
      <c r="M36356" s="85"/>
    </row>
    <row r="36357" spans="9:13" x14ac:dyDescent="0.3">
      <c r="I36357" s="82"/>
      <c r="M36357" s="85"/>
    </row>
    <row r="36358" spans="9:13" x14ac:dyDescent="0.3">
      <c r="I36358" s="82"/>
      <c r="M36358" s="85"/>
    </row>
    <row r="36359" spans="9:13" x14ac:dyDescent="0.3">
      <c r="I36359" s="82"/>
      <c r="M36359" s="85"/>
    </row>
    <row r="36360" spans="9:13" x14ac:dyDescent="0.3">
      <c r="I36360" s="82"/>
      <c r="M36360" s="85"/>
    </row>
    <row r="36361" spans="9:13" x14ac:dyDescent="0.3">
      <c r="I36361" s="82"/>
      <c r="M36361" s="85"/>
    </row>
    <row r="36362" spans="9:13" x14ac:dyDescent="0.3">
      <c r="I36362" s="82"/>
      <c r="M36362" s="85"/>
    </row>
    <row r="36363" spans="9:13" x14ac:dyDescent="0.3">
      <c r="I36363" s="82"/>
      <c r="M36363" s="85"/>
    </row>
    <row r="36364" spans="9:13" x14ac:dyDescent="0.3">
      <c r="I36364" s="82"/>
      <c r="M36364" s="85"/>
    </row>
    <row r="36365" spans="9:13" x14ac:dyDescent="0.3">
      <c r="I36365" s="82"/>
      <c r="M36365" s="85"/>
    </row>
    <row r="36366" spans="9:13" x14ac:dyDescent="0.3">
      <c r="I36366" s="82"/>
      <c r="M36366" s="85"/>
    </row>
    <row r="36367" spans="9:13" x14ac:dyDescent="0.3">
      <c r="I36367" s="82"/>
      <c r="M36367" s="85"/>
    </row>
    <row r="36368" spans="9:13" x14ac:dyDescent="0.3">
      <c r="I36368" s="82"/>
      <c r="M36368" s="85"/>
    </row>
    <row r="36369" spans="9:13" x14ac:dyDescent="0.3">
      <c r="I36369" s="82"/>
      <c r="M36369" s="85"/>
    </row>
    <row r="36370" spans="9:13" x14ac:dyDescent="0.3">
      <c r="I36370" s="82"/>
      <c r="M36370" s="85"/>
    </row>
    <row r="36371" spans="9:13" x14ac:dyDescent="0.3">
      <c r="I36371" s="82"/>
      <c r="M36371" s="85"/>
    </row>
    <row r="36372" spans="9:13" x14ac:dyDescent="0.3">
      <c r="I36372" s="82"/>
      <c r="M36372" s="85"/>
    </row>
    <row r="36373" spans="9:13" x14ac:dyDescent="0.3">
      <c r="I36373" s="82"/>
      <c r="M36373" s="85"/>
    </row>
    <row r="36374" spans="9:13" x14ac:dyDescent="0.3">
      <c r="I36374" s="82"/>
      <c r="M36374" s="85"/>
    </row>
    <row r="36375" spans="9:13" x14ac:dyDescent="0.3">
      <c r="I36375" s="82"/>
      <c r="M36375" s="85"/>
    </row>
    <row r="36376" spans="9:13" x14ac:dyDescent="0.3">
      <c r="I36376" s="82"/>
      <c r="M36376" s="85"/>
    </row>
    <row r="36377" spans="9:13" x14ac:dyDescent="0.3">
      <c r="I36377" s="82"/>
      <c r="M36377" s="85"/>
    </row>
    <row r="36378" spans="9:13" x14ac:dyDescent="0.3">
      <c r="I36378" s="82"/>
      <c r="M36378" s="85"/>
    </row>
    <row r="36379" spans="9:13" x14ac:dyDescent="0.3">
      <c r="I36379" s="82"/>
      <c r="M36379" s="85"/>
    </row>
    <row r="36380" spans="9:13" x14ac:dyDescent="0.3">
      <c r="I36380" s="82"/>
      <c r="M36380" s="85"/>
    </row>
    <row r="36381" spans="9:13" x14ac:dyDescent="0.3">
      <c r="I36381" s="82"/>
      <c r="M36381" s="85"/>
    </row>
    <row r="36382" spans="9:13" x14ac:dyDescent="0.3">
      <c r="I36382" s="82"/>
      <c r="M36382" s="85"/>
    </row>
    <row r="36383" spans="9:13" x14ac:dyDescent="0.3">
      <c r="I36383" s="82"/>
      <c r="M36383" s="85"/>
    </row>
    <row r="36384" spans="9:13" x14ac:dyDescent="0.3">
      <c r="I36384" s="82"/>
      <c r="M36384" s="85"/>
    </row>
    <row r="36385" spans="9:13" x14ac:dyDescent="0.3">
      <c r="I36385" s="82"/>
      <c r="M36385" s="85"/>
    </row>
    <row r="36386" spans="9:13" x14ac:dyDescent="0.3">
      <c r="I36386" s="82"/>
      <c r="M36386" s="85"/>
    </row>
    <row r="36387" spans="9:13" x14ac:dyDescent="0.3">
      <c r="I36387" s="82"/>
      <c r="M36387" s="85"/>
    </row>
    <row r="36388" spans="9:13" x14ac:dyDescent="0.3">
      <c r="I36388" s="82"/>
      <c r="M36388" s="85"/>
    </row>
    <row r="36389" spans="9:13" x14ac:dyDescent="0.3">
      <c r="I36389" s="82"/>
      <c r="M36389" s="85"/>
    </row>
    <row r="36390" spans="9:13" x14ac:dyDescent="0.3">
      <c r="I36390" s="82"/>
      <c r="M36390" s="85"/>
    </row>
    <row r="36391" spans="9:13" x14ac:dyDescent="0.3">
      <c r="I36391" s="82"/>
      <c r="M36391" s="85"/>
    </row>
    <row r="36392" spans="9:13" x14ac:dyDescent="0.3">
      <c r="I36392" s="82"/>
      <c r="M36392" s="85"/>
    </row>
    <row r="36393" spans="9:13" x14ac:dyDescent="0.3">
      <c r="I36393" s="82"/>
      <c r="M36393" s="85"/>
    </row>
    <row r="36394" spans="9:13" x14ac:dyDescent="0.3">
      <c r="I36394" s="82"/>
      <c r="M36394" s="85"/>
    </row>
    <row r="36395" spans="9:13" x14ac:dyDescent="0.3">
      <c r="I36395" s="82"/>
      <c r="M36395" s="85"/>
    </row>
    <row r="36396" spans="9:13" x14ac:dyDescent="0.3">
      <c r="I36396" s="82"/>
      <c r="M36396" s="85"/>
    </row>
    <row r="36397" spans="9:13" x14ac:dyDescent="0.3">
      <c r="I36397" s="82"/>
      <c r="M36397" s="85"/>
    </row>
    <row r="36398" spans="9:13" x14ac:dyDescent="0.3">
      <c r="I36398" s="82"/>
      <c r="M36398" s="85"/>
    </row>
    <row r="36399" spans="9:13" x14ac:dyDescent="0.3">
      <c r="I36399" s="82"/>
      <c r="M36399" s="85"/>
    </row>
    <row r="36400" spans="9:13" x14ac:dyDescent="0.3">
      <c r="I36400" s="82"/>
      <c r="M36400" s="85"/>
    </row>
    <row r="36401" spans="9:13" x14ac:dyDescent="0.3">
      <c r="I36401" s="82"/>
      <c r="M36401" s="85"/>
    </row>
    <row r="36402" spans="9:13" x14ac:dyDescent="0.3">
      <c r="I36402" s="82"/>
      <c r="M36402" s="85"/>
    </row>
    <row r="36403" spans="9:13" x14ac:dyDescent="0.3">
      <c r="I36403" s="82"/>
      <c r="M36403" s="85"/>
    </row>
    <row r="36404" spans="9:13" x14ac:dyDescent="0.3">
      <c r="I36404" s="82"/>
      <c r="M36404" s="85"/>
    </row>
    <row r="36405" spans="9:13" x14ac:dyDescent="0.3">
      <c r="I36405" s="82"/>
      <c r="M36405" s="85"/>
    </row>
    <row r="36406" spans="9:13" x14ac:dyDescent="0.3">
      <c r="I36406" s="82"/>
      <c r="M36406" s="85"/>
    </row>
    <row r="36407" spans="9:13" x14ac:dyDescent="0.3">
      <c r="I36407" s="82"/>
      <c r="M36407" s="85"/>
    </row>
    <row r="36408" spans="9:13" x14ac:dyDescent="0.3">
      <c r="I36408" s="82"/>
      <c r="M36408" s="85"/>
    </row>
    <row r="36409" spans="9:13" x14ac:dyDescent="0.3">
      <c r="I36409" s="82"/>
      <c r="M36409" s="85"/>
    </row>
    <row r="36410" spans="9:13" x14ac:dyDescent="0.3">
      <c r="I36410" s="82"/>
      <c r="M36410" s="85"/>
    </row>
    <row r="36411" spans="9:13" x14ac:dyDescent="0.3">
      <c r="I36411" s="82"/>
      <c r="M36411" s="85"/>
    </row>
    <row r="36412" spans="9:13" x14ac:dyDescent="0.3">
      <c r="I36412" s="82"/>
      <c r="M36412" s="85"/>
    </row>
    <row r="36413" spans="9:13" x14ac:dyDescent="0.3">
      <c r="I36413" s="82"/>
      <c r="M36413" s="85"/>
    </row>
    <row r="36414" spans="9:13" x14ac:dyDescent="0.3">
      <c r="I36414" s="82"/>
      <c r="M36414" s="85"/>
    </row>
    <row r="36415" spans="9:13" x14ac:dyDescent="0.3">
      <c r="I36415" s="82"/>
      <c r="M36415" s="85"/>
    </row>
    <row r="36416" spans="9:13" x14ac:dyDescent="0.3">
      <c r="I36416" s="82"/>
      <c r="M36416" s="85"/>
    </row>
    <row r="36417" spans="9:13" x14ac:dyDescent="0.3">
      <c r="I36417" s="82"/>
      <c r="M36417" s="85"/>
    </row>
    <row r="36418" spans="9:13" x14ac:dyDescent="0.3">
      <c r="I36418" s="82"/>
      <c r="M36418" s="85"/>
    </row>
    <row r="36419" spans="9:13" x14ac:dyDescent="0.3">
      <c r="I36419" s="82"/>
      <c r="M36419" s="85"/>
    </row>
    <row r="36420" spans="9:13" x14ac:dyDescent="0.3">
      <c r="I36420" s="82"/>
      <c r="M36420" s="85"/>
    </row>
    <row r="36421" spans="9:13" x14ac:dyDescent="0.3">
      <c r="I36421" s="82"/>
      <c r="M36421" s="85"/>
    </row>
    <row r="36422" spans="9:13" x14ac:dyDescent="0.3">
      <c r="I36422" s="82"/>
      <c r="M36422" s="85"/>
    </row>
    <row r="36423" spans="9:13" x14ac:dyDescent="0.3">
      <c r="I36423" s="82"/>
      <c r="M36423" s="85"/>
    </row>
    <row r="36424" spans="9:13" x14ac:dyDescent="0.3">
      <c r="I36424" s="82"/>
      <c r="M36424" s="85"/>
    </row>
    <row r="36425" spans="9:13" x14ac:dyDescent="0.3">
      <c r="I36425" s="82"/>
      <c r="M36425" s="85"/>
    </row>
    <row r="36426" spans="9:13" x14ac:dyDescent="0.3">
      <c r="I36426" s="82"/>
      <c r="M36426" s="85"/>
    </row>
    <row r="36427" spans="9:13" x14ac:dyDescent="0.3">
      <c r="I36427" s="82"/>
      <c r="M36427" s="85"/>
    </row>
    <row r="36428" spans="9:13" x14ac:dyDescent="0.3">
      <c r="I36428" s="82"/>
      <c r="M36428" s="85"/>
    </row>
    <row r="36429" spans="9:13" x14ac:dyDescent="0.3">
      <c r="I36429" s="82"/>
      <c r="M36429" s="85"/>
    </row>
    <row r="36430" spans="9:13" x14ac:dyDescent="0.3">
      <c r="I36430" s="82"/>
      <c r="M36430" s="85"/>
    </row>
    <row r="36431" spans="9:13" x14ac:dyDescent="0.3">
      <c r="I36431" s="82"/>
      <c r="M36431" s="85"/>
    </row>
    <row r="36432" spans="9:13" x14ac:dyDescent="0.3">
      <c r="I36432" s="82"/>
      <c r="M36432" s="85"/>
    </row>
    <row r="36433" spans="9:13" x14ac:dyDescent="0.3">
      <c r="I36433" s="82"/>
      <c r="M36433" s="85"/>
    </row>
    <row r="36434" spans="9:13" x14ac:dyDescent="0.3">
      <c r="I36434" s="82"/>
      <c r="M36434" s="85"/>
    </row>
    <row r="36435" spans="9:13" x14ac:dyDescent="0.3">
      <c r="I36435" s="82"/>
      <c r="M36435" s="85"/>
    </row>
    <row r="36436" spans="9:13" x14ac:dyDescent="0.3">
      <c r="I36436" s="82"/>
      <c r="M36436" s="85"/>
    </row>
    <row r="36437" spans="9:13" x14ac:dyDescent="0.3">
      <c r="I36437" s="82"/>
      <c r="M36437" s="85"/>
    </row>
    <row r="36438" spans="9:13" x14ac:dyDescent="0.3">
      <c r="I36438" s="82"/>
      <c r="M36438" s="85"/>
    </row>
    <row r="36439" spans="9:13" x14ac:dyDescent="0.3">
      <c r="I36439" s="82"/>
      <c r="M36439" s="85"/>
    </row>
    <row r="36440" spans="9:13" x14ac:dyDescent="0.3">
      <c r="I36440" s="82"/>
      <c r="M36440" s="85"/>
    </row>
    <row r="36441" spans="9:13" x14ac:dyDescent="0.3">
      <c r="I36441" s="82"/>
      <c r="M36441" s="85"/>
    </row>
    <row r="36442" spans="9:13" x14ac:dyDescent="0.3">
      <c r="I36442" s="82"/>
      <c r="M36442" s="85"/>
    </row>
    <row r="36443" spans="9:13" x14ac:dyDescent="0.3">
      <c r="I36443" s="82"/>
      <c r="M36443" s="85"/>
    </row>
    <row r="36444" spans="9:13" x14ac:dyDescent="0.3">
      <c r="I36444" s="82"/>
      <c r="M36444" s="85"/>
    </row>
    <row r="36445" spans="9:13" x14ac:dyDescent="0.3">
      <c r="I36445" s="82"/>
      <c r="M36445" s="85"/>
    </row>
    <row r="36446" spans="9:13" x14ac:dyDescent="0.3">
      <c r="I36446" s="82"/>
      <c r="M36446" s="85"/>
    </row>
    <row r="36447" spans="9:13" x14ac:dyDescent="0.3">
      <c r="I36447" s="82"/>
      <c r="M36447" s="85"/>
    </row>
    <row r="36448" spans="9:13" x14ac:dyDescent="0.3">
      <c r="I36448" s="82"/>
      <c r="M36448" s="85"/>
    </row>
    <row r="36449" spans="9:13" x14ac:dyDescent="0.3">
      <c r="I36449" s="82"/>
      <c r="M36449" s="85"/>
    </row>
    <row r="36450" spans="9:13" x14ac:dyDescent="0.3">
      <c r="I36450" s="82"/>
      <c r="M36450" s="85"/>
    </row>
    <row r="36451" spans="9:13" x14ac:dyDescent="0.3">
      <c r="I36451" s="82"/>
      <c r="M36451" s="85"/>
    </row>
    <row r="36452" spans="9:13" x14ac:dyDescent="0.3">
      <c r="I36452" s="82"/>
      <c r="M36452" s="85"/>
    </row>
    <row r="36453" spans="9:13" x14ac:dyDescent="0.3">
      <c r="I36453" s="82"/>
      <c r="M36453" s="85"/>
    </row>
    <row r="36454" spans="9:13" x14ac:dyDescent="0.3">
      <c r="I36454" s="82"/>
      <c r="M36454" s="85"/>
    </row>
    <row r="36455" spans="9:13" x14ac:dyDescent="0.3">
      <c r="I36455" s="82"/>
      <c r="M36455" s="85"/>
    </row>
    <row r="36456" spans="9:13" x14ac:dyDescent="0.3">
      <c r="I36456" s="82"/>
      <c r="M36456" s="85"/>
    </row>
    <row r="36457" spans="9:13" x14ac:dyDescent="0.3">
      <c r="I36457" s="82"/>
      <c r="M36457" s="85"/>
    </row>
    <row r="36458" spans="9:13" x14ac:dyDescent="0.3">
      <c r="I36458" s="82"/>
      <c r="M36458" s="85"/>
    </row>
    <row r="36459" spans="9:13" x14ac:dyDescent="0.3">
      <c r="I36459" s="82"/>
      <c r="M36459" s="85"/>
    </row>
    <row r="36460" spans="9:13" x14ac:dyDescent="0.3">
      <c r="I36460" s="82"/>
      <c r="M36460" s="85"/>
    </row>
    <row r="36461" spans="9:13" x14ac:dyDescent="0.3">
      <c r="I36461" s="82"/>
      <c r="M36461" s="85"/>
    </row>
    <row r="36462" spans="9:13" x14ac:dyDescent="0.3">
      <c r="I36462" s="82"/>
      <c r="M36462" s="85"/>
    </row>
    <row r="36463" spans="9:13" x14ac:dyDescent="0.3">
      <c r="I36463" s="82"/>
      <c r="M36463" s="85"/>
    </row>
    <row r="36464" spans="9:13" x14ac:dyDescent="0.3">
      <c r="I36464" s="82"/>
      <c r="M36464" s="85"/>
    </row>
    <row r="36465" spans="9:13" x14ac:dyDescent="0.3">
      <c r="I36465" s="82"/>
      <c r="M36465" s="85"/>
    </row>
    <row r="36466" spans="9:13" x14ac:dyDescent="0.3">
      <c r="I36466" s="82"/>
      <c r="M36466" s="85"/>
    </row>
    <row r="36467" spans="9:13" x14ac:dyDescent="0.3">
      <c r="I36467" s="82"/>
      <c r="M36467" s="85"/>
    </row>
    <row r="36468" spans="9:13" x14ac:dyDescent="0.3">
      <c r="I36468" s="82"/>
      <c r="M36468" s="85"/>
    </row>
    <row r="36469" spans="9:13" x14ac:dyDescent="0.3">
      <c r="I36469" s="82"/>
      <c r="M36469" s="85"/>
    </row>
    <row r="36470" spans="9:13" x14ac:dyDescent="0.3">
      <c r="I36470" s="82"/>
      <c r="M36470" s="85"/>
    </row>
    <row r="36471" spans="9:13" x14ac:dyDescent="0.3">
      <c r="I36471" s="82"/>
      <c r="M36471" s="85"/>
    </row>
    <row r="36472" spans="9:13" x14ac:dyDescent="0.3">
      <c r="I36472" s="82"/>
      <c r="M36472" s="85"/>
    </row>
    <row r="36473" spans="9:13" x14ac:dyDescent="0.3">
      <c r="I36473" s="82"/>
      <c r="M36473" s="85"/>
    </row>
    <row r="36474" spans="9:13" x14ac:dyDescent="0.3">
      <c r="I36474" s="82"/>
      <c r="M36474" s="85"/>
    </row>
    <row r="36475" spans="9:13" x14ac:dyDescent="0.3">
      <c r="I36475" s="82"/>
      <c r="M36475" s="85"/>
    </row>
    <row r="36476" spans="9:13" x14ac:dyDescent="0.3">
      <c r="I36476" s="82"/>
      <c r="M36476" s="85"/>
    </row>
    <row r="36477" spans="9:13" x14ac:dyDescent="0.3">
      <c r="I36477" s="82"/>
      <c r="M36477" s="85"/>
    </row>
    <row r="36478" spans="9:13" x14ac:dyDescent="0.3">
      <c r="I36478" s="82"/>
      <c r="M36478" s="85"/>
    </row>
    <row r="36479" spans="9:13" x14ac:dyDescent="0.3">
      <c r="I36479" s="82"/>
      <c r="M36479" s="85"/>
    </row>
    <row r="36480" spans="9:13" x14ac:dyDescent="0.3">
      <c r="I36480" s="82"/>
      <c r="M36480" s="85"/>
    </row>
    <row r="36481" spans="9:13" x14ac:dyDescent="0.3">
      <c r="I36481" s="82"/>
      <c r="M36481" s="85"/>
    </row>
    <row r="36482" spans="9:13" x14ac:dyDescent="0.3">
      <c r="I36482" s="82"/>
      <c r="M36482" s="85"/>
    </row>
    <row r="36483" spans="9:13" x14ac:dyDescent="0.3">
      <c r="I36483" s="82"/>
      <c r="M36483" s="85"/>
    </row>
    <row r="36484" spans="9:13" x14ac:dyDescent="0.3">
      <c r="I36484" s="82"/>
      <c r="M36484" s="85"/>
    </row>
    <row r="36485" spans="9:13" x14ac:dyDescent="0.3">
      <c r="I36485" s="82"/>
      <c r="M36485" s="85"/>
    </row>
    <row r="36486" spans="9:13" x14ac:dyDescent="0.3">
      <c r="I36486" s="82"/>
      <c r="M36486" s="85"/>
    </row>
    <row r="36487" spans="9:13" x14ac:dyDescent="0.3">
      <c r="I36487" s="82"/>
      <c r="M36487" s="85"/>
    </row>
    <row r="36488" spans="9:13" x14ac:dyDescent="0.3">
      <c r="I36488" s="82"/>
      <c r="M36488" s="85"/>
    </row>
    <row r="36489" spans="9:13" x14ac:dyDescent="0.3">
      <c r="I36489" s="82"/>
      <c r="M36489" s="85"/>
    </row>
    <row r="36490" spans="9:13" x14ac:dyDescent="0.3">
      <c r="I36490" s="82"/>
      <c r="M36490" s="85"/>
    </row>
    <row r="36491" spans="9:13" x14ac:dyDescent="0.3">
      <c r="I36491" s="82"/>
      <c r="M36491" s="85"/>
    </row>
    <row r="36492" spans="9:13" x14ac:dyDescent="0.3">
      <c r="I36492" s="82"/>
      <c r="M36492" s="85"/>
    </row>
    <row r="36493" spans="9:13" x14ac:dyDescent="0.3">
      <c r="I36493" s="82"/>
      <c r="M36493" s="85"/>
    </row>
    <row r="36494" spans="9:13" x14ac:dyDescent="0.3">
      <c r="I36494" s="82"/>
      <c r="M36494" s="85"/>
    </row>
    <row r="36495" spans="9:13" x14ac:dyDescent="0.3">
      <c r="I36495" s="82"/>
      <c r="M36495" s="85"/>
    </row>
    <row r="36496" spans="9:13" x14ac:dyDescent="0.3">
      <c r="I36496" s="82"/>
      <c r="M36496" s="85"/>
    </row>
    <row r="36497" spans="9:13" x14ac:dyDescent="0.3">
      <c r="I36497" s="82"/>
      <c r="M36497" s="85"/>
    </row>
    <row r="36498" spans="9:13" x14ac:dyDescent="0.3">
      <c r="I36498" s="82"/>
      <c r="M36498" s="85"/>
    </row>
    <row r="36499" spans="9:13" x14ac:dyDescent="0.3">
      <c r="I36499" s="82"/>
      <c r="M36499" s="85"/>
    </row>
    <row r="36500" spans="9:13" x14ac:dyDescent="0.3">
      <c r="I36500" s="82"/>
      <c r="M36500" s="85"/>
    </row>
    <row r="36501" spans="9:13" x14ac:dyDescent="0.3">
      <c r="I36501" s="82"/>
      <c r="M36501" s="85"/>
    </row>
    <row r="36502" spans="9:13" x14ac:dyDescent="0.3">
      <c r="I36502" s="82"/>
      <c r="M36502" s="85"/>
    </row>
    <row r="36503" spans="9:13" x14ac:dyDescent="0.3">
      <c r="I36503" s="82"/>
      <c r="M36503" s="85"/>
    </row>
    <row r="36504" spans="9:13" x14ac:dyDescent="0.3">
      <c r="I36504" s="82"/>
      <c r="M36504" s="85"/>
    </row>
    <row r="36505" spans="9:13" x14ac:dyDescent="0.3">
      <c r="I36505" s="82"/>
      <c r="M36505" s="85"/>
    </row>
    <row r="36506" spans="9:13" x14ac:dyDescent="0.3">
      <c r="I36506" s="82"/>
      <c r="M36506" s="85"/>
    </row>
    <row r="36507" spans="9:13" x14ac:dyDescent="0.3">
      <c r="I36507" s="82"/>
      <c r="M36507" s="85"/>
    </row>
    <row r="36508" spans="9:13" x14ac:dyDescent="0.3">
      <c r="I36508" s="82"/>
      <c r="M36508" s="85"/>
    </row>
    <row r="36509" spans="9:13" x14ac:dyDescent="0.3">
      <c r="I36509" s="82"/>
      <c r="M36509" s="85"/>
    </row>
    <row r="36510" spans="9:13" x14ac:dyDescent="0.3">
      <c r="I36510" s="82"/>
      <c r="M36510" s="85"/>
    </row>
    <row r="36511" spans="9:13" x14ac:dyDescent="0.3">
      <c r="I36511" s="82"/>
      <c r="M36511" s="85"/>
    </row>
    <row r="36512" spans="9:13" x14ac:dyDescent="0.3">
      <c r="I36512" s="82"/>
      <c r="M36512" s="85"/>
    </row>
    <row r="36513" spans="9:13" x14ac:dyDescent="0.3">
      <c r="I36513" s="82"/>
      <c r="M36513" s="85"/>
    </row>
    <row r="36514" spans="9:13" x14ac:dyDescent="0.3">
      <c r="I36514" s="82"/>
      <c r="M36514" s="85"/>
    </row>
    <row r="36515" spans="9:13" x14ac:dyDescent="0.3">
      <c r="I36515" s="82"/>
      <c r="M36515" s="85"/>
    </row>
    <row r="36516" spans="9:13" x14ac:dyDescent="0.3">
      <c r="I36516" s="82"/>
      <c r="M36516" s="85"/>
    </row>
    <row r="36517" spans="9:13" x14ac:dyDescent="0.3">
      <c r="I36517" s="82"/>
      <c r="M36517" s="85"/>
    </row>
    <row r="36518" spans="9:13" x14ac:dyDescent="0.3">
      <c r="I36518" s="82"/>
      <c r="M36518" s="85"/>
    </row>
    <row r="36519" spans="9:13" x14ac:dyDescent="0.3">
      <c r="I36519" s="82"/>
      <c r="M36519" s="85"/>
    </row>
    <row r="36520" spans="9:13" x14ac:dyDescent="0.3">
      <c r="I36520" s="82"/>
      <c r="M36520" s="85"/>
    </row>
    <row r="36521" spans="9:13" x14ac:dyDescent="0.3">
      <c r="I36521" s="82"/>
      <c r="M36521" s="85"/>
    </row>
    <row r="36522" spans="9:13" x14ac:dyDescent="0.3">
      <c r="I36522" s="82"/>
      <c r="M36522" s="85"/>
    </row>
    <row r="36523" spans="9:13" x14ac:dyDescent="0.3">
      <c r="I36523" s="82"/>
      <c r="M36523" s="85"/>
    </row>
    <row r="36524" spans="9:13" x14ac:dyDescent="0.3">
      <c r="I36524" s="82"/>
      <c r="M36524" s="85"/>
    </row>
    <row r="36525" spans="9:13" x14ac:dyDescent="0.3">
      <c r="I36525" s="82"/>
      <c r="M36525" s="85"/>
    </row>
    <row r="36526" spans="9:13" x14ac:dyDescent="0.3">
      <c r="I36526" s="82"/>
      <c r="M36526" s="85"/>
    </row>
    <row r="36527" spans="9:13" x14ac:dyDescent="0.3">
      <c r="I36527" s="82"/>
      <c r="M36527" s="85"/>
    </row>
    <row r="36528" spans="9:13" x14ac:dyDescent="0.3">
      <c r="I36528" s="82"/>
      <c r="M36528" s="85"/>
    </row>
    <row r="36529" spans="9:13" x14ac:dyDescent="0.3">
      <c r="I36529" s="82"/>
      <c r="M36529" s="85"/>
    </row>
    <row r="36530" spans="9:13" x14ac:dyDescent="0.3">
      <c r="I36530" s="82"/>
      <c r="M36530" s="85"/>
    </row>
    <row r="36531" spans="9:13" x14ac:dyDescent="0.3">
      <c r="I36531" s="82"/>
      <c r="M36531" s="85"/>
    </row>
    <row r="36532" spans="9:13" x14ac:dyDescent="0.3">
      <c r="I36532" s="82"/>
      <c r="M36532" s="85"/>
    </row>
    <row r="36533" spans="9:13" x14ac:dyDescent="0.3">
      <c r="I36533" s="82"/>
      <c r="M36533" s="85"/>
    </row>
    <row r="36534" spans="9:13" x14ac:dyDescent="0.3">
      <c r="I36534" s="82"/>
      <c r="M36534" s="85"/>
    </row>
    <row r="36535" spans="9:13" x14ac:dyDescent="0.3">
      <c r="I36535" s="82"/>
      <c r="M36535" s="85"/>
    </row>
    <row r="36536" spans="9:13" x14ac:dyDescent="0.3">
      <c r="I36536" s="82"/>
      <c r="M36536" s="85"/>
    </row>
    <row r="36537" spans="9:13" x14ac:dyDescent="0.3">
      <c r="I36537" s="82"/>
      <c r="M36537" s="85"/>
    </row>
    <row r="36538" spans="9:13" x14ac:dyDescent="0.3">
      <c r="I36538" s="82"/>
      <c r="M36538" s="85"/>
    </row>
    <row r="36539" spans="9:13" x14ac:dyDescent="0.3">
      <c r="I36539" s="82"/>
      <c r="M36539" s="85"/>
    </row>
    <row r="36540" spans="9:13" x14ac:dyDescent="0.3">
      <c r="I36540" s="82"/>
      <c r="M36540" s="85"/>
    </row>
    <row r="36541" spans="9:13" x14ac:dyDescent="0.3">
      <c r="I36541" s="82"/>
      <c r="M36541" s="85"/>
    </row>
    <row r="36542" spans="9:13" x14ac:dyDescent="0.3">
      <c r="I36542" s="82"/>
      <c r="M36542" s="85"/>
    </row>
    <row r="36543" spans="9:13" x14ac:dyDescent="0.3">
      <c r="I36543" s="82"/>
      <c r="M36543" s="85"/>
    </row>
    <row r="36544" spans="9:13" x14ac:dyDescent="0.3">
      <c r="I36544" s="82"/>
      <c r="M36544" s="85"/>
    </row>
    <row r="36545" spans="9:13" x14ac:dyDescent="0.3">
      <c r="I36545" s="82"/>
      <c r="M36545" s="85"/>
    </row>
    <row r="36546" spans="9:13" x14ac:dyDescent="0.3">
      <c r="I36546" s="82"/>
      <c r="M36546" s="85"/>
    </row>
    <row r="36547" spans="9:13" x14ac:dyDescent="0.3">
      <c r="I36547" s="82"/>
      <c r="M36547" s="85"/>
    </row>
    <row r="36548" spans="9:13" x14ac:dyDescent="0.3">
      <c r="I36548" s="82"/>
      <c r="M36548" s="85"/>
    </row>
    <row r="36549" spans="9:13" x14ac:dyDescent="0.3">
      <c r="I36549" s="82"/>
      <c r="M36549" s="85"/>
    </row>
    <row r="36550" spans="9:13" x14ac:dyDescent="0.3">
      <c r="I36550" s="82"/>
      <c r="M36550" s="85"/>
    </row>
    <row r="36551" spans="9:13" x14ac:dyDescent="0.3">
      <c r="I36551" s="82"/>
      <c r="M36551" s="85"/>
    </row>
    <row r="36552" spans="9:13" x14ac:dyDescent="0.3">
      <c r="I36552" s="82"/>
      <c r="M36552" s="85"/>
    </row>
    <row r="36553" spans="9:13" x14ac:dyDescent="0.3">
      <c r="I36553" s="82"/>
      <c r="M36553" s="85"/>
    </row>
    <row r="36554" spans="9:13" x14ac:dyDescent="0.3">
      <c r="I36554" s="82"/>
      <c r="M36554" s="85"/>
    </row>
    <row r="36555" spans="9:13" x14ac:dyDescent="0.3">
      <c r="I36555" s="82"/>
      <c r="M36555" s="85"/>
    </row>
    <row r="36556" spans="9:13" x14ac:dyDescent="0.3">
      <c r="I36556" s="82"/>
      <c r="M36556" s="85"/>
    </row>
    <row r="36557" spans="9:13" x14ac:dyDescent="0.3">
      <c r="I36557" s="82"/>
      <c r="M36557" s="85"/>
    </row>
    <row r="36558" spans="9:13" x14ac:dyDescent="0.3">
      <c r="I36558" s="82"/>
      <c r="M36558" s="85"/>
    </row>
    <row r="36559" spans="9:13" x14ac:dyDescent="0.3">
      <c r="I36559" s="82"/>
      <c r="M36559" s="85"/>
    </row>
    <row r="36560" spans="9:13" x14ac:dyDescent="0.3">
      <c r="I36560" s="82"/>
      <c r="M36560" s="85"/>
    </row>
    <row r="36561" spans="9:13" x14ac:dyDescent="0.3">
      <c r="I36561" s="82"/>
      <c r="M36561" s="85"/>
    </row>
    <row r="36562" spans="9:13" x14ac:dyDescent="0.3">
      <c r="I36562" s="82"/>
      <c r="M36562" s="85"/>
    </row>
    <row r="36563" spans="9:13" x14ac:dyDescent="0.3">
      <c r="I36563" s="82"/>
      <c r="M36563" s="85"/>
    </row>
    <row r="36564" spans="9:13" x14ac:dyDescent="0.3">
      <c r="I36564" s="82"/>
      <c r="M36564" s="85"/>
    </row>
    <row r="36565" spans="9:13" x14ac:dyDescent="0.3">
      <c r="I36565" s="82"/>
      <c r="M36565" s="85"/>
    </row>
    <row r="36566" spans="9:13" x14ac:dyDescent="0.3">
      <c r="I36566" s="82"/>
      <c r="M36566" s="85"/>
    </row>
    <row r="36567" spans="9:13" x14ac:dyDescent="0.3">
      <c r="I36567" s="82"/>
      <c r="M36567" s="85"/>
    </row>
    <row r="36568" spans="9:13" x14ac:dyDescent="0.3">
      <c r="I36568" s="82"/>
      <c r="M36568" s="85"/>
    </row>
    <row r="36569" spans="9:13" x14ac:dyDescent="0.3">
      <c r="I36569" s="82"/>
      <c r="M36569" s="85"/>
    </row>
    <row r="36570" spans="9:13" x14ac:dyDescent="0.3">
      <c r="I36570" s="82"/>
      <c r="M36570" s="85"/>
    </row>
    <row r="36571" spans="9:13" x14ac:dyDescent="0.3">
      <c r="I36571" s="82"/>
      <c r="M36571" s="85"/>
    </row>
    <row r="36572" spans="9:13" x14ac:dyDescent="0.3">
      <c r="I36572" s="82"/>
      <c r="M36572" s="85"/>
    </row>
    <row r="36573" spans="9:13" x14ac:dyDescent="0.3">
      <c r="I36573" s="82"/>
      <c r="M36573" s="85"/>
    </row>
    <row r="36574" spans="9:13" x14ac:dyDescent="0.3">
      <c r="I36574" s="82"/>
      <c r="M36574" s="85"/>
    </row>
    <row r="36575" spans="9:13" x14ac:dyDescent="0.3">
      <c r="I36575" s="82"/>
      <c r="M36575" s="85"/>
    </row>
    <row r="36576" spans="9:13" x14ac:dyDescent="0.3">
      <c r="I36576" s="82"/>
      <c r="M36576" s="85"/>
    </row>
    <row r="36577" spans="9:13" x14ac:dyDescent="0.3">
      <c r="I36577" s="82"/>
      <c r="M36577" s="85"/>
    </row>
    <row r="36578" spans="9:13" x14ac:dyDescent="0.3">
      <c r="I36578" s="82"/>
      <c r="M36578" s="85"/>
    </row>
    <row r="36579" spans="9:13" x14ac:dyDescent="0.3">
      <c r="I36579" s="82"/>
      <c r="M36579" s="85"/>
    </row>
    <row r="36580" spans="9:13" x14ac:dyDescent="0.3">
      <c r="I36580" s="82"/>
      <c r="M36580" s="85"/>
    </row>
    <row r="36581" spans="9:13" x14ac:dyDescent="0.3">
      <c r="I36581" s="82"/>
      <c r="M36581" s="85"/>
    </row>
    <row r="36582" spans="9:13" x14ac:dyDescent="0.3">
      <c r="I36582" s="82"/>
      <c r="M36582" s="85"/>
    </row>
    <row r="36583" spans="9:13" x14ac:dyDescent="0.3">
      <c r="I36583" s="82"/>
      <c r="M36583" s="85"/>
    </row>
    <row r="36584" spans="9:13" x14ac:dyDescent="0.3">
      <c r="I36584" s="82"/>
      <c r="M36584" s="85"/>
    </row>
    <row r="36585" spans="9:13" x14ac:dyDescent="0.3">
      <c r="I36585" s="82"/>
      <c r="M36585" s="85"/>
    </row>
    <row r="36586" spans="9:13" x14ac:dyDescent="0.3">
      <c r="I36586" s="82"/>
      <c r="M36586" s="85"/>
    </row>
    <row r="36587" spans="9:13" x14ac:dyDescent="0.3">
      <c r="I36587" s="82"/>
      <c r="M36587" s="85"/>
    </row>
    <row r="36588" spans="9:13" x14ac:dyDescent="0.3">
      <c r="I36588" s="82"/>
      <c r="M36588" s="85"/>
    </row>
    <row r="36589" spans="9:13" x14ac:dyDescent="0.3">
      <c r="I36589" s="82"/>
      <c r="M36589" s="85"/>
    </row>
    <row r="36590" spans="9:13" x14ac:dyDescent="0.3">
      <c r="I36590" s="82"/>
      <c r="M36590" s="85"/>
    </row>
    <row r="36591" spans="9:13" x14ac:dyDescent="0.3">
      <c r="I36591" s="82"/>
      <c r="M36591" s="85"/>
    </row>
    <row r="36592" spans="9:13" x14ac:dyDescent="0.3">
      <c r="I36592" s="82"/>
      <c r="M36592" s="85"/>
    </row>
    <row r="36593" spans="9:13" x14ac:dyDescent="0.3">
      <c r="I36593" s="82"/>
      <c r="M36593" s="85"/>
    </row>
    <row r="36594" spans="9:13" x14ac:dyDescent="0.3">
      <c r="I36594" s="82"/>
      <c r="M36594" s="85"/>
    </row>
    <row r="36595" spans="9:13" x14ac:dyDescent="0.3">
      <c r="I36595" s="82"/>
      <c r="M36595" s="85"/>
    </row>
    <row r="36596" spans="9:13" x14ac:dyDescent="0.3">
      <c r="I36596" s="82"/>
      <c r="M36596" s="85"/>
    </row>
    <row r="36597" spans="9:13" x14ac:dyDescent="0.3">
      <c r="I36597" s="82"/>
      <c r="M36597" s="85"/>
    </row>
    <row r="36598" spans="9:13" x14ac:dyDescent="0.3">
      <c r="I36598" s="82"/>
      <c r="M36598" s="85"/>
    </row>
    <row r="36599" spans="9:13" x14ac:dyDescent="0.3">
      <c r="I36599" s="82"/>
      <c r="M36599" s="85"/>
    </row>
    <row r="36600" spans="9:13" x14ac:dyDescent="0.3">
      <c r="I36600" s="82"/>
      <c r="M36600" s="85"/>
    </row>
    <row r="36601" spans="9:13" x14ac:dyDescent="0.3">
      <c r="I36601" s="82"/>
      <c r="M36601" s="85"/>
    </row>
    <row r="36602" spans="9:13" x14ac:dyDescent="0.3">
      <c r="I36602" s="82"/>
      <c r="M36602" s="85"/>
    </row>
    <row r="36603" spans="9:13" x14ac:dyDescent="0.3">
      <c r="I36603" s="82"/>
      <c r="M36603" s="85"/>
    </row>
    <row r="36604" spans="9:13" x14ac:dyDescent="0.3">
      <c r="I36604" s="82"/>
      <c r="M36604" s="85"/>
    </row>
    <row r="36605" spans="9:13" x14ac:dyDescent="0.3">
      <c r="I36605" s="82"/>
      <c r="M36605" s="85"/>
    </row>
    <row r="36606" spans="9:13" x14ac:dyDescent="0.3">
      <c r="I36606" s="82"/>
      <c r="M36606" s="85"/>
    </row>
    <row r="36607" spans="9:13" x14ac:dyDescent="0.3">
      <c r="I36607" s="82"/>
      <c r="M36607" s="85"/>
    </row>
    <row r="36608" spans="9:13" x14ac:dyDescent="0.3">
      <c r="I36608" s="82"/>
      <c r="M36608" s="85"/>
    </row>
    <row r="36609" spans="9:13" x14ac:dyDescent="0.3">
      <c r="I36609" s="82"/>
      <c r="M36609" s="85"/>
    </row>
    <row r="36610" spans="9:13" x14ac:dyDescent="0.3">
      <c r="I36610" s="82"/>
      <c r="M36610" s="85"/>
    </row>
    <row r="36611" spans="9:13" x14ac:dyDescent="0.3">
      <c r="I36611" s="82"/>
      <c r="M36611" s="85"/>
    </row>
    <row r="36612" spans="9:13" x14ac:dyDescent="0.3">
      <c r="I36612" s="82"/>
      <c r="M36612" s="85"/>
    </row>
    <row r="36613" spans="9:13" x14ac:dyDescent="0.3">
      <c r="I36613" s="82"/>
      <c r="M36613" s="85"/>
    </row>
    <row r="36614" spans="9:13" x14ac:dyDescent="0.3">
      <c r="I36614" s="82"/>
      <c r="M36614" s="85"/>
    </row>
    <row r="36615" spans="9:13" x14ac:dyDescent="0.3">
      <c r="I36615" s="82"/>
      <c r="M36615" s="85"/>
    </row>
    <row r="36616" spans="9:13" x14ac:dyDescent="0.3">
      <c r="I36616" s="82"/>
      <c r="M36616" s="85"/>
    </row>
    <row r="36617" spans="9:13" x14ac:dyDescent="0.3">
      <c r="I36617" s="82"/>
      <c r="M36617" s="85"/>
    </row>
    <row r="36618" spans="9:13" x14ac:dyDescent="0.3">
      <c r="I36618" s="82"/>
      <c r="M36618" s="85"/>
    </row>
    <row r="36619" spans="9:13" x14ac:dyDescent="0.3">
      <c r="I36619" s="82"/>
      <c r="M36619" s="85"/>
    </row>
    <row r="36620" spans="9:13" x14ac:dyDescent="0.3">
      <c r="I36620" s="82"/>
      <c r="M36620" s="85"/>
    </row>
    <row r="36621" spans="9:13" x14ac:dyDescent="0.3">
      <c r="I36621" s="82"/>
      <c r="M36621" s="85"/>
    </row>
    <row r="36622" spans="9:13" x14ac:dyDescent="0.3">
      <c r="I36622" s="82"/>
      <c r="M36622" s="85"/>
    </row>
    <row r="36623" spans="9:13" x14ac:dyDescent="0.3">
      <c r="I36623" s="82"/>
      <c r="M36623" s="85"/>
    </row>
    <row r="36624" spans="9:13" x14ac:dyDescent="0.3">
      <c r="I36624" s="82"/>
      <c r="M36624" s="85"/>
    </row>
    <row r="36625" spans="9:13" x14ac:dyDescent="0.3">
      <c r="I36625" s="82"/>
      <c r="M36625" s="85"/>
    </row>
    <row r="36626" spans="9:13" x14ac:dyDescent="0.3">
      <c r="I36626" s="82"/>
      <c r="M36626" s="85"/>
    </row>
    <row r="36627" spans="9:13" x14ac:dyDescent="0.3">
      <c r="I36627" s="82"/>
      <c r="M36627" s="85"/>
    </row>
    <row r="36628" spans="9:13" x14ac:dyDescent="0.3">
      <c r="I36628" s="82"/>
      <c r="M36628" s="85"/>
    </row>
    <row r="36629" spans="9:13" x14ac:dyDescent="0.3">
      <c r="I36629" s="82"/>
      <c r="M36629" s="85"/>
    </row>
    <row r="36630" spans="9:13" x14ac:dyDescent="0.3">
      <c r="I36630" s="82"/>
      <c r="M36630" s="85"/>
    </row>
    <row r="36631" spans="9:13" x14ac:dyDescent="0.3">
      <c r="I36631" s="82"/>
      <c r="M36631" s="85"/>
    </row>
    <row r="36632" spans="9:13" x14ac:dyDescent="0.3">
      <c r="I36632" s="82"/>
      <c r="M36632" s="85"/>
    </row>
    <row r="36633" spans="9:13" x14ac:dyDescent="0.3">
      <c r="I36633" s="82"/>
      <c r="M36633" s="85"/>
    </row>
    <row r="36634" spans="9:13" x14ac:dyDescent="0.3">
      <c r="I36634" s="82"/>
      <c r="M36634" s="85"/>
    </row>
    <row r="36635" spans="9:13" x14ac:dyDescent="0.3">
      <c r="I36635" s="82"/>
      <c r="M36635" s="85"/>
    </row>
    <row r="36636" spans="9:13" x14ac:dyDescent="0.3">
      <c r="I36636" s="82"/>
      <c r="M36636" s="85"/>
    </row>
    <row r="36637" spans="9:13" x14ac:dyDescent="0.3">
      <c r="I36637" s="82"/>
      <c r="M36637" s="85"/>
    </row>
    <row r="36638" spans="9:13" x14ac:dyDescent="0.3">
      <c r="I36638" s="82"/>
      <c r="M36638" s="85"/>
    </row>
    <row r="36639" spans="9:13" x14ac:dyDescent="0.3">
      <c r="I36639" s="82"/>
      <c r="M36639" s="85"/>
    </row>
    <row r="36640" spans="9:13" x14ac:dyDescent="0.3">
      <c r="I36640" s="82"/>
      <c r="M36640" s="85"/>
    </row>
    <row r="36641" spans="9:13" x14ac:dyDescent="0.3">
      <c r="I36641" s="82"/>
      <c r="M36641" s="85"/>
    </row>
    <row r="36642" spans="9:13" x14ac:dyDescent="0.3">
      <c r="I36642" s="82"/>
      <c r="M36642" s="85"/>
    </row>
    <row r="36643" spans="9:13" x14ac:dyDescent="0.3">
      <c r="I36643" s="82"/>
      <c r="M36643" s="85"/>
    </row>
    <row r="36644" spans="9:13" x14ac:dyDescent="0.3">
      <c r="I36644" s="82"/>
      <c r="M36644" s="85"/>
    </row>
    <row r="36645" spans="9:13" x14ac:dyDescent="0.3">
      <c r="I36645" s="82"/>
      <c r="M36645" s="85"/>
    </row>
    <row r="36646" spans="9:13" x14ac:dyDescent="0.3">
      <c r="I36646" s="82"/>
      <c r="M36646" s="85"/>
    </row>
    <row r="36647" spans="9:13" x14ac:dyDescent="0.3">
      <c r="I36647" s="82"/>
      <c r="M36647" s="85"/>
    </row>
    <row r="36648" spans="9:13" x14ac:dyDescent="0.3">
      <c r="I36648" s="82"/>
      <c r="M36648" s="85"/>
    </row>
    <row r="36649" spans="9:13" x14ac:dyDescent="0.3">
      <c r="I36649" s="82"/>
      <c r="M36649" s="85"/>
    </row>
    <row r="36650" spans="9:13" x14ac:dyDescent="0.3">
      <c r="I36650" s="82"/>
      <c r="M36650" s="85"/>
    </row>
    <row r="36651" spans="9:13" x14ac:dyDescent="0.3">
      <c r="I36651" s="82"/>
      <c r="M36651" s="85"/>
    </row>
    <row r="36652" spans="9:13" x14ac:dyDescent="0.3">
      <c r="I36652" s="82"/>
      <c r="M36652" s="85"/>
    </row>
    <row r="36653" spans="9:13" x14ac:dyDescent="0.3">
      <c r="I36653" s="82"/>
      <c r="M36653" s="85"/>
    </row>
    <row r="36654" spans="9:13" x14ac:dyDescent="0.3">
      <c r="I36654" s="82"/>
      <c r="M36654" s="85"/>
    </row>
    <row r="36655" spans="9:13" x14ac:dyDescent="0.3">
      <c r="I36655" s="82"/>
      <c r="M36655" s="85"/>
    </row>
    <row r="36656" spans="9:13" x14ac:dyDescent="0.3">
      <c r="I36656" s="82"/>
      <c r="M36656" s="85"/>
    </row>
    <row r="36657" spans="9:13" x14ac:dyDescent="0.3">
      <c r="I36657" s="82"/>
      <c r="M36657" s="85"/>
    </row>
    <row r="36658" spans="9:13" x14ac:dyDescent="0.3">
      <c r="I36658" s="82"/>
      <c r="M36658" s="85"/>
    </row>
    <row r="36659" spans="9:13" x14ac:dyDescent="0.3">
      <c r="I36659" s="82"/>
      <c r="M36659" s="85"/>
    </row>
    <row r="36660" spans="9:13" x14ac:dyDescent="0.3">
      <c r="I36660" s="82"/>
      <c r="M36660" s="85"/>
    </row>
    <row r="36661" spans="9:13" x14ac:dyDescent="0.3">
      <c r="I36661" s="82"/>
      <c r="M36661" s="85"/>
    </row>
    <row r="36662" spans="9:13" x14ac:dyDescent="0.3">
      <c r="I36662" s="82"/>
      <c r="M36662" s="85"/>
    </row>
    <row r="36663" spans="9:13" x14ac:dyDescent="0.3">
      <c r="I36663" s="82"/>
      <c r="M36663" s="85"/>
    </row>
    <row r="36664" spans="9:13" x14ac:dyDescent="0.3">
      <c r="I36664" s="82"/>
      <c r="M36664" s="85"/>
    </row>
    <row r="36665" spans="9:13" x14ac:dyDescent="0.3">
      <c r="I36665" s="82"/>
      <c r="M36665" s="85"/>
    </row>
    <row r="36666" spans="9:13" x14ac:dyDescent="0.3">
      <c r="I36666" s="82"/>
      <c r="M36666" s="85"/>
    </row>
    <row r="36667" spans="9:13" x14ac:dyDescent="0.3">
      <c r="I36667" s="82"/>
      <c r="M36667" s="85"/>
    </row>
    <row r="36668" spans="9:13" x14ac:dyDescent="0.3">
      <c r="I36668" s="82"/>
      <c r="M36668" s="85"/>
    </row>
    <row r="36669" spans="9:13" x14ac:dyDescent="0.3">
      <c r="I36669" s="82"/>
      <c r="M36669" s="85"/>
    </row>
    <row r="36670" spans="9:13" x14ac:dyDescent="0.3">
      <c r="I36670" s="82"/>
      <c r="M36670" s="85"/>
    </row>
    <row r="36671" spans="9:13" x14ac:dyDescent="0.3">
      <c r="I36671" s="82"/>
      <c r="M36671" s="85"/>
    </row>
    <row r="36672" spans="9:13" x14ac:dyDescent="0.3">
      <c r="I36672" s="82"/>
      <c r="M36672" s="85"/>
    </row>
    <row r="36673" spans="9:13" x14ac:dyDescent="0.3">
      <c r="I36673" s="82"/>
      <c r="M36673" s="85"/>
    </row>
    <row r="36674" spans="9:13" x14ac:dyDescent="0.3">
      <c r="I36674" s="82"/>
      <c r="M36674" s="85"/>
    </row>
    <row r="36675" spans="9:13" x14ac:dyDescent="0.3">
      <c r="I36675" s="82"/>
      <c r="M36675" s="85"/>
    </row>
    <row r="36676" spans="9:13" x14ac:dyDescent="0.3">
      <c r="I36676" s="82"/>
      <c r="M36676" s="85"/>
    </row>
    <row r="36677" spans="9:13" x14ac:dyDescent="0.3">
      <c r="I36677" s="82"/>
      <c r="M36677" s="85"/>
    </row>
    <row r="36678" spans="9:13" x14ac:dyDescent="0.3">
      <c r="I36678" s="82"/>
      <c r="M36678" s="85"/>
    </row>
    <row r="36679" spans="9:13" x14ac:dyDescent="0.3">
      <c r="I36679" s="82"/>
      <c r="M36679" s="85"/>
    </row>
    <row r="36680" spans="9:13" x14ac:dyDescent="0.3">
      <c r="I36680" s="82"/>
      <c r="M36680" s="85"/>
    </row>
    <row r="36681" spans="9:13" x14ac:dyDescent="0.3">
      <c r="I36681" s="82"/>
      <c r="M36681" s="85"/>
    </row>
    <row r="36682" spans="9:13" x14ac:dyDescent="0.3">
      <c r="I36682" s="82"/>
      <c r="M36682" s="85"/>
    </row>
    <row r="36683" spans="9:13" x14ac:dyDescent="0.3">
      <c r="I36683" s="82"/>
      <c r="M36683" s="85"/>
    </row>
    <row r="36684" spans="9:13" x14ac:dyDescent="0.3">
      <c r="I36684" s="82"/>
      <c r="M36684" s="85"/>
    </row>
    <row r="36685" spans="9:13" x14ac:dyDescent="0.3">
      <c r="I36685" s="82"/>
      <c r="M36685" s="85"/>
    </row>
    <row r="36686" spans="9:13" x14ac:dyDescent="0.3">
      <c r="I36686" s="82"/>
      <c r="M36686" s="85"/>
    </row>
    <row r="36687" spans="9:13" x14ac:dyDescent="0.3">
      <c r="I36687" s="82"/>
      <c r="M36687" s="85"/>
    </row>
    <row r="36688" spans="9:13" x14ac:dyDescent="0.3">
      <c r="I36688" s="82"/>
      <c r="M36688" s="85"/>
    </row>
    <row r="36689" spans="9:13" x14ac:dyDescent="0.3">
      <c r="I36689" s="82"/>
      <c r="M36689" s="85"/>
    </row>
    <row r="36690" spans="9:13" x14ac:dyDescent="0.3">
      <c r="I36690" s="82"/>
      <c r="M36690" s="85"/>
    </row>
    <row r="36691" spans="9:13" x14ac:dyDescent="0.3">
      <c r="I36691" s="82"/>
      <c r="M36691" s="85"/>
    </row>
    <row r="36692" spans="9:13" x14ac:dyDescent="0.3">
      <c r="I36692" s="82"/>
      <c r="M36692" s="85"/>
    </row>
    <row r="36693" spans="9:13" x14ac:dyDescent="0.3">
      <c r="I36693" s="82"/>
      <c r="M36693" s="85"/>
    </row>
    <row r="36694" spans="9:13" x14ac:dyDescent="0.3">
      <c r="I36694" s="82"/>
      <c r="M36694" s="85"/>
    </row>
    <row r="36695" spans="9:13" x14ac:dyDescent="0.3">
      <c r="I36695" s="82"/>
      <c r="M36695" s="85"/>
    </row>
    <row r="36696" spans="9:13" x14ac:dyDescent="0.3">
      <c r="I36696" s="82"/>
      <c r="M36696" s="85"/>
    </row>
    <row r="36697" spans="9:13" x14ac:dyDescent="0.3">
      <c r="I36697" s="82"/>
      <c r="M36697" s="85"/>
    </row>
    <row r="36698" spans="9:13" x14ac:dyDescent="0.3">
      <c r="I36698" s="82"/>
      <c r="M36698" s="85"/>
    </row>
    <row r="36699" spans="9:13" x14ac:dyDescent="0.3">
      <c r="I36699" s="82"/>
      <c r="M36699" s="85"/>
    </row>
    <row r="36700" spans="9:13" x14ac:dyDescent="0.3">
      <c r="I36700" s="82"/>
      <c r="M36700" s="85"/>
    </row>
    <row r="36701" spans="9:13" x14ac:dyDescent="0.3">
      <c r="I36701" s="82"/>
      <c r="M36701" s="85"/>
    </row>
    <row r="36702" spans="9:13" x14ac:dyDescent="0.3">
      <c r="I36702" s="82"/>
      <c r="M36702" s="85"/>
    </row>
    <row r="36703" spans="9:13" x14ac:dyDescent="0.3">
      <c r="I36703" s="82"/>
      <c r="M36703" s="85"/>
    </row>
    <row r="36704" spans="9:13" x14ac:dyDescent="0.3">
      <c r="I36704" s="82"/>
      <c r="M36704" s="85"/>
    </row>
    <row r="36705" spans="9:13" x14ac:dyDescent="0.3">
      <c r="I36705" s="82"/>
      <c r="M36705" s="85"/>
    </row>
    <row r="36706" spans="9:13" x14ac:dyDescent="0.3">
      <c r="I36706" s="82"/>
      <c r="M36706" s="85"/>
    </row>
    <row r="36707" spans="9:13" x14ac:dyDescent="0.3">
      <c r="I36707" s="82"/>
      <c r="M36707" s="85"/>
    </row>
    <row r="36708" spans="9:13" x14ac:dyDescent="0.3">
      <c r="I36708" s="82"/>
      <c r="M36708" s="85"/>
    </row>
    <row r="36709" spans="9:13" x14ac:dyDescent="0.3">
      <c r="I36709" s="82"/>
      <c r="M36709" s="85"/>
    </row>
    <row r="36710" spans="9:13" x14ac:dyDescent="0.3">
      <c r="I36710" s="82"/>
      <c r="M36710" s="85"/>
    </row>
    <row r="36711" spans="9:13" x14ac:dyDescent="0.3">
      <c r="I36711" s="82"/>
      <c r="M36711" s="85"/>
    </row>
    <row r="36712" spans="9:13" x14ac:dyDescent="0.3">
      <c r="I36712" s="82"/>
      <c r="M36712" s="85"/>
    </row>
    <row r="36713" spans="9:13" x14ac:dyDescent="0.3">
      <c r="I36713" s="82"/>
      <c r="M36713" s="85"/>
    </row>
    <row r="36714" spans="9:13" x14ac:dyDescent="0.3">
      <c r="I36714" s="82"/>
      <c r="M36714" s="85"/>
    </row>
    <row r="36715" spans="9:13" x14ac:dyDescent="0.3">
      <c r="I36715" s="82"/>
      <c r="M36715" s="85"/>
    </row>
    <row r="36716" spans="9:13" x14ac:dyDescent="0.3">
      <c r="I36716" s="82"/>
      <c r="M36716" s="85"/>
    </row>
    <row r="36717" spans="9:13" x14ac:dyDescent="0.3">
      <c r="I36717" s="82"/>
      <c r="M36717" s="85"/>
    </row>
    <row r="36718" spans="9:13" x14ac:dyDescent="0.3">
      <c r="I36718" s="82"/>
      <c r="M36718" s="85"/>
    </row>
    <row r="36719" spans="9:13" x14ac:dyDescent="0.3">
      <c r="I36719" s="82"/>
      <c r="M36719" s="85"/>
    </row>
    <row r="36720" spans="9:13" x14ac:dyDescent="0.3">
      <c r="I36720" s="82"/>
      <c r="M36720" s="85"/>
    </row>
    <row r="36721" spans="9:13" x14ac:dyDescent="0.3">
      <c r="I36721" s="82"/>
      <c r="M36721" s="85"/>
    </row>
    <row r="36722" spans="9:13" x14ac:dyDescent="0.3">
      <c r="I36722" s="82"/>
      <c r="M36722" s="85"/>
    </row>
    <row r="36723" spans="9:13" x14ac:dyDescent="0.3">
      <c r="I36723" s="82"/>
      <c r="M36723" s="85"/>
    </row>
    <row r="36724" spans="9:13" x14ac:dyDescent="0.3">
      <c r="I36724" s="82"/>
      <c r="M36724" s="85"/>
    </row>
    <row r="36725" spans="9:13" x14ac:dyDescent="0.3">
      <c r="I36725" s="82"/>
      <c r="M36725" s="85"/>
    </row>
    <row r="36726" spans="9:13" x14ac:dyDescent="0.3">
      <c r="I36726" s="82"/>
      <c r="M36726" s="85"/>
    </row>
    <row r="36727" spans="9:13" x14ac:dyDescent="0.3">
      <c r="I36727" s="82"/>
      <c r="M36727" s="85"/>
    </row>
    <row r="36728" spans="9:13" x14ac:dyDescent="0.3">
      <c r="I36728" s="82"/>
      <c r="M36728" s="85"/>
    </row>
    <row r="36729" spans="9:13" x14ac:dyDescent="0.3">
      <c r="I36729" s="82"/>
      <c r="M36729" s="85"/>
    </row>
    <row r="36730" spans="9:13" x14ac:dyDescent="0.3">
      <c r="I36730" s="82"/>
      <c r="M36730" s="85"/>
    </row>
    <row r="36731" spans="9:13" x14ac:dyDescent="0.3">
      <c r="I36731" s="82"/>
      <c r="M36731" s="85"/>
    </row>
    <row r="36732" spans="9:13" x14ac:dyDescent="0.3">
      <c r="I36732" s="82"/>
      <c r="M36732" s="85"/>
    </row>
    <row r="36733" spans="9:13" x14ac:dyDescent="0.3">
      <c r="I36733" s="82"/>
      <c r="M36733" s="85"/>
    </row>
    <row r="36734" spans="9:13" x14ac:dyDescent="0.3">
      <c r="I36734" s="82"/>
      <c r="M36734" s="85"/>
    </row>
    <row r="36735" spans="9:13" x14ac:dyDescent="0.3">
      <c r="I36735" s="82"/>
      <c r="M36735" s="85"/>
    </row>
    <row r="36736" spans="9:13" x14ac:dyDescent="0.3">
      <c r="I36736" s="82"/>
      <c r="M36736" s="85"/>
    </row>
    <row r="36737" spans="9:13" x14ac:dyDescent="0.3">
      <c r="I36737" s="82"/>
      <c r="M36737" s="85"/>
    </row>
    <row r="36738" spans="9:13" x14ac:dyDescent="0.3">
      <c r="I36738" s="82"/>
      <c r="M36738" s="85"/>
    </row>
    <row r="36739" spans="9:13" x14ac:dyDescent="0.3">
      <c r="I36739" s="82"/>
      <c r="M36739" s="85"/>
    </row>
    <row r="36740" spans="9:13" x14ac:dyDescent="0.3">
      <c r="I36740" s="82"/>
      <c r="M36740" s="85"/>
    </row>
    <row r="36741" spans="9:13" x14ac:dyDescent="0.3">
      <c r="I36741" s="82"/>
      <c r="M36741" s="85"/>
    </row>
    <row r="36742" spans="9:13" x14ac:dyDescent="0.3">
      <c r="I36742" s="82"/>
      <c r="M36742" s="85"/>
    </row>
    <row r="36743" spans="9:13" x14ac:dyDescent="0.3">
      <c r="I36743" s="82"/>
      <c r="M36743" s="85"/>
    </row>
    <row r="36744" spans="9:13" x14ac:dyDescent="0.3">
      <c r="I36744" s="82"/>
      <c r="M36744" s="85"/>
    </row>
    <row r="36745" spans="9:13" x14ac:dyDescent="0.3">
      <c r="I36745" s="82"/>
      <c r="M36745" s="85"/>
    </row>
    <row r="36746" spans="9:13" x14ac:dyDescent="0.3">
      <c r="I36746" s="82"/>
      <c r="M36746" s="85"/>
    </row>
    <row r="36747" spans="9:13" x14ac:dyDescent="0.3">
      <c r="I36747" s="82"/>
      <c r="M36747" s="85"/>
    </row>
    <row r="36748" spans="9:13" x14ac:dyDescent="0.3">
      <c r="I36748" s="82"/>
      <c r="M36748" s="85"/>
    </row>
    <row r="36749" spans="9:13" x14ac:dyDescent="0.3">
      <c r="I36749" s="82"/>
      <c r="M36749" s="85"/>
    </row>
    <row r="36750" spans="9:13" x14ac:dyDescent="0.3">
      <c r="I36750" s="82"/>
      <c r="M36750" s="85"/>
    </row>
    <row r="36751" spans="9:13" x14ac:dyDescent="0.3">
      <c r="I36751" s="82"/>
      <c r="M36751" s="85"/>
    </row>
    <row r="36752" spans="9:13" x14ac:dyDescent="0.3">
      <c r="I36752" s="82"/>
      <c r="M36752" s="85"/>
    </row>
    <row r="36753" spans="9:13" x14ac:dyDescent="0.3">
      <c r="I36753" s="82"/>
      <c r="M36753" s="85"/>
    </row>
    <row r="36754" spans="9:13" x14ac:dyDescent="0.3">
      <c r="I36754" s="82"/>
      <c r="M36754" s="85"/>
    </row>
    <row r="36755" spans="9:13" x14ac:dyDescent="0.3">
      <c r="I36755" s="82"/>
      <c r="M36755" s="85"/>
    </row>
    <row r="36756" spans="9:13" x14ac:dyDescent="0.3">
      <c r="I36756" s="82"/>
      <c r="M36756" s="85"/>
    </row>
    <row r="36757" spans="9:13" x14ac:dyDescent="0.3">
      <c r="I36757" s="82"/>
      <c r="M36757" s="85"/>
    </row>
    <row r="36758" spans="9:13" x14ac:dyDescent="0.3">
      <c r="I36758" s="82"/>
      <c r="M36758" s="85"/>
    </row>
    <row r="36759" spans="9:13" x14ac:dyDescent="0.3">
      <c r="I36759" s="82"/>
      <c r="M36759" s="85"/>
    </row>
    <row r="36760" spans="9:13" x14ac:dyDescent="0.3">
      <c r="I36760" s="82"/>
      <c r="M36760" s="85"/>
    </row>
    <row r="36761" spans="9:13" x14ac:dyDescent="0.3">
      <c r="I36761" s="82"/>
      <c r="M36761" s="85"/>
    </row>
    <row r="36762" spans="9:13" x14ac:dyDescent="0.3">
      <c r="I36762" s="82"/>
      <c r="M36762" s="85"/>
    </row>
    <row r="36763" spans="9:13" x14ac:dyDescent="0.3">
      <c r="I36763" s="82"/>
      <c r="M36763" s="85"/>
    </row>
    <row r="36764" spans="9:13" x14ac:dyDescent="0.3">
      <c r="I36764" s="82"/>
      <c r="M36764" s="85"/>
    </row>
    <row r="36765" spans="9:13" x14ac:dyDescent="0.3">
      <c r="I36765" s="82"/>
      <c r="M36765" s="85"/>
    </row>
    <row r="36766" spans="9:13" x14ac:dyDescent="0.3">
      <c r="I36766" s="82"/>
      <c r="M36766" s="85"/>
    </row>
    <row r="36767" spans="9:13" x14ac:dyDescent="0.3">
      <c r="I36767" s="82"/>
      <c r="M36767" s="85"/>
    </row>
    <row r="36768" spans="9:13" x14ac:dyDescent="0.3">
      <c r="I36768" s="82"/>
      <c r="M36768" s="85"/>
    </row>
    <row r="36769" spans="9:13" x14ac:dyDescent="0.3">
      <c r="I36769" s="82"/>
      <c r="M36769" s="85"/>
    </row>
    <row r="36770" spans="9:13" x14ac:dyDescent="0.3">
      <c r="I36770" s="82"/>
      <c r="M36770" s="85"/>
    </row>
    <row r="36771" spans="9:13" x14ac:dyDescent="0.3">
      <c r="I36771" s="82"/>
      <c r="M36771" s="85"/>
    </row>
    <row r="36772" spans="9:13" x14ac:dyDescent="0.3">
      <c r="I36772" s="82"/>
      <c r="M36772" s="85"/>
    </row>
    <row r="36773" spans="9:13" x14ac:dyDescent="0.3">
      <c r="I36773" s="82"/>
      <c r="M36773" s="85"/>
    </row>
    <row r="36774" spans="9:13" x14ac:dyDescent="0.3">
      <c r="I36774" s="82"/>
      <c r="M36774" s="85"/>
    </row>
    <row r="36775" spans="9:13" x14ac:dyDescent="0.3">
      <c r="I36775" s="82"/>
      <c r="M36775" s="85"/>
    </row>
    <row r="36776" spans="9:13" x14ac:dyDescent="0.3">
      <c r="I36776" s="82"/>
      <c r="M36776" s="85"/>
    </row>
    <row r="36777" spans="9:13" x14ac:dyDescent="0.3">
      <c r="I36777" s="82"/>
      <c r="M36777" s="85"/>
    </row>
    <row r="36778" spans="9:13" x14ac:dyDescent="0.3">
      <c r="I36778" s="82"/>
      <c r="M36778" s="85"/>
    </row>
    <row r="36779" spans="9:13" x14ac:dyDescent="0.3">
      <c r="I36779" s="82"/>
      <c r="M36779" s="85"/>
    </row>
    <row r="36780" spans="9:13" x14ac:dyDescent="0.3">
      <c r="I36780" s="82"/>
      <c r="M36780" s="85"/>
    </row>
    <row r="36781" spans="9:13" x14ac:dyDescent="0.3">
      <c r="I36781" s="82"/>
      <c r="M36781" s="85"/>
    </row>
    <row r="36782" spans="9:13" x14ac:dyDescent="0.3">
      <c r="I36782" s="82"/>
      <c r="M36782" s="85"/>
    </row>
    <row r="36783" spans="9:13" x14ac:dyDescent="0.3">
      <c r="I36783" s="82"/>
      <c r="M36783" s="85"/>
    </row>
    <row r="36784" spans="9:13" x14ac:dyDescent="0.3">
      <c r="I36784" s="82"/>
      <c r="M36784" s="85"/>
    </row>
    <row r="36785" spans="9:13" x14ac:dyDescent="0.3">
      <c r="I36785" s="82"/>
      <c r="M36785" s="85"/>
    </row>
    <row r="36786" spans="9:13" x14ac:dyDescent="0.3">
      <c r="I36786" s="82"/>
      <c r="M36786" s="85"/>
    </row>
    <row r="36787" spans="9:13" x14ac:dyDescent="0.3">
      <c r="I36787" s="82"/>
      <c r="M36787" s="85"/>
    </row>
    <row r="36788" spans="9:13" x14ac:dyDescent="0.3">
      <c r="I36788" s="82"/>
      <c r="M36788" s="85"/>
    </row>
    <row r="36789" spans="9:13" x14ac:dyDescent="0.3">
      <c r="I36789" s="82"/>
      <c r="M36789" s="85"/>
    </row>
    <row r="36790" spans="9:13" x14ac:dyDescent="0.3">
      <c r="I36790" s="82"/>
      <c r="M36790" s="85"/>
    </row>
    <row r="36791" spans="9:13" x14ac:dyDescent="0.3">
      <c r="I36791" s="82"/>
      <c r="M36791" s="85"/>
    </row>
    <row r="36792" spans="9:13" x14ac:dyDescent="0.3">
      <c r="I36792" s="82"/>
      <c r="M36792" s="85"/>
    </row>
    <row r="36793" spans="9:13" x14ac:dyDescent="0.3">
      <c r="I36793" s="82"/>
      <c r="M36793" s="85"/>
    </row>
    <row r="36794" spans="9:13" x14ac:dyDescent="0.3">
      <c r="I36794" s="82"/>
      <c r="M36794" s="85"/>
    </row>
    <row r="36795" spans="9:13" x14ac:dyDescent="0.3">
      <c r="I36795" s="82"/>
      <c r="M36795" s="85"/>
    </row>
    <row r="36796" spans="9:13" x14ac:dyDescent="0.3">
      <c r="I36796" s="82"/>
      <c r="M36796" s="85"/>
    </row>
    <row r="36797" spans="9:13" x14ac:dyDescent="0.3">
      <c r="I36797" s="82"/>
      <c r="M36797" s="85"/>
    </row>
    <row r="36798" spans="9:13" x14ac:dyDescent="0.3">
      <c r="I36798" s="82"/>
      <c r="M36798" s="85"/>
    </row>
    <row r="36799" spans="9:13" x14ac:dyDescent="0.3">
      <c r="I36799" s="82"/>
      <c r="M36799" s="85"/>
    </row>
    <row r="36800" spans="9:13" x14ac:dyDescent="0.3">
      <c r="I36800" s="82"/>
      <c r="M36800" s="85"/>
    </row>
    <row r="36801" spans="9:13" x14ac:dyDescent="0.3">
      <c r="I36801" s="82"/>
      <c r="M36801" s="85"/>
    </row>
    <row r="36802" spans="9:13" x14ac:dyDescent="0.3">
      <c r="I36802" s="82"/>
      <c r="M36802" s="85"/>
    </row>
    <row r="36803" spans="9:13" x14ac:dyDescent="0.3">
      <c r="I36803" s="82"/>
      <c r="M36803" s="85"/>
    </row>
    <row r="36804" spans="9:13" x14ac:dyDescent="0.3">
      <c r="I36804" s="82"/>
      <c r="M36804" s="85"/>
    </row>
    <row r="36805" spans="9:13" x14ac:dyDescent="0.3">
      <c r="I36805" s="82"/>
      <c r="M36805" s="85"/>
    </row>
    <row r="36806" spans="9:13" x14ac:dyDescent="0.3">
      <c r="I36806" s="82"/>
      <c r="M36806" s="85"/>
    </row>
    <row r="36807" spans="9:13" x14ac:dyDescent="0.3">
      <c r="I36807" s="82"/>
      <c r="M36807" s="85"/>
    </row>
    <row r="36808" spans="9:13" x14ac:dyDescent="0.3">
      <c r="I36808" s="82"/>
      <c r="M36808" s="85"/>
    </row>
    <row r="36809" spans="9:13" x14ac:dyDescent="0.3">
      <c r="I36809" s="82"/>
      <c r="M36809" s="85"/>
    </row>
    <row r="36810" spans="9:13" x14ac:dyDescent="0.3">
      <c r="I36810" s="82"/>
      <c r="M36810" s="85"/>
    </row>
    <row r="36811" spans="9:13" x14ac:dyDescent="0.3">
      <c r="I36811" s="82"/>
      <c r="M36811" s="85"/>
    </row>
    <row r="36812" spans="9:13" x14ac:dyDescent="0.3">
      <c r="I36812" s="82"/>
      <c r="M36812" s="85"/>
    </row>
    <row r="36813" spans="9:13" x14ac:dyDescent="0.3">
      <c r="I36813" s="82"/>
      <c r="M36813" s="85"/>
    </row>
    <row r="36814" spans="9:13" x14ac:dyDescent="0.3">
      <c r="I36814" s="82"/>
      <c r="M36814" s="85"/>
    </row>
    <row r="36815" spans="9:13" x14ac:dyDescent="0.3">
      <c r="I36815" s="82"/>
      <c r="M36815" s="85"/>
    </row>
    <row r="36816" spans="9:13" x14ac:dyDescent="0.3">
      <c r="I36816" s="82"/>
      <c r="M36816" s="85"/>
    </row>
    <row r="36817" spans="9:13" x14ac:dyDescent="0.3">
      <c r="I36817" s="82"/>
      <c r="M36817" s="85"/>
    </row>
    <row r="36818" spans="9:13" x14ac:dyDescent="0.3">
      <c r="I36818" s="82"/>
      <c r="M36818" s="85"/>
    </row>
    <row r="36819" spans="9:13" x14ac:dyDescent="0.3">
      <c r="I36819" s="82"/>
      <c r="M36819" s="85"/>
    </row>
    <row r="36820" spans="9:13" x14ac:dyDescent="0.3">
      <c r="I36820" s="82"/>
      <c r="M36820" s="85"/>
    </row>
    <row r="36821" spans="9:13" x14ac:dyDescent="0.3">
      <c r="I36821" s="82"/>
      <c r="M36821" s="85"/>
    </row>
    <row r="36822" spans="9:13" x14ac:dyDescent="0.3">
      <c r="I36822" s="82"/>
      <c r="M36822" s="85"/>
    </row>
    <row r="36823" spans="9:13" x14ac:dyDescent="0.3">
      <c r="I36823" s="82"/>
      <c r="M36823" s="85"/>
    </row>
    <row r="36824" spans="9:13" x14ac:dyDescent="0.3">
      <c r="I36824" s="82"/>
      <c r="M36824" s="85"/>
    </row>
    <row r="36825" spans="9:13" x14ac:dyDescent="0.3">
      <c r="I36825" s="82"/>
      <c r="M36825" s="85"/>
    </row>
    <row r="36826" spans="9:13" x14ac:dyDescent="0.3">
      <c r="I36826" s="82"/>
      <c r="M36826" s="85"/>
    </row>
    <row r="36827" spans="9:13" x14ac:dyDescent="0.3">
      <c r="I36827" s="82"/>
      <c r="M36827" s="85"/>
    </row>
    <row r="36828" spans="9:13" x14ac:dyDescent="0.3">
      <c r="I36828" s="82"/>
      <c r="M36828" s="85"/>
    </row>
    <row r="36829" spans="9:13" x14ac:dyDescent="0.3">
      <c r="I36829" s="82"/>
      <c r="M36829" s="85"/>
    </row>
    <row r="36830" spans="9:13" x14ac:dyDescent="0.3">
      <c r="I36830" s="82"/>
      <c r="M36830" s="85"/>
    </row>
    <row r="36831" spans="9:13" x14ac:dyDescent="0.3">
      <c r="I36831" s="82"/>
      <c r="M36831" s="85"/>
    </row>
    <row r="36832" spans="9:13" x14ac:dyDescent="0.3">
      <c r="I36832" s="82"/>
      <c r="M36832" s="85"/>
    </row>
    <row r="36833" spans="9:13" x14ac:dyDescent="0.3">
      <c r="I36833" s="82"/>
      <c r="M36833" s="85"/>
    </row>
    <row r="36834" spans="9:13" x14ac:dyDescent="0.3">
      <c r="I36834" s="82"/>
      <c r="M36834" s="85"/>
    </row>
    <row r="36835" spans="9:13" x14ac:dyDescent="0.3">
      <c r="I36835" s="82"/>
      <c r="M36835" s="85"/>
    </row>
    <row r="36836" spans="9:13" x14ac:dyDescent="0.3">
      <c r="I36836" s="82"/>
      <c r="M36836" s="85"/>
    </row>
    <row r="36837" spans="9:13" x14ac:dyDescent="0.3">
      <c r="I36837" s="82"/>
      <c r="M36837" s="85"/>
    </row>
    <row r="36838" spans="9:13" x14ac:dyDescent="0.3">
      <c r="I36838" s="82"/>
      <c r="M36838" s="85"/>
    </row>
    <row r="36839" spans="9:13" x14ac:dyDescent="0.3">
      <c r="I36839" s="82"/>
      <c r="M36839" s="85"/>
    </row>
    <row r="36840" spans="9:13" x14ac:dyDescent="0.3">
      <c r="I36840" s="82"/>
      <c r="M36840" s="85"/>
    </row>
    <row r="36841" spans="9:13" x14ac:dyDescent="0.3">
      <c r="I36841" s="82"/>
      <c r="M36841" s="85"/>
    </row>
    <row r="36842" spans="9:13" x14ac:dyDescent="0.3">
      <c r="I36842" s="82"/>
      <c r="M36842" s="85"/>
    </row>
    <row r="36843" spans="9:13" x14ac:dyDescent="0.3">
      <c r="I36843" s="82"/>
      <c r="M36843" s="85"/>
    </row>
    <row r="36844" spans="9:13" x14ac:dyDescent="0.3">
      <c r="I36844" s="82"/>
      <c r="M36844" s="85"/>
    </row>
    <row r="36845" spans="9:13" x14ac:dyDescent="0.3">
      <c r="I36845" s="82"/>
      <c r="M36845" s="85"/>
    </row>
    <row r="36846" spans="9:13" x14ac:dyDescent="0.3">
      <c r="I36846" s="82"/>
      <c r="M36846" s="85"/>
    </row>
    <row r="36847" spans="9:13" x14ac:dyDescent="0.3">
      <c r="I36847" s="82"/>
      <c r="M36847" s="85"/>
    </row>
    <row r="36848" spans="9:13" x14ac:dyDescent="0.3">
      <c r="I36848" s="82"/>
      <c r="M36848" s="85"/>
    </row>
    <row r="36849" spans="9:13" x14ac:dyDescent="0.3">
      <c r="I36849" s="82"/>
      <c r="M36849" s="85"/>
    </row>
    <row r="36850" spans="9:13" x14ac:dyDescent="0.3">
      <c r="I36850" s="82"/>
      <c r="M36850" s="85"/>
    </row>
    <row r="36851" spans="9:13" x14ac:dyDescent="0.3">
      <c r="I36851" s="82"/>
      <c r="M36851" s="85"/>
    </row>
    <row r="36852" spans="9:13" x14ac:dyDescent="0.3">
      <c r="I36852" s="82"/>
      <c r="M36852" s="85"/>
    </row>
    <row r="36853" spans="9:13" x14ac:dyDescent="0.3">
      <c r="I36853" s="82"/>
      <c r="M36853" s="85"/>
    </row>
    <row r="36854" spans="9:13" x14ac:dyDescent="0.3">
      <c r="I36854" s="82"/>
      <c r="M36854" s="85"/>
    </row>
    <row r="36855" spans="9:13" x14ac:dyDescent="0.3">
      <c r="I36855" s="82"/>
      <c r="M36855" s="85"/>
    </row>
    <row r="36856" spans="9:13" x14ac:dyDescent="0.3">
      <c r="I36856" s="82"/>
      <c r="M36856" s="85"/>
    </row>
    <row r="36857" spans="9:13" x14ac:dyDescent="0.3">
      <c r="I36857" s="82"/>
      <c r="M36857" s="85"/>
    </row>
    <row r="36858" spans="9:13" x14ac:dyDescent="0.3">
      <c r="I36858" s="82"/>
      <c r="M36858" s="85"/>
    </row>
    <row r="36859" spans="9:13" x14ac:dyDescent="0.3">
      <c r="I36859" s="82"/>
      <c r="M36859" s="85"/>
    </row>
    <row r="36860" spans="9:13" x14ac:dyDescent="0.3">
      <c r="I36860" s="82"/>
      <c r="M36860" s="85"/>
    </row>
    <row r="36861" spans="9:13" x14ac:dyDescent="0.3">
      <c r="I36861" s="82"/>
      <c r="M36861" s="85"/>
    </row>
    <row r="36862" spans="9:13" x14ac:dyDescent="0.3">
      <c r="I36862" s="82"/>
      <c r="M36862" s="85"/>
    </row>
    <row r="36863" spans="9:13" x14ac:dyDescent="0.3">
      <c r="I36863" s="82"/>
      <c r="M36863" s="85"/>
    </row>
    <row r="36864" spans="9:13" x14ac:dyDescent="0.3">
      <c r="I36864" s="82"/>
      <c r="M36864" s="85"/>
    </row>
    <row r="36865" spans="9:13" x14ac:dyDescent="0.3">
      <c r="I36865" s="82"/>
      <c r="M36865" s="85"/>
    </row>
    <row r="36866" spans="9:13" x14ac:dyDescent="0.3">
      <c r="I36866" s="82"/>
      <c r="M36866" s="85"/>
    </row>
    <row r="36867" spans="9:13" x14ac:dyDescent="0.3">
      <c r="I36867" s="82"/>
      <c r="M36867" s="85"/>
    </row>
    <row r="36868" spans="9:13" x14ac:dyDescent="0.3">
      <c r="I36868" s="82"/>
      <c r="M36868" s="85"/>
    </row>
    <row r="36869" spans="9:13" x14ac:dyDescent="0.3">
      <c r="I36869" s="82"/>
      <c r="M36869" s="85"/>
    </row>
    <row r="36870" spans="9:13" x14ac:dyDescent="0.3">
      <c r="I36870" s="82"/>
      <c r="M36870" s="85"/>
    </row>
    <row r="36871" spans="9:13" x14ac:dyDescent="0.3">
      <c r="I36871" s="82"/>
      <c r="M36871" s="85"/>
    </row>
    <row r="36872" spans="9:13" x14ac:dyDescent="0.3">
      <c r="I36872" s="82"/>
      <c r="M36872" s="85"/>
    </row>
    <row r="36873" spans="9:13" x14ac:dyDescent="0.3">
      <c r="I36873" s="82"/>
      <c r="M36873" s="85"/>
    </row>
    <row r="36874" spans="9:13" x14ac:dyDescent="0.3">
      <c r="I36874" s="82"/>
      <c r="M36874" s="85"/>
    </row>
    <row r="36875" spans="9:13" x14ac:dyDescent="0.3">
      <c r="I36875" s="82"/>
      <c r="M36875" s="85"/>
    </row>
    <row r="36876" spans="9:13" x14ac:dyDescent="0.3">
      <c r="I36876" s="82"/>
      <c r="M36876" s="85"/>
    </row>
    <row r="36877" spans="9:13" x14ac:dyDescent="0.3">
      <c r="I36877" s="82"/>
      <c r="M36877" s="85"/>
    </row>
    <row r="36878" spans="9:13" x14ac:dyDescent="0.3">
      <c r="I36878" s="82"/>
      <c r="M36878" s="85"/>
    </row>
    <row r="36879" spans="9:13" x14ac:dyDescent="0.3">
      <c r="I36879" s="82"/>
      <c r="M36879" s="85"/>
    </row>
    <row r="36880" spans="9:13" x14ac:dyDescent="0.3">
      <c r="I36880" s="82"/>
      <c r="M36880" s="85"/>
    </row>
    <row r="36881" spans="9:13" x14ac:dyDescent="0.3">
      <c r="I36881" s="82"/>
      <c r="M36881" s="85"/>
    </row>
    <row r="36882" spans="9:13" x14ac:dyDescent="0.3">
      <c r="I36882" s="82"/>
      <c r="M36882" s="85"/>
    </row>
    <row r="36883" spans="9:13" x14ac:dyDescent="0.3">
      <c r="I36883" s="82"/>
      <c r="M36883" s="85"/>
    </row>
    <row r="36884" spans="9:13" x14ac:dyDescent="0.3">
      <c r="I36884" s="82"/>
      <c r="M36884" s="85"/>
    </row>
    <row r="36885" spans="9:13" x14ac:dyDescent="0.3">
      <c r="I36885" s="82"/>
      <c r="M36885" s="85"/>
    </row>
    <row r="36886" spans="9:13" x14ac:dyDescent="0.3">
      <c r="I36886" s="82"/>
      <c r="M36886" s="85"/>
    </row>
    <row r="36887" spans="9:13" x14ac:dyDescent="0.3">
      <c r="I36887" s="82"/>
      <c r="M36887" s="85"/>
    </row>
    <row r="36888" spans="9:13" x14ac:dyDescent="0.3">
      <c r="I36888" s="82"/>
      <c r="M36888" s="85"/>
    </row>
    <row r="36889" spans="9:13" x14ac:dyDescent="0.3">
      <c r="I36889" s="82"/>
      <c r="M36889" s="85"/>
    </row>
    <row r="36890" spans="9:13" x14ac:dyDescent="0.3">
      <c r="I36890" s="82"/>
      <c r="M36890" s="85"/>
    </row>
    <row r="36891" spans="9:13" x14ac:dyDescent="0.3">
      <c r="I36891" s="82"/>
      <c r="M36891" s="85"/>
    </row>
    <row r="36892" spans="9:13" x14ac:dyDescent="0.3">
      <c r="I36892" s="82"/>
      <c r="M36892" s="85"/>
    </row>
    <row r="36893" spans="9:13" x14ac:dyDescent="0.3">
      <c r="I36893" s="82"/>
      <c r="M36893" s="85"/>
    </row>
    <row r="36894" spans="9:13" x14ac:dyDescent="0.3">
      <c r="I36894" s="82"/>
      <c r="M36894" s="85"/>
    </row>
    <row r="36895" spans="9:13" x14ac:dyDescent="0.3">
      <c r="I36895" s="82"/>
      <c r="M36895" s="85"/>
    </row>
    <row r="36896" spans="9:13" x14ac:dyDescent="0.3">
      <c r="I36896" s="82"/>
      <c r="M36896" s="85"/>
    </row>
    <row r="36897" spans="9:13" x14ac:dyDescent="0.3">
      <c r="I36897" s="82"/>
      <c r="M36897" s="85"/>
    </row>
    <row r="36898" spans="9:13" x14ac:dyDescent="0.3">
      <c r="I36898" s="82"/>
      <c r="M36898" s="85"/>
    </row>
    <row r="36899" spans="9:13" x14ac:dyDescent="0.3">
      <c r="I36899" s="82"/>
      <c r="M36899" s="85"/>
    </row>
    <row r="36900" spans="9:13" x14ac:dyDescent="0.3">
      <c r="I36900" s="82"/>
      <c r="M36900" s="85"/>
    </row>
    <row r="36901" spans="9:13" x14ac:dyDescent="0.3">
      <c r="I36901" s="82"/>
      <c r="M36901" s="85"/>
    </row>
    <row r="36902" spans="9:13" x14ac:dyDescent="0.3">
      <c r="I36902" s="82"/>
      <c r="M36902" s="85"/>
    </row>
    <row r="36903" spans="9:13" x14ac:dyDescent="0.3">
      <c r="I36903" s="82"/>
      <c r="M36903" s="85"/>
    </row>
    <row r="36904" spans="9:13" x14ac:dyDescent="0.3">
      <c r="I36904" s="82"/>
      <c r="M36904" s="85"/>
    </row>
    <row r="36905" spans="9:13" x14ac:dyDescent="0.3">
      <c r="I36905" s="82"/>
      <c r="M36905" s="85"/>
    </row>
    <row r="36906" spans="9:13" x14ac:dyDescent="0.3">
      <c r="I36906" s="82"/>
      <c r="M36906" s="85"/>
    </row>
    <row r="36907" spans="9:13" x14ac:dyDescent="0.3">
      <c r="I36907" s="82"/>
      <c r="M36907" s="85"/>
    </row>
    <row r="36908" spans="9:13" x14ac:dyDescent="0.3">
      <c r="I36908" s="82"/>
      <c r="M36908" s="85"/>
    </row>
    <row r="36909" spans="9:13" x14ac:dyDescent="0.3">
      <c r="I36909" s="82"/>
      <c r="M36909" s="85"/>
    </row>
    <row r="36910" spans="9:13" x14ac:dyDescent="0.3">
      <c r="I36910" s="82"/>
      <c r="M36910" s="85"/>
    </row>
    <row r="36911" spans="9:13" x14ac:dyDescent="0.3">
      <c r="I36911" s="82"/>
      <c r="M36911" s="85"/>
    </row>
    <row r="36912" spans="9:13" x14ac:dyDescent="0.3">
      <c r="I36912" s="82"/>
      <c r="M36912" s="85"/>
    </row>
    <row r="36913" spans="9:13" x14ac:dyDescent="0.3">
      <c r="I36913" s="82"/>
      <c r="M36913" s="85"/>
    </row>
    <row r="36914" spans="9:13" x14ac:dyDescent="0.3">
      <c r="I36914" s="82"/>
      <c r="M36914" s="85"/>
    </row>
    <row r="36915" spans="9:13" x14ac:dyDescent="0.3">
      <c r="I36915" s="82"/>
      <c r="M36915" s="85"/>
    </row>
    <row r="36916" spans="9:13" x14ac:dyDescent="0.3">
      <c r="I36916" s="82"/>
      <c r="M36916" s="85"/>
    </row>
    <row r="36917" spans="9:13" x14ac:dyDescent="0.3">
      <c r="I36917" s="82"/>
      <c r="M36917" s="85"/>
    </row>
    <row r="36918" spans="9:13" x14ac:dyDescent="0.3">
      <c r="I36918" s="82"/>
      <c r="M36918" s="85"/>
    </row>
    <row r="36919" spans="9:13" x14ac:dyDescent="0.3">
      <c r="I36919" s="82"/>
      <c r="M36919" s="85"/>
    </row>
    <row r="36920" spans="9:13" x14ac:dyDescent="0.3">
      <c r="I36920" s="82"/>
      <c r="M36920" s="85"/>
    </row>
    <row r="36921" spans="9:13" x14ac:dyDescent="0.3">
      <c r="I36921" s="82"/>
      <c r="M36921" s="85"/>
    </row>
    <row r="36922" spans="9:13" x14ac:dyDescent="0.3">
      <c r="I36922" s="82"/>
      <c r="M36922" s="85"/>
    </row>
    <row r="36923" spans="9:13" x14ac:dyDescent="0.3">
      <c r="I36923" s="82"/>
      <c r="M36923" s="85"/>
    </row>
    <row r="36924" spans="9:13" x14ac:dyDescent="0.3">
      <c r="I36924" s="82"/>
      <c r="M36924" s="85"/>
    </row>
    <row r="36925" spans="9:13" x14ac:dyDescent="0.3">
      <c r="I36925" s="82"/>
      <c r="M36925" s="85"/>
    </row>
    <row r="36926" spans="9:13" x14ac:dyDescent="0.3">
      <c r="I36926" s="82"/>
      <c r="M36926" s="85"/>
    </row>
    <row r="36927" spans="9:13" x14ac:dyDescent="0.3">
      <c r="I36927" s="82"/>
      <c r="M36927" s="85"/>
    </row>
    <row r="36928" spans="9:13" x14ac:dyDescent="0.3">
      <c r="I36928" s="82"/>
      <c r="M36928" s="85"/>
    </row>
    <row r="36929" spans="9:13" x14ac:dyDescent="0.3">
      <c r="I36929" s="82"/>
      <c r="M36929" s="85"/>
    </row>
    <row r="36930" spans="9:13" x14ac:dyDescent="0.3">
      <c r="I36930" s="82"/>
      <c r="M36930" s="85"/>
    </row>
    <row r="36931" spans="9:13" x14ac:dyDescent="0.3">
      <c r="I36931" s="82"/>
      <c r="M36931" s="85"/>
    </row>
    <row r="36932" spans="9:13" x14ac:dyDescent="0.3">
      <c r="I36932" s="82"/>
      <c r="M36932" s="85"/>
    </row>
    <row r="36933" spans="9:13" x14ac:dyDescent="0.3">
      <c r="I36933" s="82"/>
      <c r="M36933" s="85"/>
    </row>
    <row r="36934" spans="9:13" x14ac:dyDescent="0.3">
      <c r="I36934" s="82"/>
      <c r="M36934" s="85"/>
    </row>
    <row r="36935" spans="9:13" x14ac:dyDescent="0.3">
      <c r="I36935" s="82"/>
      <c r="M36935" s="85"/>
    </row>
    <row r="36936" spans="9:13" x14ac:dyDescent="0.3">
      <c r="I36936" s="82"/>
      <c r="M36936" s="85"/>
    </row>
    <row r="36937" spans="9:13" x14ac:dyDescent="0.3">
      <c r="I36937" s="82"/>
      <c r="M36937" s="85"/>
    </row>
    <row r="36938" spans="9:13" x14ac:dyDescent="0.3">
      <c r="I36938" s="82"/>
      <c r="M36938" s="85"/>
    </row>
    <row r="36939" spans="9:13" x14ac:dyDescent="0.3">
      <c r="I36939" s="82"/>
      <c r="M36939" s="85"/>
    </row>
    <row r="36940" spans="9:13" x14ac:dyDescent="0.3">
      <c r="I36940" s="82"/>
      <c r="M36940" s="85"/>
    </row>
    <row r="36941" spans="9:13" x14ac:dyDescent="0.3">
      <c r="I36941" s="82"/>
      <c r="M36941" s="85"/>
    </row>
    <row r="36942" spans="9:13" x14ac:dyDescent="0.3">
      <c r="I36942" s="82"/>
      <c r="M36942" s="85"/>
    </row>
    <row r="36943" spans="9:13" x14ac:dyDescent="0.3">
      <c r="I36943" s="82"/>
      <c r="M36943" s="85"/>
    </row>
    <row r="36944" spans="9:13" x14ac:dyDescent="0.3">
      <c r="I36944" s="82"/>
      <c r="M36944" s="85"/>
    </row>
    <row r="36945" spans="9:13" x14ac:dyDescent="0.3">
      <c r="I36945" s="82"/>
      <c r="M36945" s="85"/>
    </row>
    <row r="36946" spans="9:13" x14ac:dyDescent="0.3">
      <c r="I36946" s="82"/>
      <c r="M36946" s="85"/>
    </row>
    <row r="36947" spans="9:13" x14ac:dyDescent="0.3">
      <c r="I36947" s="82"/>
      <c r="M36947" s="85"/>
    </row>
    <row r="36948" spans="9:13" x14ac:dyDescent="0.3">
      <c r="I36948" s="82"/>
      <c r="M36948" s="85"/>
    </row>
    <row r="36949" spans="9:13" x14ac:dyDescent="0.3">
      <c r="I36949" s="82"/>
      <c r="M36949" s="85"/>
    </row>
    <row r="36950" spans="9:13" x14ac:dyDescent="0.3">
      <c r="I36950" s="82"/>
      <c r="M36950" s="85"/>
    </row>
    <row r="36951" spans="9:13" x14ac:dyDescent="0.3">
      <c r="I36951" s="82"/>
      <c r="M36951" s="85"/>
    </row>
    <row r="36952" spans="9:13" x14ac:dyDescent="0.3">
      <c r="I36952" s="82"/>
      <c r="M36952" s="85"/>
    </row>
    <row r="36953" spans="9:13" x14ac:dyDescent="0.3">
      <c r="I36953" s="82"/>
      <c r="M36953" s="85"/>
    </row>
    <row r="36954" spans="9:13" x14ac:dyDescent="0.3">
      <c r="I36954" s="82"/>
      <c r="M36954" s="85"/>
    </row>
    <row r="36955" spans="9:13" x14ac:dyDescent="0.3">
      <c r="I36955" s="82"/>
      <c r="M36955" s="85"/>
    </row>
    <row r="36956" spans="9:13" x14ac:dyDescent="0.3">
      <c r="I36956" s="82"/>
      <c r="M36956" s="85"/>
    </row>
    <row r="36957" spans="9:13" x14ac:dyDescent="0.3">
      <c r="I36957" s="82"/>
      <c r="M36957" s="85"/>
    </row>
    <row r="36958" spans="9:13" x14ac:dyDescent="0.3">
      <c r="I36958" s="82"/>
      <c r="M36958" s="85"/>
    </row>
    <row r="36959" spans="9:13" x14ac:dyDescent="0.3">
      <c r="I36959" s="82"/>
      <c r="M36959" s="85"/>
    </row>
    <row r="36960" spans="9:13" x14ac:dyDescent="0.3">
      <c r="I36960" s="82"/>
      <c r="M36960" s="85"/>
    </row>
    <row r="36961" spans="9:13" x14ac:dyDescent="0.3">
      <c r="I36961" s="82"/>
      <c r="M36961" s="85"/>
    </row>
    <row r="36962" spans="9:13" x14ac:dyDescent="0.3">
      <c r="I36962" s="82"/>
      <c r="M36962" s="85"/>
    </row>
    <row r="36963" spans="9:13" x14ac:dyDescent="0.3">
      <c r="I36963" s="82"/>
      <c r="M36963" s="85"/>
    </row>
    <row r="36964" spans="9:13" x14ac:dyDescent="0.3">
      <c r="I36964" s="82"/>
      <c r="M36964" s="85"/>
    </row>
    <row r="36965" spans="9:13" x14ac:dyDescent="0.3">
      <c r="I36965" s="82"/>
      <c r="M36965" s="85"/>
    </row>
    <row r="36966" spans="9:13" x14ac:dyDescent="0.3">
      <c r="I36966" s="82"/>
      <c r="M36966" s="85"/>
    </row>
    <row r="36967" spans="9:13" x14ac:dyDescent="0.3">
      <c r="I36967" s="82"/>
      <c r="M36967" s="85"/>
    </row>
    <row r="36968" spans="9:13" x14ac:dyDescent="0.3">
      <c r="I36968" s="82"/>
      <c r="M36968" s="85"/>
    </row>
    <row r="36969" spans="9:13" x14ac:dyDescent="0.3">
      <c r="I36969" s="82"/>
      <c r="M36969" s="85"/>
    </row>
    <row r="36970" spans="9:13" x14ac:dyDescent="0.3">
      <c r="I36970" s="82"/>
      <c r="M36970" s="85"/>
    </row>
    <row r="36971" spans="9:13" x14ac:dyDescent="0.3">
      <c r="I36971" s="82"/>
      <c r="M36971" s="85"/>
    </row>
    <row r="36972" spans="9:13" x14ac:dyDescent="0.3">
      <c r="I36972" s="82"/>
      <c r="M36972" s="85"/>
    </row>
    <row r="36973" spans="9:13" x14ac:dyDescent="0.3">
      <c r="I36973" s="82"/>
      <c r="M36973" s="85"/>
    </row>
    <row r="36974" spans="9:13" x14ac:dyDescent="0.3">
      <c r="I36974" s="82"/>
      <c r="M36974" s="85"/>
    </row>
    <row r="36975" spans="9:13" x14ac:dyDescent="0.3">
      <c r="I36975" s="82"/>
      <c r="M36975" s="85"/>
    </row>
    <row r="36976" spans="9:13" x14ac:dyDescent="0.3">
      <c r="I36976" s="82"/>
      <c r="M36976" s="85"/>
    </row>
    <row r="36977" spans="9:13" x14ac:dyDescent="0.3">
      <c r="I36977" s="82"/>
      <c r="M36977" s="85"/>
    </row>
    <row r="36978" spans="9:13" x14ac:dyDescent="0.3">
      <c r="I36978" s="82"/>
      <c r="M36978" s="85"/>
    </row>
    <row r="36979" spans="9:13" x14ac:dyDescent="0.3">
      <c r="I36979" s="82"/>
      <c r="M36979" s="85"/>
    </row>
    <row r="36980" spans="9:13" x14ac:dyDescent="0.3">
      <c r="I36980" s="82"/>
      <c r="M36980" s="85"/>
    </row>
    <row r="36981" spans="9:13" x14ac:dyDescent="0.3">
      <c r="I36981" s="82"/>
      <c r="M36981" s="85"/>
    </row>
    <row r="36982" spans="9:13" x14ac:dyDescent="0.3">
      <c r="I36982" s="82"/>
      <c r="M36982" s="85"/>
    </row>
    <row r="36983" spans="9:13" x14ac:dyDescent="0.3">
      <c r="I36983" s="82"/>
      <c r="M36983" s="85"/>
    </row>
    <row r="36984" spans="9:13" x14ac:dyDescent="0.3">
      <c r="I36984" s="82"/>
      <c r="M36984" s="85"/>
    </row>
    <row r="36985" spans="9:13" x14ac:dyDescent="0.3">
      <c r="I36985" s="82"/>
      <c r="M36985" s="85"/>
    </row>
    <row r="36986" spans="9:13" x14ac:dyDescent="0.3">
      <c r="I36986" s="82"/>
      <c r="M36986" s="85"/>
    </row>
    <row r="36987" spans="9:13" x14ac:dyDescent="0.3">
      <c r="I36987" s="82"/>
      <c r="M36987" s="85"/>
    </row>
    <row r="36988" spans="9:13" x14ac:dyDescent="0.3">
      <c r="I36988" s="82"/>
      <c r="M36988" s="85"/>
    </row>
    <row r="36989" spans="9:13" x14ac:dyDescent="0.3">
      <c r="I36989" s="82"/>
      <c r="M36989" s="85"/>
    </row>
    <row r="36990" spans="9:13" x14ac:dyDescent="0.3">
      <c r="I36990" s="82"/>
      <c r="M36990" s="85"/>
    </row>
    <row r="36991" spans="9:13" x14ac:dyDescent="0.3">
      <c r="I36991" s="82"/>
      <c r="M36991" s="85"/>
    </row>
    <row r="36992" spans="9:13" x14ac:dyDescent="0.3">
      <c r="I36992" s="82"/>
      <c r="M36992" s="85"/>
    </row>
    <row r="36993" spans="9:13" x14ac:dyDescent="0.3">
      <c r="I36993" s="82"/>
      <c r="M36993" s="85"/>
    </row>
    <row r="36994" spans="9:13" x14ac:dyDescent="0.3">
      <c r="I36994" s="82"/>
      <c r="M36994" s="85"/>
    </row>
    <row r="36995" spans="9:13" x14ac:dyDescent="0.3">
      <c r="I36995" s="82"/>
      <c r="M36995" s="85"/>
    </row>
    <row r="36996" spans="9:13" x14ac:dyDescent="0.3">
      <c r="I36996" s="82"/>
      <c r="M36996" s="85"/>
    </row>
    <row r="36997" spans="9:13" x14ac:dyDescent="0.3">
      <c r="I36997" s="82"/>
      <c r="M36997" s="85"/>
    </row>
    <row r="36998" spans="9:13" x14ac:dyDescent="0.3">
      <c r="I36998" s="82"/>
      <c r="M36998" s="85"/>
    </row>
    <row r="36999" spans="9:13" x14ac:dyDescent="0.3">
      <c r="I36999" s="82"/>
      <c r="M36999" s="85"/>
    </row>
    <row r="37000" spans="9:13" x14ac:dyDescent="0.3">
      <c r="I37000" s="82"/>
      <c r="M37000" s="85"/>
    </row>
    <row r="37001" spans="9:13" x14ac:dyDescent="0.3">
      <c r="I37001" s="82"/>
      <c r="M37001" s="85"/>
    </row>
    <row r="37002" spans="9:13" x14ac:dyDescent="0.3">
      <c r="I37002" s="82"/>
      <c r="M37002" s="85"/>
    </row>
    <row r="37003" spans="9:13" x14ac:dyDescent="0.3">
      <c r="I37003" s="82"/>
      <c r="M37003" s="85"/>
    </row>
    <row r="37004" spans="9:13" x14ac:dyDescent="0.3">
      <c r="I37004" s="82"/>
      <c r="M37004" s="85"/>
    </row>
    <row r="37005" spans="9:13" x14ac:dyDescent="0.3">
      <c r="I37005" s="82"/>
      <c r="M37005" s="85"/>
    </row>
    <row r="37006" spans="9:13" x14ac:dyDescent="0.3">
      <c r="I37006" s="82"/>
      <c r="M37006" s="85"/>
    </row>
    <row r="37007" spans="9:13" x14ac:dyDescent="0.3">
      <c r="I37007" s="82"/>
      <c r="M37007" s="85"/>
    </row>
    <row r="37008" spans="9:13" x14ac:dyDescent="0.3">
      <c r="I37008" s="82"/>
      <c r="M37008" s="85"/>
    </row>
    <row r="37009" spans="9:13" x14ac:dyDescent="0.3">
      <c r="I37009" s="82"/>
      <c r="M37009" s="85"/>
    </row>
    <row r="37010" spans="9:13" x14ac:dyDescent="0.3">
      <c r="I37010" s="82"/>
      <c r="M37010" s="85"/>
    </row>
    <row r="37011" spans="9:13" x14ac:dyDescent="0.3">
      <c r="I37011" s="82"/>
      <c r="M37011" s="85"/>
    </row>
    <row r="37012" spans="9:13" x14ac:dyDescent="0.3">
      <c r="I37012" s="82"/>
      <c r="M37012" s="85"/>
    </row>
    <row r="37013" spans="9:13" x14ac:dyDescent="0.3">
      <c r="I37013" s="82"/>
      <c r="M37013" s="85"/>
    </row>
    <row r="37014" spans="9:13" x14ac:dyDescent="0.3">
      <c r="I37014" s="82"/>
      <c r="M37014" s="85"/>
    </row>
    <row r="37015" spans="9:13" x14ac:dyDescent="0.3">
      <c r="I37015" s="82"/>
      <c r="M37015" s="85"/>
    </row>
    <row r="37016" spans="9:13" x14ac:dyDescent="0.3">
      <c r="I37016" s="82"/>
      <c r="M37016" s="85"/>
    </row>
    <row r="37017" spans="9:13" x14ac:dyDescent="0.3">
      <c r="I37017" s="82"/>
      <c r="M37017" s="85"/>
    </row>
    <row r="37018" spans="9:13" x14ac:dyDescent="0.3">
      <c r="I37018" s="82"/>
      <c r="M37018" s="85"/>
    </row>
    <row r="37019" spans="9:13" x14ac:dyDescent="0.3">
      <c r="I37019" s="82"/>
      <c r="M37019" s="85"/>
    </row>
    <row r="37020" spans="9:13" x14ac:dyDescent="0.3">
      <c r="I37020" s="82"/>
      <c r="M37020" s="85"/>
    </row>
    <row r="37021" spans="9:13" x14ac:dyDescent="0.3">
      <c r="I37021" s="82"/>
      <c r="M37021" s="85"/>
    </row>
    <row r="37022" spans="9:13" x14ac:dyDescent="0.3">
      <c r="I37022" s="82"/>
      <c r="M37022" s="85"/>
    </row>
    <row r="37023" spans="9:13" x14ac:dyDescent="0.3">
      <c r="I37023" s="82"/>
      <c r="M37023" s="85"/>
    </row>
    <row r="37024" spans="9:13" x14ac:dyDescent="0.3">
      <c r="I37024" s="82"/>
      <c r="M37024" s="85"/>
    </row>
    <row r="37025" spans="9:13" x14ac:dyDescent="0.3">
      <c r="I37025" s="82"/>
      <c r="M37025" s="85"/>
    </row>
    <row r="37026" spans="9:13" x14ac:dyDescent="0.3">
      <c r="I37026" s="82"/>
      <c r="M37026" s="85"/>
    </row>
    <row r="37027" spans="9:13" x14ac:dyDescent="0.3">
      <c r="I37027" s="82"/>
      <c r="M37027" s="85"/>
    </row>
    <row r="37028" spans="9:13" x14ac:dyDescent="0.3">
      <c r="I37028" s="82"/>
      <c r="M37028" s="85"/>
    </row>
    <row r="37029" spans="9:13" x14ac:dyDescent="0.3">
      <c r="I37029" s="82"/>
      <c r="M37029" s="85"/>
    </row>
    <row r="37030" spans="9:13" x14ac:dyDescent="0.3">
      <c r="I37030" s="82"/>
      <c r="M37030" s="85"/>
    </row>
    <row r="37031" spans="9:13" x14ac:dyDescent="0.3">
      <c r="I37031" s="82"/>
      <c r="M37031" s="85"/>
    </row>
    <row r="37032" spans="9:13" x14ac:dyDescent="0.3">
      <c r="I37032" s="82"/>
      <c r="M37032" s="85"/>
    </row>
    <row r="37033" spans="9:13" x14ac:dyDescent="0.3">
      <c r="I37033" s="82"/>
      <c r="M37033" s="85"/>
    </row>
    <row r="37034" spans="9:13" x14ac:dyDescent="0.3">
      <c r="I37034" s="82"/>
      <c r="M37034" s="85"/>
    </row>
    <row r="37035" spans="9:13" x14ac:dyDescent="0.3">
      <c r="I37035" s="82"/>
      <c r="M37035" s="85"/>
    </row>
    <row r="37036" spans="9:13" x14ac:dyDescent="0.3">
      <c r="I37036" s="82"/>
      <c r="M37036" s="85"/>
    </row>
    <row r="37037" spans="9:13" x14ac:dyDescent="0.3">
      <c r="I37037" s="82"/>
      <c r="M37037" s="85"/>
    </row>
    <row r="37038" spans="9:13" x14ac:dyDescent="0.3">
      <c r="I37038" s="82"/>
      <c r="M37038" s="85"/>
    </row>
    <row r="37039" spans="9:13" x14ac:dyDescent="0.3">
      <c r="I37039" s="82"/>
      <c r="M37039" s="85"/>
    </row>
    <row r="37040" spans="9:13" x14ac:dyDescent="0.3">
      <c r="I37040" s="82"/>
      <c r="M37040" s="85"/>
    </row>
    <row r="37041" spans="9:13" x14ac:dyDescent="0.3">
      <c r="I37041" s="82"/>
      <c r="M37041" s="85"/>
    </row>
    <row r="37042" spans="9:13" x14ac:dyDescent="0.3">
      <c r="I37042" s="82"/>
      <c r="M37042" s="85"/>
    </row>
    <row r="37043" spans="9:13" x14ac:dyDescent="0.3">
      <c r="I37043" s="82"/>
      <c r="M37043" s="85"/>
    </row>
    <row r="37044" spans="9:13" x14ac:dyDescent="0.3">
      <c r="I37044" s="82"/>
      <c r="M37044" s="85"/>
    </row>
    <row r="37045" spans="9:13" x14ac:dyDescent="0.3">
      <c r="I37045" s="82"/>
      <c r="M37045" s="85"/>
    </row>
    <row r="37046" spans="9:13" x14ac:dyDescent="0.3">
      <c r="I37046" s="82"/>
      <c r="M37046" s="85"/>
    </row>
    <row r="37047" spans="9:13" x14ac:dyDescent="0.3">
      <c r="I37047" s="82"/>
      <c r="M37047" s="85"/>
    </row>
    <row r="37048" spans="9:13" x14ac:dyDescent="0.3">
      <c r="I37048" s="82"/>
      <c r="M37048" s="85"/>
    </row>
    <row r="37049" spans="9:13" x14ac:dyDescent="0.3">
      <c r="I37049" s="82"/>
      <c r="M37049" s="85"/>
    </row>
    <row r="37050" spans="9:13" x14ac:dyDescent="0.3">
      <c r="I37050" s="82"/>
      <c r="M37050" s="85"/>
    </row>
    <row r="37051" spans="9:13" x14ac:dyDescent="0.3">
      <c r="I37051" s="82"/>
      <c r="M37051" s="85"/>
    </row>
    <row r="37052" spans="9:13" x14ac:dyDescent="0.3">
      <c r="I37052" s="82"/>
      <c r="M37052" s="85"/>
    </row>
    <row r="37053" spans="9:13" x14ac:dyDescent="0.3">
      <c r="I37053" s="82"/>
      <c r="M37053" s="85"/>
    </row>
    <row r="37054" spans="9:13" x14ac:dyDescent="0.3">
      <c r="I37054" s="82"/>
      <c r="M37054" s="85"/>
    </row>
    <row r="37055" spans="9:13" x14ac:dyDescent="0.3">
      <c r="I37055" s="82"/>
      <c r="M37055" s="85"/>
    </row>
    <row r="37056" spans="9:13" x14ac:dyDescent="0.3">
      <c r="I37056" s="82"/>
      <c r="M37056" s="85"/>
    </row>
    <row r="37057" spans="9:13" x14ac:dyDescent="0.3">
      <c r="I37057" s="82"/>
      <c r="M37057" s="85"/>
    </row>
    <row r="37058" spans="9:13" x14ac:dyDescent="0.3">
      <c r="I37058" s="82"/>
      <c r="M37058" s="85"/>
    </row>
    <row r="37059" spans="9:13" x14ac:dyDescent="0.3">
      <c r="I37059" s="82"/>
      <c r="M37059" s="85"/>
    </row>
    <row r="37060" spans="9:13" x14ac:dyDescent="0.3">
      <c r="I37060" s="82"/>
      <c r="M37060" s="85"/>
    </row>
    <row r="37061" spans="9:13" x14ac:dyDescent="0.3">
      <c r="I37061" s="82"/>
      <c r="M37061" s="85"/>
    </row>
    <row r="37062" spans="9:13" x14ac:dyDescent="0.3">
      <c r="I37062" s="82"/>
      <c r="M37062" s="85"/>
    </row>
    <row r="37063" spans="9:13" x14ac:dyDescent="0.3">
      <c r="I37063" s="82"/>
      <c r="M37063" s="85"/>
    </row>
    <row r="37064" spans="9:13" x14ac:dyDescent="0.3">
      <c r="I37064" s="82"/>
      <c r="M37064" s="85"/>
    </row>
    <row r="37065" spans="9:13" x14ac:dyDescent="0.3">
      <c r="I37065" s="82"/>
      <c r="M37065" s="85"/>
    </row>
    <row r="37066" spans="9:13" x14ac:dyDescent="0.3">
      <c r="I37066" s="82"/>
      <c r="M37066" s="85"/>
    </row>
    <row r="37067" spans="9:13" x14ac:dyDescent="0.3">
      <c r="I37067" s="82"/>
      <c r="M37067" s="85"/>
    </row>
    <row r="37068" spans="9:13" x14ac:dyDescent="0.3">
      <c r="I37068" s="82"/>
      <c r="M37068" s="85"/>
    </row>
    <row r="37069" spans="9:13" x14ac:dyDescent="0.3">
      <c r="I37069" s="82"/>
      <c r="M37069" s="85"/>
    </row>
    <row r="37070" spans="9:13" x14ac:dyDescent="0.3">
      <c r="I37070" s="82"/>
      <c r="M37070" s="85"/>
    </row>
    <row r="37071" spans="9:13" x14ac:dyDescent="0.3">
      <c r="I37071" s="82"/>
      <c r="M37071" s="85"/>
    </row>
    <row r="37072" spans="9:13" x14ac:dyDescent="0.3">
      <c r="I37072" s="82"/>
      <c r="M37072" s="85"/>
    </row>
    <row r="37073" spans="9:13" x14ac:dyDescent="0.3">
      <c r="I37073" s="82"/>
      <c r="M37073" s="85"/>
    </row>
    <row r="37074" spans="9:13" x14ac:dyDescent="0.3">
      <c r="I37074" s="82"/>
      <c r="M37074" s="85"/>
    </row>
    <row r="37075" spans="9:13" x14ac:dyDescent="0.3">
      <c r="I37075" s="82"/>
      <c r="M37075" s="85"/>
    </row>
    <row r="37076" spans="9:13" x14ac:dyDescent="0.3">
      <c r="I37076" s="82"/>
      <c r="M37076" s="85"/>
    </row>
    <row r="37077" spans="9:13" x14ac:dyDescent="0.3">
      <c r="I37077" s="82"/>
      <c r="M37077" s="85"/>
    </row>
    <row r="37078" spans="9:13" x14ac:dyDescent="0.3">
      <c r="I37078" s="82"/>
      <c r="M37078" s="85"/>
    </row>
    <row r="37079" spans="9:13" x14ac:dyDescent="0.3">
      <c r="I37079" s="82"/>
      <c r="M37079" s="85"/>
    </row>
    <row r="37080" spans="9:13" x14ac:dyDescent="0.3">
      <c r="I37080" s="82"/>
      <c r="M37080" s="85"/>
    </row>
    <row r="37081" spans="9:13" x14ac:dyDescent="0.3">
      <c r="I37081" s="82"/>
      <c r="M37081" s="85"/>
    </row>
    <row r="37082" spans="9:13" x14ac:dyDescent="0.3">
      <c r="I37082" s="82"/>
      <c r="M37082" s="85"/>
    </row>
    <row r="37083" spans="9:13" x14ac:dyDescent="0.3">
      <c r="I37083" s="82"/>
      <c r="M37083" s="85"/>
    </row>
    <row r="37084" spans="9:13" x14ac:dyDescent="0.3">
      <c r="I37084" s="82"/>
      <c r="M37084" s="85"/>
    </row>
    <row r="37085" spans="9:13" x14ac:dyDescent="0.3">
      <c r="I37085" s="82"/>
      <c r="M37085" s="85"/>
    </row>
    <row r="37086" spans="9:13" x14ac:dyDescent="0.3">
      <c r="I37086" s="82"/>
      <c r="M37086" s="85"/>
    </row>
    <row r="37087" spans="9:13" x14ac:dyDescent="0.3">
      <c r="I37087" s="82"/>
      <c r="M37087" s="85"/>
    </row>
    <row r="37088" spans="9:13" x14ac:dyDescent="0.3">
      <c r="I37088" s="82"/>
      <c r="M37088" s="85"/>
    </row>
    <row r="37089" spans="9:13" x14ac:dyDescent="0.3">
      <c r="I37089" s="82"/>
      <c r="M37089" s="85"/>
    </row>
    <row r="37090" spans="9:13" x14ac:dyDescent="0.3">
      <c r="I37090" s="82"/>
      <c r="M37090" s="85"/>
    </row>
    <row r="37091" spans="9:13" x14ac:dyDescent="0.3">
      <c r="I37091" s="82"/>
      <c r="M37091" s="85"/>
    </row>
    <row r="37092" spans="9:13" x14ac:dyDescent="0.3">
      <c r="I37092" s="82"/>
      <c r="M37092" s="85"/>
    </row>
    <row r="37093" spans="9:13" x14ac:dyDescent="0.3">
      <c r="I37093" s="82"/>
      <c r="M37093" s="85"/>
    </row>
    <row r="37094" spans="9:13" x14ac:dyDescent="0.3">
      <c r="I37094" s="82"/>
      <c r="M37094" s="85"/>
    </row>
    <row r="37095" spans="9:13" x14ac:dyDescent="0.3">
      <c r="I37095" s="82"/>
      <c r="M37095" s="85"/>
    </row>
    <row r="37096" spans="9:13" x14ac:dyDescent="0.3">
      <c r="I37096" s="82"/>
      <c r="M37096" s="85"/>
    </row>
    <row r="37097" spans="9:13" x14ac:dyDescent="0.3">
      <c r="I37097" s="82"/>
      <c r="M37097" s="85"/>
    </row>
    <row r="37098" spans="9:13" x14ac:dyDescent="0.3">
      <c r="I37098" s="82"/>
      <c r="M37098" s="85"/>
    </row>
    <row r="37099" spans="9:13" x14ac:dyDescent="0.3">
      <c r="I37099" s="82"/>
      <c r="M37099" s="85"/>
    </row>
    <row r="37100" spans="9:13" x14ac:dyDescent="0.3">
      <c r="I37100" s="82"/>
      <c r="M37100" s="85"/>
    </row>
    <row r="37101" spans="9:13" x14ac:dyDescent="0.3">
      <c r="I37101" s="82"/>
      <c r="M37101" s="85"/>
    </row>
    <row r="37102" spans="9:13" x14ac:dyDescent="0.3">
      <c r="I37102" s="82"/>
      <c r="M37102" s="85"/>
    </row>
    <row r="37103" spans="9:13" x14ac:dyDescent="0.3">
      <c r="I37103" s="82"/>
      <c r="M37103" s="85"/>
    </row>
    <row r="37104" spans="9:13" x14ac:dyDescent="0.3">
      <c r="I37104" s="82"/>
      <c r="M37104" s="85"/>
    </row>
    <row r="37105" spans="9:13" x14ac:dyDescent="0.3">
      <c r="I37105" s="82"/>
      <c r="M37105" s="85"/>
    </row>
    <row r="37106" spans="9:13" x14ac:dyDescent="0.3">
      <c r="I37106" s="82"/>
      <c r="M37106" s="85"/>
    </row>
    <row r="37107" spans="9:13" x14ac:dyDescent="0.3">
      <c r="I37107" s="82"/>
      <c r="M37107" s="85"/>
    </row>
    <row r="37108" spans="9:13" x14ac:dyDescent="0.3">
      <c r="I37108" s="82"/>
      <c r="M37108" s="85"/>
    </row>
    <row r="37109" spans="9:13" x14ac:dyDescent="0.3">
      <c r="I37109" s="82"/>
      <c r="M37109" s="85"/>
    </row>
    <row r="37110" spans="9:13" x14ac:dyDescent="0.3">
      <c r="I37110" s="82"/>
      <c r="M37110" s="85"/>
    </row>
    <row r="37111" spans="9:13" x14ac:dyDescent="0.3">
      <c r="I37111" s="82"/>
      <c r="M37111" s="85"/>
    </row>
    <row r="37112" spans="9:13" x14ac:dyDescent="0.3">
      <c r="I37112" s="82"/>
      <c r="M37112" s="85"/>
    </row>
    <row r="37113" spans="9:13" x14ac:dyDescent="0.3">
      <c r="I37113" s="82"/>
      <c r="M37113" s="85"/>
    </row>
    <row r="37114" spans="9:13" x14ac:dyDescent="0.3">
      <c r="I37114" s="82"/>
      <c r="M37114" s="85"/>
    </row>
    <row r="37115" spans="9:13" x14ac:dyDescent="0.3">
      <c r="I37115" s="82"/>
      <c r="M37115" s="85"/>
    </row>
    <row r="37116" spans="9:13" x14ac:dyDescent="0.3">
      <c r="I37116" s="82"/>
      <c r="M37116" s="85"/>
    </row>
    <row r="37117" spans="9:13" x14ac:dyDescent="0.3">
      <c r="I37117" s="82"/>
      <c r="M37117" s="85"/>
    </row>
    <row r="37118" spans="9:13" x14ac:dyDescent="0.3">
      <c r="I37118" s="82"/>
      <c r="M37118" s="85"/>
    </row>
    <row r="37119" spans="9:13" x14ac:dyDescent="0.3">
      <c r="I37119" s="82"/>
      <c r="M37119" s="85"/>
    </row>
    <row r="37120" spans="9:13" x14ac:dyDescent="0.3">
      <c r="I37120" s="82"/>
      <c r="M37120" s="85"/>
    </row>
    <row r="37121" spans="9:13" x14ac:dyDescent="0.3">
      <c r="I37121" s="82"/>
      <c r="M37121" s="85"/>
    </row>
    <row r="37122" spans="9:13" x14ac:dyDescent="0.3">
      <c r="I37122" s="82"/>
      <c r="M37122" s="85"/>
    </row>
    <row r="37123" spans="9:13" x14ac:dyDescent="0.3">
      <c r="I37123" s="82"/>
      <c r="M37123" s="85"/>
    </row>
    <row r="37124" spans="9:13" x14ac:dyDescent="0.3">
      <c r="I37124" s="82"/>
      <c r="M37124" s="85"/>
    </row>
    <row r="37125" spans="9:13" x14ac:dyDescent="0.3">
      <c r="I37125" s="82"/>
      <c r="M37125" s="85"/>
    </row>
    <row r="37126" spans="9:13" x14ac:dyDescent="0.3">
      <c r="I37126" s="82"/>
      <c r="M37126" s="85"/>
    </row>
    <row r="37127" spans="9:13" x14ac:dyDescent="0.3">
      <c r="I37127" s="82"/>
      <c r="M37127" s="85"/>
    </row>
    <row r="37128" spans="9:13" x14ac:dyDescent="0.3">
      <c r="I37128" s="82"/>
      <c r="M37128" s="85"/>
    </row>
    <row r="37129" spans="9:13" x14ac:dyDescent="0.3">
      <c r="I37129" s="82"/>
      <c r="M37129" s="85"/>
    </row>
    <row r="37130" spans="9:13" x14ac:dyDescent="0.3">
      <c r="I37130" s="82"/>
      <c r="M37130" s="85"/>
    </row>
    <row r="37131" spans="9:13" x14ac:dyDescent="0.3">
      <c r="I37131" s="82"/>
      <c r="M37131" s="85"/>
    </row>
    <row r="37132" spans="9:13" x14ac:dyDescent="0.3">
      <c r="I37132" s="82"/>
      <c r="M37132" s="85"/>
    </row>
    <row r="37133" spans="9:13" x14ac:dyDescent="0.3">
      <c r="I37133" s="82"/>
      <c r="M37133" s="85"/>
    </row>
    <row r="37134" spans="9:13" x14ac:dyDescent="0.3">
      <c r="I37134" s="82"/>
      <c r="M37134" s="85"/>
    </row>
    <row r="37135" spans="9:13" x14ac:dyDescent="0.3">
      <c r="I37135" s="82"/>
      <c r="M37135" s="85"/>
    </row>
    <row r="37136" spans="9:13" x14ac:dyDescent="0.3">
      <c r="I37136" s="82"/>
      <c r="M37136" s="85"/>
    </row>
    <row r="37137" spans="9:13" x14ac:dyDescent="0.3">
      <c r="I37137" s="82"/>
      <c r="M37137" s="85"/>
    </row>
    <row r="37138" spans="9:13" x14ac:dyDescent="0.3">
      <c r="I37138" s="82"/>
      <c r="M37138" s="85"/>
    </row>
    <row r="37139" spans="9:13" x14ac:dyDescent="0.3">
      <c r="I37139" s="82"/>
      <c r="M37139" s="85"/>
    </row>
    <row r="37140" spans="9:13" x14ac:dyDescent="0.3">
      <c r="I37140" s="82"/>
      <c r="M37140" s="85"/>
    </row>
    <row r="37141" spans="9:13" x14ac:dyDescent="0.3">
      <c r="I37141" s="82"/>
      <c r="M37141" s="85"/>
    </row>
    <row r="37142" spans="9:13" x14ac:dyDescent="0.3">
      <c r="I37142" s="82"/>
      <c r="M37142" s="85"/>
    </row>
    <row r="37143" spans="9:13" x14ac:dyDescent="0.3">
      <c r="I37143" s="82"/>
      <c r="M37143" s="85"/>
    </row>
    <row r="37144" spans="9:13" x14ac:dyDescent="0.3">
      <c r="I37144" s="82"/>
      <c r="M37144" s="85"/>
    </row>
    <row r="37145" spans="9:13" x14ac:dyDescent="0.3">
      <c r="I37145" s="82"/>
      <c r="M37145" s="85"/>
    </row>
    <row r="37146" spans="9:13" x14ac:dyDescent="0.3">
      <c r="I37146" s="82"/>
      <c r="M37146" s="85"/>
    </row>
    <row r="37147" spans="9:13" x14ac:dyDescent="0.3">
      <c r="I37147" s="82"/>
      <c r="M37147" s="85"/>
    </row>
    <row r="37148" spans="9:13" x14ac:dyDescent="0.3">
      <c r="I37148" s="82"/>
      <c r="M37148" s="85"/>
    </row>
    <row r="37149" spans="9:13" x14ac:dyDescent="0.3">
      <c r="I37149" s="82"/>
      <c r="M37149" s="85"/>
    </row>
    <row r="37150" spans="9:13" x14ac:dyDescent="0.3">
      <c r="I37150" s="82"/>
      <c r="M37150" s="85"/>
    </row>
    <row r="37151" spans="9:13" x14ac:dyDescent="0.3">
      <c r="I37151" s="82"/>
      <c r="M37151" s="85"/>
    </row>
    <row r="37152" spans="9:13" x14ac:dyDescent="0.3">
      <c r="I37152" s="82"/>
      <c r="M37152" s="85"/>
    </row>
    <row r="37153" spans="9:13" x14ac:dyDescent="0.3">
      <c r="I37153" s="82"/>
      <c r="M37153" s="85"/>
    </row>
    <row r="37154" spans="9:13" x14ac:dyDescent="0.3">
      <c r="I37154" s="82"/>
      <c r="M37154" s="85"/>
    </row>
    <row r="37155" spans="9:13" x14ac:dyDescent="0.3">
      <c r="I37155" s="82"/>
      <c r="M37155" s="85"/>
    </row>
    <row r="37156" spans="9:13" x14ac:dyDescent="0.3">
      <c r="I37156" s="82"/>
      <c r="M37156" s="85"/>
    </row>
    <row r="37157" spans="9:13" x14ac:dyDescent="0.3">
      <c r="I37157" s="82"/>
      <c r="M37157" s="85"/>
    </row>
    <row r="37158" spans="9:13" x14ac:dyDescent="0.3">
      <c r="I37158" s="82"/>
      <c r="M37158" s="85"/>
    </row>
    <row r="37159" spans="9:13" x14ac:dyDescent="0.3">
      <c r="I37159" s="82"/>
      <c r="M37159" s="85"/>
    </row>
    <row r="37160" spans="9:13" x14ac:dyDescent="0.3">
      <c r="I37160" s="82"/>
      <c r="M37160" s="85"/>
    </row>
    <row r="37161" spans="9:13" x14ac:dyDescent="0.3">
      <c r="I37161" s="82"/>
      <c r="M37161" s="85"/>
    </row>
    <row r="37162" spans="9:13" x14ac:dyDescent="0.3">
      <c r="I37162" s="82"/>
      <c r="M37162" s="85"/>
    </row>
    <row r="37163" spans="9:13" x14ac:dyDescent="0.3">
      <c r="I37163" s="82"/>
      <c r="M37163" s="85"/>
    </row>
    <row r="37164" spans="9:13" x14ac:dyDescent="0.3">
      <c r="I37164" s="82"/>
      <c r="M37164" s="85"/>
    </row>
    <row r="37165" spans="9:13" x14ac:dyDescent="0.3">
      <c r="I37165" s="82"/>
      <c r="M37165" s="85"/>
    </row>
    <row r="37166" spans="9:13" x14ac:dyDescent="0.3">
      <c r="I37166" s="82"/>
      <c r="M37166" s="85"/>
    </row>
    <row r="37167" spans="9:13" x14ac:dyDescent="0.3">
      <c r="I37167" s="82"/>
      <c r="M37167" s="85"/>
    </row>
    <row r="37168" spans="9:13" x14ac:dyDescent="0.3">
      <c r="I37168" s="82"/>
      <c r="M37168" s="85"/>
    </row>
    <row r="37169" spans="9:13" x14ac:dyDescent="0.3">
      <c r="I37169" s="82"/>
      <c r="M37169" s="85"/>
    </row>
    <row r="37170" spans="9:13" x14ac:dyDescent="0.3">
      <c r="I37170" s="82"/>
      <c r="M37170" s="85"/>
    </row>
    <row r="37171" spans="9:13" x14ac:dyDescent="0.3">
      <c r="I37171" s="82"/>
      <c r="M37171" s="85"/>
    </row>
    <row r="37172" spans="9:13" x14ac:dyDescent="0.3">
      <c r="I37172" s="82"/>
      <c r="M37172" s="85"/>
    </row>
    <row r="37173" spans="9:13" x14ac:dyDescent="0.3">
      <c r="I37173" s="82"/>
      <c r="M37173" s="85"/>
    </row>
    <row r="37174" spans="9:13" x14ac:dyDescent="0.3">
      <c r="I37174" s="82"/>
      <c r="M37174" s="85"/>
    </row>
    <row r="37175" spans="9:13" x14ac:dyDescent="0.3">
      <c r="I37175" s="82"/>
      <c r="M37175" s="85"/>
    </row>
    <row r="37176" spans="9:13" x14ac:dyDescent="0.3">
      <c r="I37176" s="82"/>
      <c r="M37176" s="85"/>
    </row>
    <row r="37177" spans="9:13" x14ac:dyDescent="0.3">
      <c r="I37177" s="82"/>
      <c r="M37177" s="85"/>
    </row>
    <row r="37178" spans="9:13" x14ac:dyDescent="0.3">
      <c r="I37178" s="82"/>
      <c r="M37178" s="85"/>
    </row>
    <row r="37179" spans="9:13" x14ac:dyDescent="0.3">
      <c r="I37179" s="82"/>
      <c r="M37179" s="85"/>
    </row>
    <row r="37180" spans="9:13" x14ac:dyDescent="0.3">
      <c r="I37180" s="82"/>
      <c r="M37180" s="85"/>
    </row>
    <row r="37181" spans="9:13" x14ac:dyDescent="0.3">
      <c r="I37181" s="82"/>
      <c r="M37181" s="85"/>
    </row>
    <row r="37182" spans="9:13" x14ac:dyDescent="0.3">
      <c r="I37182" s="82"/>
      <c r="M37182" s="85"/>
    </row>
    <row r="37183" spans="9:13" x14ac:dyDescent="0.3">
      <c r="I37183" s="82"/>
      <c r="M37183" s="85"/>
    </row>
    <row r="37184" spans="9:13" x14ac:dyDescent="0.3">
      <c r="I37184" s="82"/>
      <c r="M37184" s="85"/>
    </row>
    <row r="37185" spans="9:13" x14ac:dyDescent="0.3">
      <c r="I37185" s="82"/>
      <c r="M37185" s="85"/>
    </row>
    <row r="37186" spans="9:13" x14ac:dyDescent="0.3">
      <c r="I37186" s="82"/>
      <c r="M37186" s="85"/>
    </row>
    <row r="37187" spans="9:13" x14ac:dyDescent="0.3">
      <c r="I37187" s="82"/>
      <c r="M37187" s="85"/>
    </row>
    <row r="37188" spans="9:13" x14ac:dyDescent="0.3">
      <c r="I37188" s="82"/>
      <c r="M37188" s="85"/>
    </row>
    <row r="37189" spans="9:13" x14ac:dyDescent="0.3">
      <c r="I37189" s="82"/>
      <c r="M37189" s="85"/>
    </row>
    <row r="37190" spans="9:13" x14ac:dyDescent="0.3">
      <c r="I37190" s="82"/>
      <c r="M37190" s="85"/>
    </row>
    <row r="37191" spans="9:13" x14ac:dyDescent="0.3">
      <c r="I37191" s="82"/>
      <c r="M37191" s="85"/>
    </row>
    <row r="37192" spans="9:13" x14ac:dyDescent="0.3">
      <c r="I37192" s="82"/>
      <c r="M37192" s="85"/>
    </row>
    <row r="37193" spans="9:13" x14ac:dyDescent="0.3">
      <c r="I37193" s="82"/>
      <c r="M37193" s="85"/>
    </row>
    <row r="37194" spans="9:13" x14ac:dyDescent="0.3">
      <c r="I37194" s="82"/>
      <c r="M37194" s="85"/>
    </row>
    <row r="37195" spans="9:13" x14ac:dyDescent="0.3">
      <c r="I37195" s="82"/>
      <c r="M37195" s="85"/>
    </row>
    <row r="37196" spans="9:13" x14ac:dyDescent="0.3">
      <c r="I37196" s="82"/>
      <c r="M37196" s="85"/>
    </row>
    <row r="37197" spans="9:13" x14ac:dyDescent="0.3">
      <c r="I37197" s="82"/>
      <c r="M37197" s="85"/>
    </row>
    <row r="37198" spans="9:13" x14ac:dyDescent="0.3">
      <c r="I37198" s="82"/>
      <c r="M37198" s="85"/>
    </row>
    <row r="37199" spans="9:13" x14ac:dyDescent="0.3">
      <c r="I37199" s="82"/>
      <c r="M37199" s="85"/>
    </row>
    <row r="37200" spans="9:13" x14ac:dyDescent="0.3">
      <c r="I37200" s="82"/>
      <c r="M37200" s="85"/>
    </row>
    <row r="37201" spans="9:13" x14ac:dyDescent="0.3">
      <c r="I37201" s="82"/>
      <c r="M37201" s="85"/>
    </row>
    <row r="37202" spans="9:13" x14ac:dyDescent="0.3">
      <c r="I37202" s="82"/>
      <c r="M37202" s="85"/>
    </row>
    <row r="37203" spans="9:13" x14ac:dyDescent="0.3">
      <c r="I37203" s="82"/>
      <c r="M37203" s="85"/>
    </row>
    <row r="37204" spans="9:13" x14ac:dyDescent="0.3">
      <c r="I37204" s="82"/>
      <c r="M37204" s="85"/>
    </row>
    <row r="37205" spans="9:13" x14ac:dyDescent="0.3">
      <c r="I37205" s="82"/>
      <c r="M37205" s="85"/>
    </row>
    <row r="37206" spans="9:13" x14ac:dyDescent="0.3">
      <c r="I37206" s="82"/>
      <c r="M37206" s="85"/>
    </row>
    <row r="37207" spans="9:13" x14ac:dyDescent="0.3">
      <c r="I37207" s="82"/>
      <c r="M37207" s="85"/>
    </row>
    <row r="37208" spans="9:13" x14ac:dyDescent="0.3">
      <c r="I37208" s="82"/>
      <c r="M37208" s="85"/>
    </row>
    <row r="37209" spans="9:13" x14ac:dyDescent="0.3">
      <c r="I37209" s="82"/>
      <c r="M37209" s="85"/>
    </row>
    <row r="37210" spans="9:13" x14ac:dyDescent="0.3">
      <c r="I37210" s="82"/>
      <c r="M37210" s="85"/>
    </row>
    <row r="37211" spans="9:13" x14ac:dyDescent="0.3">
      <c r="I37211" s="82"/>
      <c r="M37211" s="85"/>
    </row>
    <row r="37212" spans="9:13" x14ac:dyDescent="0.3">
      <c r="I37212" s="82"/>
      <c r="M37212" s="85"/>
    </row>
    <row r="37213" spans="9:13" x14ac:dyDescent="0.3">
      <c r="I37213" s="82"/>
      <c r="M37213" s="85"/>
    </row>
    <row r="37214" spans="9:13" x14ac:dyDescent="0.3">
      <c r="I37214" s="82"/>
      <c r="M37214" s="85"/>
    </row>
    <row r="37215" spans="9:13" x14ac:dyDescent="0.3">
      <c r="I37215" s="82"/>
      <c r="M37215" s="85"/>
    </row>
    <row r="37216" spans="9:13" x14ac:dyDescent="0.3">
      <c r="I37216" s="82"/>
      <c r="M37216" s="85"/>
    </row>
    <row r="37217" spans="9:13" x14ac:dyDescent="0.3">
      <c r="I37217" s="82"/>
      <c r="M37217" s="85"/>
    </row>
    <row r="37218" spans="9:13" x14ac:dyDescent="0.3">
      <c r="I37218" s="82"/>
      <c r="M37218" s="85"/>
    </row>
    <row r="37219" spans="9:13" x14ac:dyDescent="0.3">
      <c r="I37219" s="82"/>
      <c r="M37219" s="85"/>
    </row>
    <row r="37220" spans="9:13" x14ac:dyDescent="0.3">
      <c r="I37220" s="82"/>
      <c r="M37220" s="85"/>
    </row>
    <row r="37221" spans="9:13" x14ac:dyDescent="0.3">
      <c r="I37221" s="82"/>
      <c r="M37221" s="85"/>
    </row>
    <row r="37222" spans="9:13" x14ac:dyDescent="0.3">
      <c r="I37222" s="82"/>
      <c r="M37222" s="85"/>
    </row>
    <row r="37223" spans="9:13" x14ac:dyDescent="0.3">
      <c r="I37223" s="82"/>
      <c r="M37223" s="85"/>
    </row>
    <row r="37224" spans="9:13" x14ac:dyDescent="0.3">
      <c r="I37224" s="82"/>
      <c r="M37224" s="85"/>
    </row>
    <row r="37225" spans="9:13" x14ac:dyDescent="0.3">
      <c r="I37225" s="82"/>
      <c r="M37225" s="85"/>
    </row>
    <row r="37226" spans="9:13" x14ac:dyDescent="0.3">
      <c r="I37226" s="82"/>
      <c r="M37226" s="85"/>
    </row>
    <row r="37227" spans="9:13" x14ac:dyDescent="0.3">
      <c r="I37227" s="82"/>
      <c r="M37227" s="85"/>
    </row>
    <row r="37228" spans="9:13" x14ac:dyDescent="0.3">
      <c r="I37228" s="82"/>
      <c r="M37228" s="85"/>
    </row>
    <row r="37229" spans="9:13" x14ac:dyDescent="0.3">
      <c r="I37229" s="82"/>
      <c r="M37229" s="85"/>
    </row>
    <row r="37230" spans="9:13" x14ac:dyDescent="0.3">
      <c r="I37230" s="82"/>
      <c r="M37230" s="85"/>
    </row>
    <row r="37231" spans="9:13" x14ac:dyDescent="0.3">
      <c r="I37231" s="82"/>
      <c r="M37231" s="85"/>
    </row>
    <row r="37232" spans="9:13" x14ac:dyDescent="0.3">
      <c r="I37232" s="82"/>
      <c r="M37232" s="85"/>
    </row>
    <row r="37233" spans="9:13" x14ac:dyDescent="0.3">
      <c r="I37233" s="82"/>
      <c r="M37233" s="85"/>
    </row>
    <row r="37234" spans="9:13" x14ac:dyDescent="0.3">
      <c r="I37234" s="82"/>
      <c r="M37234" s="85"/>
    </row>
    <row r="37235" spans="9:13" x14ac:dyDescent="0.3">
      <c r="I37235" s="82"/>
      <c r="M37235" s="85"/>
    </row>
    <row r="37236" spans="9:13" x14ac:dyDescent="0.3">
      <c r="I37236" s="82"/>
      <c r="M37236" s="85"/>
    </row>
    <row r="37237" spans="9:13" x14ac:dyDescent="0.3">
      <c r="I37237" s="82"/>
      <c r="M37237" s="85"/>
    </row>
    <row r="37238" spans="9:13" x14ac:dyDescent="0.3">
      <c r="I37238" s="82"/>
      <c r="M37238" s="85"/>
    </row>
    <row r="37239" spans="9:13" x14ac:dyDescent="0.3">
      <c r="I37239" s="82"/>
      <c r="M37239" s="85"/>
    </row>
    <row r="37240" spans="9:13" x14ac:dyDescent="0.3">
      <c r="I37240" s="82"/>
      <c r="M37240" s="85"/>
    </row>
    <row r="37241" spans="9:13" x14ac:dyDescent="0.3">
      <c r="I37241" s="82"/>
      <c r="M37241" s="85"/>
    </row>
    <row r="37242" spans="9:13" x14ac:dyDescent="0.3">
      <c r="I37242" s="82"/>
      <c r="M37242" s="85"/>
    </row>
    <row r="37243" spans="9:13" x14ac:dyDescent="0.3">
      <c r="I37243" s="82"/>
      <c r="M37243" s="85"/>
    </row>
    <row r="37244" spans="9:13" x14ac:dyDescent="0.3">
      <c r="I37244" s="82"/>
      <c r="M37244" s="85"/>
    </row>
    <row r="37245" spans="9:13" x14ac:dyDescent="0.3">
      <c r="I37245" s="82"/>
      <c r="M37245" s="85"/>
    </row>
    <row r="37246" spans="9:13" x14ac:dyDescent="0.3">
      <c r="I37246" s="82"/>
      <c r="M37246" s="85"/>
    </row>
    <row r="37247" spans="9:13" x14ac:dyDescent="0.3">
      <c r="I37247" s="82"/>
      <c r="M37247" s="85"/>
    </row>
    <row r="37248" spans="9:13" x14ac:dyDescent="0.3">
      <c r="I37248" s="82"/>
      <c r="M37248" s="85"/>
    </row>
    <row r="37249" spans="9:13" x14ac:dyDescent="0.3">
      <c r="I37249" s="82"/>
      <c r="M37249" s="85"/>
    </row>
    <row r="37250" spans="9:13" x14ac:dyDescent="0.3">
      <c r="I37250" s="82"/>
      <c r="M37250" s="85"/>
    </row>
    <row r="37251" spans="9:13" x14ac:dyDescent="0.3">
      <c r="I37251" s="82"/>
      <c r="M37251" s="85"/>
    </row>
    <row r="37252" spans="9:13" x14ac:dyDescent="0.3">
      <c r="I37252" s="82"/>
      <c r="M37252" s="85"/>
    </row>
    <row r="37253" spans="9:13" x14ac:dyDescent="0.3">
      <c r="I37253" s="82"/>
      <c r="M37253" s="85"/>
    </row>
    <row r="37254" spans="9:13" x14ac:dyDescent="0.3">
      <c r="I37254" s="82"/>
      <c r="M37254" s="85"/>
    </row>
    <row r="37255" spans="9:13" x14ac:dyDescent="0.3">
      <c r="I37255" s="82"/>
      <c r="M37255" s="85"/>
    </row>
    <row r="37256" spans="9:13" x14ac:dyDescent="0.3">
      <c r="I37256" s="82"/>
      <c r="M37256" s="85"/>
    </row>
    <row r="37257" spans="9:13" x14ac:dyDescent="0.3">
      <c r="I37257" s="82"/>
      <c r="M37257" s="85"/>
    </row>
    <row r="37258" spans="9:13" x14ac:dyDescent="0.3">
      <c r="I37258" s="82"/>
      <c r="M37258" s="85"/>
    </row>
    <row r="37259" spans="9:13" x14ac:dyDescent="0.3">
      <c r="I37259" s="82"/>
      <c r="M37259" s="85"/>
    </row>
    <row r="37260" spans="9:13" x14ac:dyDescent="0.3">
      <c r="I37260" s="82"/>
      <c r="M37260" s="85"/>
    </row>
    <row r="37261" spans="9:13" x14ac:dyDescent="0.3">
      <c r="I37261" s="82"/>
      <c r="M37261" s="85"/>
    </row>
    <row r="37262" spans="9:13" x14ac:dyDescent="0.3">
      <c r="I37262" s="82"/>
      <c r="M37262" s="85"/>
    </row>
    <row r="37263" spans="9:13" x14ac:dyDescent="0.3">
      <c r="I37263" s="82"/>
      <c r="M37263" s="85"/>
    </row>
    <row r="37264" spans="9:13" x14ac:dyDescent="0.3">
      <c r="I37264" s="82"/>
      <c r="M37264" s="85"/>
    </row>
    <row r="37265" spans="9:13" x14ac:dyDescent="0.3">
      <c r="I37265" s="82"/>
      <c r="M37265" s="85"/>
    </row>
    <row r="37266" spans="9:13" x14ac:dyDescent="0.3">
      <c r="I37266" s="82"/>
      <c r="M37266" s="85"/>
    </row>
    <row r="37267" spans="9:13" x14ac:dyDescent="0.3">
      <c r="I37267" s="82"/>
      <c r="M37267" s="85"/>
    </row>
    <row r="37268" spans="9:13" x14ac:dyDescent="0.3">
      <c r="I37268" s="82"/>
      <c r="M37268" s="85"/>
    </row>
    <row r="37269" spans="9:13" x14ac:dyDescent="0.3">
      <c r="I37269" s="82"/>
      <c r="M37269" s="85"/>
    </row>
    <row r="37270" spans="9:13" x14ac:dyDescent="0.3">
      <c r="I37270" s="82"/>
      <c r="M37270" s="85"/>
    </row>
    <row r="37271" spans="9:13" x14ac:dyDescent="0.3">
      <c r="I37271" s="82"/>
      <c r="M37271" s="85"/>
    </row>
    <row r="37272" spans="9:13" x14ac:dyDescent="0.3">
      <c r="I37272" s="82"/>
      <c r="M37272" s="85"/>
    </row>
    <row r="37273" spans="9:13" x14ac:dyDescent="0.3">
      <c r="I37273" s="82"/>
      <c r="M37273" s="85"/>
    </row>
    <row r="37274" spans="9:13" x14ac:dyDescent="0.3">
      <c r="I37274" s="82"/>
      <c r="M37274" s="85"/>
    </row>
    <row r="37275" spans="9:13" x14ac:dyDescent="0.3">
      <c r="I37275" s="82"/>
      <c r="M37275" s="85"/>
    </row>
    <row r="37276" spans="9:13" x14ac:dyDescent="0.3">
      <c r="I37276" s="82"/>
      <c r="M37276" s="85"/>
    </row>
    <row r="37277" spans="9:13" x14ac:dyDescent="0.3">
      <c r="I37277" s="82"/>
      <c r="M37277" s="85"/>
    </row>
    <row r="37278" spans="9:13" x14ac:dyDescent="0.3">
      <c r="I37278" s="82"/>
      <c r="M37278" s="85"/>
    </row>
    <row r="37279" spans="9:13" x14ac:dyDescent="0.3">
      <c r="I37279" s="82"/>
      <c r="M37279" s="85"/>
    </row>
    <row r="37280" spans="9:13" x14ac:dyDescent="0.3">
      <c r="I37280" s="82"/>
      <c r="M37280" s="85"/>
    </row>
    <row r="37281" spans="9:13" x14ac:dyDescent="0.3">
      <c r="I37281" s="82"/>
      <c r="M37281" s="85"/>
    </row>
    <row r="37282" spans="9:13" x14ac:dyDescent="0.3">
      <c r="I37282" s="82"/>
      <c r="M37282" s="85"/>
    </row>
    <row r="37283" spans="9:13" x14ac:dyDescent="0.3">
      <c r="I37283" s="82"/>
      <c r="M37283" s="85"/>
    </row>
    <row r="37284" spans="9:13" x14ac:dyDescent="0.3">
      <c r="I37284" s="82"/>
      <c r="M37284" s="85"/>
    </row>
    <row r="37285" spans="9:13" x14ac:dyDescent="0.3">
      <c r="I37285" s="82"/>
      <c r="M37285" s="85"/>
    </row>
    <row r="37286" spans="9:13" x14ac:dyDescent="0.3">
      <c r="I37286" s="82"/>
      <c r="M37286" s="85"/>
    </row>
    <row r="37287" spans="9:13" x14ac:dyDescent="0.3">
      <c r="I37287" s="82"/>
      <c r="M37287" s="85"/>
    </row>
    <row r="37288" spans="9:13" x14ac:dyDescent="0.3">
      <c r="I37288" s="82"/>
      <c r="M37288" s="85"/>
    </row>
    <row r="37289" spans="9:13" x14ac:dyDescent="0.3">
      <c r="I37289" s="82"/>
      <c r="M37289" s="85"/>
    </row>
    <row r="37290" spans="9:13" x14ac:dyDescent="0.3">
      <c r="I37290" s="82"/>
      <c r="M37290" s="85"/>
    </row>
    <row r="37291" spans="9:13" x14ac:dyDescent="0.3">
      <c r="I37291" s="82"/>
      <c r="M37291" s="85"/>
    </row>
    <row r="37292" spans="9:13" x14ac:dyDescent="0.3">
      <c r="I37292" s="82"/>
      <c r="M37292" s="85"/>
    </row>
    <row r="37293" spans="9:13" x14ac:dyDescent="0.3">
      <c r="I37293" s="82"/>
      <c r="M37293" s="85"/>
    </row>
    <row r="37294" spans="9:13" x14ac:dyDescent="0.3">
      <c r="I37294" s="82"/>
      <c r="M37294" s="85"/>
    </row>
    <row r="37295" spans="9:13" x14ac:dyDescent="0.3">
      <c r="I37295" s="82"/>
      <c r="M37295" s="85"/>
    </row>
    <row r="37296" spans="9:13" x14ac:dyDescent="0.3">
      <c r="I37296" s="82"/>
      <c r="M37296" s="85"/>
    </row>
    <row r="37297" spans="9:13" x14ac:dyDescent="0.3">
      <c r="I37297" s="82"/>
      <c r="M37297" s="85"/>
    </row>
    <row r="37298" spans="9:13" x14ac:dyDescent="0.3">
      <c r="I37298" s="82"/>
      <c r="M37298" s="85"/>
    </row>
    <row r="37299" spans="9:13" x14ac:dyDescent="0.3">
      <c r="I37299" s="82"/>
      <c r="M37299" s="85"/>
    </row>
    <row r="37300" spans="9:13" x14ac:dyDescent="0.3">
      <c r="I37300" s="82"/>
      <c r="M37300" s="85"/>
    </row>
    <row r="37301" spans="9:13" x14ac:dyDescent="0.3">
      <c r="I37301" s="82"/>
      <c r="M37301" s="85"/>
    </row>
    <row r="37302" spans="9:13" x14ac:dyDescent="0.3">
      <c r="I37302" s="82"/>
      <c r="M37302" s="85"/>
    </row>
    <row r="37303" spans="9:13" x14ac:dyDescent="0.3">
      <c r="I37303" s="82"/>
      <c r="M37303" s="85"/>
    </row>
    <row r="37304" spans="9:13" x14ac:dyDescent="0.3">
      <c r="I37304" s="82"/>
      <c r="M37304" s="85"/>
    </row>
    <row r="37305" spans="9:13" x14ac:dyDescent="0.3">
      <c r="I37305" s="82"/>
      <c r="M37305" s="85"/>
    </row>
    <row r="37306" spans="9:13" x14ac:dyDescent="0.3">
      <c r="I37306" s="82"/>
      <c r="M37306" s="85"/>
    </row>
    <row r="37307" spans="9:13" x14ac:dyDescent="0.3">
      <c r="I37307" s="82"/>
      <c r="M37307" s="85"/>
    </row>
    <row r="37308" spans="9:13" x14ac:dyDescent="0.3">
      <c r="I37308" s="82"/>
      <c r="M37308" s="85"/>
    </row>
    <row r="37309" spans="9:13" x14ac:dyDescent="0.3">
      <c r="I37309" s="82"/>
      <c r="M37309" s="85"/>
    </row>
    <row r="37310" spans="9:13" x14ac:dyDescent="0.3">
      <c r="I37310" s="82"/>
      <c r="M37310" s="85"/>
    </row>
    <row r="37311" spans="9:13" x14ac:dyDescent="0.3">
      <c r="I37311" s="82"/>
      <c r="M37311" s="85"/>
    </row>
    <row r="37312" spans="9:13" x14ac:dyDescent="0.3">
      <c r="I37312" s="82"/>
      <c r="M37312" s="85"/>
    </row>
    <row r="37313" spans="9:13" x14ac:dyDescent="0.3">
      <c r="I37313" s="82"/>
      <c r="M37313" s="85"/>
    </row>
    <row r="37314" spans="9:13" x14ac:dyDescent="0.3">
      <c r="I37314" s="82"/>
      <c r="M37314" s="85"/>
    </row>
    <row r="37315" spans="9:13" x14ac:dyDescent="0.3">
      <c r="I37315" s="82"/>
      <c r="M37315" s="85"/>
    </row>
    <row r="37316" spans="9:13" x14ac:dyDescent="0.3">
      <c r="I37316" s="82"/>
      <c r="M37316" s="85"/>
    </row>
    <row r="37317" spans="9:13" x14ac:dyDescent="0.3">
      <c r="I37317" s="82"/>
      <c r="M37317" s="85"/>
    </row>
    <row r="37318" spans="9:13" x14ac:dyDescent="0.3">
      <c r="I37318" s="82"/>
      <c r="M37318" s="85"/>
    </row>
    <row r="37319" spans="9:13" x14ac:dyDescent="0.3">
      <c r="I37319" s="82"/>
      <c r="M37319" s="85"/>
    </row>
    <row r="37320" spans="9:13" x14ac:dyDescent="0.3">
      <c r="I37320" s="82"/>
      <c r="M37320" s="85"/>
    </row>
    <row r="37321" spans="9:13" x14ac:dyDescent="0.3">
      <c r="I37321" s="82"/>
      <c r="M37321" s="85"/>
    </row>
    <row r="37322" spans="9:13" x14ac:dyDescent="0.3">
      <c r="I37322" s="82"/>
      <c r="M37322" s="85"/>
    </row>
    <row r="37323" spans="9:13" x14ac:dyDescent="0.3">
      <c r="I37323" s="82"/>
      <c r="M37323" s="85"/>
    </row>
    <row r="37324" spans="9:13" x14ac:dyDescent="0.3">
      <c r="I37324" s="82"/>
      <c r="M37324" s="85"/>
    </row>
    <row r="37325" spans="9:13" x14ac:dyDescent="0.3">
      <c r="I37325" s="82"/>
      <c r="M37325" s="85"/>
    </row>
    <row r="37326" spans="9:13" x14ac:dyDescent="0.3">
      <c r="I37326" s="82"/>
      <c r="M37326" s="85"/>
    </row>
    <row r="37327" spans="9:13" x14ac:dyDescent="0.3">
      <c r="I37327" s="82"/>
      <c r="M37327" s="85"/>
    </row>
    <row r="37328" spans="9:13" x14ac:dyDescent="0.3">
      <c r="I37328" s="82"/>
      <c r="M37328" s="85"/>
    </row>
    <row r="37329" spans="9:13" x14ac:dyDescent="0.3">
      <c r="I37329" s="82"/>
      <c r="M37329" s="85"/>
    </row>
    <row r="37330" spans="9:13" x14ac:dyDescent="0.3">
      <c r="I37330" s="82"/>
      <c r="M37330" s="85"/>
    </row>
    <row r="37331" spans="9:13" x14ac:dyDescent="0.3">
      <c r="I37331" s="82"/>
      <c r="M37331" s="85"/>
    </row>
    <row r="37332" spans="9:13" x14ac:dyDescent="0.3">
      <c r="I37332" s="82"/>
      <c r="M37332" s="85"/>
    </row>
    <row r="37333" spans="9:13" x14ac:dyDescent="0.3">
      <c r="I37333" s="82"/>
      <c r="M37333" s="85"/>
    </row>
    <row r="37334" spans="9:13" x14ac:dyDescent="0.3">
      <c r="I37334" s="82"/>
      <c r="M37334" s="85"/>
    </row>
    <row r="37335" spans="9:13" x14ac:dyDescent="0.3">
      <c r="I37335" s="82"/>
      <c r="M37335" s="85"/>
    </row>
    <row r="37336" spans="9:13" x14ac:dyDescent="0.3">
      <c r="I37336" s="82"/>
      <c r="M37336" s="85"/>
    </row>
    <row r="37337" spans="9:13" x14ac:dyDescent="0.3">
      <c r="I37337" s="82"/>
      <c r="M37337" s="85"/>
    </row>
    <row r="37338" spans="9:13" x14ac:dyDescent="0.3">
      <c r="I37338" s="82"/>
      <c r="M37338" s="85"/>
    </row>
    <row r="37339" spans="9:13" x14ac:dyDescent="0.3">
      <c r="I37339" s="82"/>
      <c r="M37339" s="85"/>
    </row>
    <row r="37340" spans="9:13" x14ac:dyDescent="0.3">
      <c r="I37340" s="82"/>
      <c r="M37340" s="85"/>
    </row>
    <row r="37341" spans="9:13" x14ac:dyDescent="0.3">
      <c r="I37341" s="82"/>
      <c r="M37341" s="85"/>
    </row>
    <row r="37342" spans="9:13" x14ac:dyDescent="0.3">
      <c r="I37342" s="82"/>
      <c r="M37342" s="85"/>
    </row>
    <row r="37343" spans="9:13" x14ac:dyDescent="0.3">
      <c r="I37343" s="82"/>
      <c r="M37343" s="85"/>
    </row>
    <row r="37344" spans="9:13" x14ac:dyDescent="0.3">
      <c r="I37344" s="82"/>
      <c r="M37344" s="85"/>
    </row>
    <row r="37345" spans="9:13" x14ac:dyDescent="0.3">
      <c r="I37345" s="82"/>
      <c r="M37345" s="85"/>
    </row>
    <row r="37346" spans="9:13" x14ac:dyDescent="0.3">
      <c r="I37346" s="82"/>
      <c r="M37346" s="85"/>
    </row>
    <row r="37347" spans="9:13" x14ac:dyDescent="0.3">
      <c r="I37347" s="82"/>
      <c r="M37347" s="85"/>
    </row>
    <row r="37348" spans="9:13" x14ac:dyDescent="0.3">
      <c r="I37348" s="82"/>
      <c r="M37348" s="85"/>
    </row>
    <row r="37349" spans="9:13" x14ac:dyDescent="0.3">
      <c r="I37349" s="82"/>
      <c r="M37349" s="85"/>
    </row>
    <row r="37350" spans="9:13" x14ac:dyDescent="0.3">
      <c r="I37350" s="82"/>
      <c r="M37350" s="85"/>
    </row>
    <row r="37351" spans="9:13" x14ac:dyDescent="0.3">
      <c r="I37351" s="82"/>
      <c r="M37351" s="85"/>
    </row>
    <row r="37352" spans="9:13" x14ac:dyDescent="0.3">
      <c r="I37352" s="82"/>
      <c r="M37352" s="85"/>
    </row>
    <row r="37353" spans="9:13" x14ac:dyDescent="0.3">
      <c r="I37353" s="82"/>
      <c r="M37353" s="85"/>
    </row>
    <row r="37354" spans="9:13" x14ac:dyDescent="0.3">
      <c r="I37354" s="82"/>
      <c r="M37354" s="85"/>
    </row>
    <row r="37355" spans="9:13" x14ac:dyDescent="0.3">
      <c r="I37355" s="82"/>
      <c r="M37355" s="85"/>
    </row>
    <row r="37356" spans="9:13" x14ac:dyDescent="0.3">
      <c r="I37356" s="82"/>
      <c r="M37356" s="85"/>
    </row>
    <row r="37357" spans="9:13" x14ac:dyDescent="0.3">
      <c r="I37357" s="82"/>
      <c r="M37357" s="85"/>
    </row>
    <row r="37358" spans="9:13" x14ac:dyDescent="0.3">
      <c r="I37358" s="82"/>
      <c r="M37358" s="85"/>
    </row>
    <row r="37359" spans="9:13" x14ac:dyDescent="0.3">
      <c r="I37359" s="82"/>
      <c r="M37359" s="85"/>
    </row>
    <row r="37360" spans="9:13" x14ac:dyDescent="0.3">
      <c r="I37360" s="82"/>
      <c r="M37360" s="85"/>
    </row>
    <row r="37361" spans="9:13" x14ac:dyDescent="0.3">
      <c r="I37361" s="82"/>
      <c r="M37361" s="85"/>
    </row>
    <row r="37362" spans="9:13" x14ac:dyDescent="0.3">
      <c r="I37362" s="82"/>
      <c r="M37362" s="85"/>
    </row>
    <row r="37363" spans="9:13" x14ac:dyDescent="0.3">
      <c r="I37363" s="82"/>
      <c r="M37363" s="85"/>
    </row>
    <row r="37364" spans="9:13" x14ac:dyDescent="0.3">
      <c r="I37364" s="82"/>
      <c r="M37364" s="85"/>
    </row>
    <row r="37365" spans="9:13" x14ac:dyDescent="0.3">
      <c r="I37365" s="82"/>
      <c r="M37365" s="85"/>
    </row>
    <row r="37366" spans="9:13" x14ac:dyDescent="0.3">
      <c r="I37366" s="82"/>
      <c r="M37366" s="85"/>
    </row>
    <row r="37367" spans="9:13" x14ac:dyDescent="0.3">
      <c r="I37367" s="82"/>
      <c r="M37367" s="85"/>
    </row>
    <row r="37368" spans="9:13" x14ac:dyDescent="0.3">
      <c r="I37368" s="82"/>
      <c r="M37368" s="85"/>
    </row>
    <row r="37369" spans="9:13" x14ac:dyDescent="0.3">
      <c r="I37369" s="82"/>
      <c r="M37369" s="85"/>
    </row>
    <row r="37370" spans="9:13" x14ac:dyDescent="0.3">
      <c r="I37370" s="82"/>
      <c r="M37370" s="85"/>
    </row>
    <row r="37371" spans="9:13" x14ac:dyDescent="0.3">
      <c r="I37371" s="82"/>
      <c r="M37371" s="85"/>
    </row>
    <row r="37372" spans="9:13" x14ac:dyDescent="0.3">
      <c r="I37372" s="82"/>
      <c r="M37372" s="85"/>
    </row>
    <row r="37373" spans="9:13" x14ac:dyDescent="0.3">
      <c r="I37373" s="82"/>
      <c r="M37373" s="85"/>
    </row>
    <row r="37374" spans="9:13" x14ac:dyDescent="0.3">
      <c r="I37374" s="82"/>
      <c r="M37374" s="85"/>
    </row>
    <row r="37375" spans="9:13" x14ac:dyDescent="0.3">
      <c r="I37375" s="82"/>
      <c r="M37375" s="85"/>
    </row>
    <row r="37376" spans="9:13" x14ac:dyDescent="0.3">
      <c r="I37376" s="82"/>
      <c r="M37376" s="85"/>
    </row>
    <row r="37377" spans="9:13" x14ac:dyDescent="0.3">
      <c r="I37377" s="82"/>
      <c r="M37377" s="85"/>
    </row>
    <row r="37378" spans="9:13" x14ac:dyDescent="0.3">
      <c r="I37378" s="82"/>
      <c r="M37378" s="85"/>
    </row>
    <row r="37379" spans="9:13" x14ac:dyDescent="0.3">
      <c r="I37379" s="82"/>
      <c r="M37379" s="85"/>
    </row>
    <row r="37380" spans="9:13" x14ac:dyDescent="0.3">
      <c r="I37380" s="82"/>
      <c r="M37380" s="85"/>
    </row>
    <row r="37381" spans="9:13" x14ac:dyDescent="0.3">
      <c r="I37381" s="82"/>
      <c r="M37381" s="85"/>
    </row>
    <row r="37382" spans="9:13" x14ac:dyDescent="0.3">
      <c r="I37382" s="82"/>
      <c r="M37382" s="85"/>
    </row>
    <row r="37383" spans="9:13" x14ac:dyDescent="0.3">
      <c r="I37383" s="82"/>
      <c r="M37383" s="85"/>
    </row>
    <row r="37384" spans="9:13" x14ac:dyDescent="0.3">
      <c r="I37384" s="82"/>
      <c r="M37384" s="85"/>
    </row>
    <row r="37385" spans="9:13" x14ac:dyDescent="0.3">
      <c r="I37385" s="82"/>
      <c r="M37385" s="85"/>
    </row>
    <row r="37386" spans="9:13" x14ac:dyDescent="0.3">
      <c r="I37386" s="82"/>
      <c r="M37386" s="85"/>
    </row>
    <row r="37387" spans="9:13" x14ac:dyDescent="0.3">
      <c r="I37387" s="82"/>
      <c r="M37387" s="85"/>
    </row>
    <row r="37388" spans="9:13" x14ac:dyDescent="0.3">
      <c r="I37388" s="82"/>
      <c r="M37388" s="85"/>
    </row>
    <row r="37389" spans="9:13" x14ac:dyDescent="0.3">
      <c r="I37389" s="82"/>
      <c r="M37389" s="85"/>
    </row>
    <row r="37390" spans="9:13" x14ac:dyDescent="0.3">
      <c r="I37390" s="82"/>
      <c r="M37390" s="85"/>
    </row>
    <row r="37391" spans="9:13" x14ac:dyDescent="0.3">
      <c r="I37391" s="82"/>
      <c r="M37391" s="85"/>
    </row>
    <row r="37392" spans="9:13" x14ac:dyDescent="0.3">
      <c r="I37392" s="82"/>
      <c r="M37392" s="85"/>
    </row>
    <row r="37393" spans="9:13" x14ac:dyDescent="0.3">
      <c r="I37393" s="82"/>
      <c r="M37393" s="85"/>
    </row>
    <row r="37394" spans="9:13" x14ac:dyDescent="0.3">
      <c r="I37394" s="82"/>
      <c r="M37394" s="85"/>
    </row>
    <row r="37395" spans="9:13" x14ac:dyDescent="0.3">
      <c r="I37395" s="82"/>
      <c r="M37395" s="85"/>
    </row>
    <row r="37396" spans="9:13" x14ac:dyDescent="0.3">
      <c r="I37396" s="82"/>
      <c r="M37396" s="85"/>
    </row>
    <row r="37397" spans="9:13" x14ac:dyDescent="0.3">
      <c r="I37397" s="82"/>
      <c r="M37397" s="85"/>
    </row>
    <row r="37398" spans="9:13" x14ac:dyDescent="0.3">
      <c r="I37398" s="82"/>
      <c r="M37398" s="85"/>
    </row>
    <row r="37399" spans="9:13" x14ac:dyDescent="0.3">
      <c r="I37399" s="82"/>
      <c r="M37399" s="85"/>
    </row>
    <row r="37400" spans="9:13" x14ac:dyDescent="0.3">
      <c r="I37400" s="82"/>
      <c r="M37400" s="85"/>
    </row>
    <row r="37401" spans="9:13" x14ac:dyDescent="0.3">
      <c r="I37401" s="82"/>
      <c r="M37401" s="85"/>
    </row>
    <row r="37402" spans="9:13" x14ac:dyDescent="0.3">
      <c r="I37402" s="82"/>
      <c r="M37402" s="85"/>
    </row>
    <row r="37403" spans="9:13" x14ac:dyDescent="0.3">
      <c r="I37403" s="82"/>
      <c r="M37403" s="85"/>
    </row>
    <row r="37404" spans="9:13" x14ac:dyDescent="0.3">
      <c r="I37404" s="82"/>
      <c r="M37404" s="85"/>
    </row>
    <row r="37405" spans="9:13" x14ac:dyDescent="0.3">
      <c r="I37405" s="82"/>
      <c r="M37405" s="85"/>
    </row>
    <row r="37406" spans="9:13" x14ac:dyDescent="0.3">
      <c r="I37406" s="82"/>
      <c r="M37406" s="85"/>
    </row>
    <row r="37407" spans="9:13" x14ac:dyDescent="0.3">
      <c r="I37407" s="82"/>
      <c r="M37407" s="85"/>
    </row>
    <row r="37408" spans="9:13" x14ac:dyDescent="0.3">
      <c r="I37408" s="82"/>
      <c r="M37408" s="85"/>
    </row>
    <row r="37409" spans="9:13" x14ac:dyDescent="0.3">
      <c r="I37409" s="82"/>
      <c r="M37409" s="85"/>
    </row>
    <row r="37410" spans="9:13" x14ac:dyDescent="0.3">
      <c r="I37410" s="82"/>
      <c r="M37410" s="85"/>
    </row>
    <row r="37411" spans="9:13" x14ac:dyDescent="0.3">
      <c r="I37411" s="82"/>
      <c r="M37411" s="85"/>
    </row>
    <row r="37412" spans="9:13" x14ac:dyDescent="0.3">
      <c r="I37412" s="82"/>
      <c r="M37412" s="85"/>
    </row>
    <row r="37413" spans="9:13" x14ac:dyDescent="0.3">
      <c r="I37413" s="82"/>
      <c r="M37413" s="85"/>
    </row>
    <row r="37414" spans="9:13" x14ac:dyDescent="0.3">
      <c r="I37414" s="82"/>
      <c r="M37414" s="85"/>
    </row>
    <row r="37415" spans="9:13" x14ac:dyDescent="0.3">
      <c r="I37415" s="82"/>
      <c r="M37415" s="85"/>
    </row>
    <row r="37416" spans="9:13" x14ac:dyDescent="0.3">
      <c r="I37416" s="82"/>
      <c r="M37416" s="85"/>
    </row>
    <row r="37417" spans="9:13" x14ac:dyDescent="0.3">
      <c r="I37417" s="82"/>
      <c r="M37417" s="85"/>
    </row>
    <row r="37418" spans="9:13" x14ac:dyDescent="0.3">
      <c r="I37418" s="82"/>
      <c r="M37418" s="85"/>
    </row>
    <row r="37419" spans="9:13" x14ac:dyDescent="0.3">
      <c r="I37419" s="82"/>
      <c r="M37419" s="85"/>
    </row>
    <row r="37420" spans="9:13" x14ac:dyDescent="0.3">
      <c r="I37420" s="82"/>
      <c r="M37420" s="85"/>
    </row>
    <row r="37421" spans="9:13" x14ac:dyDescent="0.3">
      <c r="I37421" s="82"/>
      <c r="M37421" s="85"/>
    </row>
    <row r="37422" spans="9:13" x14ac:dyDescent="0.3">
      <c r="I37422" s="82"/>
      <c r="M37422" s="85"/>
    </row>
    <row r="37423" spans="9:13" x14ac:dyDescent="0.3">
      <c r="I37423" s="82"/>
      <c r="M37423" s="85"/>
    </row>
    <row r="37424" spans="9:13" x14ac:dyDescent="0.3">
      <c r="I37424" s="82"/>
      <c r="M37424" s="85"/>
    </row>
    <row r="37425" spans="9:13" x14ac:dyDescent="0.3">
      <c r="I37425" s="82"/>
      <c r="M37425" s="85"/>
    </row>
    <row r="37426" spans="9:13" x14ac:dyDescent="0.3">
      <c r="I37426" s="82"/>
      <c r="M37426" s="85"/>
    </row>
    <row r="37427" spans="9:13" x14ac:dyDescent="0.3">
      <c r="I37427" s="82"/>
      <c r="M37427" s="85"/>
    </row>
    <row r="37428" spans="9:13" x14ac:dyDescent="0.3">
      <c r="I37428" s="82"/>
      <c r="M37428" s="85"/>
    </row>
    <row r="37429" spans="9:13" x14ac:dyDescent="0.3">
      <c r="I37429" s="82"/>
      <c r="M37429" s="85"/>
    </row>
    <row r="37430" spans="9:13" x14ac:dyDescent="0.3">
      <c r="I37430" s="82"/>
      <c r="M37430" s="85"/>
    </row>
    <row r="37431" spans="9:13" x14ac:dyDescent="0.3">
      <c r="I37431" s="82"/>
      <c r="M37431" s="85"/>
    </row>
    <row r="37432" spans="9:13" x14ac:dyDescent="0.3">
      <c r="I37432" s="82"/>
      <c r="M37432" s="85"/>
    </row>
    <row r="37433" spans="9:13" x14ac:dyDescent="0.3">
      <c r="I37433" s="82"/>
      <c r="M37433" s="85"/>
    </row>
    <row r="37434" spans="9:13" x14ac:dyDescent="0.3">
      <c r="I37434" s="82"/>
      <c r="M37434" s="85"/>
    </row>
    <row r="37435" spans="9:13" x14ac:dyDescent="0.3">
      <c r="I37435" s="82"/>
      <c r="M37435" s="85"/>
    </row>
    <row r="37436" spans="9:13" x14ac:dyDescent="0.3">
      <c r="I37436" s="82"/>
      <c r="M37436" s="85"/>
    </row>
    <row r="37437" spans="9:13" x14ac:dyDescent="0.3">
      <c r="I37437" s="82"/>
      <c r="M37437" s="85"/>
    </row>
    <row r="37438" spans="9:13" x14ac:dyDescent="0.3">
      <c r="I37438" s="82"/>
      <c r="M37438" s="85"/>
    </row>
    <row r="37439" spans="9:13" x14ac:dyDescent="0.3">
      <c r="I37439" s="82"/>
      <c r="M37439" s="85"/>
    </row>
    <row r="37440" spans="9:13" x14ac:dyDescent="0.3">
      <c r="I37440" s="82"/>
      <c r="M37440" s="85"/>
    </row>
    <row r="37441" spans="9:13" x14ac:dyDescent="0.3">
      <c r="I37441" s="82"/>
      <c r="M37441" s="85"/>
    </row>
    <row r="37442" spans="9:13" x14ac:dyDescent="0.3">
      <c r="I37442" s="82"/>
      <c r="M37442" s="85"/>
    </row>
    <row r="37443" spans="9:13" x14ac:dyDescent="0.3">
      <c r="I37443" s="82"/>
      <c r="M37443" s="85"/>
    </row>
    <row r="37444" spans="9:13" x14ac:dyDescent="0.3">
      <c r="I37444" s="82"/>
      <c r="M37444" s="85"/>
    </row>
    <row r="37445" spans="9:13" x14ac:dyDescent="0.3">
      <c r="I37445" s="82"/>
      <c r="M37445" s="85"/>
    </row>
    <row r="37446" spans="9:13" x14ac:dyDescent="0.3">
      <c r="I37446" s="82"/>
      <c r="M37446" s="85"/>
    </row>
    <row r="37447" spans="9:13" x14ac:dyDescent="0.3">
      <c r="I37447" s="82"/>
      <c r="M37447" s="85"/>
    </row>
    <row r="37448" spans="9:13" x14ac:dyDescent="0.3">
      <c r="I37448" s="82"/>
      <c r="M37448" s="85"/>
    </row>
    <row r="37449" spans="9:13" x14ac:dyDescent="0.3">
      <c r="I37449" s="82"/>
      <c r="M37449" s="85"/>
    </row>
    <row r="37450" spans="9:13" x14ac:dyDescent="0.3">
      <c r="I37450" s="82"/>
      <c r="M37450" s="85"/>
    </row>
    <row r="37451" spans="9:13" x14ac:dyDescent="0.3">
      <c r="I37451" s="82"/>
      <c r="M37451" s="85"/>
    </row>
    <row r="37452" spans="9:13" x14ac:dyDescent="0.3">
      <c r="I37452" s="82"/>
      <c r="M37452" s="85"/>
    </row>
    <row r="37453" spans="9:13" x14ac:dyDescent="0.3">
      <c r="I37453" s="82"/>
      <c r="M37453" s="85"/>
    </row>
    <row r="37454" spans="9:13" x14ac:dyDescent="0.3">
      <c r="I37454" s="82"/>
      <c r="M37454" s="85"/>
    </row>
    <row r="37455" spans="9:13" x14ac:dyDescent="0.3">
      <c r="I37455" s="82"/>
      <c r="M37455" s="85"/>
    </row>
    <row r="37456" spans="9:13" x14ac:dyDescent="0.3">
      <c r="I37456" s="82"/>
      <c r="M37456" s="85"/>
    </row>
    <row r="37457" spans="9:13" x14ac:dyDescent="0.3">
      <c r="I37457" s="82"/>
      <c r="M37457" s="85"/>
    </row>
    <row r="37458" spans="9:13" x14ac:dyDescent="0.3">
      <c r="I37458" s="82"/>
      <c r="M37458" s="85"/>
    </row>
    <row r="37459" spans="9:13" x14ac:dyDescent="0.3">
      <c r="I37459" s="82"/>
      <c r="M37459" s="85"/>
    </row>
    <row r="37460" spans="9:13" x14ac:dyDescent="0.3">
      <c r="I37460" s="82"/>
      <c r="M37460" s="85"/>
    </row>
    <row r="37461" spans="9:13" x14ac:dyDescent="0.3">
      <c r="I37461" s="82"/>
      <c r="M37461" s="85"/>
    </row>
    <row r="37462" spans="9:13" x14ac:dyDescent="0.3">
      <c r="I37462" s="82"/>
      <c r="M37462" s="85"/>
    </row>
    <row r="37463" spans="9:13" x14ac:dyDescent="0.3">
      <c r="I37463" s="82"/>
      <c r="M37463" s="85"/>
    </row>
    <row r="37464" spans="9:13" x14ac:dyDescent="0.3">
      <c r="I37464" s="82"/>
      <c r="M37464" s="85"/>
    </row>
    <row r="37465" spans="9:13" x14ac:dyDescent="0.3">
      <c r="I37465" s="82"/>
      <c r="M37465" s="85"/>
    </row>
    <row r="37466" spans="9:13" x14ac:dyDescent="0.3">
      <c r="I37466" s="82"/>
      <c r="M37466" s="85"/>
    </row>
    <row r="37467" spans="9:13" x14ac:dyDescent="0.3">
      <c r="I37467" s="82"/>
      <c r="M37467" s="85"/>
    </row>
    <row r="37468" spans="9:13" x14ac:dyDescent="0.3">
      <c r="I37468" s="82"/>
      <c r="M37468" s="85"/>
    </row>
    <row r="37469" spans="9:13" x14ac:dyDescent="0.3">
      <c r="I37469" s="82"/>
      <c r="M37469" s="85"/>
    </row>
    <row r="37470" spans="9:13" x14ac:dyDescent="0.3">
      <c r="I37470" s="82"/>
      <c r="M37470" s="85"/>
    </row>
    <row r="37471" spans="9:13" x14ac:dyDescent="0.3">
      <c r="I37471" s="82"/>
      <c r="M37471" s="85"/>
    </row>
    <row r="37472" spans="9:13" x14ac:dyDescent="0.3">
      <c r="I37472" s="82"/>
      <c r="M37472" s="85"/>
    </row>
    <row r="37473" spans="9:13" x14ac:dyDescent="0.3">
      <c r="I37473" s="82"/>
      <c r="M37473" s="85"/>
    </row>
    <row r="37474" spans="9:13" x14ac:dyDescent="0.3">
      <c r="I37474" s="82"/>
      <c r="M37474" s="85"/>
    </row>
    <row r="37475" spans="9:13" x14ac:dyDescent="0.3">
      <c r="I37475" s="82"/>
      <c r="M37475" s="85"/>
    </row>
    <row r="37476" spans="9:13" x14ac:dyDescent="0.3">
      <c r="I37476" s="82"/>
      <c r="M37476" s="85"/>
    </row>
    <row r="37477" spans="9:13" x14ac:dyDescent="0.3">
      <c r="I37477" s="82"/>
      <c r="M37477" s="85"/>
    </row>
    <row r="37478" spans="9:13" x14ac:dyDescent="0.3">
      <c r="I37478" s="82"/>
      <c r="M37478" s="85"/>
    </row>
    <row r="37479" spans="9:13" x14ac:dyDescent="0.3">
      <c r="I37479" s="82"/>
      <c r="M37479" s="85"/>
    </row>
    <row r="37480" spans="9:13" x14ac:dyDescent="0.3">
      <c r="I37480" s="82"/>
      <c r="M37480" s="85"/>
    </row>
    <row r="37481" spans="9:13" x14ac:dyDescent="0.3">
      <c r="I37481" s="82"/>
      <c r="M37481" s="85"/>
    </row>
    <row r="37482" spans="9:13" x14ac:dyDescent="0.3">
      <c r="I37482" s="82"/>
      <c r="M37482" s="85"/>
    </row>
    <row r="37483" spans="9:13" x14ac:dyDescent="0.3">
      <c r="I37483" s="82"/>
      <c r="M37483" s="85"/>
    </row>
    <row r="37484" spans="9:13" x14ac:dyDescent="0.3">
      <c r="I37484" s="82"/>
      <c r="M37484" s="85"/>
    </row>
    <row r="37485" spans="9:13" x14ac:dyDescent="0.3">
      <c r="I37485" s="82"/>
      <c r="M37485" s="85"/>
    </row>
    <row r="37486" spans="9:13" x14ac:dyDescent="0.3">
      <c r="I37486" s="82"/>
      <c r="M37486" s="85"/>
    </row>
    <row r="37487" spans="9:13" x14ac:dyDescent="0.3">
      <c r="I37487" s="82"/>
      <c r="M37487" s="85"/>
    </row>
    <row r="37488" spans="9:13" x14ac:dyDescent="0.3">
      <c r="I37488" s="82"/>
      <c r="M37488" s="85"/>
    </row>
    <row r="37489" spans="9:13" x14ac:dyDescent="0.3">
      <c r="I37489" s="82"/>
      <c r="M37489" s="85"/>
    </row>
    <row r="37490" spans="9:13" x14ac:dyDescent="0.3">
      <c r="I37490" s="82"/>
      <c r="M37490" s="85"/>
    </row>
    <row r="37491" spans="9:13" x14ac:dyDescent="0.3">
      <c r="I37491" s="82"/>
      <c r="M37491" s="85"/>
    </row>
    <row r="37492" spans="9:13" x14ac:dyDescent="0.3">
      <c r="I37492" s="82"/>
      <c r="M37492" s="85"/>
    </row>
    <row r="37493" spans="9:13" x14ac:dyDescent="0.3">
      <c r="I37493" s="82"/>
      <c r="M37493" s="85"/>
    </row>
    <row r="37494" spans="9:13" x14ac:dyDescent="0.3">
      <c r="I37494" s="82"/>
      <c r="M37494" s="85"/>
    </row>
    <row r="37495" spans="9:13" x14ac:dyDescent="0.3">
      <c r="I37495" s="82"/>
      <c r="M37495" s="85"/>
    </row>
    <row r="37496" spans="9:13" x14ac:dyDescent="0.3">
      <c r="I37496" s="82"/>
      <c r="M37496" s="85"/>
    </row>
    <row r="37497" spans="9:13" x14ac:dyDescent="0.3">
      <c r="I37497" s="82"/>
      <c r="M37497" s="85"/>
    </row>
    <row r="37498" spans="9:13" x14ac:dyDescent="0.3">
      <c r="I37498" s="82"/>
      <c r="M37498" s="85"/>
    </row>
    <row r="37499" spans="9:13" x14ac:dyDescent="0.3">
      <c r="I37499" s="82"/>
      <c r="M37499" s="85"/>
    </row>
    <row r="37500" spans="9:13" x14ac:dyDescent="0.3">
      <c r="I37500" s="82"/>
      <c r="M37500" s="85"/>
    </row>
    <row r="37501" spans="9:13" x14ac:dyDescent="0.3">
      <c r="I37501" s="82"/>
      <c r="M37501" s="85"/>
    </row>
    <row r="37502" spans="9:13" x14ac:dyDescent="0.3">
      <c r="I37502" s="82"/>
      <c r="M37502" s="85"/>
    </row>
    <row r="37503" spans="9:13" x14ac:dyDescent="0.3">
      <c r="I37503" s="82"/>
      <c r="M37503" s="85"/>
    </row>
    <row r="37504" spans="9:13" x14ac:dyDescent="0.3">
      <c r="I37504" s="82"/>
      <c r="M37504" s="85"/>
    </row>
    <row r="37505" spans="9:13" x14ac:dyDescent="0.3">
      <c r="I37505" s="82"/>
      <c r="M37505" s="85"/>
    </row>
    <row r="37506" spans="9:13" x14ac:dyDescent="0.3">
      <c r="I37506" s="82"/>
      <c r="M37506" s="85"/>
    </row>
    <row r="37507" spans="9:13" x14ac:dyDescent="0.3">
      <c r="I37507" s="82"/>
      <c r="M37507" s="85"/>
    </row>
    <row r="37508" spans="9:13" x14ac:dyDescent="0.3">
      <c r="I37508" s="82"/>
      <c r="M37508" s="85"/>
    </row>
    <row r="37509" spans="9:13" x14ac:dyDescent="0.3">
      <c r="I37509" s="82"/>
      <c r="M37509" s="85"/>
    </row>
    <row r="37510" spans="9:13" x14ac:dyDescent="0.3">
      <c r="I37510" s="82"/>
      <c r="M37510" s="85"/>
    </row>
    <row r="37511" spans="9:13" x14ac:dyDescent="0.3">
      <c r="I37511" s="82"/>
      <c r="M37511" s="85"/>
    </row>
    <row r="37512" spans="9:13" x14ac:dyDescent="0.3">
      <c r="I37512" s="82"/>
      <c r="M37512" s="85"/>
    </row>
    <row r="37513" spans="9:13" x14ac:dyDescent="0.3">
      <c r="I37513" s="82"/>
      <c r="M37513" s="85"/>
    </row>
    <row r="37514" spans="9:13" x14ac:dyDescent="0.3">
      <c r="I37514" s="82"/>
      <c r="M37514" s="85"/>
    </row>
    <row r="37515" spans="9:13" x14ac:dyDescent="0.3">
      <c r="I37515" s="82"/>
      <c r="M37515" s="85"/>
    </row>
    <row r="37516" spans="9:13" x14ac:dyDescent="0.3">
      <c r="I37516" s="82"/>
      <c r="M37516" s="85"/>
    </row>
    <row r="37517" spans="9:13" x14ac:dyDescent="0.3">
      <c r="I37517" s="82"/>
      <c r="M37517" s="85"/>
    </row>
    <row r="37518" spans="9:13" x14ac:dyDescent="0.3">
      <c r="I37518" s="82"/>
      <c r="M37518" s="85"/>
    </row>
    <row r="37519" spans="9:13" x14ac:dyDescent="0.3">
      <c r="I37519" s="82"/>
      <c r="M37519" s="85"/>
    </row>
    <row r="37520" spans="9:13" x14ac:dyDescent="0.3">
      <c r="I37520" s="82"/>
      <c r="M37520" s="85"/>
    </row>
    <row r="37521" spans="9:13" x14ac:dyDescent="0.3">
      <c r="I37521" s="82"/>
      <c r="M37521" s="85"/>
    </row>
    <row r="37522" spans="9:13" x14ac:dyDescent="0.3">
      <c r="I37522" s="82"/>
      <c r="M37522" s="85"/>
    </row>
    <row r="37523" spans="9:13" x14ac:dyDescent="0.3">
      <c r="I37523" s="82"/>
      <c r="M37523" s="85"/>
    </row>
    <row r="37524" spans="9:13" x14ac:dyDescent="0.3">
      <c r="I37524" s="82"/>
      <c r="M37524" s="85"/>
    </row>
    <row r="37525" spans="9:13" x14ac:dyDescent="0.3">
      <c r="I37525" s="82"/>
      <c r="M37525" s="85"/>
    </row>
    <row r="37526" spans="9:13" x14ac:dyDescent="0.3">
      <c r="I37526" s="82"/>
      <c r="M37526" s="85"/>
    </row>
    <row r="37527" spans="9:13" x14ac:dyDescent="0.3">
      <c r="I37527" s="82"/>
      <c r="M37527" s="85"/>
    </row>
    <row r="37528" spans="9:13" x14ac:dyDescent="0.3">
      <c r="I37528" s="82"/>
      <c r="M37528" s="85"/>
    </row>
    <row r="37529" spans="9:13" x14ac:dyDescent="0.3">
      <c r="I37529" s="82"/>
      <c r="M37529" s="85"/>
    </row>
    <row r="37530" spans="9:13" x14ac:dyDescent="0.3">
      <c r="I37530" s="82"/>
      <c r="M37530" s="85"/>
    </row>
    <row r="37531" spans="9:13" x14ac:dyDescent="0.3">
      <c r="I37531" s="82"/>
      <c r="M37531" s="85"/>
    </row>
    <row r="37532" spans="9:13" x14ac:dyDescent="0.3">
      <c r="I37532" s="82"/>
      <c r="M37532" s="85"/>
    </row>
    <row r="37533" spans="9:13" x14ac:dyDescent="0.3">
      <c r="I37533" s="82"/>
      <c r="M37533" s="85"/>
    </row>
    <row r="37534" spans="9:13" x14ac:dyDescent="0.3">
      <c r="I37534" s="82"/>
      <c r="M37534" s="85"/>
    </row>
    <row r="37535" spans="9:13" x14ac:dyDescent="0.3">
      <c r="I37535" s="82"/>
      <c r="M37535" s="85"/>
    </row>
    <row r="37536" spans="9:13" x14ac:dyDescent="0.3">
      <c r="I37536" s="82"/>
      <c r="M37536" s="85"/>
    </row>
    <row r="37537" spans="9:13" x14ac:dyDescent="0.3">
      <c r="I37537" s="82"/>
      <c r="M37537" s="85"/>
    </row>
    <row r="37538" spans="9:13" x14ac:dyDescent="0.3">
      <c r="I37538" s="82"/>
      <c r="M37538" s="85"/>
    </row>
    <row r="37539" spans="9:13" x14ac:dyDescent="0.3">
      <c r="I37539" s="82"/>
      <c r="M37539" s="85"/>
    </row>
    <row r="37540" spans="9:13" x14ac:dyDescent="0.3">
      <c r="I37540" s="82"/>
      <c r="M37540" s="85"/>
    </row>
    <row r="37541" spans="9:13" x14ac:dyDescent="0.3">
      <c r="I37541" s="82"/>
      <c r="M37541" s="85"/>
    </row>
    <row r="37542" spans="9:13" x14ac:dyDescent="0.3">
      <c r="I37542" s="82"/>
      <c r="M37542" s="85"/>
    </row>
    <row r="37543" spans="9:13" x14ac:dyDescent="0.3">
      <c r="I37543" s="82"/>
      <c r="M37543" s="85"/>
    </row>
    <row r="37544" spans="9:13" x14ac:dyDescent="0.3">
      <c r="I37544" s="82"/>
      <c r="M37544" s="85"/>
    </row>
    <row r="37545" spans="9:13" x14ac:dyDescent="0.3">
      <c r="I37545" s="82"/>
      <c r="M37545" s="85"/>
    </row>
    <row r="37546" spans="9:13" x14ac:dyDescent="0.3">
      <c r="I37546" s="82"/>
      <c r="M37546" s="85"/>
    </row>
    <row r="37547" spans="9:13" x14ac:dyDescent="0.3">
      <c r="I37547" s="82"/>
      <c r="M37547" s="85"/>
    </row>
    <row r="37548" spans="9:13" x14ac:dyDescent="0.3">
      <c r="I37548" s="82"/>
      <c r="M37548" s="85"/>
    </row>
    <row r="37549" spans="9:13" x14ac:dyDescent="0.3">
      <c r="I37549" s="82"/>
      <c r="M37549" s="85"/>
    </row>
    <row r="37550" spans="9:13" x14ac:dyDescent="0.3">
      <c r="I37550" s="82"/>
      <c r="M37550" s="85"/>
    </row>
    <row r="37551" spans="9:13" x14ac:dyDescent="0.3">
      <c r="I37551" s="82"/>
      <c r="M37551" s="85"/>
    </row>
    <row r="37552" spans="9:13" x14ac:dyDescent="0.3">
      <c r="I37552" s="82"/>
      <c r="M37552" s="85"/>
    </row>
    <row r="37553" spans="9:13" x14ac:dyDescent="0.3">
      <c r="I37553" s="82"/>
      <c r="M37553" s="85"/>
    </row>
    <row r="37554" spans="9:13" x14ac:dyDescent="0.3">
      <c r="I37554" s="82"/>
      <c r="M37554" s="85"/>
    </row>
    <row r="37555" spans="9:13" x14ac:dyDescent="0.3">
      <c r="I37555" s="82"/>
      <c r="M37555" s="85"/>
    </row>
    <row r="37556" spans="9:13" x14ac:dyDescent="0.3">
      <c r="I37556" s="82"/>
      <c r="M37556" s="85"/>
    </row>
    <row r="37557" spans="9:13" x14ac:dyDescent="0.3">
      <c r="I37557" s="82"/>
      <c r="M37557" s="85"/>
    </row>
    <row r="37558" spans="9:13" x14ac:dyDescent="0.3">
      <c r="I37558" s="82"/>
      <c r="M37558" s="85"/>
    </row>
    <row r="37559" spans="9:13" x14ac:dyDescent="0.3">
      <c r="I37559" s="82"/>
      <c r="M37559" s="85"/>
    </row>
    <row r="37560" spans="9:13" x14ac:dyDescent="0.3">
      <c r="I37560" s="82"/>
      <c r="M37560" s="85"/>
    </row>
    <row r="37561" spans="9:13" x14ac:dyDescent="0.3">
      <c r="I37561" s="82"/>
      <c r="M37561" s="85"/>
    </row>
    <row r="37562" spans="9:13" x14ac:dyDescent="0.3">
      <c r="I37562" s="82"/>
      <c r="M37562" s="85"/>
    </row>
    <row r="37563" spans="9:13" x14ac:dyDescent="0.3">
      <c r="I37563" s="82"/>
      <c r="M37563" s="85"/>
    </row>
    <row r="37564" spans="9:13" x14ac:dyDescent="0.3">
      <c r="I37564" s="82"/>
      <c r="M37564" s="85"/>
    </row>
    <row r="37565" spans="9:13" x14ac:dyDescent="0.3">
      <c r="I37565" s="82"/>
      <c r="M37565" s="85"/>
    </row>
    <row r="37566" spans="9:13" x14ac:dyDescent="0.3">
      <c r="I37566" s="82"/>
      <c r="M37566" s="85"/>
    </row>
    <row r="37567" spans="9:13" x14ac:dyDescent="0.3">
      <c r="I37567" s="82"/>
      <c r="M37567" s="85"/>
    </row>
    <row r="37568" spans="9:13" x14ac:dyDescent="0.3">
      <c r="I37568" s="82"/>
      <c r="M37568" s="85"/>
    </row>
    <row r="37569" spans="9:13" x14ac:dyDescent="0.3">
      <c r="I37569" s="82"/>
      <c r="M37569" s="85"/>
    </row>
    <row r="37570" spans="9:13" x14ac:dyDescent="0.3">
      <c r="I37570" s="82"/>
      <c r="M37570" s="85"/>
    </row>
    <row r="37571" spans="9:13" x14ac:dyDescent="0.3">
      <c r="I37571" s="82"/>
      <c r="M37571" s="85"/>
    </row>
    <row r="37572" spans="9:13" x14ac:dyDescent="0.3">
      <c r="I37572" s="82"/>
      <c r="M37572" s="85"/>
    </row>
    <row r="37573" spans="9:13" x14ac:dyDescent="0.3">
      <c r="I37573" s="82"/>
      <c r="M37573" s="85"/>
    </row>
    <row r="37574" spans="9:13" x14ac:dyDescent="0.3">
      <c r="I37574" s="82"/>
      <c r="M37574" s="85"/>
    </row>
    <row r="37575" spans="9:13" x14ac:dyDescent="0.3">
      <c r="I37575" s="82"/>
      <c r="M37575" s="85"/>
    </row>
    <row r="37576" spans="9:13" x14ac:dyDescent="0.3">
      <c r="I37576" s="82"/>
      <c r="M37576" s="85"/>
    </row>
    <row r="37577" spans="9:13" x14ac:dyDescent="0.3">
      <c r="I37577" s="82"/>
      <c r="M37577" s="85"/>
    </row>
    <row r="37578" spans="9:13" x14ac:dyDescent="0.3">
      <c r="I37578" s="82"/>
      <c r="M37578" s="85"/>
    </row>
    <row r="37579" spans="9:13" x14ac:dyDescent="0.3">
      <c r="I37579" s="82"/>
      <c r="M37579" s="85"/>
    </row>
    <row r="37580" spans="9:13" x14ac:dyDescent="0.3">
      <c r="I37580" s="82"/>
      <c r="M37580" s="85"/>
    </row>
    <row r="37581" spans="9:13" x14ac:dyDescent="0.3">
      <c r="I37581" s="82"/>
      <c r="M37581" s="85"/>
    </row>
    <row r="37582" spans="9:13" x14ac:dyDescent="0.3">
      <c r="I37582" s="82"/>
      <c r="M37582" s="85"/>
    </row>
    <row r="37583" spans="9:13" x14ac:dyDescent="0.3">
      <c r="I37583" s="82"/>
      <c r="M37583" s="85"/>
    </row>
    <row r="37584" spans="9:13" x14ac:dyDescent="0.3">
      <c r="I37584" s="82"/>
      <c r="M37584" s="85"/>
    </row>
    <row r="37585" spans="9:13" x14ac:dyDescent="0.3">
      <c r="I37585" s="82"/>
      <c r="M37585" s="85"/>
    </row>
    <row r="37586" spans="9:13" x14ac:dyDescent="0.3">
      <c r="I37586" s="82"/>
      <c r="M37586" s="85"/>
    </row>
    <row r="37587" spans="9:13" x14ac:dyDescent="0.3">
      <c r="I37587" s="82"/>
      <c r="M37587" s="85"/>
    </row>
    <row r="37588" spans="9:13" x14ac:dyDescent="0.3">
      <c r="I37588" s="82"/>
      <c r="M37588" s="85"/>
    </row>
    <row r="37589" spans="9:13" x14ac:dyDescent="0.3">
      <c r="I37589" s="82"/>
      <c r="M37589" s="85"/>
    </row>
    <row r="37590" spans="9:13" x14ac:dyDescent="0.3">
      <c r="I37590" s="82"/>
      <c r="M37590" s="85"/>
    </row>
    <row r="37591" spans="9:13" x14ac:dyDescent="0.3">
      <c r="I37591" s="82"/>
      <c r="M37591" s="85"/>
    </row>
    <row r="37592" spans="9:13" x14ac:dyDescent="0.3">
      <c r="I37592" s="82"/>
      <c r="M37592" s="85"/>
    </row>
    <row r="37593" spans="9:13" x14ac:dyDescent="0.3">
      <c r="I37593" s="82"/>
      <c r="M37593" s="85"/>
    </row>
    <row r="37594" spans="9:13" x14ac:dyDescent="0.3">
      <c r="I37594" s="82"/>
      <c r="M37594" s="85"/>
    </row>
    <row r="37595" spans="9:13" x14ac:dyDescent="0.3">
      <c r="I37595" s="82"/>
      <c r="M37595" s="85"/>
    </row>
    <row r="37596" spans="9:13" x14ac:dyDescent="0.3">
      <c r="I37596" s="82"/>
      <c r="M37596" s="85"/>
    </row>
    <row r="37597" spans="9:13" x14ac:dyDescent="0.3">
      <c r="I37597" s="82"/>
      <c r="M37597" s="85"/>
    </row>
    <row r="37598" spans="9:13" x14ac:dyDescent="0.3">
      <c r="I37598" s="82"/>
      <c r="M37598" s="85"/>
    </row>
    <row r="37599" spans="9:13" x14ac:dyDescent="0.3">
      <c r="I37599" s="82"/>
      <c r="M37599" s="85"/>
    </row>
    <row r="37600" spans="9:13" x14ac:dyDescent="0.3">
      <c r="I37600" s="82"/>
      <c r="M37600" s="85"/>
    </row>
    <row r="37601" spans="9:13" x14ac:dyDescent="0.3">
      <c r="I37601" s="82"/>
      <c r="M37601" s="85"/>
    </row>
    <row r="37602" spans="9:13" x14ac:dyDescent="0.3">
      <c r="I37602" s="82"/>
      <c r="M37602" s="85"/>
    </row>
    <row r="37603" spans="9:13" x14ac:dyDescent="0.3">
      <c r="I37603" s="82"/>
      <c r="M37603" s="85"/>
    </row>
    <row r="37604" spans="9:13" x14ac:dyDescent="0.3">
      <c r="I37604" s="82"/>
      <c r="M37604" s="85"/>
    </row>
    <row r="37605" spans="9:13" x14ac:dyDescent="0.3">
      <c r="I37605" s="82"/>
      <c r="M37605" s="85"/>
    </row>
    <row r="37606" spans="9:13" x14ac:dyDescent="0.3">
      <c r="I37606" s="82"/>
      <c r="M37606" s="85"/>
    </row>
    <row r="37607" spans="9:13" x14ac:dyDescent="0.3">
      <c r="I37607" s="82"/>
      <c r="M37607" s="85"/>
    </row>
    <row r="37608" spans="9:13" x14ac:dyDescent="0.3">
      <c r="I37608" s="82"/>
      <c r="M37608" s="85"/>
    </row>
    <row r="37609" spans="9:13" x14ac:dyDescent="0.3">
      <c r="I37609" s="82"/>
      <c r="M37609" s="85"/>
    </row>
    <row r="37610" spans="9:13" x14ac:dyDescent="0.3">
      <c r="I37610" s="82"/>
      <c r="M37610" s="85"/>
    </row>
    <row r="37611" spans="9:13" x14ac:dyDescent="0.3">
      <c r="I37611" s="82"/>
      <c r="M37611" s="85"/>
    </row>
    <row r="37612" spans="9:13" x14ac:dyDescent="0.3">
      <c r="I37612" s="82"/>
      <c r="M37612" s="85"/>
    </row>
    <row r="37613" spans="9:13" x14ac:dyDescent="0.3">
      <c r="I37613" s="82"/>
      <c r="M37613" s="85"/>
    </row>
    <row r="37614" spans="9:13" x14ac:dyDescent="0.3">
      <c r="I37614" s="82"/>
      <c r="M37614" s="85"/>
    </row>
    <row r="37615" spans="9:13" x14ac:dyDescent="0.3">
      <c r="I37615" s="82"/>
      <c r="M37615" s="85"/>
    </row>
    <row r="37616" spans="9:13" x14ac:dyDescent="0.3">
      <c r="I37616" s="82"/>
      <c r="M37616" s="85"/>
    </row>
    <row r="37617" spans="9:13" x14ac:dyDescent="0.3">
      <c r="I37617" s="82"/>
      <c r="M37617" s="85"/>
    </row>
    <row r="37618" spans="9:13" x14ac:dyDescent="0.3">
      <c r="I37618" s="82"/>
      <c r="M37618" s="85"/>
    </row>
    <row r="37619" spans="9:13" x14ac:dyDescent="0.3">
      <c r="I37619" s="82"/>
      <c r="M37619" s="85"/>
    </row>
    <row r="37620" spans="9:13" x14ac:dyDescent="0.3">
      <c r="I37620" s="82"/>
      <c r="M37620" s="85"/>
    </row>
    <row r="37621" spans="9:13" x14ac:dyDescent="0.3">
      <c r="I37621" s="82"/>
      <c r="M37621" s="85"/>
    </row>
    <row r="37622" spans="9:13" x14ac:dyDescent="0.3">
      <c r="I37622" s="82"/>
      <c r="M37622" s="85"/>
    </row>
    <row r="37623" spans="9:13" x14ac:dyDescent="0.3">
      <c r="I37623" s="82"/>
      <c r="M37623" s="85"/>
    </row>
    <row r="37624" spans="9:13" x14ac:dyDescent="0.3">
      <c r="I37624" s="82"/>
      <c r="M37624" s="85"/>
    </row>
    <row r="37625" spans="9:13" x14ac:dyDescent="0.3">
      <c r="I37625" s="82"/>
      <c r="M37625" s="85"/>
    </row>
    <row r="37626" spans="9:13" x14ac:dyDescent="0.3">
      <c r="I37626" s="82"/>
      <c r="M37626" s="85"/>
    </row>
    <row r="37627" spans="9:13" x14ac:dyDescent="0.3">
      <c r="I37627" s="82"/>
      <c r="M37627" s="85"/>
    </row>
    <row r="37628" spans="9:13" x14ac:dyDescent="0.3">
      <c r="I37628" s="82"/>
      <c r="M37628" s="85"/>
    </row>
    <row r="37629" spans="9:13" x14ac:dyDescent="0.3">
      <c r="I37629" s="82"/>
      <c r="M37629" s="85"/>
    </row>
    <row r="37630" spans="9:13" x14ac:dyDescent="0.3">
      <c r="I37630" s="82"/>
      <c r="M37630" s="85"/>
    </row>
    <row r="37631" spans="9:13" x14ac:dyDescent="0.3">
      <c r="I37631" s="82"/>
      <c r="M37631" s="85"/>
    </row>
    <row r="37632" spans="9:13" x14ac:dyDescent="0.3">
      <c r="I37632" s="82"/>
      <c r="M37632" s="85"/>
    </row>
    <row r="37633" spans="9:13" x14ac:dyDescent="0.3">
      <c r="I37633" s="82"/>
      <c r="M37633" s="85"/>
    </row>
    <row r="37634" spans="9:13" x14ac:dyDescent="0.3">
      <c r="I37634" s="82"/>
      <c r="M37634" s="85"/>
    </row>
    <row r="37635" spans="9:13" x14ac:dyDescent="0.3">
      <c r="I37635" s="82"/>
      <c r="M37635" s="85"/>
    </row>
    <row r="37636" spans="9:13" x14ac:dyDescent="0.3">
      <c r="I37636" s="82"/>
      <c r="M37636" s="85"/>
    </row>
    <row r="37637" spans="9:13" x14ac:dyDescent="0.3">
      <c r="I37637" s="82"/>
      <c r="M37637" s="85"/>
    </row>
    <row r="37638" spans="9:13" x14ac:dyDescent="0.3">
      <c r="I37638" s="82"/>
      <c r="M37638" s="85"/>
    </row>
    <row r="37639" spans="9:13" x14ac:dyDescent="0.3">
      <c r="I37639" s="82"/>
      <c r="M37639" s="85"/>
    </row>
    <row r="37640" spans="9:13" x14ac:dyDescent="0.3">
      <c r="I37640" s="82"/>
      <c r="M37640" s="85"/>
    </row>
    <row r="37641" spans="9:13" x14ac:dyDescent="0.3">
      <c r="I37641" s="82"/>
      <c r="M37641" s="85"/>
    </row>
    <row r="37642" spans="9:13" x14ac:dyDescent="0.3">
      <c r="I37642" s="82"/>
      <c r="M37642" s="85"/>
    </row>
    <row r="37643" spans="9:13" x14ac:dyDescent="0.3">
      <c r="I37643" s="82"/>
      <c r="M37643" s="85"/>
    </row>
    <row r="37644" spans="9:13" x14ac:dyDescent="0.3">
      <c r="I37644" s="82"/>
      <c r="M37644" s="85"/>
    </row>
    <row r="37645" spans="9:13" x14ac:dyDescent="0.3">
      <c r="I37645" s="82"/>
      <c r="M37645" s="85"/>
    </row>
    <row r="37646" spans="9:13" x14ac:dyDescent="0.3">
      <c r="I37646" s="82"/>
      <c r="M37646" s="85"/>
    </row>
    <row r="37647" spans="9:13" x14ac:dyDescent="0.3">
      <c r="I37647" s="82"/>
      <c r="M37647" s="85"/>
    </row>
    <row r="37648" spans="9:13" x14ac:dyDescent="0.3">
      <c r="I37648" s="82"/>
      <c r="M37648" s="85"/>
    </row>
    <row r="37649" spans="9:13" x14ac:dyDescent="0.3">
      <c r="I37649" s="82"/>
      <c r="M37649" s="85"/>
    </row>
    <row r="37650" spans="9:13" x14ac:dyDescent="0.3">
      <c r="I37650" s="82"/>
      <c r="M37650" s="85"/>
    </row>
    <row r="37651" spans="9:13" x14ac:dyDescent="0.3">
      <c r="I37651" s="82"/>
      <c r="M37651" s="85"/>
    </row>
    <row r="37652" spans="9:13" x14ac:dyDescent="0.3">
      <c r="I37652" s="82"/>
      <c r="M37652" s="85"/>
    </row>
    <row r="37653" spans="9:13" x14ac:dyDescent="0.3">
      <c r="I37653" s="82"/>
      <c r="M37653" s="85"/>
    </row>
    <row r="37654" spans="9:13" x14ac:dyDescent="0.3">
      <c r="I37654" s="82"/>
      <c r="M37654" s="85"/>
    </row>
    <row r="37655" spans="9:13" x14ac:dyDescent="0.3">
      <c r="I37655" s="82"/>
      <c r="M37655" s="85"/>
    </row>
    <row r="37656" spans="9:13" x14ac:dyDescent="0.3">
      <c r="I37656" s="82"/>
      <c r="M37656" s="85"/>
    </row>
    <row r="37657" spans="9:13" x14ac:dyDescent="0.3">
      <c r="I37657" s="82"/>
      <c r="M37657" s="85"/>
    </row>
    <row r="37658" spans="9:13" x14ac:dyDescent="0.3">
      <c r="I37658" s="82"/>
      <c r="M37658" s="85"/>
    </row>
    <row r="37659" spans="9:13" x14ac:dyDescent="0.3">
      <c r="I37659" s="82"/>
      <c r="M37659" s="85"/>
    </row>
    <row r="37660" spans="9:13" x14ac:dyDescent="0.3">
      <c r="I37660" s="82"/>
      <c r="M37660" s="85"/>
    </row>
    <row r="37661" spans="9:13" x14ac:dyDescent="0.3">
      <c r="I37661" s="82"/>
      <c r="M37661" s="85"/>
    </row>
    <row r="37662" spans="9:13" x14ac:dyDescent="0.3">
      <c r="I37662" s="82"/>
      <c r="M37662" s="85"/>
    </row>
    <row r="37663" spans="9:13" x14ac:dyDescent="0.3">
      <c r="I37663" s="82"/>
      <c r="M37663" s="85"/>
    </row>
    <row r="37664" spans="9:13" x14ac:dyDescent="0.3">
      <c r="I37664" s="82"/>
      <c r="M37664" s="85"/>
    </row>
    <row r="37665" spans="9:13" x14ac:dyDescent="0.3">
      <c r="I37665" s="82"/>
      <c r="M37665" s="85"/>
    </row>
    <row r="37666" spans="9:13" x14ac:dyDescent="0.3">
      <c r="I37666" s="82"/>
      <c r="M37666" s="85"/>
    </row>
    <row r="37667" spans="9:13" x14ac:dyDescent="0.3">
      <c r="I37667" s="82"/>
      <c r="M37667" s="85"/>
    </row>
    <row r="37668" spans="9:13" x14ac:dyDescent="0.3">
      <c r="I37668" s="82"/>
      <c r="M37668" s="85"/>
    </row>
    <row r="37669" spans="9:13" x14ac:dyDescent="0.3">
      <c r="I37669" s="82"/>
      <c r="M37669" s="85"/>
    </row>
    <row r="37670" spans="9:13" x14ac:dyDescent="0.3">
      <c r="I37670" s="82"/>
      <c r="M37670" s="85"/>
    </row>
    <row r="37671" spans="9:13" x14ac:dyDescent="0.3">
      <c r="I37671" s="82"/>
      <c r="M37671" s="85"/>
    </row>
    <row r="37672" spans="9:13" x14ac:dyDescent="0.3">
      <c r="I37672" s="82"/>
      <c r="M37672" s="85"/>
    </row>
    <row r="37673" spans="9:13" x14ac:dyDescent="0.3">
      <c r="I37673" s="82"/>
      <c r="M37673" s="85"/>
    </row>
    <row r="37674" spans="9:13" x14ac:dyDescent="0.3">
      <c r="I37674" s="82"/>
      <c r="M37674" s="85"/>
    </row>
    <row r="37675" spans="9:13" x14ac:dyDescent="0.3">
      <c r="I37675" s="82"/>
      <c r="M37675" s="85"/>
    </row>
    <row r="37676" spans="9:13" x14ac:dyDescent="0.3">
      <c r="I37676" s="82"/>
      <c r="M37676" s="85"/>
    </row>
    <row r="37677" spans="9:13" x14ac:dyDescent="0.3">
      <c r="I37677" s="82"/>
      <c r="M37677" s="85"/>
    </row>
    <row r="37678" spans="9:13" x14ac:dyDescent="0.3">
      <c r="I37678" s="82"/>
      <c r="M37678" s="85"/>
    </row>
    <row r="37679" spans="9:13" x14ac:dyDescent="0.3">
      <c r="I37679" s="82"/>
      <c r="M37679" s="85"/>
    </row>
    <row r="37680" spans="9:13" x14ac:dyDescent="0.3">
      <c r="I37680" s="82"/>
      <c r="M37680" s="85"/>
    </row>
    <row r="37681" spans="9:13" x14ac:dyDescent="0.3">
      <c r="I37681" s="82"/>
      <c r="M37681" s="85"/>
    </row>
    <row r="37682" spans="9:13" x14ac:dyDescent="0.3">
      <c r="I37682" s="82"/>
      <c r="M37682" s="85"/>
    </row>
    <row r="37683" spans="9:13" x14ac:dyDescent="0.3">
      <c r="I37683" s="82"/>
      <c r="M37683" s="85"/>
    </row>
    <row r="37684" spans="9:13" x14ac:dyDescent="0.3">
      <c r="I37684" s="82"/>
      <c r="M37684" s="85"/>
    </row>
    <row r="37685" spans="9:13" x14ac:dyDescent="0.3">
      <c r="I37685" s="82"/>
      <c r="M37685" s="85"/>
    </row>
    <row r="37686" spans="9:13" x14ac:dyDescent="0.3">
      <c r="I37686" s="82"/>
      <c r="M37686" s="85"/>
    </row>
    <row r="37687" spans="9:13" x14ac:dyDescent="0.3">
      <c r="I37687" s="82"/>
      <c r="M37687" s="85"/>
    </row>
    <row r="37688" spans="9:13" x14ac:dyDescent="0.3">
      <c r="I37688" s="82"/>
      <c r="M37688" s="85"/>
    </row>
    <row r="37689" spans="9:13" x14ac:dyDescent="0.3">
      <c r="I37689" s="82"/>
      <c r="M37689" s="85"/>
    </row>
    <row r="37690" spans="9:13" x14ac:dyDescent="0.3">
      <c r="I37690" s="82"/>
      <c r="M37690" s="85"/>
    </row>
    <row r="37691" spans="9:13" x14ac:dyDescent="0.3">
      <c r="I37691" s="82"/>
      <c r="M37691" s="85"/>
    </row>
    <row r="37692" spans="9:13" x14ac:dyDescent="0.3">
      <c r="I37692" s="82"/>
      <c r="M37692" s="85"/>
    </row>
    <row r="37693" spans="9:13" x14ac:dyDescent="0.3">
      <c r="I37693" s="82"/>
      <c r="M37693" s="85"/>
    </row>
    <row r="37694" spans="9:13" x14ac:dyDescent="0.3">
      <c r="I37694" s="82"/>
      <c r="M37694" s="85"/>
    </row>
    <row r="37695" spans="9:13" x14ac:dyDescent="0.3">
      <c r="I37695" s="82"/>
      <c r="M37695" s="85"/>
    </row>
    <row r="37696" spans="9:13" x14ac:dyDescent="0.3">
      <c r="I37696" s="82"/>
      <c r="M37696" s="85"/>
    </row>
    <row r="37697" spans="9:13" x14ac:dyDescent="0.3">
      <c r="I37697" s="82"/>
      <c r="M37697" s="85"/>
    </row>
    <row r="37698" spans="9:13" x14ac:dyDescent="0.3">
      <c r="I37698" s="82"/>
      <c r="M37698" s="85"/>
    </row>
    <row r="37699" spans="9:13" x14ac:dyDescent="0.3">
      <c r="I37699" s="82"/>
      <c r="M37699" s="85"/>
    </row>
    <row r="37700" spans="9:13" x14ac:dyDescent="0.3">
      <c r="I37700" s="82"/>
      <c r="M37700" s="85"/>
    </row>
    <row r="37701" spans="9:13" x14ac:dyDescent="0.3">
      <c r="I37701" s="82"/>
      <c r="M37701" s="85"/>
    </row>
    <row r="37702" spans="9:13" x14ac:dyDescent="0.3">
      <c r="I37702" s="82"/>
      <c r="M37702" s="85"/>
    </row>
    <row r="37703" spans="9:13" x14ac:dyDescent="0.3">
      <c r="I37703" s="82"/>
      <c r="M37703" s="85"/>
    </row>
    <row r="37704" spans="9:13" x14ac:dyDescent="0.3">
      <c r="I37704" s="82"/>
      <c r="M37704" s="85"/>
    </row>
    <row r="37705" spans="9:13" x14ac:dyDescent="0.3">
      <c r="I37705" s="82"/>
      <c r="M37705" s="85"/>
    </row>
    <row r="37706" spans="9:13" x14ac:dyDescent="0.3">
      <c r="I37706" s="82"/>
      <c r="M37706" s="85"/>
    </row>
    <row r="37707" spans="9:13" x14ac:dyDescent="0.3">
      <c r="I37707" s="82"/>
      <c r="M37707" s="85"/>
    </row>
    <row r="37708" spans="9:13" x14ac:dyDescent="0.3">
      <c r="I37708" s="82"/>
      <c r="M37708" s="85"/>
    </row>
    <row r="37709" spans="9:13" x14ac:dyDescent="0.3">
      <c r="I37709" s="82"/>
      <c r="M37709" s="85"/>
    </row>
    <row r="37710" spans="9:13" x14ac:dyDescent="0.3">
      <c r="I37710" s="82"/>
      <c r="M37710" s="85"/>
    </row>
    <row r="37711" spans="9:13" x14ac:dyDescent="0.3">
      <c r="I37711" s="82"/>
      <c r="M37711" s="85"/>
    </row>
    <row r="37712" spans="9:13" x14ac:dyDescent="0.3">
      <c r="I37712" s="82"/>
      <c r="M37712" s="85"/>
    </row>
    <row r="37713" spans="9:13" x14ac:dyDescent="0.3">
      <c r="I37713" s="82"/>
      <c r="M37713" s="85"/>
    </row>
    <row r="37714" spans="9:13" x14ac:dyDescent="0.3">
      <c r="I37714" s="82"/>
      <c r="M37714" s="85"/>
    </row>
    <row r="37715" spans="9:13" x14ac:dyDescent="0.3">
      <c r="I37715" s="82"/>
      <c r="M37715" s="85"/>
    </row>
    <row r="37716" spans="9:13" x14ac:dyDescent="0.3">
      <c r="I37716" s="82"/>
      <c r="M37716" s="85"/>
    </row>
    <row r="37717" spans="9:13" x14ac:dyDescent="0.3">
      <c r="I37717" s="82"/>
      <c r="M37717" s="85"/>
    </row>
    <row r="37718" spans="9:13" x14ac:dyDescent="0.3">
      <c r="I37718" s="82"/>
      <c r="M37718" s="85"/>
    </row>
    <row r="37719" spans="9:13" x14ac:dyDescent="0.3">
      <c r="I37719" s="82"/>
      <c r="M37719" s="85"/>
    </row>
    <row r="37720" spans="9:13" x14ac:dyDescent="0.3">
      <c r="I37720" s="82"/>
      <c r="M37720" s="85"/>
    </row>
    <row r="37721" spans="9:13" x14ac:dyDescent="0.3">
      <c r="I37721" s="82"/>
      <c r="M37721" s="85"/>
    </row>
    <row r="37722" spans="9:13" x14ac:dyDescent="0.3">
      <c r="I37722" s="82"/>
      <c r="M37722" s="85"/>
    </row>
    <row r="37723" spans="9:13" x14ac:dyDescent="0.3">
      <c r="I37723" s="82"/>
      <c r="M37723" s="85"/>
    </row>
    <row r="37724" spans="9:13" x14ac:dyDescent="0.3">
      <c r="I37724" s="82"/>
      <c r="M37724" s="85"/>
    </row>
    <row r="37725" spans="9:13" x14ac:dyDescent="0.3">
      <c r="I37725" s="82"/>
      <c r="M37725" s="85"/>
    </row>
    <row r="37726" spans="9:13" x14ac:dyDescent="0.3">
      <c r="I37726" s="82"/>
      <c r="M37726" s="85"/>
    </row>
    <row r="37727" spans="9:13" x14ac:dyDescent="0.3">
      <c r="I37727" s="82"/>
      <c r="M37727" s="85"/>
    </row>
    <row r="37728" spans="9:13" x14ac:dyDescent="0.3">
      <c r="I37728" s="82"/>
      <c r="M37728" s="85"/>
    </row>
    <row r="37729" spans="9:13" x14ac:dyDescent="0.3">
      <c r="I37729" s="82"/>
      <c r="M37729" s="85"/>
    </row>
    <row r="37730" spans="9:13" x14ac:dyDescent="0.3">
      <c r="I37730" s="82"/>
      <c r="M37730" s="85"/>
    </row>
    <row r="37731" spans="9:13" x14ac:dyDescent="0.3">
      <c r="I37731" s="82"/>
      <c r="M37731" s="85"/>
    </row>
    <row r="37732" spans="9:13" x14ac:dyDescent="0.3">
      <c r="I37732" s="82"/>
      <c r="M37732" s="85"/>
    </row>
    <row r="37733" spans="9:13" x14ac:dyDescent="0.3">
      <c r="I37733" s="82"/>
      <c r="M37733" s="85"/>
    </row>
    <row r="37734" spans="9:13" x14ac:dyDescent="0.3">
      <c r="I37734" s="82"/>
      <c r="M37734" s="85"/>
    </row>
    <row r="37735" spans="9:13" x14ac:dyDescent="0.3">
      <c r="I37735" s="82"/>
      <c r="M37735" s="85"/>
    </row>
    <row r="37736" spans="9:13" x14ac:dyDescent="0.3">
      <c r="I37736" s="82"/>
      <c r="M37736" s="85"/>
    </row>
    <row r="37737" spans="9:13" x14ac:dyDescent="0.3">
      <c r="I37737" s="82"/>
      <c r="M37737" s="85"/>
    </row>
    <row r="37738" spans="9:13" x14ac:dyDescent="0.3">
      <c r="I37738" s="82"/>
      <c r="M37738" s="85"/>
    </row>
    <row r="37739" spans="9:13" x14ac:dyDescent="0.3">
      <c r="I37739" s="82"/>
      <c r="M37739" s="85"/>
    </row>
    <row r="37740" spans="9:13" x14ac:dyDescent="0.3">
      <c r="I37740" s="82"/>
      <c r="M37740" s="85"/>
    </row>
    <row r="37741" spans="9:13" x14ac:dyDescent="0.3">
      <c r="I37741" s="82"/>
      <c r="M37741" s="85"/>
    </row>
    <row r="37742" spans="9:13" x14ac:dyDescent="0.3">
      <c r="I37742" s="82"/>
      <c r="M37742" s="85"/>
    </row>
    <row r="37743" spans="9:13" x14ac:dyDescent="0.3">
      <c r="I37743" s="82"/>
      <c r="M37743" s="85"/>
    </row>
    <row r="37744" spans="9:13" x14ac:dyDescent="0.3">
      <c r="I37744" s="82"/>
      <c r="M37744" s="85"/>
    </row>
    <row r="37745" spans="9:13" x14ac:dyDescent="0.3">
      <c r="I37745" s="82"/>
      <c r="M37745" s="85"/>
    </row>
    <row r="37746" spans="9:13" x14ac:dyDescent="0.3">
      <c r="I37746" s="82"/>
      <c r="M37746" s="85"/>
    </row>
    <row r="37747" spans="9:13" x14ac:dyDescent="0.3">
      <c r="I37747" s="82"/>
      <c r="M37747" s="85"/>
    </row>
    <row r="37748" spans="9:13" x14ac:dyDescent="0.3">
      <c r="I37748" s="82"/>
      <c r="M37748" s="85"/>
    </row>
    <row r="37749" spans="9:13" x14ac:dyDescent="0.3">
      <c r="I37749" s="82"/>
      <c r="M37749" s="85"/>
    </row>
    <row r="37750" spans="9:13" x14ac:dyDescent="0.3">
      <c r="I37750" s="82"/>
      <c r="M37750" s="85"/>
    </row>
    <row r="37751" spans="9:13" x14ac:dyDescent="0.3">
      <c r="I37751" s="82"/>
      <c r="M37751" s="85"/>
    </row>
    <row r="37752" spans="9:13" x14ac:dyDescent="0.3">
      <c r="I37752" s="82"/>
      <c r="M37752" s="85"/>
    </row>
    <row r="37753" spans="9:13" x14ac:dyDescent="0.3">
      <c r="I37753" s="82"/>
      <c r="M37753" s="85"/>
    </row>
    <row r="37754" spans="9:13" x14ac:dyDescent="0.3">
      <c r="I37754" s="82"/>
      <c r="M37754" s="85"/>
    </row>
    <row r="37755" spans="9:13" x14ac:dyDescent="0.3">
      <c r="I37755" s="82"/>
      <c r="M37755" s="85"/>
    </row>
    <row r="37756" spans="9:13" x14ac:dyDescent="0.3">
      <c r="I37756" s="82"/>
      <c r="M37756" s="85"/>
    </row>
    <row r="37757" spans="9:13" x14ac:dyDescent="0.3">
      <c r="I37757" s="82"/>
      <c r="M37757" s="85"/>
    </row>
    <row r="37758" spans="9:13" x14ac:dyDescent="0.3">
      <c r="I37758" s="82"/>
      <c r="M37758" s="85"/>
    </row>
    <row r="37759" spans="9:13" x14ac:dyDescent="0.3">
      <c r="I37759" s="82"/>
      <c r="M37759" s="85"/>
    </row>
    <row r="37760" spans="9:13" x14ac:dyDescent="0.3">
      <c r="I37760" s="82"/>
      <c r="M37760" s="85"/>
    </row>
    <row r="37761" spans="9:13" x14ac:dyDescent="0.3">
      <c r="I37761" s="82"/>
      <c r="M37761" s="85"/>
    </row>
    <row r="37762" spans="9:13" x14ac:dyDescent="0.3">
      <c r="I37762" s="82"/>
      <c r="M37762" s="85"/>
    </row>
    <row r="37763" spans="9:13" x14ac:dyDescent="0.3">
      <c r="I37763" s="82"/>
      <c r="M37763" s="85"/>
    </row>
    <row r="37764" spans="9:13" x14ac:dyDescent="0.3">
      <c r="I37764" s="82"/>
      <c r="M37764" s="85"/>
    </row>
    <row r="37765" spans="9:13" x14ac:dyDescent="0.3">
      <c r="I37765" s="82"/>
      <c r="M37765" s="85"/>
    </row>
    <row r="37766" spans="9:13" x14ac:dyDescent="0.3">
      <c r="I37766" s="82"/>
      <c r="M37766" s="85"/>
    </row>
    <row r="37767" spans="9:13" x14ac:dyDescent="0.3">
      <c r="I37767" s="82"/>
      <c r="M37767" s="85"/>
    </row>
    <row r="37768" spans="9:13" x14ac:dyDescent="0.3">
      <c r="I37768" s="82"/>
      <c r="M37768" s="85"/>
    </row>
    <row r="37769" spans="9:13" x14ac:dyDescent="0.3">
      <c r="I37769" s="82"/>
      <c r="M37769" s="85"/>
    </row>
    <row r="37770" spans="9:13" x14ac:dyDescent="0.3">
      <c r="I37770" s="82"/>
      <c r="M37770" s="85"/>
    </row>
    <row r="37771" spans="9:13" x14ac:dyDescent="0.3">
      <c r="I37771" s="82"/>
      <c r="M37771" s="85"/>
    </row>
    <row r="37772" spans="9:13" x14ac:dyDescent="0.3">
      <c r="I37772" s="82"/>
      <c r="M37772" s="85"/>
    </row>
    <row r="37773" spans="9:13" x14ac:dyDescent="0.3">
      <c r="I37773" s="82"/>
      <c r="M37773" s="85"/>
    </row>
    <row r="37774" spans="9:13" x14ac:dyDescent="0.3">
      <c r="I37774" s="82"/>
      <c r="M37774" s="85"/>
    </row>
    <row r="37775" spans="9:13" x14ac:dyDescent="0.3">
      <c r="I37775" s="82"/>
      <c r="M37775" s="85"/>
    </row>
    <row r="37776" spans="9:13" x14ac:dyDescent="0.3">
      <c r="I37776" s="82"/>
      <c r="M37776" s="85"/>
    </row>
    <row r="37777" spans="9:13" x14ac:dyDescent="0.3">
      <c r="I37777" s="82"/>
      <c r="M37777" s="85"/>
    </row>
    <row r="37778" spans="9:13" x14ac:dyDescent="0.3">
      <c r="I37778" s="82"/>
      <c r="M37778" s="85"/>
    </row>
    <row r="37779" spans="9:13" x14ac:dyDescent="0.3">
      <c r="I37779" s="82"/>
      <c r="M37779" s="85"/>
    </row>
    <row r="37780" spans="9:13" x14ac:dyDescent="0.3">
      <c r="I37780" s="82"/>
      <c r="M37780" s="85"/>
    </row>
    <row r="37781" spans="9:13" x14ac:dyDescent="0.3">
      <c r="I37781" s="82"/>
      <c r="M37781" s="85"/>
    </row>
    <row r="37782" spans="9:13" x14ac:dyDescent="0.3">
      <c r="I37782" s="82"/>
      <c r="M37782" s="85"/>
    </row>
    <row r="37783" spans="9:13" x14ac:dyDescent="0.3">
      <c r="I37783" s="82"/>
      <c r="M37783" s="85"/>
    </row>
    <row r="37784" spans="9:13" x14ac:dyDescent="0.3">
      <c r="I37784" s="82"/>
      <c r="M37784" s="85"/>
    </row>
    <row r="37785" spans="9:13" x14ac:dyDescent="0.3">
      <c r="I37785" s="82"/>
      <c r="M37785" s="85"/>
    </row>
    <row r="37786" spans="9:13" x14ac:dyDescent="0.3">
      <c r="I37786" s="82"/>
      <c r="M37786" s="85"/>
    </row>
    <row r="37787" spans="9:13" x14ac:dyDescent="0.3">
      <c r="I37787" s="82"/>
      <c r="M37787" s="85"/>
    </row>
    <row r="37788" spans="9:13" x14ac:dyDescent="0.3">
      <c r="I37788" s="82"/>
      <c r="M37788" s="85"/>
    </row>
    <row r="37789" spans="9:13" x14ac:dyDescent="0.3">
      <c r="I37789" s="82"/>
      <c r="M37789" s="85"/>
    </row>
    <row r="37790" spans="9:13" x14ac:dyDescent="0.3">
      <c r="I37790" s="82"/>
      <c r="M37790" s="85"/>
    </row>
    <row r="37791" spans="9:13" x14ac:dyDescent="0.3">
      <c r="I37791" s="82"/>
      <c r="M37791" s="85"/>
    </row>
    <row r="37792" spans="9:13" x14ac:dyDescent="0.3">
      <c r="I37792" s="82"/>
      <c r="M37792" s="85"/>
    </row>
    <row r="37793" spans="9:13" x14ac:dyDescent="0.3">
      <c r="I37793" s="82"/>
      <c r="M37793" s="85"/>
    </row>
    <row r="37794" spans="9:13" x14ac:dyDescent="0.3">
      <c r="I37794" s="82"/>
      <c r="M37794" s="85"/>
    </row>
    <row r="37795" spans="9:13" x14ac:dyDescent="0.3">
      <c r="I37795" s="82"/>
      <c r="M37795" s="85"/>
    </row>
    <row r="37796" spans="9:13" x14ac:dyDescent="0.3">
      <c r="I37796" s="82"/>
      <c r="M37796" s="85"/>
    </row>
    <row r="37797" spans="9:13" x14ac:dyDescent="0.3">
      <c r="I37797" s="82"/>
      <c r="M37797" s="85"/>
    </row>
    <row r="37798" spans="9:13" x14ac:dyDescent="0.3">
      <c r="I37798" s="82"/>
      <c r="M37798" s="85"/>
    </row>
    <row r="37799" spans="9:13" x14ac:dyDescent="0.3">
      <c r="I37799" s="82"/>
      <c r="M37799" s="85"/>
    </row>
    <row r="37800" spans="9:13" x14ac:dyDescent="0.3">
      <c r="I37800" s="82"/>
      <c r="M37800" s="85"/>
    </row>
    <row r="37801" spans="9:13" x14ac:dyDescent="0.3">
      <c r="I37801" s="82"/>
      <c r="M37801" s="85"/>
    </row>
    <row r="37802" spans="9:13" x14ac:dyDescent="0.3">
      <c r="I37802" s="82"/>
      <c r="M37802" s="85"/>
    </row>
    <row r="37803" spans="9:13" x14ac:dyDescent="0.3">
      <c r="I37803" s="82"/>
      <c r="M37803" s="85"/>
    </row>
    <row r="37804" spans="9:13" x14ac:dyDescent="0.3">
      <c r="I37804" s="82"/>
      <c r="M37804" s="85"/>
    </row>
    <row r="37805" spans="9:13" x14ac:dyDescent="0.3">
      <c r="I37805" s="82"/>
      <c r="M37805" s="85"/>
    </row>
    <row r="37806" spans="9:13" x14ac:dyDescent="0.3">
      <c r="I37806" s="82"/>
      <c r="M37806" s="85"/>
    </row>
    <row r="37807" spans="9:13" x14ac:dyDescent="0.3">
      <c r="I37807" s="82"/>
      <c r="M37807" s="85"/>
    </row>
    <row r="37808" spans="9:13" x14ac:dyDescent="0.3">
      <c r="I37808" s="82"/>
      <c r="M37808" s="85"/>
    </row>
    <row r="37809" spans="9:13" x14ac:dyDescent="0.3">
      <c r="I37809" s="82"/>
      <c r="M37809" s="85"/>
    </row>
    <row r="37810" spans="9:13" x14ac:dyDescent="0.3">
      <c r="I37810" s="82"/>
      <c r="M37810" s="85"/>
    </row>
    <row r="37811" spans="9:13" x14ac:dyDescent="0.3">
      <c r="I37811" s="82"/>
      <c r="M37811" s="85"/>
    </row>
    <row r="37812" spans="9:13" x14ac:dyDescent="0.3">
      <c r="I37812" s="82"/>
      <c r="M37812" s="85"/>
    </row>
    <row r="37813" spans="9:13" x14ac:dyDescent="0.3">
      <c r="I37813" s="82"/>
      <c r="M37813" s="85"/>
    </row>
    <row r="37814" spans="9:13" x14ac:dyDescent="0.3">
      <c r="I37814" s="82"/>
      <c r="M37814" s="85"/>
    </row>
    <row r="37815" spans="9:13" x14ac:dyDescent="0.3">
      <c r="I37815" s="82"/>
      <c r="M37815" s="85"/>
    </row>
    <row r="37816" spans="9:13" x14ac:dyDescent="0.3">
      <c r="I37816" s="82"/>
      <c r="M37816" s="85"/>
    </row>
    <row r="37817" spans="9:13" x14ac:dyDescent="0.3">
      <c r="I37817" s="82"/>
      <c r="M37817" s="85"/>
    </row>
    <row r="37818" spans="9:13" x14ac:dyDescent="0.3">
      <c r="I37818" s="82"/>
      <c r="M37818" s="85"/>
    </row>
    <row r="37819" spans="9:13" x14ac:dyDescent="0.3">
      <c r="I37819" s="82"/>
      <c r="M37819" s="85"/>
    </row>
    <row r="37820" spans="9:13" x14ac:dyDescent="0.3">
      <c r="I37820" s="82"/>
      <c r="M37820" s="85"/>
    </row>
    <row r="37821" spans="9:13" x14ac:dyDescent="0.3">
      <c r="I37821" s="82"/>
      <c r="M37821" s="85"/>
    </row>
    <row r="37822" spans="9:13" x14ac:dyDescent="0.3">
      <c r="I37822" s="82"/>
      <c r="M37822" s="85"/>
    </row>
    <row r="37823" spans="9:13" x14ac:dyDescent="0.3">
      <c r="I37823" s="82"/>
      <c r="M37823" s="85"/>
    </row>
    <row r="37824" spans="9:13" x14ac:dyDescent="0.3">
      <c r="I37824" s="82"/>
      <c r="M37824" s="85"/>
    </row>
    <row r="37825" spans="9:13" x14ac:dyDescent="0.3">
      <c r="I37825" s="82"/>
      <c r="M37825" s="85"/>
    </row>
    <row r="37826" spans="9:13" x14ac:dyDescent="0.3">
      <c r="I37826" s="82"/>
      <c r="M37826" s="85"/>
    </row>
    <row r="37827" spans="9:13" x14ac:dyDescent="0.3">
      <c r="I37827" s="82"/>
      <c r="M37827" s="85"/>
    </row>
    <row r="37828" spans="9:13" x14ac:dyDescent="0.3">
      <c r="I37828" s="82"/>
      <c r="M37828" s="85"/>
    </row>
    <row r="37829" spans="9:13" x14ac:dyDescent="0.3">
      <c r="I37829" s="82"/>
      <c r="M37829" s="85"/>
    </row>
    <row r="37830" spans="9:13" x14ac:dyDescent="0.3">
      <c r="I37830" s="82"/>
      <c r="M37830" s="85"/>
    </row>
    <row r="37831" spans="9:13" x14ac:dyDescent="0.3">
      <c r="I37831" s="82"/>
      <c r="M37831" s="85"/>
    </row>
    <row r="37832" spans="9:13" x14ac:dyDescent="0.3">
      <c r="I37832" s="82"/>
      <c r="M37832" s="85"/>
    </row>
    <row r="37833" spans="9:13" x14ac:dyDescent="0.3">
      <c r="I37833" s="82"/>
      <c r="M37833" s="85"/>
    </row>
    <row r="37834" spans="9:13" x14ac:dyDescent="0.3">
      <c r="I37834" s="82"/>
      <c r="M37834" s="85"/>
    </row>
    <row r="37835" spans="9:13" x14ac:dyDescent="0.3">
      <c r="I37835" s="82"/>
      <c r="M37835" s="85"/>
    </row>
    <row r="37836" spans="9:13" x14ac:dyDescent="0.3">
      <c r="I37836" s="82"/>
      <c r="M37836" s="85"/>
    </row>
    <row r="37837" spans="9:13" x14ac:dyDescent="0.3">
      <c r="I37837" s="82"/>
      <c r="M37837" s="85"/>
    </row>
    <row r="37838" spans="9:13" x14ac:dyDescent="0.3">
      <c r="I37838" s="82"/>
      <c r="M37838" s="85"/>
    </row>
    <row r="37839" spans="9:13" x14ac:dyDescent="0.3">
      <c r="I37839" s="82"/>
      <c r="M37839" s="85"/>
    </row>
    <row r="37840" spans="9:13" x14ac:dyDescent="0.3">
      <c r="I37840" s="82"/>
      <c r="M37840" s="85"/>
    </row>
    <row r="37841" spans="9:13" x14ac:dyDescent="0.3">
      <c r="I37841" s="82"/>
      <c r="M37841" s="85"/>
    </row>
    <row r="37842" spans="9:13" x14ac:dyDescent="0.3">
      <c r="I37842" s="82"/>
      <c r="M37842" s="85"/>
    </row>
    <row r="37843" spans="9:13" x14ac:dyDescent="0.3">
      <c r="I37843" s="82"/>
      <c r="M37843" s="85"/>
    </row>
    <row r="37844" spans="9:13" x14ac:dyDescent="0.3">
      <c r="I37844" s="82"/>
      <c r="M37844" s="85"/>
    </row>
    <row r="37845" spans="9:13" x14ac:dyDescent="0.3">
      <c r="I37845" s="82"/>
      <c r="M37845" s="85"/>
    </row>
    <row r="37846" spans="9:13" x14ac:dyDescent="0.3">
      <c r="I37846" s="82"/>
      <c r="M37846" s="85"/>
    </row>
    <row r="37847" spans="9:13" x14ac:dyDescent="0.3">
      <c r="I37847" s="82"/>
      <c r="M37847" s="85"/>
    </row>
    <row r="37848" spans="9:13" x14ac:dyDescent="0.3">
      <c r="I37848" s="82"/>
      <c r="M37848" s="85"/>
    </row>
    <row r="37849" spans="9:13" x14ac:dyDescent="0.3">
      <c r="I37849" s="82"/>
      <c r="M37849" s="85"/>
    </row>
    <row r="37850" spans="9:13" x14ac:dyDescent="0.3">
      <c r="I37850" s="82"/>
      <c r="M37850" s="85"/>
    </row>
    <row r="37851" spans="9:13" x14ac:dyDescent="0.3">
      <c r="I37851" s="82"/>
      <c r="M37851" s="85"/>
    </row>
    <row r="37852" spans="9:13" x14ac:dyDescent="0.3">
      <c r="I37852" s="82"/>
      <c r="M37852" s="85"/>
    </row>
    <row r="37853" spans="9:13" x14ac:dyDescent="0.3">
      <c r="I37853" s="82"/>
      <c r="M37853" s="85"/>
    </row>
    <row r="37854" spans="9:13" x14ac:dyDescent="0.3">
      <c r="I37854" s="82"/>
      <c r="M37854" s="85"/>
    </row>
    <row r="37855" spans="9:13" x14ac:dyDescent="0.3">
      <c r="I37855" s="82"/>
      <c r="M37855" s="85"/>
    </row>
    <row r="37856" spans="9:13" x14ac:dyDescent="0.3">
      <c r="I37856" s="82"/>
      <c r="M37856" s="85"/>
    </row>
    <row r="37857" spans="9:13" x14ac:dyDescent="0.3">
      <c r="I37857" s="82"/>
      <c r="M37857" s="85"/>
    </row>
    <row r="37858" spans="9:13" x14ac:dyDescent="0.3">
      <c r="I37858" s="82"/>
      <c r="M37858" s="85"/>
    </row>
    <row r="37859" spans="9:13" x14ac:dyDescent="0.3">
      <c r="I37859" s="82"/>
      <c r="M37859" s="85"/>
    </row>
    <row r="37860" spans="9:13" x14ac:dyDescent="0.3">
      <c r="I37860" s="82"/>
      <c r="M37860" s="85"/>
    </row>
    <row r="37861" spans="9:13" x14ac:dyDescent="0.3">
      <c r="I37861" s="82"/>
      <c r="M37861" s="85"/>
    </row>
    <row r="37862" spans="9:13" x14ac:dyDescent="0.3">
      <c r="I37862" s="82"/>
      <c r="M37862" s="85"/>
    </row>
    <row r="37863" spans="9:13" x14ac:dyDescent="0.3">
      <c r="I37863" s="82"/>
      <c r="M37863" s="85"/>
    </row>
    <row r="37864" spans="9:13" x14ac:dyDescent="0.3">
      <c r="I37864" s="82"/>
      <c r="M37864" s="85"/>
    </row>
    <row r="37865" spans="9:13" x14ac:dyDescent="0.3">
      <c r="I37865" s="82"/>
      <c r="M37865" s="85"/>
    </row>
    <row r="37866" spans="9:13" x14ac:dyDescent="0.3">
      <c r="I37866" s="82"/>
      <c r="M37866" s="85"/>
    </row>
    <row r="37867" spans="9:13" x14ac:dyDescent="0.3">
      <c r="I37867" s="82"/>
      <c r="M37867" s="85"/>
    </row>
    <row r="37868" spans="9:13" x14ac:dyDescent="0.3">
      <c r="I37868" s="82"/>
      <c r="M37868" s="85"/>
    </row>
    <row r="37869" spans="9:13" x14ac:dyDescent="0.3">
      <c r="I37869" s="82"/>
      <c r="M37869" s="85"/>
    </row>
    <row r="37870" spans="9:13" x14ac:dyDescent="0.3">
      <c r="I37870" s="82"/>
      <c r="M37870" s="85"/>
    </row>
    <row r="37871" spans="9:13" x14ac:dyDescent="0.3">
      <c r="I37871" s="82"/>
      <c r="M37871" s="85"/>
    </row>
    <row r="37872" spans="9:13" x14ac:dyDescent="0.3">
      <c r="I37872" s="82"/>
      <c r="M37872" s="85"/>
    </row>
    <row r="37873" spans="9:13" x14ac:dyDescent="0.3">
      <c r="I37873" s="82"/>
      <c r="M37873" s="85"/>
    </row>
    <row r="37874" spans="9:13" x14ac:dyDescent="0.3">
      <c r="I37874" s="82"/>
      <c r="M37874" s="85"/>
    </row>
    <row r="37875" spans="9:13" x14ac:dyDescent="0.3">
      <c r="I37875" s="82"/>
      <c r="M37875" s="85"/>
    </row>
    <row r="37876" spans="9:13" x14ac:dyDescent="0.3">
      <c r="I37876" s="82"/>
      <c r="M37876" s="85"/>
    </row>
    <row r="37877" spans="9:13" x14ac:dyDescent="0.3">
      <c r="I37877" s="82"/>
      <c r="M37877" s="85"/>
    </row>
    <row r="37878" spans="9:13" x14ac:dyDescent="0.3">
      <c r="I37878" s="82"/>
      <c r="M37878" s="85"/>
    </row>
    <row r="37879" spans="9:13" x14ac:dyDescent="0.3">
      <c r="I37879" s="82"/>
      <c r="M37879" s="85"/>
    </row>
    <row r="37880" spans="9:13" x14ac:dyDescent="0.3">
      <c r="I37880" s="82"/>
      <c r="M37880" s="85"/>
    </row>
    <row r="37881" spans="9:13" x14ac:dyDescent="0.3">
      <c r="I37881" s="82"/>
      <c r="M37881" s="85"/>
    </row>
    <row r="37882" spans="9:13" x14ac:dyDescent="0.3">
      <c r="I37882" s="82"/>
      <c r="M37882" s="85"/>
    </row>
    <row r="37883" spans="9:13" x14ac:dyDescent="0.3">
      <c r="I37883" s="82"/>
      <c r="M37883" s="85"/>
    </row>
    <row r="37884" spans="9:13" x14ac:dyDescent="0.3">
      <c r="I37884" s="82"/>
      <c r="M37884" s="85"/>
    </row>
    <row r="37885" spans="9:13" x14ac:dyDescent="0.3">
      <c r="I37885" s="82"/>
      <c r="M37885" s="85"/>
    </row>
    <row r="37886" spans="9:13" x14ac:dyDescent="0.3">
      <c r="I37886" s="82"/>
      <c r="M37886" s="85"/>
    </row>
    <row r="37887" spans="9:13" x14ac:dyDescent="0.3">
      <c r="I37887" s="82"/>
      <c r="M37887" s="85"/>
    </row>
    <row r="37888" spans="9:13" x14ac:dyDescent="0.3">
      <c r="I37888" s="82"/>
      <c r="M37888" s="85"/>
    </row>
    <row r="37889" spans="9:13" x14ac:dyDescent="0.3">
      <c r="I37889" s="82"/>
      <c r="M37889" s="85"/>
    </row>
    <row r="37890" spans="9:13" x14ac:dyDescent="0.3">
      <c r="I37890" s="82"/>
      <c r="M37890" s="85"/>
    </row>
    <row r="37891" spans="9:13" x14ac:dyDescent="0.3">
      <c r="I37891" s="82"/>
      <c r="M37891" s="85"/>
    </row>
    <row r="37892" spans="9:13" x14ac:dyDescent="0.3">
      <c r="I37892" s="82"/>
      <c r="M37892" s="85"/>
    </row>
    <row r="37893" spans="9:13" x14ac:dyDescent="0.3">
      <c r="I37893" s="82"/>
      <c r="M37893" s="85"/>
    </row>
    <row r="37894" spans="9:13" x14ac:dyDescent="0.3">
      <c r="I37894" s="82"/>
      <c r="M37894" s="85"/>
    </row>
    <row r="37895" spans="9:13" x14ac:dyDescent="0.3">
      <c r="I37895" s="82"/>
      <c r="M37895" s="85"/>
    </row>
    <row r="37896" spans="9:13" x14ac:dyDescent="0.3">
      <c r="I37896" s="82"/>
      <c r="M37896" s="85"/>
    </row>
    <row r="37897" spans="9:13" x14ac:dyDescent="0.3">
      <c r="I37897" s="82"/>
      <c r="M37897" s="85"/>
    </row>
    <row r="37898" spans="9:13" x14ac:dyDescent="0.3">
      <c r="I37898" s="82"/>
      <c r="M37898" s="85"/>
    </row>
    <row r="37899" spans="9:13" x14ac:dyDescent="0.3">
      <c r="I37899" s="82"/>
      <c r="M37899" s="85"/>
    </row>
    <row r="37900" spans="9:13" x14ac:dyDescent="0.3">
      <c r="I37900" s="82"/>
      <c r="M37900" s="85"/>
    </row>
    <row r="37901" spans="9:13" x14ac:dyDescent="0.3">
      <c r="I37901" s="82"/>
      <c r="M37901" s="85"/>
    </row>
    <row r="37902" spans="9:13" x14ac:dyDescent="0.3">
      <c r="I37902" s="82"/>
      <c r="M37902" s="85"/>
    </row>
    <row r="37903" spans="9:13" x14ac:dyDescent="0.3">
      <c r="I37903" s="82"/>
      <c r="M37903" s="85"/>
    </row>
    <row r="37904" spans="9:13" x14ac:dyDescent="0.3">
      <c r="I37904" s="82"/>
      <c r="M37904" s="85"/>
    </row>
    <row r="37905" spans="9:13" x14ac:dyDescent="0.3">
      <c r="I37905" s="82"/>
      <c r="M37905" s="85"/>
    </row>
    <row r="37906" spans="9:13" x14ac:dyDescent="0.3">
      <c r="I37906" s="82"/>
      <c r="M37906" s="85"/>
    </row>
    <row r="37907" spans="9:13" x14ac:dyDescent="0.3">
      <c r="I37907" s="82"/>
      <c r="M37907" s="85"/>
    </row>
    <row r="37908" spans="9:13" x14ac:dyDescent="0.3">
      <c r="I37908" s="82"/>
      <c r="M37908" s="85"/>
    </row>
    <row r="37909" spans="9:13" x14ac:dyDescent="0.3">
      <c r="I37909" s="82"/>
      <c r="M37909" s="85"/>
    </row>
    <row r="37910" spans="9:13" x14ac:dyDescent="0.3">
      <c r="I37910" s="82"/>
      <c r="M37910" s="85"/>
    </row>
    <row r="37911" spans="9:13" x14ac:dyDescent="0.3">
      <c r="I37911" s="82"/>
      <c r="M37911" s="85"/>
    </row>
    <row r="37912" spans="9:13" x14ac:dyDescent="0.3">
      <c r="I37912" s="82"/>
      <c r="M37912" s="85"/>
    </row>
    <row r="37913" spans="9:13" x14ac:dyDescent="0.3">
      <c r="I37913" s="82"/>
      <c r="M37913" s="85"/>
    </row>
    <row r="37914" spans="9:13" x14ac:dyDescent="0.3">
      <c r="I37914" s="82"/>
      <c r="M37914" s="85"/>
    </row>
    <row r="37915" spans="9:13" x14ac:dyDescent="0.3">
      <c r="I37915" s="82"/>
      <c r="M37915" s="85"/>
    </row>
    <row r="37916" spans="9:13" x14ac:dyDescent="0.3">
      <c r="I37916" s="82"/>
      <c r="M37916" s="85"/>
    </row>
    <row r="37917" spans="9:13" x14ac:dyDescent="0.3">
      <c r="I37917" s="82"/>
      <c r="M37917" s="85"/>
    </row>
    <row r="37918" spans="9:13" x14ac:dyDescent="0.3">
      <c r="I37918" s="82"/>
      <c r="M37918" s="85"/>
    </row>
    <row r="37919" spans="9:13" x14ac:dyDescent="0.3">
      <c r="I37919" s="82"/>
      <c r="M37919" s="85"/>
    </row>
    <row r="37920" spans="9:13" x14ac:dyDescent="0.3">
      <c r="I37920" s="82"/>
      <c r="M37920" s="85"/>
    </row>
    <row r="37921" spans="9:13" x14ac:dyDescent="0.3">
      <c r="I37921" s="82"/>
      <c r="M37921" s="85"/>
    </row>
    <row r="37922" spans="9:13" x14ac:dyDescent="0.3">
      <c r="I37922" s="82"/>
      <c r="M37922" s="85"/>
    </row>
    <row r="37923" spans="9:13" x14ac:dyDescent="0.3">
      <c r="I37923" s="82"/>
      <c r="M37923" s="85"/>
    </row>
    <row r="37924" spans="9:13" x14ac:dyDescent="0.3">
      <c r="I37924" s="82"/>
      <c r="M37924" s="85"/>
    </row>
    <row r="37925" spans="9:13" x14ac:dyDescent="0.3">
      <c r="I37925" s="82"/>
      <c r="M37925" s="85"/>
    </row>
    <row r="37926" spans="9:13" x14ac:dyDescent="0.3">
      <c r="I37926" s="82"/>
      <c r="M37926" s="85"/>
    </row>
    <row r="37927" spans="9:13" x14ac:dyDescent="0.3">
      <c r="I37927" s="82"/>
      <c r="M37927" s="85"/>
    </row>
    <row r="37928" spans="9:13" x14ac:dyDescent="0.3">
      <c r="I37928" s="82"/>
      <c r="M37928" s="85"/>
    </row>
    <row r="37929" spans="9:13" x14ac:dyDescent="0.3">
      <c r="I37929" s="82"/>
      <c r="M37929" s="85"/>
    </row>
    <row r="37930" spans="9:13" x14ac:dyDescent="0.3">
      <c r="I37930" s="82"/>
      <c r="M37930" s="85"/>
    </row>
    <row r="37931" spans="9:13" x14ac:dyDescent="0.3">
      <c r="I37931" s="82"/>
      <c r="M37931" s="85"/>
    </row>
    <row r="37932" spans="9:13" x14ac:dyDescent="0.3">
      <c r="I37932" s="82"/>
      <c r="M37932" s="85"/>
    </row>
    <row r="37933" spans="9:13" x14ac:dyDescent="0.3">
      <c r="I37933" s="82"/>
      <c r="M37933" s="85"/>
    </row>
    <row r="37934" spans="9:13" x14ac:dyDescent="0.3">
      <c r="I37934" s="82"/>
      <c r="M37934" s="85"/>
    </row>
    <row r="37935" spans="9:13" x14ac:dyDescent="0.3">
      <c r="I37935" s="82"/>
      <c r="M37935" s="85"/>
    </row>
    <row r="37936" spans="9:13" x14ac:dyDescent="0.3">
      <c r="I37936" s="82"/>
      <c r="M37936" s="85"/>
    </row>
    <row r="37937" spans="9:13" x14ac:dyDescent="0.3">
      <c r="I37937" s="82"/>
      <c r="M37937" s="85"/>
    </row>
    <row r="37938" spans="9:13" x14ac:dyDescent="0.3">
      <c r="I37938" s="82"/>
      <c r="M37938" s="85"/>
    </row>
    <row r="37939" spans="9:13" x14ac:dyDescent="0.3">
      <c r="I37939" s="82"/>
      <c r="M37939" s="85"/>
    </row>
    <row r="37940" spans="9:13" x14ac:dyDescent="0.3">
      <c r="I37940" s="82"/>
      <c r="M37940" s="85"/>
    </row>
    <row r="37941" spans="9:13" x14ac:dyDescent="0.3">
      <c r="I37941" s="82"/>
      <c r="M37941" s="85"/>
    </row>
    <row r="37942" spans="9:13" x14ac:dyDescent="0.3">
      <c r="I37942" s="82"/>
      <c r="M37942" s="85"/>
    </row>
    <row r="37943" spans="9:13" x14ac:dyDescent="0.3">
      <c r="I37943" s="82"/>
      <c r="M37943" s="85"/>
    </row>
    <row r="37944" spans="9:13" x14ac:dyDescent="0.3">
      <c r="I37944" s="82"/>
      <c r="M37944" s="85"/>
    </row>
    <row r="37945" spans="9:13" x14ac:dyDescent="0.3">
      <c r="I37945" s="82"/>
      <c r="M37945" s="85"/>
    </row>
    <row r="37946" spans="9:13" x14ac:dyDescent="0.3">
      <c r="I37946" s="82"/>
      <c r="M37946" s="85"/>
    </row>
    <row r="37947" spans="9:13" x14ac:dyDescent="0.3">
      <c r="I37947" s="82"/>
      <c r="M37947" s="85"/>
    </row>
    <row r="37948" spans="9:13" x14ac:dyDescent="0.3">
      <c r="I37948" s="82"/>
      <c r="M37948" s="85"/>
    </row>
    <row r="37949" spans="9:13" x14ac:dyDescent="0.3">
      <c r="I37949" s="82"/>
      <c r="M37949" s="85"/>
    </row>
    <row r="37950" spans="9:13" x14ac:dyDescent="0.3">
      <c r="I37950" s="82"/>
      <c r="M37950" s="85"/>
    </row>
    <row r="37951" spans="9:13" x14ac:dyDescent="0.3">
      <c r="I37951" s="82"/>
      <c r="M37951" s="85"/>
    </row>
    <row r="37952" spans="9:13" x14ac:dyDescent="0.3">
      <c r="I37952" s="82"/>
      <c r="M37952" s="85"/>
    </row>
    <row r="37953" spans="9:13" x14ac:dyDescent="0.3">
      <c r="I37953" s="82"/>
      <c r="M37953" s="85"/>
    </row>
    <row r="37954" spans="9:13" x14ac:dyDescent="0.3">
      <c r="I37954" s="82"/>
      <c r="M37954" s="85"/>
    </row>
    <row r="37955" spans="9:13" x14ac:dyDescent="0.3">
      <c r="I37955" s="82"/>
      <c r="M37955" s="85"/>
    </row>
    <row r="37956" spans="9:13" x14ac:dyDescent="0.3">
      <c r="I37956" s="82"/>
      <c r="M37956" s="85"/>
    </row>
    <row r="37957" spans="9:13" x14ac:dyDescent="0.3">
      <c r="I37957" s="82"/>
      <c r="M37957" s="85"/>
    </row>
    <row r="37958" spans="9:13" x14ac:dyDescent="0.3">
      <c r="I37958" s="82"/>
      <c r="M37958" s="85"/>
    </row>
    <row r="37959" spans="9:13" x14ac:dyDescent="0.3">
      <c r="I37959" s="82"/>
      <c r="M37959" s="85"/>
    </row>
    <row r="37960" spans="9:13" x14ac:dyDescent="0.3">
      <c r="I37960" s="82"/>
      <c r="M37960" s="85"/>
    </row>
    <row r="37961" spans="9:13" x14ac:dyDescent="0.3">
      <c r="I37961" s="82"/>
      <c r="M37961" s="85"/>
    </row>
    <row r="37962" spans="9:13" x14ac:dyDescent="0.3">
      <c r="I37962" s="82"/>
      <c r="M37962" s="85"/>
    </row>
    <row r="37963" spans="9:13" x14ac:dyDescent="0.3">
      <c r="I37963" s="82"/>
      <c r="M37963" s="85"/>
    </row>
    <row r="37964" spans="9:13" x14ac:dyDescent="0.3">
      <c r="I37964" s="82"/>
      <c r="M37964" s="85"/>
    </row>
    <row r="37965" spans="9:13" x14ac:dyDescent="0.3">
      <c r="I37965" s="82"/>
      <c r="M37965" s="85"/>
    </row>
    <row r="37966" spans="9:13" x14ac:dyDescent="0.3">
      <c r="I37966" s="82"/>
      <c r="M37966" s="85"/>
    </row>
    <row r="37967" spans="9:13" x14ac:dyDescent="0.3">
      <c r="I37967" s="82"/>
      <c r="M37967" s="85"/>
    </row>
    <row r="37968" spans="9:13" x14ac:dyDescent="0.3">
      <c r="I37968" s="82"/>
      <c r="M37968" s="85"/>
    </row>
    <row r="37969" spans="9:13" x14ac:dyDescent="0.3">
      <c r="I37969" s="82"/>
      <c r="M37969" s="85"/>
    </row>
    <row r="37970" spans="9:13" x14ac:dyDescent="0.3">
      <c r="I37970" s="82"/>
      <c r="M37970" s="85"/>
    </row>
    <row r="37971" spans="9:13" x14ac:dyDescent="0.3">
      <c r="I37971" s="82"/>
      <c r="M37971" s="85"/>
    </row>
    <row r="37972" spans="9:13" x14ac:dyDescent="0.3">
      <c r="I37972" s="82"/>
      <c r="M37972" s="85"/>
    </row>
    <row r="37973" spans="9:13" x14ac:dyDescent="0.3">
      <c r="I37973" s="82"/>
      <c r="M37973" s="85"/>
    </row>
    <row r="37974" spans="9:13" x14ac:dyDescent="0.3">
      <c r="I37974" s="82"/>
      <c r="M37974" s="85"/>
    </row>
    <row r="37975" spans="9:13" x14ac:dyDescent="0.3">
      <c r="I37975" s="82"/>
      <c r="M37975" s="85"/>
    </row>
    <row r="37976" spans="9:13" x14ac:dyDescent="0.3">
      <c r="I37976" s="82"/>
      <c r="M37976" s="85"/>
    </row>
    <row r="37977" spans="9:13" x14ac:dyDescent="0.3">
      <c r="I37977" s="82"/>
      <c r="M37977" s="85"/>
    </row>
    <row r="37978" spans="9:13" x14ac:dyDescent="0.3">
      <c r="I37978" s="82"/>
      <c r="M37978" s="85"/>
    </row>
    <row r="37979" spans="9:13" x14ac:dyDescent="0.3">
      <c r="I37979" s="82"/>
      <c r="M37979" s="85"/>
    </row>
    <row r="37980" spans="9:13" x14ac:dyDescent="0.3">
      <c r="I37980" s="82"/>
      <c r="M37980" s="85"/>
    </row>
    <row r="37981" spans="9:13" x14ac:dyDescent="0.3">
      <c r="I37981" s="82"/>
      <c r="M37981" s="85"/>
    </row>
    <row r="37982" spans="9:13" x14ac:dyDescent="0.3">
      <c r="I37982" s="82"/>
      <c r="M37982" s="85"/>
    </row>
    <row r="37983" spans="9:13" x14ac:dyDescent="0.3">
      <c r="I37983" s="82"/>
      <c r="M37983" s="85"/>
    </row>
    <row r="37984" spans="9:13" x14ac:dyDescent="0.3">
      <c r="I37984" s="82"/>
      <c r="M37984" s="85"/>
    </row>
    <row r="37985" spans="9:13" x14ac:dyDescent="0.3">
      <c r="I37985" s="82"/>
      <c r="M37985" s="85"/>
    </row>
    <row r="37986" spans="9:13" x14ac:dyDescent="0.3">
      <c r="I37986" s="82"/>
      <c r="M37986" s="85"/>
    </row>
    <row r="37987" spans="9:13" x14ac:dyDescent="0.3">
      <c r="I37987" s="82"/>
      <c r="M37987" s="85"/>
    </row>
    <row r="37988" spans="9:13" x14ac:dyDescent="0.3">
      <c r="I37988" s="82"/>
      <c r="M37988" s="85"/>
    </row>
    <row r="37989" spans="9:13" x14ac:dyDescent="0.3">
      <c r="I37989" s="82"/>
      <c r="M37989" s="85"/>
    </row>
    <row r="37990" spans="9:13" x14ac:dyDescent="0.3">
      <c r="I37990" s="82"/>
      <c r="M37990" s="85"/>
    </row>
    <row r="37991" spans="9:13" x14ac:dyDescent="0.3">
      <c r="I37991" s="82"/>
      <c r="M37991" s="85"/>
    </row>
    <row r="37992" spans="9:13" x14ac:dyDescent="0.3">
      <c r="I37992" s="82"/>
      <c r="M37992" s="85"/>
    </row>
    <row r="37993" spans="9:13" x14ac:dyDescent="0.3">
      <c r="I37993" s="82"/>
      <c r="M37993" s="85"/>
    </row>
    <row r="37994" spans="9:13" x14ac:dyDescent="0.3">
      <c r="I37994" s="82"/>
      <c r="M37994" s="85"/>
    </row>
    <row r="37995" spans="9:13" x14ac:dyDescent="0.3">
      <c r="I37995" s="82"/>
      <c r="M37995" s="85"/>
    </row>
    <row r="37996" spans="9:13" x14ac:dyDescent="0.3">
      <c r="I37996" s="82"/>
      <c r="M37996" s="85"/>
    </row>
    <row r="37997" spans="9:13" x14ac:dyDescent="0.3">
      <c r="I37997" s="82"/>
      <c r="M37997" s="85"/>
    </row>
    <row r="37998" spans="9:13" x14ac:dyDescent="0.3">
      <c r="I37998" s="82"/>
      <c r="M37998" s="85"/>
    </row>
    <row r="37999" spans="9:13" x14ac:dyDescent="0.3">
      <c r="I37999" s="82"/>
      <c r="M37999" s="85"/>
    </row>
    <row r="38000" spans="9:13" x14ac:dyDescent="0.3">
      <c r="I38000" s="82"/>
      <c r="M38000" s="85"/>
    </row>
    <row r="38001" spans="9:13" x14ac:dyDescent="0.3">
      <c r="I38001" s="82"/>
      <c r="M38001" s="85"/>
    </row>
    <row r="38002" spans="9:13" x14ac:dyDescent="0.3">
      <c r="I38002" s="82"/>
      <c r="M38002" s="85"/>
    </row>
    <row r="38003" spans="9:13" x14ac:dyDescent="0.3">
      <c r="I38003" s="82"/>
      <c r="M38003" s="85"/>
    </row>
    <row r="38004" spans="9:13" x14ac:dyDescent="0.3">
      <c r="I38004" s="82"/>
      <c r="M38004" s="85"/>
    </row>
    <row r="38005" spans="9:13" x14ac:dyDescent="0.3">
      <c r="I38005" s="82"/>
      <c r="M38005" s="85"/>
    </row>
    <row r="38006" spans="9:13" x14ac:dyDescent="0.3">
      <c r="I38006" s="82"/>
      <c r="M38006" s="85"/>
    </row>
    <row r="38007" spans="9:13" x14ac:dyDescent="0.3">
      <c r="I38007" s="82"/>
      <c r="M38007" s="85"/>
    </row>
    <row r="38008" spans="9:13" x14ac:dyDescent="0.3">
      <c r="I38008" s="82"/>
      <c r="M38008" s="85"/>
    </row>
    <row r="38009" spans="9:13" x14ac:dyDescent="0.3">
      <c r="I38009" s="82"/>
      <c r="M38009" s="85"/>
    </row>
    <row r="38010" spans="9:13" x14ac:dyDescent="0.3">
      <c r="I38010" s="82"/>
      <c r="M38010" s="85"/>
    </row>
    <row r="38011" spans="9:13" x14ac:dyDescent="0.3">
      <c r="I38011" s="82"/>
      <c r="M38011" s="85"/>
    </row>
    <row r="38012" spans="9:13" x14ac:dyDescent="0.3">
      <c r="I38012" s="82"/>
      <c r="M38012" s="85"/>
    </row>
    <row r="38013" spans="9:13" x14ac:dyDescent="0.3">
      <c r="I38013" s="82"/>
      <c r="M38013" s="85"/>
    </row>
    <row r="38014" spans="9:13" x14ac:dyDescent="0.3">
      <c r="I38014" s="82"/>
      <c r="M38014" s="85"/>
    </row>
    <row r="38015" spans="9:13" x14ac:dyDescent="0.3">
      <c r="I38015" s="82"/>
      <c r="M38015" s="85"/>
    </row>
    <row r="38016" spans="9:13" x14ac:dyDescent="0.3">
      <c r="I38016" s="82"/>
      <c r="M38016" s="85"/>
    </row>
    <row r="38017" spans="9:13" x14ac:dyDescent="0.3">
      <c r="I38017" s="82"/>
      <c r="M38017" s="85"/>
    </row>
    <row r="38018" spans="9:13" x14ac:dyDescent="0.3">
      <c r="I38018" s="82"/>
      <c r="M38018" s="85"/>
    </row>
    <row r="38019" spans="9:13" x14ac:dyDescent="0.3">
      <c r="I38019" s="82"/>
      <c r="M38019" s="85"/>
    </row>
    <row r="38020" spans="9:13" x14ac:dyDescent="0.3">
      <c r="I38020" s="82"/>
      <c r="M38020" s="85"/>
    </row>
    <row r="38021" spans="9:13" x14ac:dyDescent="0.3">
      <c r="I38021" s="82"/>
      <c r="M38021" s="85"/>
    </row>
    <row r="38022" spans="9:13" x14ac:dyDescent="0.3">
      <c r="I38022" s="82"/>
      <c r="M38022" s="85"/>
    </row>
    <row r="38023" spans="9:13" x14ac:dyDescent="0.3">
      <c r="I38023" s="82"/>
      <c r="M38023" s="85"/>
    </row>
    <row r="38024" spans="9:13" x14ac:dyDescent="0.3">
      <c r="I38024" s="82"/>
      <c r="M38024" s="85"/>
    </row>
    <row r="38025" spans="9:13" x14ac:dyDescent="0.3">
      <c r="I38025" s="82"/>
      <c r="M38025" s="85"/>
    </row>
    <row r="38026" spans="9:13" x14ac:dyDescent="0.3">
      <c r="I38026" s="82"/>
      <c r="M38026" s="85"/>
    </row>
    <row r="38027" spans="9:13" x14ac:dyDescent="0.3">
      <c r="I38027" s="82"/>
      <c r="M38027" s="85"/>
    </row>
    <row r="38028" spans="9:13" x14ac:dyDescent="0.3">
      <c r="I38028" s="82"/>
      <c r="M38028" s="85"/>
    </row>
    <row r="38029" spans="9:13" x14ac:dyDescent="0.3">
      <c r="I38029" s="82"/>
      <c r="M38029" s="85"/>
    </row>
    <row r="38030" spans="9:13" x14ac:dyDescent="0.3">
      <c r="I38030" s="82"/>
      <c r="M38030" s="85"/>
    </row>
    <row r="38031" spans="9:13" x14ac:dyDescent="0.3">
      <c r="I38031" s="82"/>
      <c r="M38031" s="85"/>
    </row>
    <row r="38032" spans="9:13" x14ac:dyDescent="0.3">
      <c r="I38032" s="82"/>
      <c r="M38032" s="85"/>
    </row>
    <row r="38033" spans="9:13" x14ac:dyDescent="0.3">
      <c r="I38033" s="82"/>
      <c r="M38033" s="85"/>
    </row>
    <row r="38034" spans="9:13" x14ac:dyDescent="0.3">
      <c r="I38034" s="82"/>
      <c r="M38034" s="85"/>
    </row>
    <row r="38035" spans="9:13" x14ac:dyDescent="0.3">
      <c r="I38035" s="82"/>
      <c r="M38035" s="85"/>
    </row>
    <row r="38036" spans="9:13" x14ac:dyDescent="0.3">
      <c r="I38036" s="82"/>
      <c r="M38036" s="85"/>
    </row>
    <row r="38037" spans="9:13" x14ac:dyDescent="0.3">
      <c r="I38037" s="82"/>
      <c r="M38037" s="85"/>
    </row>
    <row r="38038" spans="9:13" x14ac:dyDescent="0.3">
      <c r="I38038" s="82"/>
      <c r="M38038" s="85"/>
    </row>
    <row r="38039" spans="9:13" x14ac:dyDescent="0.3">
      <c r="I38039" s="82"/>
      <c r="M38039" s="85"/>
    </row>
    <row r="38040" spans="9:13" x14ac:dyDescent="0.3">
      <c r="I38040" s="82"/>
      <c r="M38040" s="85"/>
    </row>
    <row r="38041" spans="9:13" x14ac:dyDescent="0.3">
      <c r="I38041" s="82"/>
      <c r="M38041" s="85"/>
    </row>
    <row r="38042" spans="9:13" x14ac:dyDescent="0.3">
      <c r="I38042" s="82"/>
      <c r="M38042" s="85"/>
    </row>
    <row r="38043" spans="9:13" x14ac:dyDescent="0.3">
      <c r="I38043" s="82"/>
      <c r="M38043" s="85"/>
    </row>
    <row r="38044" spans="9:13" x14ac:dyDescent="0.3">
      <c r="I38044" s="82"/>
      <c r="M38044" s="85"/>
    </row>
    <row r="38045" spans="9:13" x14ac:dyDescent="0.3">
      <c r="I38045" s="82"/>
      <c r="M38045" s="85"/>
    </row>
    <row r="38046" spans="9:13" x14ac:dyDescent="0.3">
      <c r="I38046" s="82"/>
      <c r="M38046" s="85"/>
    </row>
    <row r="38047" spans="9:13" x14ac:dyDescent="0.3">
      <c r="I38047" s="82"/>
      <c r="M38047" s="85"/>
    </row>
    <row r="38048" spans="9:13" x14ac:dyDescent="0.3">
      <c r="I38048" s="82"/>
      <c r="M38048" s="85"/>
    </row>
    <row r="38049" spans="9:13" x14ac:dyDescent="0.3">
      <c r="I38049" s="82"/>
      <c r="M38049" s="85"/>
    </row>
    <row r="38050" spans="9:13" x14ac:dyDescent="0.3">
      <c r="I38050" s="82"/>
      <c r="M38050" s="85"/>
    </row>
    <row r="38051" spans="9:13" x14ac:dyDescent="0.3">
      <c r="I38051" s="82"/>
      <c r="M38051" s="85"/>
    </row>
    <row r="38052" spans="9:13" x14ac:dyDescent="0.3">
      <c r="I38052" s="82"/>
      <c r="M38052" s="85"/>
    </row>
    <row r="38053" spans="9:13" x14ac:dyDescent="0.3">
      <c r="I38053" s="82"/>
      <c r="M38053" s="85"/>
    </row>
    <row r="38054" spans="9:13" x14ac:dyDescent="0.3">
      <c r="I38054" s="82"/>
      <c r="M38054" s="85"/>
    </row>
    <row r="38055" spans="9:13" x14ac:dyDescent="0.3">
      <c r="I38055" s="82"/>
      <c r="M38055" s="85"/>
    </row>
    <row r="38056" spans="9:13" x14ac:dyDescent="0.3">
      <c r="I38056" s="82"/>
      <c r="M38056" s="85"/>
    </row>
    <row r="38057" spans="9:13" x14ac:dyDescent="0.3">
      <c r="I38057" s="82"/>
      <c r="M38057" s="85"/>
    </row>
    <row r="38058" spans="9:13" x14ac:dyDescent="0.3">
      <c r="I38058" s="82"/>
      <c r="M38058" s="85"/>
    </row>
    <row r="38059" spans="9:13" x14ac:dyDescent="0.3">
      <c r="I38059" s="82"/>
      <c r="M38059" s="85"/>
    </row>
    <row r="38060" spans="9:13" x14ac:dyDescent="0.3">
      <c r="I38060" s="82"/>
      <c r="M38060" s="85"/>
    </row>
    <row r="38061" spans="9:13" x14ac:dyDescent="0.3">
      <c r="I38061" s="82"/>
      <c r="M38061" s="85"/>
    </row>
    <row r="38062" spans="9:13" x14ac:dyDescent="0.3">
      <c r="I38062" s="82"/>
      <c r="M38062" s="85"/>
    </row>
    <row r="38063" spans="9:13" x14ac:dyDescent="0.3">
      <c r="I38063" s="82"/>
      <c r="M38063" s="85"/>
    </row>
    <row r="38064" spans="9:13" x14ac:dyDescent="0.3">
      <c r="I38064" s="82"/>
      <c r="M38064" s="85"/>
    </row>
    <row r="38065" spans="9:13" x14ac:dyDescent="0.3">
      <c r="I38065" s="82"/>
      <c r="M38065" s="85"/>
    </row>
    <row r="38066" spans="9:13" x14ac:dyDescent="0.3">
      <c r="I38066" s="82"/>
      <c r="M38066" s="85"/>
    </row>
    <row r="38067" spans="9:13" x14ac:dyDescent="0.3">
      <c r="I38067" s="82"/>
      <c r="M38067" s="85"/>
    </row>
    <row r="38068" spans="9:13" x14ac:dyDescent="0.3">
      <c r="I38068" s="82"/>
      <c r="M38068" s="85"/>
    </row>
    <row r="38069" spans="9:13" x14ac:dyDescent="0.3">
      <c r="I38069" s="82"/>
      <c r="M38069" s="85"/>
    </row>
    <row r="38070" spans="9:13" x14ac:dyDescent="0.3">
      <c r="I38070" s="82"/>
      <c r="M38070" s="85"/>
    </row>
    <row r="38071" spans="9:13" x14ac:dyDescent="0.3">
      <c r="I38071" s="82"/>
      <c r="M38071" s="85"/>
    </row>
    <row r="38072" spans="9:13" x14ac:dyDescent="0.3">
      <c r="I38072" s="82"/>
      <c r="M38072" s="85"/>
    </row>
    <row r="38073" spans="9:13" x14ac:dyDescent="0.3">
      <c r="I38073" s="82"/>
      <c r="M38073" s="85"/>
    </row>
    <row r="38074" spans="9:13" x14ac:dyDescent="0.3">
      <c r="I38074" s="82"/>
      <c r="M38074" s="85"/>
    </row>
    <row r="38075" spans="9:13" x14ac:dyDescent="0.3">
      <c r="I38075" s="82"/>
      <c r="M38075" s="85"/>
    </row>
    <row r="38076" spans="9:13" x14ac:dyDescent="0.3">
      <c r="I38076" s="82"/>
      <c r="M38076" s="85"/>
    </row>
    <row r="38077" spans="9:13" x14ac:dyDescent="0.3">
      <c r="I38077" s="82"/>
      <c r="M38077" s="85"/>
    </row>
    <row r="38078" spans="9:13" x14ac:dyDescent="0.3">
      <c r="I38078" s="82"/>
      <c r="M38078" s="85"/>
    </row>
    <row r="38079" spans="9:13" x14ac:dyDescent="0.3">
      <c r="I38079" s="82"/>
      <c r="M38079" s="85"/>
    </row>
    <row r="38080" spans="9:13" x14ac:dyDescent="0.3">
      <c r="I38080" s="82"/>
      <c r="M38080" s="85"/>
    </row>
    <row r="38081" spans="9:13" x14ac:dyDescent="0.3">
      <c r="I38081" s="82"/>
      <c r="M38081" s="85"/>
    </row>
    <row r="38082" spans="9:13" x14ac:dyDescent="0.3">
      <c r="I38082" s="82"/>
      <c r="M38082" s="85"/>
    </row>
    <row r="38083" spans="9:13" x14ac:dyDescent="0.3">
      <c r="I38083" s="82"/>
      <c r="M38083" s="85"/>
    </row>
    <row r="38084" spans="9:13" x14ac:dyDescent="0.3">
      <c r="I38084" s="82"/>
      <c r="M38084" s="85"/>
    </row>
    <row r="38085" spans="9:13" x14ac:dyDescent="0.3">
      <c r="I38085" s="82"/>
      <c r="M38085" s="85"/>
    </row>
    <row r="38086" spans="9:13" x14ac:dyDescent="0.3">
      <c r="I38086" s="82"/>
      <c r="M38086" s="85"/>
    </row>
    <row r="38087" spans="9:13" x14ac:dyDescent="0.3">
      <c r="I38087" s="82"/>
      <c r="M38087" s="85"/>
    </row>
    <row r="38088" spans="9:13" x14ac:dyDescent="0.3">
      <c r="I38088" s="82"/>
      <c r="M38088" s="85"/>
    </row>
    <row r="38089" spans="9:13" x14ac:dyDescent="0.3">
      <c r="I38089" s="82"/>
      <c r="M38089" s="85"/>
    </row>
    <row r="38090" spans="9:13" x14ac:dyDescent="0.3">
      <c r="I38090" s="82"/>
      <c r="M38090" s="85"/>
    </row>
    <row r="38091" spans="9:13" x14ac:dyDescent="0.3">
      <c r="I38091" s="82"/>
      <c r="M38091" s="85"/>
    </row>
    <row r="38092" spans="9:13" x14ac:dyDescent="0.3">
      <c r="I38092" s="82"/>
      <c r="M38092" s="85"/>
    </row>
    <row r="38093" spans="9:13" x14ac:dyDescent="0.3">
      <c r="I38093" s="82"/>
      <c r="M38093" s="85"/>
    </row>
    <row r="38094" spans="9:13" x14ac:dyDescent="0.3">
      <c r="I38094" s="82"/>
      <c r="M38094" s="85"/>
    </row>
    <row r="38095" spans="9:13" x14ac:dyDescent="0.3">
      <c r="I38095" s="82"/>
      <c r="M38095" s="85"/>
    </row>
    <row r="38096" spans="9:13" x14ac:dyDescent="0.3">
      <c r="I38096" s="82"/>
      <c r="M38096" s="85"/>
    </row>
    <row r="38097" spans="9:13" x14ac:dyDescent="0.3">
      <c r="I38097" s="82"/>
      <c r="M38097" s="85"/>
    </row>
    <row r="38098" spans="9:13" x14ac:dyDescent="0.3">
      <c r="I38098" s="82"/>
      <c r="M38098" s="85"/>
    </row>
    <row r="38099" spans="9:13" x14ac:dyDescent="0.3">
      <c r="I38099" s="82"/>
      <c r="M38099" s="85"/>
    </row>
    <row r="38100" spans="9:13" x14ac:dyDescent="0.3">
      <c r="I38100" s="82"/>
      <c r="M38100" s="85"/>
    </row>
    <row r="38101" spans="9:13" x14ac:dyDescent="0.3">
      <c r="I38101" s="82"/>
      <c r="M38101" s="85"/>
    </row>
    <row r="38102" spans="9:13" x14ac:dyDescent="0.3">
      <c r="I38102" s="82"/>
      <c r="M38102" s="85"/>
    </row>
    <row r="38103" spans="9:13" x14ac:dyDescent="0.3">
      <c r="I38103" s="82"/>
      <c r="M38103" s="85"/>
    </row>
    <row r="38104" spans="9:13" x14ac:dyDescent="0.3">
      <c r="I38104" s="82"/>
      <c r="M38104" s="85"/>
    </row>
    <row r="38105" spans="9:13" x14ac:dyDescent="0.3">
      <c r="I38105" s="82"/>
      <c r="M38105" s="85"/>
    </row>
    <row r="38106" spans="9:13" x14ac:dyDescent="0.3">
      <c r="I38106" s="82"/>
      <c r="M38106" s="85"/>
    </row>
    <row r="38107" spans="9:13" x14ac:dyDescent="0.3">
      <c r="I38107" s="82"/>
      <c r="M38107" s="85"/>
    </row>
    <row r="38108" spans="9:13" x14ac:dyDescent="0.3">
      <c r="I38108" s="82"/>
      <c r="M38108" s="85"/>
    </row>
    <row r="38109" spans="9:13" x14ac:dyDescent="0.3">
      <c r="I38109" s="82"/>
      <c r="M38109" s="85"/>
    </row>
    <row r="38110" spans="9:13" x14ac:dyDescent="0.3">
      <c r="I38110" s="82"/>
      <c r="M38110" s="85"/>
    </row>
    <row r="38111" spans="9:13" x14ac:dyDescent="0.3">
      <c r="I38111" s="82"/>
      <c r="M38111" s="85"/>
    </row>
    <row r="38112" spans="9:13" x14ac:dyDescent="0.3">
      <c r="I38112" s="82"/>
      <c r="M38112" s="85"/>
    </row>
    <row r="38113" spans="9:13" x14ac:dyDescent="0.3">
      <c r="I38113" s="82"/>
      <c r="M38113" s="85"/>
    </row>
    <row r="38114" spans="9:13" x14ac:dyDescent="0.3">
      <c r="I38114" s="82"/>
      <c r="M38114" s="85"/>
    </row>
    <row r="38115" spans="9:13" x14ac:dyDescent="0.3">
      <c r="I38115" s="82"/>
      <c r="M38115" s="85"/>
    </row>
    <row r="38116" spans="9:13" x14ac:dyDescent="0.3">
      <c r="I38116" s="82"/>
      <c r="M38116" s="85"/>
    </row>
    <row r="38117" spans="9:13" x14ac:dyDescent="0.3">
      <c r="I38117" s="82"/>
      <c r="M38117" s="85"/>
    </row>
    <row r="38118" spans="9:13" x14ac:dyDescent="0.3">
      <c r="I38118" s="82"/>
      <c r="M38118" s="85"/>
    </row>
    <row r="38119" spans="9:13" x14ac:dyDescent="0.3">
      <c r="I38119" s="82"/>
      <c r="M38119" s="85"/>
    </row>
    <row r="38120" spans="9:13" x14ac:dyDescent="0.3">
      <c r="I38120" s="82"/>
      <c r="M38120" s="85"/>
    </row>
    <row r="38121" spans="9:13" x14ac:dyDescent="0.3">
      <c r="I38121" s="82"/>
      <c r="M38121" s="85"/>
    </row>
    <row r="38122" spans="9:13" x14ac:dyDescent="0.3">
      <c r="I38122" s="82"/>
      <c r="M38122" s="85"/>
    </row>
    <row r="38123" spans="9:13" x14ac:dyDescent="0.3">
      <c r="I38123" s="82"/>
      <c r="M38123" s="85"/>
    </row>
    <row r="38124" spans="9:13" x14ac:dyDescent="0.3">
      <c r="I38124" s="82"/>
      <c r="M38124" s="85"/>
    </row>
    <row r="38125" spans="9:13" x14ac:dyDescent="0.3">
      <c r="I38125" s="82"/>
      <c r="M38125" s="85"/>
    </row>
    <row r="38126" spans="9:13" x14ac:dyDescent="0.3">
      <c r="I38126" s="82"/>
      <c r="M38126" s="85"/>
    </row>
    <row r="38127" spans="9:13" x14ac:dyDescent="0.3">
      <c r="I38127" s="82"/>
      <c r="M38127" s="85"/>
    </row>
    <row r="38128" spans="9:13" x14ac:dyDescent="0.3">
      <c r="I38128" s="82"/>
      <c r="M38128" s="85"/>
    </row>
    <row r="38129" spans="9:13" x14ac:dyDescent="0.3">
      <c r="I38129" s="82"/>
      <c r="M38129" s="85"/>
    </row>
    <row r="38130" spans="9:13" x14ac:dyDescent="0.3">
      <c r="I38130" s="82"/>
      <c r="M38130" s="85"/>
    </row>
    <row r="38131" spans="9:13" x14ac:dyDescent="0.3">
      <c r="I38131" s="82"/>
      <c r="M38131" s="85"/>
    </row>
    <row r="38132" spans="9:13" x14ac:dyDescent="0.3">
      <c r="I38132" s="82"/>
      <c r="M38132" s="85"/>
    </row>
    <row r="38133" spans="9:13" x14ac:dyDescent="0.3">
      <c r="I38133" s="82"/>
      <c r="M38133" s="85"/>
    </row>
    <row r="38134" spans="9:13" x14ac:dyDescent="0.3">
      <c r="I38134" s="82"/>
      <c r="M38134" s="85"/>
    </row>
    <row r="38135" spans="9:13" x14ac:dyDescent="0.3">
      <c r="I38135" s="82"/>
      <c r="M38135" s="85"/>
    </row>
    <row r="38136" spans="9:13" x14ac:dyDescent="0.3">
      <c r="I38136" s="82"/>
      <c r="M38136" s="85"/>
    </row>
    <row r="38137" spans="9:13" x14ac:dyDescent="0.3">
      <c r="I38137" s="82"/>
      <c r="M38137" s="85"/>
    </row>
    <row r="38138" spans="9:13" x14ac:dyDescent="0.3">
      <c r="I38138" s="82"/>
      <c r="M38138" s="85"/>
    </row>
    <row r="38139" spans="9:13" x14ac:dyDescent="0.3">
      <c r="I38139" s="82"/>
      <c r="M38139" s="85"/>
    </row>
    <row r="38140" spans="9:13" x14ac:dyDescent="0.3">
      <c r="I38140" s="82"/>
      <c r="M38140" s="85"/>
    </row>
    <row r="38141" spans="9:13" x14ac:dyDescent="0.3">
      <c r="I38141" s="82"/>
      <c r="M38141" s="85"/>
    </row>
    <row r="38142" spans="9:13" x14ac:dyDescent="0.3">
      <c r="I38142" s="82"/>
      <c r="M38142" s="85"/>
    </row>
    <row r="38143" spans="9:13" x14ac:dyDescent="0.3">
      <c r="I38143" s="82"/>
      <c r="M38143" s="85"/>
    </row>
    <row r="38144" spans="9:13" x14ac:dyDescent="0.3">
      <c r="I38144" s="82"/>
      <c r="M38144" s="85"/>
    </row>
    <row r="38145" spans="9:13" x14ac:dyDescent="0.3">
      <c r="I38145" s="82"/>
      <c r="M38145" s="85"/>
    </row>
    <row r="38146" spans="9:13" x14ac:dyDescent="0.3">
      <c r="I38146" s="82"/>
      <c r="M38146" s="85"/>
    </row>
    <row r="38147" spans="9:13" x14ac:dyDescent="0.3">
      <c r="I38147" s="82"/>
      <c r="M38147" s="85"/>
    </row>
    <row r="38148" spans="9:13" x14ac:dyDescent="0.3">
      <c r="I38148" s="82"/>
      <c r="M38148" s="85"/>
    </row>
    <row r="38149" spans="9:13" x14ac:dyDescent="0.3">
      <c r="I38149" s="82"/>
      <c r="M38149" s="85"/>
    </row>
    <row r="38150" spans="9:13" x14ac:dyDescent="0.3">
      <c r="I38150" s="82"/>
      <c r="M38150" s="85"/>
    </row>
    <row r="38151" spans="9:13" x14ac:dyDescent="0.3">
      <c r="I38151" s="82"/>
      <c r="M38151" s="85"/>
    </row>
    <row r="38152" spans="9:13" x14ac:dyDescent="0.3">
      <c r="I38152" s="82"/>
      <c r="M38152" s="85"/>
    </row>
    <row r="38153" spans="9:13" x14ac:dyDescent="0.3">
      <c r="I38153" s="82"/>
      <c r="M38153" s="85"/>
    </row>
    <row r="38154" spans="9:13" x14ac:dyDescent="0.3">
      <c r="I38154" s="82"/>
      <c r="M38154" s="85"/>
    </row>
    <row r="38155" spans="9:13" x14ac:dyDescent="0.3">
      <c r="I38155" s="82"/>
      <c r="M38155" s="85"/>
    </row>
    <row r="38156" spans="9:13" x14ac:dyDescent="0.3">
      <c r="I38156" s="82"/>
      <c r="M38156" s="85"/>
    </row>
    <row r="38157" spans="9:13" x14ac:dyDescent="0.3">
      <c r="I38157" s="82"/>
      <c r="M38157" s="85"/>
    </row>
    <row r="38158" spans="9:13" x14ac:dyDescent="0.3">
      <c r="I38158" s="82"/>
      <c r="M38158" s="85"/>
    </row>
    <row r="38159" spans="9:13" x14ac:dyDescent="0.3">
      <c r="I38159" s="82"/>
      <c r="M38159" s="85"/>
    </row>
    <row r="38160" spans="9:13" x14ac:dyDescent="0.3">
      <c r="I38160" s="82"/>
      <c r="M38160" s="85"/>
    </row>
    <row r="38161" spans="9:13" x14ac:dyDescent="0.3">
      <c r="I38161" s="82"/>
      <c r="M38161" s="85"/>
    </row>
    <row r="38162" spans="9:13" x14ac:dyDescent="0.3">
      <c r="I38162" s="82"/>
      <c r="M38162" s="85"/>
    </row>
    <row r="38163" spans="9:13" x14ac:dyDescent="0.3">
      <c r="I38163" s="82"/>
      <c r="M38163" s="85"/>
    </row>
    <row r="38164" spans="9:13" x14ac:dyDescent="0.3">
      <c r="I38164" s="82"/>
      <c r="M38164" s="85"/>
    </row>
    <row r="38165" spans="9:13" x14ac:dyDescent="0.3">
      <c r="I38165" s="82"/>
      <c r="M38165" s="85"/>
    </row>
    <row r="38166" spans="9:13" x14ac:dyDescent="0.3">
      <c r="I38166" s="82"/>
      <c r="M38166" s="85"/>
    </row>
    <row r="38167" spans="9:13" x14ac:dyDescent="0.3">
      <c r="I38167" s="82"/>
      <c r="M38167" s="85"/>
    </row>
    <row r="38168" spans="9:13" x14ac:dyDescent="0.3">
      <c r="I38168" s="82"/>
      <c r="M38168" s="85"/>
    </row>
    <row r="38169" spans="9:13" x14ac:dyDescent="0.3">
      <c r="I38169" s="82"/>
      <c r="M38169" s="85"/>
    </row>
    <row r="38170" spans="9:13" x14ac:dyDescent="0.3">
      <c r="I38170" s="82"/>
      <c r="M38170" s="85"/>
    </row>
    <row r="38171" spans="9:13" x14ac:dyDescent="0.3">
      <c r="I38171" s="82"/>
      <c r="M38171" s="85"/>
    </row>
    <row r="38172" spans="9:13" x14ac:dyDescent="0.3">
      <c r="I38172" s="82"/>
      <c r="M38172" s="85"/>
    </row>
    <row r="38173" spans="9:13" x14ac:dyDescent="0.3">
      <c r="I38173" s="82"/>
      <c r="M38173" s="85"/>
    </row>
    <row r="38174" spans="9:13" x14ac:dyDescent="0.3">
      <c r="I38174" s="82"/>
      <c r="M38174" s="85"/>
    </row>
    <row r="38175" spans="9:13" x14ac:dyDescent="0.3">
      <c r="I38175" s="82"/>
      <c r="M38175" s="85"/>
    </row>
    <row r="38176" spans="9:13" x14ac:dyDescent="0.3">
      <c r="I38176" s="82"/>
      <c r="M38176" s="85"/>
    </row>
    <row r="38177" spans="9:13" x14ac:dyDescent="0.3">
      <c r="I38177" s="82"/>
      <c r="M38177" s="85"/>
    </row>
    <row r="38178" spans="9:13" x14ac:dyDescent="0.3">
      <c r="I38178" s="82"/>
      <c r="M38178" s="85"/>
    </row>
    <row r="38179" spans="9:13" x14ac:dyDescent="0.3">
      <c r="I38179" s="82"/>
      <c r="M38179" s="85"/>
    </row>
    <row r="38180" spans="9:13" x14ac:dyDescent="0.3">
      <c r="I38180" s="82"/>
      <c r="M38180" s="85"/>
    </row>
    <row r="38181" spans="9:13" x14ac:dyDescent="0.3">
      <c r="I38181" s="82"/>
      <c r="M38181" s="85"/>
    </row>
    <row r="38182" spans="9:13" x14ac:dyDescent="0.3">
      <c r="I38182" s="82"/>
      <c r="M38182" s="85"/>
    </row>
    <row r="38183" spans="9:13" x14ac:dyDescent="0.3">
      <c r="I38183" s="82"/>
      <c r="M38183" s="85"/>
    </row>
    <row r="38184" spans="9:13" x14ac:dyDescent="0.3">
      <c r="I38184" s="82"/>
      <c r="M38184" s="85"/>
    </row>
    <row r="38185" spans="9:13" x14ac:dyDescent="0.3">
      <c r="I38185" s="82"/>
      <c r="M38185" s="85"/>
    </row>
    <row r="38186" spans="9:13" x14ac:dyDescent="0.3">
      <c r="I38186" s="82"/>
      <c r="M38186" s="85"/>
    </row>
    <row r="38187" spans="9:13" x14ac:dyDescent="0.3">
      <c r="I38187" s="82"/>
      <c r="M38187" s="85"/>
    </row>
    <row r="38188" spans="9:13" x14ac:dyDescent="0.3">
      <c r="I38188" s="82"/>
      <c r="M38188" s="85"/>
    </row>
    <row r="38189" spans="9:13" x14ac:dyDescent="0.3">
      <c r="I38189" s="82"/>
      <c r="M38189" s="85"/>
    </row>
    <row r="38190" spans="9:13" x14ac:dyDescent="0.3">
      <c r="I38190" s="82"/>
      <c r="M38190" s="85"/>
    </row>
    <row r="38191" spans="9:13" x14ac:dyDescent="0.3">
      <c r="I38191" s="82"/>
      <c r="M38191" s="85"/>
    </row>
    <row r="38192" spans="9:13" x14ac:dyDescent="0.3">
      <c r="I38192" s="82"/>
      <c r="M38192" s="85"/>
    </row>
    <row r="38193" spans="9:13" x14ac:dyDescent="0.3">
      <c r="I38193" s="82"/>
      <c r="M38193" s="85"/>
    </row>
    <row r="38194" spans="9:13" x14ac:dyDescent="0.3">
      <c r="I38194" s="82"/>
      <c r="M38194" s="85"/>
    </row>
    <row r="38195" spans="9:13" x14ac:dyDescent="0.3">
      <c r="I38195" s="82"/>
      <c r="M38195" s="85"/>
    </row>
    <row r="38196" spans="9:13" x14ac:dyDescent="0.3">
      <c r="I38196" s="82"/>
      <c r="M38196" s="85"/>
    </row>
    <row r="38197" spans="9:13" x14ac:dyDescent="0.3">
      <c r="I38197" s="82"/>
      <c r="M38197" s="85"/>
    </row>
    <row r="38198" spans="9:13" x14ac:dyDescent="0.3">
      <c r="I38198" s="82"/>
      <c r="M38198" s="85"/>
    </row>
    <row r="38199" spans="9:13" x14ac:dyDescent="0.3">
      <c r="I38199" s="82"/>
      <c r="M38199" s="85"/>
    </row>
    <row r="38200" spans="9:13" x14ac:dyDescent="0.3">
      <c r="I38200" s="82"/>
      <c r="M38200" s="85"/>
    </row>
    <row r="38201" spans="9:13" x14ac:dyDescent="0.3">
      <c r="I38201" s="82"/>
      <c r="M38201" s="85"/>
    </row>
    <row r="38202" spans="9:13" x14ac:dyDescent="0.3">
      <c r="I38202" s="82"/>
      <c r="M38202" s="85"/>
    </row>
    <row r="38203" spans="9:13" x14ac:dyDescent="0.3">
      <c r="I38203" s="82"/>
      <c r="M38203" s="85"/>
    </row>
    <row r="38204" spans="9:13" x14ac:dyDescent="0.3">
      <c r="I38204" s="82"/>
      <c r="M38204" s="85"/>
    </row>
    <row r="38205" spans="9:13" x14ac:dyDescent="0.3">
      <c r="I38205" s="82"/>
      <c r="M38205" s="85"/>
    </row>
    <row r="38206" spans="9:13" x14ac:dyDescent="0.3">
      <c r="I38206" s="82"/>
      <c r="M38206" s="85"/>
    </row>
    <row r="38207" spans="9:13" x14ac:dyDescent="0.3">
      <c r="I38207" s="82"/>
      <c r="M38207" s="85"/>
    </row>
    <row r="38208" spans="9:13" x14ac:dyDescent="0.3">
      <c r="I38208" s="82"/>
      <c r="M38208" s="85"/>
    </row>
    <row r="38209" spans="9:13" x14ac:dyDescent="0.3">
      <c r="I38209" s="82"/>
      <c r="M38209" s="85"/>
    </row>
    <row r="38210" spans="9:13" x14ac:dyDescent="0.3">
      <c r="I38210" s="82"/>
      <c r="M38210" s="85"/>
    </row>
    <row r="38211" spans="9:13" x14ac:dyDescent="0.3">
      <c r="I38211" s="82"/>
      <c r="M38211" s="85"/>
    </row>
    <row r="38212" spans="9:13" x14ac:dyDescent="0.3">
      <c r="I38212" s="82"/>
      <c r="M38212" s="85"/>
    </row>
    <row r="38213" spans="9:13" x14ac:dyDescent="0.3">
      <c r="I38213" s="82"/>
      <c r="M38213" s="85"/>
    </row>
    <row r="38214" spans="9:13" x14ac:dyDescent="0.3">
      <c r="I38214" s="82"/>
      <c r="M38214" s="85"/>
    </row>
    <row r="38215" spans="9:13" x14ac:dyDescent="0.3">
      <c r="I38215" s="82"/>
      <c r="M38215" s="85"/>
    </row>
    <row r="38216" spans="9:13" x14ac:dyDescent="0.3">
      <c r="I38216" s="82"/>
      <c r="M38216" s="85"/>
    </row>
    <row r="38217" spans="9:13" x14ac:dyDescent="0.3">
      <c r="I38217" s="82"/>
      <c r="M38217" s="85"/>
    </row>
    <row r="38218" spans="9:13" x14ac:dyDescent="0.3">
      <c r="I38218" s="82"/>
      <c r="M38218" s="85"/>
    </row>
    <row r="38219" spans="9:13" x14ac:dyDescent="0.3">
      <c r="I38219" s="82"/>
      <c r="M38219" s="85"/>
    </row>
    <row r="38220" spans="9:13" x14ac:dyDescent="0.3">
      <c r="I38220" s="82"/>
      <c r="M38220" s="85"/>
    </row>
    <row r="38221" spans="9:13" x14ac:dyDescent="0.3">
      <c r="I38221" s="82"/>
      <c r="M38221" s="85"/>
    </row>
    <row r="38222" spans="9:13" x14ac:dyDescent="0.3">
      <c r="I38222" s="82"/>
      <c r="M38222" s="85"/>
    </row>
    <row r="38223" spans="9:13" x14ac:dyDescent="0.3">
      <c r="I38223" s="82"/>
      <c r="M38223" s="85"/>
    </row>
    <row r="38224" spans="9:13" x14ac:dyDescent="0.3">
      <c r="I38224" s="82"/>
      <c r="M38224" s="85"/>
    </row>
    <row r="38225" spans="9:13" x14ac:dyDescent="0.3">
      <c r="I38225" s="82"/>
      <c r="M38225" s="85"/>
    </row>
    <row r="38226" spans="9:13" x14ac:dyDescent="0.3">
      <c r="I38226" s="82"/>
      <c r="M38226" s="85"/>
    </row>
    <row r="38227" spans="9:13" x14ac:dyDescent="0.3">
      <c r="I38227" s="82"/>
      <c r="M38227" s="85"/>
    </row>
    <row r="38228" spans="9:13" x14ac:dyDescent="0.3">
      <c r="I38228" s="82"/>
      <c r="M38228" s="85"/>
    </row>
    <row r="38229" spans="9:13" x14ac:dyDescent="0.3">
      <c r="I38229" s="82"/>
      <c r="M38229" s="85"/>
    </row>
    <row r="38230" spans="9:13" x14ac:dyDescent="0.3">
      <c r="I38230" s="82"/>
      <c r="M38230" s="85"/>
    </row>
    <row r="38231" spans="9:13" x14ac:dyDescent="0.3">
      <c r="I38231" s="82"/>
      <c r="M38231" s="85"/>
    </row>
    <row r="38232" spans="9:13" x14ac:dyDescent="0.3">
      <c r="I38232" s="82"/>
      <c r="M38232" s="85"/>
    </row>
    <row r="38233" spans="9:13" x14ac:dyDescent="0.3">
      <c r="I38233" s="82"/>
      <c r="M38233" s="85"/>
    </row>
    <row r="38234" spans="9:13" x14ac:dyDescent="0.3">
      <c r="I38234" s="82"/>
      <c r="M38234" s="85"/>
    </row>
    <row r="38235" spans="9:13" x14ac:dyDescent="0.3">
      <c r="I38235" s="82"/>
      <c r="M38235" s="85"/>
    </row>
    <row r="38236" spans="9:13" x14ac:dyDescent="0.3">
      <c r="I38236" s="82"/>
      <c r="M38236" s="85"/>
    </row>
    <row r="38237" spans="9:13" x14ac:dyDescent="0.3">
      <c r="I38237" s="82"/>
      <c r="M38237" s="85"/>
    </row>
    <row r="38238" spans="9:13" x14ac:dyDescent="0.3">
      <c r="I38238" s="82"/>
      <c r="M38238" s="85"/>
    </row>
    <row r="38239" spans="9:13" x14ac:dyDescent="0.3">
      <c r="I38239" s="82"/>
      <c r="M38239" s="85"/>
    </row>
    <row r="38240" spans="9:13" x14ac:dyDescent="0.3">
      <c r="I38240" s="82"/>
      <c r="M38240" s="85"/>
    </row>
    <row r="38241" spans="9:13" x14ac:dyDescent="0.3">
      <c r="I38241" s="82"/>
      <c r="M38241" s="85"/>
    </row>
    <row r="38242" spans="9:13" x14ac:dyDescent="0.3">
      <c r="I38242" s="82"/>
      <c r="M38242" s="85"/>
    </row>
    <row r="38243" spans="9:13" x14ac:dyDescent="0.3">
      <c r="I38243" s="82"/>
      <c r="M38243" s="85"/>
    </row>
    <row r="38244" spans="9:13" x14ac:dyDescent="0.3">
      <c r="I38244" s="82"/>
      <c r="M38244" s="85"/>
    </row>
    <row r="38245" spans="9:13" x14ac:dyDescent="0.3">
      <c r="I38245" s="82"/>
      <c r="M38245" s="85"/>
    </row>
    <row r="38246" spans="9:13" x14ac:dyDescent="0.3">
      <c r="I38246" s="82"/>
      <c r="M38246" s="85"/>
    </row>
    <row r="38247" spans="9:13" x14ac:dyDescent="0.3">
      <c r="I38247" s="82"/>
      <c r="M38247" s="85"/>
    </row>
    <row r="38248" spans="9:13" x14ac:dyDescent="0.3">
      <c r="I38248" s="82"/>
      <c r="M38248" s="85"/>
    </row>
    <row r="38249" spans="9:13" x14ac:dyDescent="0.3">
      <c r="I38249" s="82"/>
      <c r="M38249" s="85"/>
    </row>
    <row r="38250" spans="9:13" x14ac:dyDescent="0.3">
      <c r="I38250" s="82"/>
      <c r="M38250" s="85"/>
    </row>
    <row r="38251" spans="9:13" x14ac:dyDescent="0.3">
      <c r="I38251" s="82"/>
      <c r="M38251" s="85"/>
    </row>
    <row r="38252" spans="9:13" x14ac:dyDescent="0.3">
      <c r="I38252" s="82"/>
      <c r="M38252" s="85"/>
    </row>
    <row r="38253" spans="9:13" x14ac:dyDescent="0.3">
      <c r="I38253" s="82"/>
      <c r="M38253" s="85"/>
    </row>
    <row r="38254" spans="9:13" x14ac:dyDescent="0.3">
      <c r="I38254" s="82"/>
      <c r="M38254" s="85"/>
    </row>
    <row r="38255" spans="9:13" x14ac:dyDescent="0.3">
      <c r="I38255" s="82"/>
      <c r="M38255" s="85"/>
    </row>
    <row r="38256" spans="9:13" x14ac:dyDescent="0.3">
      <c r="I38256" s="82"/>
      <c r="M38256" s="85"/>
    </row>
    <row r="38257" spans="9:13" x14ac:dyDescent="0.3">
      <c r="I38257" s="82"/>
      <c r="M38257" s="85"/>
    </row>
    <row r="38258" spans="9:13" x14ac:dyDescent="0.3">
      <c r="I38258" s="82"/>
      <c r="M38258" s="85"/>
    </row>
    <row r="38259" spans="9:13" x14ac:dyDescent="0.3">
      <c r="I38259" s="82"/>
      <c r="M38259" s="85"/>
    </row>
    <row r="38260" spans="9:13" x14ac:dyDescent="0.3">
      <c r="I38260" s="82"/>
      <c r="M38260" s="85"/>
    </row>
    <row r="38261" spans="9:13" x14ac:dyDescent="0.3">
      <c r="I38261" s="82"/>
      <c r="M38261" s="85"/>
    </row>
    <row r="38262" spans="9:13" x14ac:dyDescent="0.3">
      <c r="I38262" s="82"/>
      <c r="M38262" s="85"/>
    </row>
    <row r="38263" spans="9:13" x14ac:dyDescent="0.3">
      <c r="I38263" s="82"/>
      <c r="M38263" s="85"/>
    </row>
    <row r="38264" spans="9:13" x14ac:dyDescent="0.3">
      <c r="I38264" s="82"/>
      <c r="M38264" s="85"/>
    </row>
    <row r="38265" spans="9:13" x14ac:dyDescent="0.3">
      <c r="I38265" s="82"/>
      <c r="M38265" s="85"/>
    </row>
    <row r="38266" spans="9:13" x14ac:dyDescent="0.3">
      <c r="I38266" s="82"/>
      <c r="M38266" s="85"/>
    </row>
    <row r="38267" spans="9:13" x14ac:dyDescent="0.3">
      <c r="I38267" s="82"/>
      <c r="M38267" s="85"/>
    </row>
    <row r="38268" spans="9:13" x14ac:dyDescent="0.3">
      <c r="I38268" s="82"/>
      <c r="M38268" s="85"/>
    </row>
    <row r="38269" spans="9:13" x14ac:dyDescent="0.3">
      <c r="I38269" s="82"/>
      <c r="M38269" s="85"/>
    </row>
    <row r="38270" spans="9:13" x14ac:dyDescent="0.3">
      <c r="I38270" s="82"/>
      <c r="M38270" s="85"/>
    </row>
    <row r="38271" spans="9:13" x14ac:dyDescent="0.3">
      <c r="I38271" s="82"/>
      <c r="M38271" s="85"/>
    </row>
    <row r="38272" spans="9:13" x14ac:dyDescent="0.3">
      <c r="I38272" s="82"/>
      <c r="M38272" s="85"/>
    </row>
    <row r="38273" spans="9:13" x14ac:dyDescent="0.3">
      <c r="I38273" s="82"/>
      <c r="M38273" s="85"/>
    </row>
    <row r="38274" spans="9:13" x14ac:dyDescent="0.3">
      <c r="I38274" s="82"/>
      <c r="M38274" s="85"/>
    </row>
    <row r="38275" spans="9:13" x14ac:dyDescent="0.3">
      <c r="I38275" s="82"/>
      <c r="M38275" s="85"/>
    </row>
    <row r="38276" spans="9:13" x14ac:dyDescent="0.3">
      <c r="I38276" s="82"/>
      <c r="M38276" s="85"/>
    </row>
    <row r="38277" spans="9:13" x14ac:dyDescent="0.3">
      <c r="I38277" s="82"/>
      <c r="M38277" s="85"/>
    </row>
    <row r="38278" spans="9:13" x14ac:dyDescent="0.3">
      <c r="I38278" s="82"/>
      <c r="M38278" s="85"/>
    </row>
    <row r="38279" spans="9:13" x14ac:dyDescent="0.3">
      <c r="I38279" s="82"/>
      <c r="M38279" s="85"/>
    </row>
    <row r="38280" spans="9:13" x14ac:dyDescent="0.3">
      <c r="I38280" s="82"/>
      <c r="M38280" s="85"/>
    </row>
    <row r="38281" spans="9:13" x14ac:dyDescent="0.3">
      <c r="I38281" s="82"/>
      <c r="M38281" s="85"/>
    </row>
    <row r="38282" spans="9:13" x14ac:dyDescent="0.3">
      <c r="I38282" s="82"/>
      <c r="M38282" s="85"/>
    </row>
    <row r="38283" spans="9:13" x14ac:dyDescent="0.3">
      <c r="I38283" s="82"/>
      <c r="M38283" s="85"/>
    </row>
    <row r="38284" spans="9:13" x14ac:dyDescent="0.3">
      <c r="I38284" s="82"/>
      <c r="M38284" s="85"/>
    </row>
    <row r="38285" spans="9:13" x14ac:dyDescent="0.3">
      <c r="I38285" s="82"/>
      <c r="M38285" s="85"/>
    </row>
    <row r="38286" spans="9:13" x14ac:dyDescent="0.3">
      <c r="I38286" s="82"/>
      <c r="M38286" s="85"/>
    </row>
    <row r="38287" spans="9:13" x14ac:dyDescent="0.3">
      <c r="I38287" s="82"/>
      <c r="M38287" s="85"/>
    </row>
    <row r="38288" spans="9:13" x14ac:dyDescent="0.3">
      <c r="I38288" s="82"/>
      <c r="M38288" s="85"/>
    </row>
    <row r="38289" spans="9:13" x14ac:dyDescent="0.3">
      <c r="I38289" s="82"/>
      <c r="M38289" s="85"/>
    </row>
    <row r="38290" spans="9:13" x14ac:dyDescent="0.3">
      <c r="I38290" s="82"/>
      <c r="M38290" s="85"/>
    </row>
    <row r="38291" spans="9:13" x14ac:dyDescent="0.3">
      <c r="I38291" s="82"/>
      <c r="M38291" s="85"/>
    </row>
    <row r="38292" spans="9:13" x14ac:dyDescent="0.3">
      <c r="I38292" s="82"/>
      <c r="M38292" s="85"/>
    </row>
    <row r="38293" spans="9:13" x14ac:dyDescent="0.3">
      <c r="I38293" s="82"/>
      <c r="M38293" s="85"/>
    </row>
    <row r="38294" spans="9:13" x14ac:dyDescent="0.3">
      <c r="I38294" s="82"/>
      <c r="M38294" s="85"/>
    </row>
    <row r="38295" spans="9:13" x14ac:dyDescent="0.3">
      <c r="I38295" s="82"/>
      <c r="M38295" s="85"/>
    </row>
    <row r="38296" spans="9:13" x14ac:dyDescent="0.3">
      <c r="I38296" s="82"/>
      <c r="M38296" s="85"/>
    </row>
    <row r="38297" spans="9:13" x14ac:dyDescent="0.3">
      <c r="I38297" s="82"/>
      <c r="M38297" s="85"/>
    </row>
    <row r="38298" spans="9:13" x14ac:dyDescent="0.3">
      <c r="I38298" s="82"/>
      <c r="M38298" s="85"/>
    </row>
    <row r="38299" spans="9:13" x14ac:dyDescent="0.3">
      <c r="I38299" s="82"/>
      <c r="M38299" s="85"/>
    </row>
    <row r="38300" spans="9:13" x14ac:dyDescent="0.3">
      <c r="I38300" s="82"/>
      <c r="M38300" s="85"/>
    </row>
    <row r="38301" spans="9:13" x14ac:dyDescent="0.3">
      <c r="I38301" s="82"/>
      <c r="M38301" s="85"/>
    </row>
    <row r="38302" spans="9:13" x14ac:dyDescent="0.3">
      <c r="I38302" s="82"/>
      <c r="M38302" s="85"/>
    </row>
    <row r="38303" spans="9:13" x14ac:dyDescent="0.3">
      <c r="I38303" s="82"/>
      <c r="M38303" s="85"/>
    </row>
    <row r="38304" spans="9:13" x14ac:dyDescent="0.3">
      <c r="I38304" s="82"/>
      <c r="M38304" s="85"/>
    </row>
    <row r="38305" spans="9:13" x14ac:dyDescent="0.3">
      <c r="I38305" s="82"/>
      <c r="M38305" s="85"/>
    </row>
    <row r="38306" spans="9:13" x14ac:dyDescent="0.3">
      <c r="I38306" s="82"/>
      <c r="M38306" s="85"/>
    </row>
    <row r="38307" spans="9:13" x14ac:dyDescent="0.3">
      <c r="I38307" s="82"/>
      <c r="M38307" s="85"/>
    </row>
    <row r="38308" spans="9:13" x14ac:dyDescent="0.3">
      <c r="I38308" s="82"/>
      <c r="M38308" s="85"/>
    </row>
    <row r="38309" spans="9:13" x14ac:dyDescent="0.3">
      <c r="I38309" s="82"/>
      <c r="M38309" s="85"/>
    </row>
    <row r="38310" spans="9:13" x14ac:dyDescent="0.3">
      <c r="I38310" s="82"/>
      <c r="M38310" s="85"/>
    </row>
    <row r="38311" spans="9:13" x14ac:dyDescent="0.3">
      <c r="I38311" s="82"/>
      <c r="M38311" s="85"/>
    </row>
    <row r="38312" spans="9:13" x14ac:dyDescent="0.3">
      <c r="I38312" s="82"/>
      <c r="M38312" s="85"/>
    </row>
    <row r="38313" spans="9:13" x14ac:dyDescent="0.3">
      <c r="I38313" s="82"/>
      <c r="M38313" s="85"/>
    </row>
    <row r="38314" spans="9:13" x14ac:dyDescent="0.3">
      <c r="I38314" s="82"/>
      <c r="M38314" s="85"/>
    </row>
    <row r="38315" spans="9:13" x14ac:dyDescent="0.3">
      <c r="I38315" s="82"/>
      <c r="M38315" s="85"/>
    </row>
    <row r="38316" spans="9:13" x14ac:dyDescent="0.3">
      <c r="I38316" s="82"/>
      <c r="M38316" s="85"/>
    </row>
    <row r="38317" spans="9:13" x14ac:dyDescent="0.3">
      <c r="I38317" s="82"/>
      <c r="M38317" s="85"/>
    </row>
    <row r="38318" spans="9:13" x14ac:dyDescent="0.3">
      <c r="I38318" s="82"/>
      <c r="M38318" s="85"/>
    </row>
    <row r="38319" spans="9:13" x14ac:dyDescent="0.3">
      <c r="I38319" s="82"/>
      <c r="M38319" s="85"/>
    </row>
    <row r="38320" spans="9:13" x14ac:dyDescent="0.3">
      <c r="I38320" s="82"/>
      <c r="M38320" s="85"/>
    </row>
    <row r="38321" spans="9:13" x14ac:dyDescent="0.3">
      <c r="I38321" s="82"/>
      <c r="M38321" s="85"/>
    </row>
    <row r="38322" spans="9:13" x14ac:dyDescent="0.3">
      <c r="I38322" s="82"/>
      <c r="M38322" s="85"/>
    </row>
    <row r="38323" spans="9:13" x14ac:dyDescent="0.3">
      <c r="I38323" s="82"/>
      <c r="M38323" s="85"/>
    </row>
    <row r="38324" spans="9:13" x14ac:dyDescent="0.3">
      <c r="I38324" s="82"/>
      <c r="M38324" s="85"/>
    </row>
    <row r="38325" spans="9:13" x14ac:dyDescent="0.3">
      <c r="I38325" s="82"/>
      <c r="M38325" s="85"/>
    </row>
    <row r="38326" spans="9:13" x14ac:dyDescent="0.3">
      <c r="I38326" s="82"/>
      <c r="M38326" s="85"/>
    </row>
    <row r="38327" spans="9:13" x14ac:dyDescent="0.3">
      <c r="I38327" s="82"/>
      <c r="M38327" s="85"/>
    </row>
    <row r="38328" spans="9:13" x14ac:dyDescent="0.3">
      <c r="I38328" s="82"/>
      <c r="M38328" s="85"/>
    </row>
    <row r="38329" spans="9:13" x14ac:dyDescent="0.3">
      <c r="I38329" s="82"/>
      <c r="M38329" s="85"/>
    </row>
    <row r="38330" spans="9:13" x14ac:dyDescent="0.3">
      <c r="I38330" s="82"/>
      <c r="M38330" s="85"/>
    </row>
    <row r="38331" spans="9:13" x14ac:dyDescent="0.3">
      <c r="I38331" s="82"/>
      <c r="M38331" s="85"/>
    </row>
    <row r="38332" spans="9:13" x14ac:dyDescent="0.3">
      <c r="I38332" s="82"/>
      <c r="M38332" s="85"/>
    </row>
    <row r="38333" spans="9:13" x14ac:dyDescent="0.3">
      <c r="I38333" s="82"/>
      <c r="M38333" s="85"/>
    </row>
    <row r="38334" spans="9:13" x14ac:dyDescent="0.3">
      <c r="I38334" s="82"/>
      <c r="M38334" s="85"/>
    </row>
    <row r="38335" spans="9:13" x14ac:dyDescent="0.3">
      <c r="I38335" s="82"/>
      <c r="M38335" s="85"/>
    </row>
    <row r="38336" spans="9:13" x14ac:dyDescent="0.3">
      <c r="I38336" s="82"/>
      <c r="M38336" s="85"/>
    </row>
    <row r="38337" spans="9:13" x14ac:dyDescent="0.3">
      <c r="I38337" s="82"/>
      <c r="M38337" s="85"/>
    </row>
    <row r="38338" spans="9:13" x14ac:dyDescent="0.3">
      <c r="I38338" s="82"/>
      <c r="M38338" s="85"/>
    </row>
    <row r="38339" spans="9:13" x14ac:dyDescent="0.3">
      <c r="I38339" s="82"/>
      <c r="M38339" s="85"/>
    </row>
    <row r="38340" spans="9:13" x14ac:dyDescent="0.3">
      <c r="I38340" s="82"/>
      <c r="M38340" s="85"/>
    </row>
    <row r="38341" spans="9:13" x14ac:dyDescent="0.3">
      <c r="I38341" s="82"/>
      <c r="M38341" s="85"/>
    </row>
    <row r="38342" spans="9:13" x14ac:dyDescent="0.3">
      <c r="I38342" s="82"/>
      <c r="M38342" s="85"/>
    </row>
    <row r="38343" spans="9:13" x14ac:dyDescent="0.3">
      <c r="I38343" s="82"/>
      <c r="M38343" s="85"/>
    </row>
    <row r="38344" spans="9:13" x14ac:dyDescent="0.3">
      <c r="I38344" s="82"/>
      <c r="M38344" s="85"/>
    </row>
    <row r="38345" spans="9:13" x14ac:dyDescent="0.3">
      <c r="I38345" s="82"/>
      <c r="M38345" s="85"/>
    </row>
    <row r="38346" spans="9:13" x14ac:dyDescent="0.3">
      <c r="I38346" s="82"/>
      <c r="M38346" s="85"/>
    </row>
    <row r="38347" spans="9:13" x14ac:dyDescent="0.3">
      <c r="I38347" s="82"/>
      <c r="M38347" s="85"/>
    </row>
    <row r="38348" spans="9:13" x14ac:dyDescent="0.3">
      <c r="I38348" s="82"/>
      <c r="M38348" s="85"/>
    </row>
    <row r="38349" spans="9:13" x14ac:dyDescent="0.3">
      <c r="I38349" s="82"/>
      <c r="M38349" s="85"/>
    </row>
    <row r="38350" spans="9:13" x14ac:dyDescent="0.3">
      <c r="I38350" s="82"/>
      <c r="M38350" s="85"/>
    </row>
    <row r="38351" spans="9:13" x14ac:dyDescent="0.3">
      <c r="I38351" s="82"/>
      <c r="M38351" s="85"/>
    </row>
    <row r="38352" spans="9:13" x14ac:dyDescent="0.3">
      <c r="I38352" s="82"/>
      <c r="M38352" s="85"/>
    </row>
    <row r="38353" spans="9:13" x14ac:dyDescent="0.3">
      <c r="I38353" s="82"/>
      <c r="M38353" s="85"/>
    </row>
    <row r="38354" spans="9:13" x14ac:dyDescent="0.3">
      <c r="I38354" s="82"/>
      <c r="M38354" s="85"/>
    </row>
    <row r="38355" spans="9:13" x14ac:dyDescent="0.3">
      <c r="I38355" s="82"/>
      <c r="M38355" s="85"/>
    </row>
    <row r="38356" spans="9:13" x14ac:dyDescent="0.3">
      <c r="I38356" s="82"/>
      <c r="M38356" s="85"/>
    </row>
    <row r="38357" spans="9:13" x14ac:dyDescent="0.3">
      <c r="I38357" s="82"/>
      <c r="M38357" s="85"/>
    </row>
    <row r="38358" spans="9:13" x14ac:dyDescent="0.3">
      <c r="I38358" s="82"/>
      <c r="M38358" s="85"/>
    </row>
    <row r="38359" spans="9:13" x14ac:dyDescent="0.3">
      <c r="I38359" s="82"/>
      <c r="M38359" s="85"/>
    </row>
    <row r="38360" spans="9:13" x14ac:dyDescent="0.3">
      <c r="I38360" s="82"/>
      <c r="M38360" s="85"/>
    </row>
    <row r="38361" spans="9:13" x14ac:dyDescent="0.3">
      <c r="I38361" s="82"/>
      <c r="M38361" s="85"/>
    </row>
    <row r="38362" spans="9:13" x14ac:dyDescent="0.3">
      <c r="I38362" s="82"/>
      <c r="M38362" s="85"/>
    </row>
    <row r="38363" spans="9:13" x14ac:dyDescent="0.3">
      <c r="I38363" s="82"/>
      <c r="M38363" s="85"/>
    </row>
    <row r="38364" spans="9:13" x14ac:dyDescent="0.3">
      <c r="I38364" s="82"/>
      <c r="M38364" s="85"/>
    </row>
    <row r="38365" spans="9:13" x14ac:dyDescent="0.3">
      <c r="I38365" s="82"/>
      <c r="M38365" s="85"/>
    </row>
    <row r="38366" spans="9:13" x14ac:dyDescent="0.3">
      <c r="I38366" s="82"/>
      <c r="M38366" s="85"/>
    </row>
    <row r="38367" spans="9:13" x14ac:dyDescent="0.3">
      <c r="I38367" s="82"/>
      <c r="M38367" s="85"/>
    </row>
    <row r="38368" spans="9:13" x14ac:dyDescent="0.3">
      <c r="I38368" s="82"/>
      <c r="M38368" s="85"/>
    </row>
    <row r="38369" spans="9:13" x14ac:dyDescent="0.3">
      <c r="I38369" s="82"/>
      <c r="M38369" s="85"/>
    </row>
    <row r="38370" spans="9:13" x14ac:dyDescent="0.3">
      <c r="I38370" s="82"/>
      <c r="M38370" s="85"/>
    </row>
    <row r="38371" spans="9:13" x14ac:dyDescent="0.3">
      <c r="I38371" s="82"/>
      <c r="M38371" s="85"/>
    </row>
    <row r="38372" spans="9:13" x14ac:dyDescent="0.3">
      <c r="I38372" s="82"/>
      <c r="M38372" s="85"/>
    </row>
    <row r="38373" spans="9:13" x14ac:dyDescent="0.3">
      <c r="I38373" s="82"/>
      <c r="M38373" s="85"/>
    </row>
    <row r="38374" spans="9:13" x14ac:dyDescent="0.3">
      <c r="I38374" s="82"/>
      <c r="M38374" s="85"/>
    </row>
    <row r="38375" spans="9:13" x14ac:dyDescent="0.3">
      <c r="I38375" s="82"/>
      <c r="M38375" s="85"/>
    </row>
    <row r="38376" spans="9:13" x14ac:dyDescent="0.3">
      <c r="I38376" s="82"/>
      <c r="M38376" s="85"/>
    </row>
    <row r="38377" spans="9:13" x14ac:dyDescent="0.3">
      <c r="I38377" s="82"/>
      <c r="M38377" s="85"/>
    </row>
    <row r="38378" spans="9:13" x14ac:dyDescent="0.3">
      <c r="I38378" s="82"/>
      <c r="M38378" s="85"/>
    </row>
    <row r="38379" spans="9:13" x14ac:dyDescent="0.3">
      <c r="I38379" s="82"/>
      <c r="M38379" s="85"/>
    </row>
    <row r="38380" spans="9:13" x14ac:dyDescent="0.3">
      <c r="I38380" s="82"/>
      <c r="M38380" s="85"/>
    </row>
    <row r="38381" spans="9:13" x14ac:dyDescent="0.3">
      <c r="I38381" s="82"/>
      <c r="M38381" s="85"/>
    </row>
    <row r="38382" spans="9:13" x14ac:dyDescent="0.3">
      <c r="I38382" s="82"/>
      <c r="M38382" s="85"/>
    </row>
    <row r="38383" spans="9:13" x14ac:dyDescent="0.3">
      <c r="I38383" s="82"/>
      <c r="M38383" s="85"/>
    </row>
    <row r="38384" spans="9:13" x14ac:dyDescent="0.3">
      <c r="I38384" s="82"/>
      <c r="M38384" s="85"/>
    </row>
    <row r="38385" spans="9:13" x14ac:dyDescent="0.3">
      <c r="I38385" s="82"/>
      <c r="M38385" s="85"/>
    </row>
    <row r="38386" spans="9:13" x14ac:dyDescent="0.3">
      <c r="I38386" s="82"/>
      <c r="M38386" s="85"/>
    </row>
    <row r="38387" spans="9:13" x14ac:dyDescent="0.3">
      <c r="I38387" s="82"/>
      <c r="M38387" s="85"/>
    </row>
    <row r="38388" spans="9:13" x14ac:dyDescent="0.3">
      <c r="I38388" s="82"/>
      <c r="M38388" s="85"/>
    </row>
    <row r="38389" spans="9:13" x14ac:dyDescent="0.3">
      <c r="I38389" s="82"/>
      <c r="M38389" s="85"/>
    </row>
    <row r="38390" spans="9:13" x14ac:dyDescent="0.3">
      <c r="I38390" s="82"/>
      <c r="M38390" s="85"/>
    </row>
    <row r="38391" spans="9:13" x14ac:dyDescent="0.3">
      <c r="I38391" s="82"/>
      <c r="M38391" s="85"/>
    </row>
    <row r="38392" spans="9:13" x14ac:dyDescent="0.3">
      <c r="I38392" s="82"/>
      <c r="M38392" s="85"/>
    </row>
    <row r="38393" spans="9:13" x14ac:dyDescent="0.3">
      <c r="I38393" s="82"/>
      <c r="M38393" s="85"/>
    </row>
    <row r="38394" spans="9:13" x14ac:dyDescent="0.3">
      <c r="I38394" s="82"/>
      <c r="M38394" s="85"/>
    </row>
    <row r="38395" spans="9:13" x14ac:dyDescent="0.3">
      <c r="I38395" s="82"/>
      <c r="M38395" s="85"/>
    </row>
    <row r="38396" spans="9:13" x14ac:dyDescent="0.3">
      <c r="I38396" s="82"/>
      <c r="M38396" s="85"/>
    </row>
    <row r="38397" spans="9:13" x14ac:dyDescent="0.3">
      <c r="I38397" s="82"/>
      <c r="M38397" s="85"/>
    </row>
    <row r="38398" spans="9:13" x14ac:dyDescent="0.3">
      <c r="I38398" s="82"/>
      <c r="M38398" s="85"/>
    </row>
    <row r="38399" spans="9:13" x14ac:dyDescent="0.3">
      <c r="I38399" s="82"/>
      <c r="M38399" s="85"/>
    </row>
    <row r="38400" spans="9:13" x14ac:dyDescent="0.3">
      <c r="I38400" s="82"/>
      <c r="M38400" s="85"/>
    </row>
    <row r="38401" spans="9:13" x14ac:dyDescent="0.3">
      <c r="I38401" s="82"/>
      <c r="M38401" s="85"/>
    </row>
    <row r="38402" spans="9:13" x14ac:dyDescent="0.3">
      <c r="I38402" s="82"/>
      <c r="M38402" s="85"/>
    </row>
    <row r="38403" spans="9:13" x14ac:dyDescent="0.3">
      <c r="I38403" s="82"/>
      <c r="M38403" s="85"/>
    </row>
    <row r="38404" spans="9:13" x14ac:dyDescent="0.3">
      <c r="I38404" s="82"/>
      <c r="M38404" s="85"/>
    </row>
    <row r="38405" spans="9:13" x14ac:dyDescent="0.3">
      <c r="I38405" s="82"/>
      <c r="M38405" s="85"/>
    </row>
    <row r="38406" spans="9:13" x14ac:dyDescent="0.3">
      <c r="I38406" s="82"/>
      <c r="M38406" s="85"/>
    </row>
    <row r="38407" spans="9:13" x14ac:dyDescent="0.3">
      <c r="I38407" s="82"/>
      <c r="M38407" s="85"/>
    </row>
    <row r="38408" spans="9:13" x14ac:dyDescent="0.3">
      <c r="I38408" s="82"/>
      <c r="M38408" s="85"/>
    </row>
    <row r="38409" spans="9:13" x14ac:dyDescent="0.3">
      <c r="I38409" s="82"/>
      <c r="M38409" s="85"/>
    </row>
    <row r="38410" spans="9:13" x14ac:dyDescent="0.3">
      <c r="I38410" s="82"/>
      <c r="M38410" s="85"/>
    </row>
    <row r="38411" spans="9:13" x14ac:dyDescent="0.3">
      <c r="I38411" s="82"/>
      <c r="M38411" s="85"/>
    </row>
    <row r="38412" spans="9:13" x14ac:dyDescent="0.3">
      <c r="I38412" s="82"/>
      <c r="M38412" s="85"/>
    </row>
    <row r="38413" spans="9:13" x14ac:dyDescent="0.3">
      <c r="I38413" s="82"/>
      <c r="M38413" s="85"/>
    </row>
    <row r="38414" spans="9:13" x14ac:dyDescent="0.3">
      <c r="I38414" s="82"/>
      <c r="M38414" s="85"/>
    </row>
    <row r="38415" spans="9:13" x14ac:dyDescent="0.3">
      <c r="I38415" s="82"/>
      <c r="M38415" s="85"/>
    </row>
    <row r="38416" spans="9:13" x14ac:dyDescent="0.3">
      <c r="I38416" s="82"/>
      <c r="M38416" s="85"/>
    </row>
    <row r="38417" spans="9:13" x14ac:dyDescent="0.3">
      <c r="I38417" s="82"/>
      <c r="M38417" s="85"/>
    </row>
    <row r="38418" spans="9:13" x14ac:dyDescent="0.3">
      <c r="I38418" s="82"/>
      <c r="M38418" s="85"/>
    </row>
    <row r="38419" spans="9:13" x14ac:dyDescent="0.3">
      <c r="I38419" s="82"/>
      <c r="M38419" s="85"/>
    </row>
    <row r="38420" spans="9:13" x14ac:dyDescent="0.3">
      <c r="I38420" s="82"/>
      <c r="M38420" s="85"/>
    </row>
    <row r="38421" spans="9:13" x14ac:dyDescent="0.3">
      <c r="I38421" s="82"/>
      <c r="M38421" s="85"/>
    </row>
    <row r="38422" spans="9:13" x14ac:dyDescent="0.3">
      <c r="I38422" s="82"/>
      <c r="M38422" s="85"/>
    </row>
    <row r="38423" spans="9:13" x14ac:dyDescent="0.3">
      <c r="I38423" s="82"/>
      <c r="M38423" s="85"/>
    </row>
    <row r="38424" spans="9:13" x14ac:dyDescent="0.3">
      <c r="I38424" s="82"/>
      <c r="M38424" s="85"/>
    </row>
    <row r="38425" spans="9:13" x14ac:dyDescent="0.3">
      <c r="I38425" s="82"/>
      <c r="M38425" s="85"/>
    </row>
    <row r="38426" spans="9:13" x14ac:dyDescent="0.3">
      <c r="I38426" s="82"/>
      <c r="M38426" s="85"/>
    </row>
    <row r="38427" spans="9:13" x14ac:dyDescent="0.3">
      <c r="I38427" s="82"/>
      <c r="M38427" s="85"/>
    </row>
    <row r="38428" spans="9:13" x14ac:dyDescent="0.3">
      <c r="I38428" s="82"/>
      <c r="M38428" s="85"/>
    </row>
    <row r="38429" spans="9:13" x14ac:dyDescent="0.3">
      <c r="I38429" s="82"/>
      <c r="M38429" s="85"/>
    </row>
    <row r="38430" spans="9:13" x14ac:dyDescent="0.3">
      <c r="I38430" s="82"/>
      <c r="M38430" s="85"/>
    </row>
    <row r="38431" spans="9:13" x14ac:dyDescent="0.3">
      <c r="I38431" s="82"/>
      <c r="M38431" s="85"/>
    </row>
    <row r="38432" spans="9:13" x14ac:dyDescent="0.3">
      <c r="I38432" s="82"/>
      <c r="M38432" s="85"/>
    </row>
    <row r="38433" spans="9:13" x14ac:dyDescent="0.3">
      <c r="I38433" s="82"/>
      <c r="M38433" s="85"/>
    </row>
    <row r="38434" spans="9:13" x14ac:dyDescent="0.3">
      <c r="I38434" s="82"/>
      <c r="M38434" s="85"/>
    </row>
    <row r="38435" spans="9:13" x14ac:dyDescent="0.3">
      <c r="I38435" s="82"/>
      <c r="M38435" s="85"/>
    </row>
    <row r="38436" spans="9:13" x14ac:dyDescent="0.3">
      <c r="I38436" s="82"/>
      <c r="M38436" s="85"/>
    </row>
    <row r="38437" spans="9:13" x14ac:dyDescent="0.3">
      <c r="I38437" s="82"/>
      <c r="M38437" s="85"/>
    </row>
    <row r="38438" spans="9:13" x14ac:dyDescent="0.3">
      <c r="I38438" s="82"/>
      <c r="M38438" s="85"/>
    </row>
    <row r="38439" spans="9:13" x14ac:dyDescent="0.3">
      <c r="I38439" s="82"/>
      <c r="M38439" s="85"/>
    </row>
    <row r="38440" spans="9:13" x14ac:dyDescent="0.3">
      <c r="I38440" s="82"/>
      <c r="M38440" s="85"/>
    </row>
    <row r="38441" spans="9:13" x14ac:dyDescent="0.3">
      <c r="I38441" s="82"/>
      <c r="M38441" s="85"/>
    </row>
    <row r="38442" spans="9:13" x14ac:dyDescent="0.3">
      <c r="I38442" s="82"/>
      <c r="M38442" s="85"/>
    </row>
    <row r="38443" spans="9:13" x14ac:dyDescent="0.3">
      <c r="I38443" s="82"/>
      <c r="M38443" s="85"/>
    </row>
    <row r="38444" spans="9:13" x14ac:dyDescent="0.3">
      <c r="I38444" s="82"/>
      <c r="M38444" s="85"/>
    </row>
    <row r="38445" spans="9:13" x14ac:dyDescent="0.3">
      <c r="I38445" s="82"/>
      <c r="M38445" s="85"/>
    </row>
    <row r="38446" spans="9:13" x14ac:dyDescent="0.3">
      <c r="I38446" s="82"/>
      <c r="M38446" s="85"/>
    </row>
    <row r="38447" spans="9:13" x14ac:dyDescent="0.3">
      <c r="I38447" s="82"/>
      <c r="M38447" s="85"/>
    </row>
    <row r="38448" spans="9:13" x14ac:dyDescent="0.3">
      <c r="I38448" s="82"/>
      <c r="M38448" s="85"/>
    </row>
    <row r="38449" spans="9:13" x14ac:dyDescent="0.3">
      <c r="I38449" s="82"/>
      <c r="M38449" s="85"/>
    </row>
    <row r="38450" spans="9:13" x14ac:dyDescent="0.3">
      <c r="I38450" s="82"/>
      <c r="M38450" s="85"/>
    </row>
    <row r="38451" spans="9:13" x14ac:dyDescent="0.3">
      <c r="I38451" s="82"/>
      <c r="M38451" s="85"/>
    </row>
    <row r="38452" spans="9:13" x14ac:dyDescent="0.3">
      <c r="I38452" s="82"/>
      <c r="M38452" s="85"/>
    </row>
    <row r="38453" spans="9:13" x14ac:dyDescent="0.3">
      <c r="I38453" s="82"/>
      <c r="M38453" s="85"/>
    </row>
    <row r="38454" spans="9:13" x14ac:dyDescent="0.3">
      <c r="I38454" s="82"/>
      <c r="M38454" s="85"/>
    </row>
    <row r="38455" spans="9:13" x14ac:dyDescent="0.3">
      <c r="I38455" s="82"/>
      <c r="M38455" s="85"/>
    </row>
    <row r="38456" spans="9:13" x14ac:dyDescent="0.3">
      <c r="I38456" s="82"/>
      <c r="M38456" s="85"/>
    </row>
    <row r="38457" spans="9:13" x14ac:dyDescent="0.3">
      <c r="I38457" s="82"/>
      <c r="M38457" s="85"/>
    </row>
    <row r="38458" spans="9:13" x14ac:dyDescent="0.3">
      <c r="I38458" s="82"/>
      <c r="M38458" s="85"/>
    </row>
    <row r="38459" spans="9:13" x14ac:dyDescent="0.3">
      <c r="I38459" s="82"/>
      <c r="M38459" s="85"/>
    </row>
    <row r="38460" spans="9:13" x14ac:dyDescent="0.3">
      <c r="I38460" s="82"/>
      <c r="M38460" s="85"/>
    </row>
    <row r="38461" spans="9:13" x14ac:dyDescent="0.3">
      <c r="I38461" s="82"/>
      <c r="M38461" s="85"/>
    </row>
    <row r="38462" spans="9:13" x14ac:dyDescent="0.3">
      <c r="I38462" s="82"/>
      <c r="M38462" s="85"/>
    </row>
    <row r="38463" spans="9:13" x14ac:dyDescent="0.3">
      <c r="I38463" s="82"/>
      <c r="M38463" s="85"/>
    </row>
    <row r="38464" spans="9:13" x14ac:dyDescent="0.3">
      <c r="I38464" s="82"/>
      <c r="M38464" s="85"/>
    </row>
    <row r="38465" spans="9:13" x14ac:dyDescent="0.3">
      <c r="I38465" s="82"/>
      <c r="M38465" s="85"/>
    </row>
    <row r="38466" spans="9:13" x14ac:dyDescent="0.3">
      <c r="I38466" s="82"/>
      <c r="M38466" s="85"/>
    </row>
    <row r="38467" spans="9:13" x14ac:dyDescent="0.3">
      <c r="I38467" s="82"/>
      <c r="M38467" s="85"/>
    </row>
    <row r="38468" spans="9:13" x14ac:dyDescent="0.3">
      <c r="I38468" s="82"/>
      <c r="M38468" s="85"/>
    </row>
    <row r="38469" spans="9:13" x14ac:dyDescent="0.3">
      <c r="I38469" s="82"/>
      <c r="M38469" s="85"/>
    </row>
    <row r="38470" spans="9:13" x14ac:dyDescent="0.3">
      <c r="I38470" s="82"/>
      <c r="M38470" s="85"/>
    </row>
    <row r="38471" spans="9:13" x14ac:dyDescent="0.3">
      <c r="I38471" s="82"/>
      <c r="M38471" s="85"/>
    </row>
    <row r="38472" spans="9:13" x14ac:dyDescent="0.3">
      <c r="I38472" s="82"/>
      <c r="M38472" s="85"/>
    </row>
    <row r="38473" spans="9:13" x14ac:dyDescent="0.3">
      <c r="I38473" s="82"/>
      <c r="M38473" s="85"/>
    </row>
    <row r="38474" spans="9:13" x14ac:dyDescent="0.3">
      <c r="I38474" s="82"/>
      <c r="M38474" s="85"/>
    </row>
    <row r="38475" spans="9:13" x14ac:dyDescent="0.3">
      <c r="I38475" s="82"/>
      <c r="M38475" s="85"/>
    </row>
    <row r="38476" spans="9:13" x14ac:dyDescent="0.3">
      <c r="I38476" s="82"/>
      <c r="M38476" s="85"/>
    </row>
    <row r="38477" spans="9:13" x14ac:dyDescent="0.3">
      <c r="I38477" s="82"/>
      <c r="M38477" s="85"/>
    </row>
    <row r="38478" spans="9:13" x14ac:dyDescent="0.3">
      <c r="I38478" s="82"/>
      <c r="M38478" s="85"/>
    </row>
    <row r="38479" spans="9:13" x14ac:dyDescent="0.3">
      <c r="I38479" s="82"/>
      <c r="M38479" s="85"/>
    </row>
    <row r="38480" spans="9:13" x14ac:dyDescent="0.3">
      <c r="I38480" s="82"/>
      <c r="M38480" s="85"/>
    </row>
    <row r="38481" spans="9:13" x14ac:dyDescent="0.3">
      <c r="I38481" s="82"/>
      <c r="M38481" s="85"/>
    </row>
    <row r="38482" spans="9:13" x14ac:dyDescent="0.3">
      <c r="I38482" s="82"/>
      <c r="M38482" s="85"/>
    </row>
    <row r="38483" spans="9:13" x14ac:dyDescent="0.3">
      <c r="I38483" s="82"/>
      <c r="M38483" s="85"/>
    </row>
    <row r="38484" spans="9:13" x14ac:dyDescent="0.3">
      <c r="I38484" s="82"/>
      <c r="M38484" s="85"/>
    </row>
    <row r="38485" spans="9:13" x14ac:dyDescent="0.3">
      <c r="I38485" s="82"/>
      <c r="M38485" s="85"/>
    </row>
    <row r="38486" spans="9:13" x14ac:dyDescent="0.3">
      <c r="I38486" s="82"/>
      <c r="M38486" s="85"/>
    </row>
    <row r="38487" spans="9:13" x14ac:dyDescent="0.3">
      <c r="I38487" s="82"/>
      <c r="M38487" s="85"/>
    </row>
    <row r="38488" spans="9:13" x14ac:dyDescent="0.3">
      <c r="I38488" s="82"/>
      <c r="M38488" s="85"/>
    </row>
    <row r="38489" spans="9:13" x14ac:dyDescent="0.3">
      <c r="I38489" s="82"/>
      <c r="M38489" s="85"/>
    </row>
    <row r="38490" spans="9:13" x14ac:dyDescent="0.3">
      <c r="I38490" s="82"/>
      <c r="M38490" s="85"/>
    </row>
    <row r="38491" spans="9:13" x14ac:dyDescent="0.3">
      <c r="I38491" s="82"/>
      <c r="M38491" s="85"/>
    </row>
    <row r="38492" spans="9:13" x14ac:dyDescent="0.3">
      <c r="I38492" s="82"/>
      <c r="M38492" s="85"/>
    </row>
    <row r="38493" spans="9:13" x14ac:dyDescent="0.3">
      <c r="I38493" s="82"/>
      <c r="M38493" s="85"/>
    </row>
    <row r="38494" spans="9:13" x14ac:dyDescent="0.3">
      <c r="I38494" s="82"/>
      <c r="M38494" s="85"/>
    </row>
    <row r="38495" spans="9:13" x14ac:dyDescent="0.3">
      <c r="I38495" s="82"/>
      <c r="M38495" s="85"/>
    </row>
    <row r="38496" spans="9:13" x14ac:dyDescent="0.3">
      <c r="I38496" s="82"/>
      <c r="M38496" s="85"/>
    </row>
    <row r="38497" spans="9:13" x14ac:dyDescent="0.3">
      <c r="I38497" s="82"/>
      <c r="M38497" s="85"/>
    </row>
    <row r="38498" spans="9:13" x14ac:dyDescent="0.3">
      <c r="I38498" s="82"/>
      <c r="M38498" s="85"/>
    </row>
    <row r="38499" spans="9:13" x14ac:dyDescent="0.3">
      <c r="I38499" s="82"/>
      <c r="M38499" s="85"/>
    </row>
    <row r="38500" spans="9:13" x14ac:dyDescent="0.3">
      <c r="I38500" s="82"/>
      <c r="M38500" s="85"/>
    </row>
    <row r="38501" spans="9:13" x14ac:dyDescent="0.3">
      <c r="I38501" s="82"/>
      <c r="M38501" s="85"/>
    </row>
    <row r="38502" spans="9:13" x14ac:dyDescent="0.3">
      <c r="I38502" s="82"/>
      <c r="M38502" s="85"/>
    </row>
    <row r="38503" spans="9:13" x14ac:dyDescent="0.3">
      <c r="I38503" s="82"/>
      <c r="M38503" s="85"/>
    </row>
    <row r="38504" spans="9:13" x14ac:dyDescent="0.3">
      <c r="I38504" s="82"/>
      <c r="M38504" s="85"/>
    </row>
    <row r="38505" spans="9:13" x14ac:dyDescent="0.3">
      <c r="I38505" s="82"/>
      <c r="M38505" s="85"/>
    </row>
    <row r="38506" spans="9:13" x14ac:dyDescent="0.3">
      <c r="I38506" s="82"/>
      <c r="M38506" s="85"/>
    </row>
    <row r="38507" spans="9:13" x14ac:dyDescent="0.3">
      <c r="I38507" s="82"/>
      <c r="M38507" s="85"/>
    </row>
    <row r="38508" spans="9:13" x14ac:dyDescent="0.3">
      <c r="I38508" s="82"/>
      <c r="M38508" s="85"/>
    </row>
    <row r="38509" spans="9:13" x14ac:dyDescent="0.3">
      <c r="I38509" s="82"/>
      <c r="M38509" s="85"/>
    </row>
    <row r="38510" spans="9:13" x14ac:dyDescent="0.3">
      <c r="I38510" s="82"/>
      <c r="M38510" s="85"/>
    </row>
    <row r="38511" spans="9:13" x14ac:dyDescent="0.3">
      <c r="I38511" s="82"/>
      <c r="M38511" s="85"/>
    </row>
    <row r="38512" spans="9:13" x14ac:dyDescent="0.3">
      <c r="I38512" s="82"/>
      <c r="M38512" s="85"/>
    </row>
    <row r="38513" spans="9:13" x14ac:dyDescent="0.3">
      <c r="I38513" s="82"/>
      <c r="M38513" s="85"/>
    </row>
    <row r="38514" spans="9:13" x14ac:dyDescent="0.3">
      <c r="I38514" s="82"/>
      <c r="M38514" s="85"/>
    </row>
    <row r="38515" spans="9:13" x14ac:dyDescent="0.3">
      <c r="I38515" s="82"/>
      <c r="M38515" s="85"/>
    </row>
    <row r="38516" spans="9:13" x14ac:dyDescent="0.3">
      <c r="I38516" s="82"/>
      <c r="M38516" s="85"/>
    </row>
    <row r="38517" spans="9:13" x14ac:dyDescent="0.3">
      <c r="I38517" s="82"/>
      <c r="M38517" s="85"/>
    </row>
    <row r="38518" spans="9:13" x14ac:dyDescent="0.3">
      <c r="I38518" s="82"/>
      <c r="M38518" s="85"/>
    </row>
    <row r="38519" spans="9:13" x14ac:dyDescent="0.3">
      <c r="I38519" s="82"/>
      <c r="M38519" s="85"/>
    </row>
    <row r="38520" spans="9:13" x14ac:dyDescent="0.3">
      <c r="I38520" s="82"/>
      <c r="M38520" s="85"/>
    </row>
    <row r="38521" spans="9:13" x14ac:dyDescent="0.3">
      <c r="I38521" s="82"/>
      <c r="M38521" s="85"/>
    </row>
    <row r="38522" spans="9:13" x14ac:dyDescent="0.3">
      <c r="I38522" s="82"/>
      <c r="M38522" s="85"/>
    </row>
    <row r="38523" spans="9:13" x14ac:dyDescent="0.3">
      <c r="I38523" s="82"/>
      <c r="M38523" s="85"/>
    </row>
    <row r="38524" spans="9:13" x14ac:dyDescent="0.3">
      <c r="I38524" s="82"/>
      <c r="M38524" s="85"/>
    </row>
    <row r="38525" spans="9:13" x14ac:dyDescent="0.3">
      <c r="I38525" s="82"/>
      <c r="M38525" s="85"/>
    </row>
    <row r="38526" spans="9:13" x14ac:dyDescent="0.3">
      <c r="I38526" s="82"/>
      <c r="M38526" s="85"/>
    </row>
    <row r="38527" spans="9:13" x14ac:dyDescent="0.3">
      <c r="I38527" s="82"/>
      <c r="M38527" s="85"/>
    </row>
    <row r="38528" spans="9:13" x14ac:dyDescent="0.3">
      <c r="I38528" s="82"/>
      <c r="M38528" s="85"/>
    </row>
    <row r="38529" spans="9:13" x14ac:dyDescent="0.3">
      <c r="I38529" s="82"/>
      <c r="M38529" s="85"/>
    </row>
    <row r="38530" spans="9:13" x14ac:dyDescent="0.3">
      <c r="I38530" s="82"/>
      <c r="M38530" s="85"/>
    </row>
    <row r="38531" spans="9:13" x14ac:dyDescent="0.3">
      <c r="I38531" s="82"/>
      <c r="M38531" s="85"/>
    </row>
    <row r="38532" spans="9:13" x14ac:dyDescent="0.3">
      <c r="I38532" s="82"/>
      <c r="M38532" s="85"/>
    </row>
    <row r="38533" spans="9:13" x14ac:dyDescent="0.3">
      <c r="I38533" s="82"/>
      <c r="M38533" s="85"/>
    </row>
    <row r="38534" spans="9:13" x14ac:dyDescent="0.3">
      <c r="I38534" s="82"/>
      <c r="M38534" s="85"/>
    </row>
    <row r="38535" spans="9:13" x14ac:dyDescent="0.3">
      <c r="I38535" s="82"/>
      <c r="M38535" s="85"/>
    </row>
    <row r="38536" spans="9:13" x14ac:dyDescent="0.3">
      <c r="I38536" s="82"/>
      <c r="M38536" s="85"/>
    </row>
    <row r="38537" spans="9:13" x14ac:dyDescent="0.3">
      <c r="I38537" s="82"/>
      <c r="M38537" s="85"/>
    </row>
    <row r="38538" spans="9:13" x14ac:dyDescent="0.3">
      <c r="I38538" s="82"/>
      <c r="M38538" s="85"/>
    </row>
    <row r="38539" spans="9:13" x14ac:dyDescent="0.3">
      <c r="I38539" s="82"/>
      <c r="M38539" s="85"/>
    </row>
    <row r="38540" spans="9:13" x14ac:dyDescent="0.3">
      <c r="I38540" s="82"/>
      <c r="M38540" s="85"/>
    </row>
    <row r="38541" spans="9:13" x14ac:dyDescent="0.3">
      <c r="I38541" s="82"/>
      <c r="M38541" s="85"/>
    </row>
    <row r="38542" spans="9:13" x14ac:dyDescent="0.3">
      <c r="I38542" s="82"/>
      <c r="M38542" s="85"/>
    </row>
    <row r="38543" spans="9:13" x14ac:dyDescent="0.3">
      <c r="I38543" s="82"/>
      <c r="M38543" s="85"/>
    </row>
    <row r="38544" spans="9:13" x14ac:dyDescent="0.3">
      <c r="I38544" s="82"/>
      <c r="M38544" s="85"/>
    </row>
    <row r="38545" spans="9:13" x14ac:dyDescent="0.3">
      <c r="I38545" s="82"/>
      <c r="M38545" s="85"/>
    </row>
    <row r="38546" spans="9:13" x14ac:dyDescent="0.3">
      <c r="I38546" s="82"/>
      <c r="M38546" s="85"/>
    </row>
    <row r="38547" spans="9:13" x14ac:dyDescent="0.3">
      <c r="I38547" s="82"/>
      <c r="M38547" s="85"/>
    </row>
    <row r="38548" spans="9:13" x14ac:dyDescent="0.3">
      <c r="I38548" s="82"/>
      <c r="M38548" s="85"/>
    </row>
    <row r="38549" spans="9:13" x14ac:dyDescent="0.3">
      <c r="I38549" s="82"/>
      <c r="M38549" s="85"/>
    </row>
    <row r="38550" spans="9:13" x14ac:dyDescent="0.3">
      <c r="I38550" s="82"/>
      <c r="M38550" s="85"/>
    </row>
    <row r="38551" spans="9:13" x14ac:dyDescent="0.3">
      <c r="I38551" s="82"/>
      <c r="M38551" s="85"/>
    </row>
    <row r="38552" spans="9:13" x14ac:dyDescent="0.3">
      <c r="I38552" s="82"/>
      <c r="M38552" s="85"/>
    </row>
    <row r="38553" spans="9:13" x14ac:dyDescent="0.3">
      <c r="I38553" s="82"/>
      <c r="M38553" s="85"/>
    </row>
    <row r="38554" spans="9:13" x14ac:dyDescent="0.3">
      <c r="I38554" s="82"/>
      <c r="M38554" s="85"/>
    </row>
    <row r="38555" spans="9:13" x14ac:dyDescent="0.3">
      <c r="I38555" s="82"/>
      <c r="M38555" s="85"/>
    </row>
    <row r="38556" spans="9:13" x14ac:dyDescent="0.3">
      <c r="I38556" s="82"/>
      <c r="M38556" s="85"/>
    </row>
    <row r="38557" spans="9:13" x14ac:dyDescent="0.3">
      <c r="I38557" s="82"/>
      <c r="M38557" s="85"/>
    </row>
    <row r="38558" spans="9:13" x14ac:dyDescent="0.3">
      <c r="I38558" s="82"/>
      <c r="M38558" s="85"/>
    </row>
    <row r="38559" spans="9:13" x14ac:dyDescent="0.3">
      <c r="I38559" s="82"/>
      <c r="M38559" s="85"/>
    </row>
    <row r="38560" spans="9:13" x14ac:dyDescent="0.3">
      <c r="I38560" s="82"/>
      <c r="M38560" s="85"/>
    </row>
    <row r="38561" spans="9:13" x14ac:dyDescent="0.3">
      <c r="I38561" s="82"/>
      <c r="M38561" s="85"/>
    </row>
    <row r="38562" spans="9:13" x14ac:dyDescent="0.3">
      <c r="I38562" s="82"/>
      <c r="M38562" s="85"/>
    </row>
    <row r="38563" spans="9:13" x14ac:dyDescent="0.3">
      <c r="I38563" s="82"/>
      <c r="M38563" s="85"/>
    </row>
    <row r="38564" spans="9:13" x14ac:dyDescent="0.3">
      <c r="I38564" s="82"/>
      <c r="M38564" s="85"/>
    </row>
    <row r="38565" spans="9:13" x14ac:dyDescent="0.3">
      <c r="I38565" s="82"/>
      <c r="M38565" s="85"/>
    </row>
    <row r="38566" spans="9:13" x14ac:dyDescent="0.3">
      <c r="I38566" s="82"/>
      <c r="M38566" s="85"/>
    </row>
    <row r="38567" spans="9:13" x14ac:dyDescent="0.3">
      <c r="I38567" s="82"/>
      <c r="M38567" s="85"/>
    </row>
    <row r="38568" spans="9:13" x14ac:dyDescent="0.3">
      <c r="I38568" s="82"/>
      <c r="M38568" s="85"/>
    </row>
    <row r="38569" spans="9:13" x14ac:dyDescent="0.3">
      <c r="I38569" s="82"/>
      <c r="M38569" s="85"/>
    </row>
    <row r="38570" spans="9:13" x14ac:dyDescent="0.3">
      <c r="I38570" s="82"/>
      <c r="M38570" s="85"/>
    </row>
    <row r="38571" spans="9:13" x14ac:dyDescent="0.3">
      <c r="I38571" s="82"/>
      <c r="M38571" s="85"/>
    </row>
    <row r="38572" spans="9:13" x14ac:dyDescent="0.3">
      <c r="I38572" s="82"/>
      <c r="M38572" s="85"/>
    </row>
    <row r="38573" spans="9:13" x14ac:dyDescent="0.3">
      <c r="I38573" s="82"/>
      <c r="M38573" s="85"/>
    </row>
    <row r="38574" spans="9:13" x14ac:dyDescent="0.3">
      <c r="I38574" s="82"/>
      <c r="M38574" s="85"/>
    </row>
    <row r="38575" spans="9:13" x14ac:dyDescent="0.3">
      <c r="I38575" s="82"/>
      <c r="M38575" s="85"/>
    </row>
    <row r="38576" spans="9:13" x14ac:dyDescent="0.3">
      <c r="I38576" s="82"/>
      <c r="M38576" s="85"/>
    </row>
    <row r="38577" spans="9:13" x14ac:dyDescent="0.3">
      <c r="I38577" s="82"/>
      <c r="M38577" s="85"/>
    </row>
    <row r="38578" spans="9:13" x14ac:dyDescent="0.3">
      <c r="I38578" s="82"/>
      <c r="M38578" s="85"/>
    </row>
    <row r="38579" spans="9:13" x14ac:dyDescent="0.3">
      <c r="I38579" s="82"/>
      <c r="M38579" s="85"/>
    </row>
    <row r="38580" spans="9:13" x14ac:dyDescent="0.3">
      <c r="I38580" s="82"/>
      <c r="M38580" s="85"/>
    </row>
    <row r="38581" spans="9:13" x14ac:dyDescent="0.3">
      <c r="I38581" s="82"/>
      <c r="M38581" s="85"/>
    </row>
    <row r="38582" spans="9:13" x14ac:dyDescent="0.3">
      <c r="I38582" s="82"/>
      <c r="M38582" s="85"/>
    </row>
    <row r="38583" spans="9:13" x14ac:dyDescent="0.3">
      <c r="I38583" s="82"/>
      <c r="M38583" s="85"/>
    </row>
    <row r="38584" spans="9:13" x14ac:dyDescent="0.3">
      <c r="I38584" s="82"/>
      <c r="M38584" s="85"/>
    </row>
    <row r="38585" spans="9:13" x14ac:dyDescent="0.3">
      <c r="I38585" s="82"/>
      <c r="M38585" s="85"/>
    </row>
    <row r="38586" spans="9:13" x14ac:dyDescent="0.3">
      <c r="I38586" s="82"/>
      <c r="M38586" s="85"/>
    </row>
    <row r="38587" spans="9:13" x14ac:dyDescent="0.3">
      <c r="I38587" s="82"/>
      <c r="M38587" s="85"/>
    </row>
    <row r="38588" spans="9:13" x14ac:dyDescent="0.3">
      <c r="I38588" s="82"/>
      <c r="M38588" s="85"/>
    </row>
    <row r="38589" spans="9:13" x14ac:dyDescent="0.3">
      <c r="I38589" s="82"/>
      <c r="M38589" s="85"/>
    </row>
    <row r="38590" spans="9:13" x14ac:dyDescent="0.3">
      <c r="I38590" s="82"/>
      <c r="M38590" s="85"/>
    </row>
    <row r="38591" spans="9:13" x14ac:dyDescent="0.3">
      <c r="I38591" s="82"/>
      <c r="M38591" s="85"/>
    </row>
    <row r="38592" spans="9:13" x14ac:dyDescent="0.3">
      <c r="I38592" s="82"/>
      <c r="M38592" s="85"/>
    </row>
    <row r="38593" spans="9:13" x14ac:dyDescent="0.3">
      <c r="I38593" s="82"/>
      <c r="M38593" s="85"/>
    </row>
    <row r="38594" spans="9:13" x14ac:dyDescent="0.3">
      <c r="I38594" s="82"/>
      <c r="M38594" s="85"/>
    </row>
    <row r="38595" spans="9:13" x14ac:dyDescent="0.3">
      <c r="I38595" s="82"/>
      <c r="M38595" s="85"/>
    </row>
    <row r="38596" spans="9:13" x14ac:dyDescent="0.3">
      <c r="I38596" s="82"/>
      <c r="M38596" s="85"/>
    </row>
    <row r="38597" spans="9:13" x14ac:dyDescent="0.3">
      <c r="I38597" s="82"/>
      <c r="M38597" s="85"/>
    </row>
    <row r="38598" spans="9:13" x14ac:dyDescent="0.3">
      <c r="I38598" s="82"/>
      <c r="M38598" s="85"/>
    </row>
    <row r="38599" spans="9:13" x14ac:dyDescent="0.3">
      <c r="I38599" s="82"/>
      <c r="M38599" s="85"/>
    </row>
    <row r="38600" spans="9:13" x14ac:dyDescent="0.3">
      <c r="I38600" s="82"/>
      <c r="M38600" s="85"/>
    </row>
    <row r="38601" spans="9:13" x14ac:dyDescent="0.3">
      <c r="I38601" s="82"/>
      <c r="M38601" s="85"/>
    </row>
    <row r="38602" spans="9:13" x14ac:dyDescent="0.3">
      <c r="I38602" s="82"/>
      <c r="M38602" s="85"/>
    </row>
    <row r="38603" spans="9:13" x14ac:dyDescent="0.3">
      <c r="I38603" s="82"/>
      <c r="M38603" s="85"/>
    </row>
    <row r="38604" spans="9:13" x14ac:dyDescent="0.3">
      <c r="I38604" s="82"/>
      <c r="M38604" s="85"/>
    </row>
    <row r="38605" spans="9:13" x14ac:dyDescent="0.3">
      <c r="I38605" s="82"/>
      <c r="M38605" s="85"/>
    </row>
    <row r="38606" spans="9:13" x14ac:dyDescent="0.3">
      <c r="I38606" s="82"/>
      <c r="M38606" s="85"/>
    </row>
    <row r="38607" spans="9:13" x14ac:dyDescent="0.3">
      <c r="I38607" s="82"/>
      <c r="M38607" s="85"/>
    </row>
    <row r="38608" spans="9:13" x14ac:dyDescent="0.3">
      <c r="I38608" s="82"/>
      <c r="M38608" s="85"/>
    </row>
    <row r="38609" spans="9:13" x14ac:dyDescent="0.3">
      <c r="I38609" s="82"/>
      <c r="M38609" s="85"/>
    </row>
    <row r="38610" spans="9:13" x14ac:dyDescent="0.3">
      <c r="I38610" s="82"/>
      <c r="M38610" s="85"/>
    </row>
    <row r="38611" spans="9:13" x14ac:dyDescent="0.3">
      <c r="I38611" s="82"/>
      <c r="M38611" s="85"/>
    </row>
    <row r="38612" spans="9:13" x14ac:dyDescent="0.3">
      <c r="I38612" s="82"/>
      <c r="M38612" s="85"/>
    </row>
    <row r="38613" spans="9:13" x14ac:dyDescent="0.3">
      <c r="I38613" s="82"/>
      <c r="M38613" s="85"/>
    </row>
    <row r="38614" spans="9:13" x14ac:dyDescent="0.3">
      <c r="I38614" s="82"/>
      <c r="M38614" s="85"/>
    </row>
    <row r="38615" spans="9:13" x14ac:dyDescent="0.3">
      <c r="I38615" s="82"/>
      <c r="M38615" s="85"/>
    </row>
    <row r="38616" spans="9:13" x14ac:dyDescent="0.3">
      <c r="I38616" s="82"/>
      <c r="M38616" s="85"/>
    </row>
    <row r="38617" spans="9:13" x14ac:dyDescent="0.3">
      <c r="I38617" s="82"/>
      <c r="M38617" s="85"/>
    </row>
    <row r="38618" spans="9:13" x14ac:dyDescent="0.3">
      <c r="I38618" s="82"/>
      <c r="M38618" s="85"/>
    </row>
    <row r="38619" spans="9:13" x14ac:dyDescent="0.3">
      <c r="I38619" s="82"/>
      <c r="M38619" s="85"/>
    </row>
    <row r="38620" spans="9:13" x14ac:dyDescent="0.3">
      <c r="I38620" s="82"/>
      <c r="M38620" s="85"/>
    </row>
    <row r="38621" spans="9:13" x14ac:dyDescent="0.3">
      <c r="I38621" s="82"/>
      <c r="M38621" s="85"/>
    </row>
    <row r="38622" spans="9:13" x14ac:dyDescent="0.3">
      <c r="I38622" s="82"/>
      <c r="M38622" s="85"/>
    </row>
    <row r="38623" spans="9:13" x14ac:dyDescent="0.3">
      <c r="I38623" s="82"/>
      <c r="M38623" s="85"/>
    </row>
    <row r="38624" spans="9:13" x14ac:dyDescent="0.3">
      <c r="I38624" s="82"/>
      <c r="M38624" s="85"/>
    </row>
    <row r="38625" spans="9:13" x14ac:dyDescent="0.3">
      <c r="I38625" s="82"/>
      <c r="M38625" s="85"/>
    </row>
    <row r="38626" spans="9:13" x14ac:dyDescent="0.3">
      <c r="I38626" s="82"/>
      <c r="M38626" s="85"/>
    </row>
    <row r="38627" spans="9:13" x14ac:dyDescent="0.3">
      <c r="I38627" s="82"/>
      <c r="M38627" s="85"/>
    </row>
    <row r="38628" spans="9:13" x14ac:dyDescent="0.3">
      <c r="I38628" s="82"/>
      <c r="M38628" s="85"/>
    </row>
    <row r="38629" spans="9:13" x14ac:dyDescent="0.3">
      <c r="I38629" s="82"/>
      <c r="M38629" s="85"/>
    </row>
    <row r="38630" spans="9:13" x14ac:dyDescent="0.3">
      <c r="I38630" s="82"/>
      <c r="M38630" s="85"/>
    </row>
    <row r="38631" spans="9:13" x14ac:dyDescent="0.3">
      <c r="I38631" s="82"/>
      <c r="M38631" s="85"/>
    </row>
    <row r="38632" spans="9:13" x14ac:dyDescent="0.3">
      <c r="I38632" s="82"/>
      <c r="M38632" s="85"/>
    </row>
    <row r="38633" spans="9:13" x14ac:dyDescent="0.3">
      <c r="I38633" s="82"/>
      <c r="M38633" s="85"/>
    </row>
    <row r="38634" spans="9:13" x14ac:dyDescent="0.3">
      <c r="I38634" s="82"/>
      <c r="M38634" s="85"/>
    </row>
    <row r="38635" spans="9:13" x14ac:dyDescent="0.3">
      <c r="I38635" s="82"/>
      <c r="M38635" s="85"/>
    </row>
    <row r="38636" spans="9:13" x14ac:dyDescent="0.3">
      <c r="I38636" s="82"/>
      <c r="M38636" s="85"/>
    </row>
    <row r="38637" spans="9:13" x14ac:dyDescent="0.3">
      <c r="I38637" s="82"/>
      <c r="M38637" s="85"/>
    </row>
    <row r="38638" spans="9:13" x14ac:dyDescent="0.3">
      <c r="I38638" s="82"/>
      <c r="M38638" s="85"/>
    </row>
    <row r="38639" spans="9:13" x14ac:dyDescent="0.3">
      <c r="I38639" s="82"/>
      <c r="M38639" s="85"/>
    </row>
    <row r="38640" spans="9:13" x14ac:dyDescent="0.3">
      <c r="I38640" s="82"/>
      <c r="M38640" s="85"/>
    </row>
    <row r="38641" spans="9:13" x14ac:dyDescent="0.3">
      <c r="I38641" s="82"/>
      <c r="M38641" s="85"/>
    </row>
    <row r="38642" spans="9:13" x14ac:dyDescent="0.3">
      <c r="I38642" s="82"/>
      <c r="M38642" s="85"/>
    </row>
    <row r="38643" spans="9:13" x14ac:dyDescent="0.3">
      <c r="I38643" s="82"/>
      <c r="M38643" s="85"/>
    </row>
    <row r="38644" spans="9:13" x14ac:dyDescent="0.3">
      <c r="I38644" s="82"/>
      <c r="M38644" s="85"/>
    </row>
    <row r="38645" spans="9:13" x14ac:dyDescent="0.3">
      <c r="I38645" s="82"/>
      <c r="M38645" s="85"/>
    </row>
    <row r="38646" spans="9:13" x14ac:dyDescent="0.3">
      <c r="I38646" s="82"/>
      <c r="M38646" s="85"/>
    </row>
    <row r="38647" spans="9:13" x14ac:dyDescent="0.3">
      <c r="I38647" s="82"/>
      <c r="M38647" s="85"/>
    </row>
    <row r="38648" spans="9:13" x14ac:dyDescent="0.3">
      <c r="I38648" s="82"/>
      <c r="M38648" s="85"/>
    </row>
    <row r="38649" spans="9:13" x14ac:dyDescent="0.3">
      <c r="I38649" s="82"/>
      <c r="M38649" s="85"/>
    </row>
    <row r="38650" spans="9:13" x14ac:dyDescent="0.3">
      <c r="I38650" s="82"/>
      <c r="M38650" s="85"/>
    </row>
    <row r="38651" spans="9:13" x14ac:dyDescent="0.3">
      <c r="I38651" s="82"/>
      <c r="M38651" s="85"/>
    </row>
    <row r="38652" spans="9:13" x14ac:dyDescent="0.3">
      <c r="I38652" s="82"/>
      <c r="M38652" s="85"/>
    </row>
    <row r="38653" spans="9:13" x14ac:dyDescent="0.3">
      <c r="I38653" s="82"/>
      <c r="M38653" s="85"/>
    </row>
    <row r="38654" spans="9:13" x14ac:dyDescent="0.3">
      <c r="I38654" s="82"/>
      <c r="M38654" s="85"/>
    </row>
    <row r="38655" spans="9:13" x14ac:dyDescent="0.3">
      <c r="I38655" s="82"/>
      <c r="M38655" s="85"/>
    </row>
    <row r="38656" spans="9:13" x14ac:dyDescent="0.3">
      <c r="I38656" s="82"/>
      <c r="M38656" s="85"/>
    </row>
    <row r="38657" spans="9:13" x14ac:dyDescent="0.3">
      <c r="I38657" s="82"/>
      <c r="M38657" s="85"/>
    </row>
    <row r="38658" spans="9:13" x14ac:dyDescent="0.3">
      <c r="I38658" s="82"/>
      <c r="M38658" s="85"/>
    </row>
    <row r="38659" spans="9:13" x14ac:dyDescent="0.3">
      <c r="I38659" s="82"/>
      <c r="M38659" s="85"/>
    </row>
    <row r="38660" spans="9:13" x14ac:dyDescent="0.3">
      <c r="I38660" s="82"/>
      <c r="M38660" s="85"/>
    </row>
    <row r="38661" spans="9:13" x14ac:dyDescent="0.3">
      <c r="I38661" s="82"/>
      <c r="M38661" s="85"/>
    </row>
    <row r="38662" spans="9:13" x14ac:dyDescent="0.3">
      <c r="I38662" s="82"/>
      <c r="M38662" s="85"/>
    </row>
    <row r="38663" spans="9:13" x14ac:dyDescent="0.3">
      <c r="I38663" s="82"/>
      <c r="M38663" s="85"/>
    </row>
    <row r="38664" spans="9:13" x14ac:dyDescent="0.3">
      <c r="I38664" s="82"/>
      <c r="M38664" s="85"/>
    </row>
    <row r="38665" spans="9:13" x14ac:dyDescent="0.3">
      <c r="I38665" s="82"/>
      <c r="M38665" s="85"/>
    </row>
    <row r="38666" spans="9:13" x14ac:dyDescent="0.3">
      <c r="I38666" s="82"/>
      <c r="M38666" s="85"/>
    </row>
    <row r="38667" spans="9:13" x14ac:dyDescent="0.3">
      <c r="I38667" s="82"/>
      <c r="M38667" s="85"/>
    </row>
    <row r="38668" spans="9:13" x14ac:dyDescent="0.3">
      <c r="I38668" s="82"/>
      <c r="M38668" s="85"/>
    </row>
    <row r="38669" spans="9:13" x14ac:dyDescent="0.3">
      <c r="I38669" s="82"/>
      <c r="M38669" s="85"/>
    </row>
    <row r="38670" spans="9:13" x14ac:dyDescent="0.3">
      <c r="I38670" s="82"/>
      <c r="M38670" s="85"/>
    </row>
    <row r="38671" spans="9:13" x14ac:dyDescent="0.3">
      <c r="I38671" s="82"/>
      <c r="M38671" s="85"/>
    </row>
    <row r="38672" spans="9:13" x14ac:dyDescent="0.3">
      <c r="I38672" s="82"/>
      <c r="M38672" s="85"/>
    </row>
    <row r="38673" spans="9:13" x14ac:dyDescent="0.3">
      <c r="I38673" s="82"/>
      <c r="M38673" s="85"/>
    </row>
    <row r="38674" spans="9:13" x14ac:dyDescent="0.3">
      <c r="I38674" s="82"/>
      <c r="M38674" s="85"/>
    </row>
    <row r="38675" spans="9:13" x14ac:dyDescent="0.3">
      <c r="I38675" s="82"/>
      <c r="M38675" s="85"/>
    </row>
    <row r="38676" spans="9:13" x14ac:dyDescent="0.3">
      <c r="I38676" s="82"/>
      <c r="M38676" s="85"/>
    </row>
    <row r="38677" spans="9:13" x14ac:dyDescent="0.3">
      <c r="I38677" s="82"/>
      <c r="M38677" s="85"/>
    </row>
    <row r="38678" spans="9:13" x14ac:dyDescent="0.3">
      <c r="I38678" s="82"/>
      <c r="M38678" s="85"/>
    </row>
    <row r="38679" spans="9:13" x14ac:dyDescent="0.3">
      <c r="I38679" s="82"/>
      <c r="M38679" s="85"/>
    </row>
    <row r="38680" spans="9:13" x14ac:dyDescent="0.3">
      <c r="I38680" s="82"/>
      <c r="M38680" s="85"/>
    </row>
    <row r="38681" spans="9:13" x14ac:dyDescent="0.3">
      <c r="I38681" s="82"/>
      <c r="M38681" s="85"/>
    </row>
    <row r="38682" spans="9:13" x14ac:dyDescent="0.3">
      <c r="I38682" s="82"/>
      <c r="M38682" s="85"/>
    </row>
    <row r="38683" spans="9:13" x14ac:dyDescent="0.3">
      <c r="I38683" s="82"/>
      <c r="M38683" s="85"/>
    </row>
    <row r="38684" spans="9:13" x14ac:dyDescent="0.3">
      <c r="I38684" s="82"/>
      <c r="M38684" s="85"/>
    </row>
    <row r="38685" spans="9:13" x14ac:dyDescent="0.3">
      <c r="I38685" s="82"/>
      <c r="M38685" s="85"/>
    </row>
    <row r="38686" spans="9:13" x14ac:dyDescent="0.3">
      <c r="I38686" s="82"/>
      <c r="M38686" s="85"/>
    </row>
    <row r="38687" spans="9:13" x14ac:dyDescent="0.3">
      <c r="I38687" s="82"/>
      <c r="M38687" s="85"/>
    </row>
    <row r="38688" spans="9:13" x14ac:dyDescent="0.3">
      <c r="I38688" s="82"/>
      <c r="M38688" s="85"/>
    </row>
    <row r="38689" spans="9:13" x14ac:dyDescent="0.3">
      <c r="I38689" s="82"/>
      <c r="M38689" s="85"/>
    </row>
    <row r="38690" spans="9:13" x14ac:dyDescent="0.3">
      <c r="I38690" s="82"/>
      <c r="M38690" s="85"/>
    </row>
    <row r="38691" spans="9:13" x14ac:dyDescent="0.3">
      <c r="I38691" s="82"/>
      <c r="M38691" s="85"/>
    </row>
    <row r="38692" spans="9:13" x14ac:dyDescent="0.3">
      <c r="I38692" s="82"/>
      <c r="M38692" s="85"/>
    </row>
    <row r="38693" spans="9:13" x14ac:dyDescent="0.3">
      <c r="I38693" s="82"/>
      <c r="M38693" s="85"/>
    </row>
    <row r="38694" spans="9:13" x14ac:dyDescent="0.3">
      <c r="I38694" s="82"/>
      <c r="M38694" s="85"/>
    </row>
    <row r="38695" spans="9:13" x14ac:dyDescent="0.3">
      <c r="I38695" s="82"/>
      <c r="M38695" s="85"/>
    </row>
    <row r="38696" spans="9:13" x14ac:dyDescent="0.3">
      <c r="I38696" s="82"/>
      <c r="M38696" s="85"/>
    </row>
    <row r="38697" spans="9:13" x14ac:dyDescent="0.3">
      <c r="I38697" s="82"/>
      <c r="M38697" s="85"/>
    </row>
    <row r="38698" spans="9:13" x14ac:dyDescent="0.3">
      <c r="I38698" s="82"/>
      <c r="M38698" s="85"/>
    </row>
    <row r="38699" spans="9:13" x14ac:dyDescent="0.3">
      <c r="I38699" s="82"/>
      <c r="M38699" s="85"/>
    </row>
    <row r="38700" spans="9:13" x14ac:dyDescent="0.3">
      <c r="I38700" s="82"/>
      <c r="M38700" s="85"/>
    </row>
    <row r="38701" spans="9:13" x14ac:dyDescent="0.3">
      <c r="I38701" s="82"/>
      <c r="M38701" s="85"/>
    </row>
    <row r="38702" spans="9:13" x14ac:dyDescent="0.3">
      <c r="I38702" s="82"/>
      <c r="M38702" s="85"/>
    </row>
    <row r="38703" spans="9:13" x14ac:dyDescent="0.3">
      <c r="I38703" s="82"/>
      <c r="M38703" s="85"/>
    </row>
    <row r="38704" spans="9:13" x14ac:dyDescent="0.3">
      <c r="I38704" s="82"/>
      <c r="M38704" s="85"/>
    </row>
    <row r="38705" spans="9:13" x14ac:dyDescent="0.3">
      <c r="I38705" s="82"/>
      <c r="M38705" s="85"/>
    </row>
    <row r="38706" spans="9:13" x14ac:dyDescent="0.3">
      <c r="I38706" s="82"/>
      <c r="M38706" s="85"/>
    </row>
    <row r="38707" spans="9:13" x14ac:dyDescent="0.3">
      <c r="I38707" s="82"/>
      <c r="M38707" s="85"/>
    </row>
    <row r="38708" spans="9:13" x14ac:dyDescent="0.3">
      <c r="I38708" s="82"/>
      <c r="M38708" s="85"/>
    </row>
    <row r="38709" spans="9:13" x14ac:dyDescent="0.3">
      <c r="I38709" s="82"/>
      <c r="M38709" s="85"/>
    </row>
    <row r="38710" spans="9:13" x14ac:dyDescent="0.3">
      <c r="I38710" s="82"/>
      <c r="M38710" s="85"/>
    </row>
    <row r="38711" spans="9:13" x14ac:dyDescent="0.3">
      <c r="I38711" s="82"/>
      <c r="M38711" s="85"/>
    </row>
    <row r="38712" spans="9:13" x14ac:dyDescent="0.3">
      <c r="I38712" s="82"/>
      <c r="M38712" s="85"/>
    </row>
    <row r="38713" spans="9:13" x14ac:dyDescent="0.3">
      <c r="I38713" s="82"/>
      <c r="M38713" s="85"/>
    </row>
    <row r="38714" spans="9:13" x14ac:dyDescent="0.3">
      <c r="I38714" s="82"/>
      <c r="M38714" s="85"/>
    </row>
    <row r="38715" spans="9:13" x14ac:dyDescent="0.3">
      <c r="I38715" s="82"/>
      <c r="M38715" s="85"/>
    </row>
    <row r="38716" spans="9:13" x14ac:dyDescent="0.3">
      <c r="I38716" s="82"/>
      <c r="M38716" s="85"/>
    </row>
    <row r="38717" spans="9:13" x14ac:dyDescent="0.3">
      <c r="I38717" s="82"/>
      <c r="M38717" s="85"/>
    </row>
    <row r="38718" spans="9:13" x14ac:dyDescent="0.3">
      <c r="I38718" s="82"/>
      <c r="M38718" s="85"/>
    </row>
    <row r="38719" spans="9:13" x14ac:dyDescent="0.3">
      <c r="I38719" s="82"/>
      <c r="M38719" s="85"/>
    </row>
    <row r="38720" spans="9:13" x14ac:dyDescent="0.3">
      <c r="I38720" s="82"/>
      <c r="M38720" s="85"/>
    </row>
    <row r="38721" spans="9:13" x14ac:dyDescent="0.3">
      <c r="I38721" s="82"/>
      <c r="M38721" s="85"/>
    </row>
    <row r="38722" spans="9:13" x14ac:dyDescent="0.3">
      <c r="I38722" s="82"/>
      <c r="M38722" s="85"/>
    </row>
    <row r="38723" spans="9:13" x14ac:dyDescent="0.3">
      <c r="I38723" s="82"/>
      <c r="M38723" s="85"/>
    </row>
    <row r="38724" spans="9:13" x14ac:dyDescent="0.3">
      <c r="I38724" s="82"/>
      <c r="M38724" s="85"/>
    </row>
    <row r="38725" spans="9:13" x14ac:dyDescent="0.3">
      <c r="I38725" s="82"/>
      <c r="M38725" s="85"/>
    </row>
    <row r="38726" spans="9:13" x14ac:dyDescent="0.3">
      <c r="I38726" s="82"/>
      <c r="M38726" s="85"/>
    </row>
    <row r="38727" spans="9:13" x14ac:dyDescent="0.3">
      <c r="I38727" s="82"/>
      <c r="M38727" s="85"/>
    </row>
    <row r="38728" spans="9:13" x14ac:dyDescent="0.3">
      <c r="I38728" s="82"/>
      <c r="M38728" s="85"/>
    </row>
    <row r="38729" spans="9:13" x14ac:dyDescent="0.3">
      <c r="I38729" s="82"/>
      <c r="M38729" s="85"/>
    </row>
    <row r="38730" spans="9:13" x14ac:dyDescent="0.3">
      <c r="I38730" s="82"/>
      <c r="M38730" s="85"/>
    </row>
    <row r="38731" spans="9:13" x14ac:dyDescent="0.3">
      <c r="I38731" s="82"/>
      <c r="M38731" s="85"/>
    </row>
    <row r="38732" spans="9:13" x14ac:dyDescent="0.3">
      <c r="I38732" s="82"/>
      <c r="M38732" s="85"/>
    </row>
    <row r="38733" spans="9:13" x14ac:dyDescent="0.3">
      <c r="I38733" s="82"/>
      <c r="M38733" s="85"/>
    </row>
    <row r="38734" spans="9:13" x14ac:dyDescent="0.3">
      <c r="I38734" s="82"/>
      <c r="M38734" s="85"/>
    </row>
    <row r="38735" spans="9:13" x14ac:dyDescent="0.3">
      <c r="I38735" s="82"/>
      <c r="M38735" s="85"/>
    </row>
    <row r="38736" spans="9:13" x14ac:dyDescent="0.3">
      <c r="I38736" s="82"/>
      <c r="M38736" s="85"/>
    </row>
    <row r="38737" spans="9:13" x14ac:dyDescent="0.3">
      <c r="I38737" s="82"/>
      <c r="M38737" s="85"/>
    </row>
    <row r="38738" spans="9:13" x14ac:dyDescent="0.3">
      <c r="I38738" s="82"/>
      <c r="M38738" s="85"/>
    </row>
    <row r="38739" spans="9:13" x14ac:dyDescent="0.3">
      <c r="I38739" s="82"/>
      <c r="M38739" s="85"/>
    </row>
    <row r="38740" spans="9:13" x14ac:dyDescent="0.3">
      <c r="I38740" s="82"/>
      <c r="M38740" s="85"/>
    </row>
    <row r="38741" spans="9:13" x14ac:dyDescent="0.3">
      <c r="I38741" s="82"/>
      <c r="M38741" s="85"/>
    </row>
    <row r="38742" spans="9:13" x14ac:dyDescent="0.3">
      <c r="I38742" s="82"/>
      <c r="M38742" s="85"/>
    </row>
    <row r="38743" spans="9:13" x14ac:dyDescent="0.3">
      <c r="I38743" s="82"/>
      <c r="M38743" s="85"/>
    </row>
    <row r="38744" spans="9:13" x14ac:dyDescent="0.3">
      <c r="I38744" s="82"/>
      <c r="M38744" s="85"/>
    </row>
    <row r="38745" spans="9:13" x14ac:dyDescent="0.3">
      <c r="I38745" s="82"/>
      <c r="M38745" s="85"/>
    </row>
    <row r="38746" spans="9:13" x14ac:dyDescent="0.3">
      <c r="I38746" s="82"/>
      <c r="M38746" s="85"/>
    </row>
    <row r="38747" spans="9:13" x14ac:dyDescent="0.3">
      <c r="I38747" s="82"/>
      <c r="M38747" s="85"/>
    </row>
    <row r="38748" spans="9:13" x14ac:dyDescent="0.3">
      <c r="I38748" s="82"/>
      <c r="M38748" s="85"/>
    </row>
    <row r="38749" spans="9:13" x14ac:dyDescent="0.3">
      <c r="I38749" s="82"/>
      <c r="M38749" s="85"/>
    </row>
    <row r="38750" spans="9:13" x14ac:dyDescent="0.3">
      <c r="I38750" s="82"/>
      <c r="M38750" s="85"/>
    </row>
    <row r="38751" spans="9:13" x14ac:dyDescent="0.3">
      <c r="I38751" s="82"/>
      <c r="M38751" s="85"/>
    </row>
    <row r="38752" spans="9:13" x14ac:dyDescent="0.3">
      <c r="I38752" s="82"/>
      <c r="M38752" s="85"/>
    </row>
    <row r="38753" spans="9:13" x14ac:dyDescent="0.3">
      <c r="I38753" s="82"/>
      <c r="M38753" s="85"/>
    </row>
    <row r="38754" spans="9:13" x14ac:dyDescent="0.3">
      <c r="I38754" s="82"/>
      <c r="M38754" s="85"/>
    </row>
    <row r="38755" spans="9:13" x14ac:dyDescent="0.3">
      <c r="I38755" s="82"/>
      <c r="M38755" s="85"/>
    </row>
    <row r="38756" spans="9:13" x14ac:dyDescent="0.3">
      <c r="I38756" s="82"/>
      <c r="M38756" s="85"/>
    </row>
    <row r="38757" spans="9:13" x14ac:dyDescent="0.3">
      <c r="I38757" s="82"/>
      <c r="M38757" s="85"/>
    </row>
    <row r="38758" spans="9:13" x14ac:dyDescent="0.3">
      <c r="I38758" s="82"/>
      <c r="M38758" s="85"/>
    </row>
    <row r="38759" spans="9:13" x14ac:dyDescent="0.3">
      <c r="I38759" s="82"/>
      <c r="M38759" s="85"/>
    </row>
    <row r="38760" spans="9:13" x14ac:dyDescent="0.3">
      <c r="I38760" s="82"/>
      <c r="M38760" s="85"/>
    </row>
    <row r="38761" spans="9:13" x14ac:dyDescent="0.3">
      <c r="I38761" s="82"/>
      <c r="M38761" s="85"/>
    </row>
    <row r="38762" spans="9:13" x14ac:dyDescent="0.3">
      <c r="I38762" s="82"/>
      <c r="M38762" s="85"/>
    </row>
    <row r="38763" spans="9:13" x14ac:dyDescent="0.3">
      <c r="I38763" s="82"/>
      <c r="M38763" s="85"/>
    </row>
    <row r="38764" spans="9:13" x14ac:dyDescent="0.3">
      <c r="I38764" s="82"/>
      <c r="M38764" s="85"/>
    </row>
    <row r="38765" spans="9:13" x14ac:dyDescent="0.3">
      <c r="I38765" s="82"/>
      <c r="M38765" s="85"/>
    </row>
    <row r="38766" spans="9:13" x14ac:dyDescent="0.3">
      <c r="I38766" s="82"/>
      <c r="M38766" s="85"/>
    </row>
    <row r="38767" spans="9:13" x14ac:dyDescent="0.3">
      <c r="I38767" s="82"/>
      <c r="M38767" s="85"/>
    </row>
    <row r="38768" spans="9:13" x14ac:dyDescent="0.3">
      <c r="I38768" s="82"/>
      <c r="M38768" s="85"/>
    </row>
    <row r="38769" spans="9:13" x14ac:dyDescent="0.3">
      <c r="I38769" s="82"/>
      <c r="M38769" s="85"/>
    </row>
    <row r="38770" spans="9:13" x14ac:dyDescent="0.3">
      <c r="I38770" s="82"/>
      <c r="M38770" s="85"/>
    </row>
    <row r="38771" spans="9:13" x14ac:dyDescent="0.3">
      <c r="I38771" s="82"/>
      <c r="M38771" s="85"/>
    </row>
    <row r="38772" spans="9:13" x14ac:dyDescent="0.3">
      <c r="I38772" s="82"/>
      <c r="M38772" s="85"/>
    </row>
    <row r="38773" spans="9:13" x14ac:dyDescent="0.3">
      <c r="I38773" s="82"/>
      <c r="M38773" s="85"/>
    </row>
    <row r="38774" spans="9:13" x14ac:dyDescent="0.3">
      <c r="I38774" s="82"/>
      <c r="M38774" s="85"/>
    </row>
    <row r="38775" spans="9:13" x14ac:dyDescent="0.3">
      <c r="I38775" s="82"/>
      <c r="M38775" s="85"/>
    </row>
    <row r="38776" spans="9:13" x14ac:dyDescent="0.3">
      <c r="I38776" s="82"/>
      <c r="M38776" s="85"/>
    </row>
    <row r="38777" spans="9:13" x14ac:dyDescent="0.3">
      <c r="I38777" s="82"/>
      <c r="M38777" s="85"/>
    </row>
    <row r="38778" spans="9:13" x14ac:dyDescent="0.3">
      <c r="I38778" s="82"/>
      <c r="M38778" s="85"/>
    </row>
    <row r="38779" spans="9:13" x14ac:dyDescent="0.3">
      <c r="I38779" s="82"/>
      <c r="M38779" s="85"/>
    </row>
    <row r="38780" spans="9:13" x14ac:dyDescent="0.3">
      <c r="I38780" s="82"/>
      <c r="M38780" s="85"/>
    </row>
    <row r="38781" spans="9:13" x14ac:dyDescent="0.3">
      <c r="I38781" s="82"/>
      <c r="M38781" s="85"/>
    </row>
    <row r="38782" spans="9:13" x14ac:dyDescent="0.3">
      <c r="I38782" s="82"/>
      <c r="M38782" s="85"/>
    </row>
    <row r="38783" spans="9:13" x14ac:dyDescent="0.3">
      <c r="I38783" s="82"/>
      <c r="M38783" s="85"/>
    </row>
    <row r="38784" spans="9:13" x14ac:dyDescent="0.3">
      <c r="I38784" s="82"/>
      <c r="M38784" s="85"/>
    </row>
    <row r="38785" spans="9:13" x14ac:dyDescent="0.3">
      <c r="I38785" s="82"/>
      <c r="M38785" s="85"/>
    </row>
    <row r="38786" spans="9:13" x14ac:dyDescent="0.3">
      <c r="I38786" s="82"/>
      <c r="M38786" s="85"/>
    </row>
    <row r="38787" spans="9:13" x14ac:dyDescent="0.3">
      <c r="I38787" s="82"/>
      <c r="M38787" s="85"/>
    </row>
    <row r="38788" spans="9:13" x14ac:dyDescent="0.3">
      <c r="I38788" s="82"/>
      <c r="M38788" s="85"/>
    </row>
    <row r="38789" spans="9:13" x14ac:dyDescent="0.3">
      <c r="I38789" s="82"/>
      <c r="M38789" s="85"/>
    </row>
    <row r="38790" spans="9:13" x14ac:dyDescent="0.3">
      <c r="I38790" s="82"/>
      <c r="M38790" s="85"/>
    </row>
    <row r="38791" spans="9:13" x14ac:dyDescent="0.3">
      <c r="I38791" s="82"/>
      <c r="M38791" s="85"/>
    </row>
    <row r="38792" spans="9:13" x14ac:dyDescent="0.3">
      <c r="I38792" s="82"/>
      <c r="M38792" s="85"/>
    </row>
    <row r="38793" spans="9:13" x14ac:dyDescent="0.3">
      <c r="I38793" s="82"/>
      <c r="M38793" s="85"/>
    </row>
    <row r="38794" spans="9:13" x14ac:dyDescent="0.3">
      <c r="I38794" s="82"/>
      <c r="M38794" s="85"/>
    </row>
    <row r="38795" spans="9:13" x14ac:dyDescent="0.3">
      <c r="I38795" s="82"/>
      <c r="M38795" s="85"/>
    </row>
    <row r="38796" spans="9:13" x14ac:dyDescent="0.3">
      <c r="I38796" s="82"/>
      <c r="M38796" s="85"/>
    </row>
    <row r="38797" spans="9:13" x14ac:dyDescent="0.3">
      <c r="I38797" s="82"/>
      <c r="M38797" s="85"/>
    </row>
    <row r="38798" spans="9:13" x14ac:dyDescent="0.3">
      <c r="I38798" s="82"/>
      <c r="M38798" s="85"/>
    </row>
    <row r="38799" spans="9:13" x14ac:dyDescent="0.3">
      <c r="I38799" s="82"/>
      <c r="M38799" s="85"/>
    </row>
    <row r="38800" spans="9:13" x14ac:dyDescent="0.3">
      <c r="I38800" s="82"/>
      <c r="M38800" s="85"/>
    </row>
    <row r="38801" spans="9:13" x14ac:dyDescent="0.3">
      <c r="I38801" s="82"/>
      <c r="M38801" s="85"/>
    </row>
    <row r="38802" spans="9:13" x14ac:dyDescent="0.3">
      <c r="I38802" s="82"/>
      <c r="M38802" s="85"/>
    </row>
    <row r="38803" spans="9:13" x14ac:dyDescent="0.3">
      <c r="I38803" s="82"/>
      <c r="M38803" s="85"/>
    </row>
    <row r="38804" spans="9:13" x14ac:dyDescent="0.3">
      <c r="I38804" s="82"/>
      <c r="M38804" s="85"/>
    </row>
    <row r="38805" spans="9:13" x14ac:dyDescent="0.3">
      <c r="I38805" s="82"/>
      <c r="M38805" s="85"/>
    </row>
    <row r="38806" spans="9:13" x14ac:dyDescent="0.3">
      <c r="I38806" s="82"/>
      <c r="M38806" s="85"/>
    </row>
    <row r="38807" spans="9:13" x14ac:dyDescent="0.3">
      <c r="I38807" s="82"/>
      <c r="M38807" s="85"/>
    </row>
    <row r="38808" spans="9:13" x14ac:dyDescent="0.3">
      <c r="I38808" s="82"/>
      <c r="M38808" s="85"/>
    </row>
    <row r="38809" spans="9:13" x14ac:dyDescent="0.3">
      <c r="I38809" s="82"/>
      <c r="M38809" s="85"/>
    </row>
    <row r="38810" spans="9:13" x14ac:dyDescent="0.3">
      <c r="I38810" s="82"/>
      <c r="M38810" s="85"/>
    </row>
    <row r="38811" spans="9:13" x14ac:dyDescent="0.3">
      <c r="I38811" s="82"/>
      <c r="M38811" s="85"/>
    </row>
    <row r="38812" spans="9:13" x14ac:dyDescent="0.3">
      <c r="I38812" s="82"/>
      <c r="M38812" s="85"/>
    </row>
    <row r="38813" spans="9:13" x14ac:dyDescent="0.3">
      <c r="I38813" s="82"/>
      <c r="M38813" s="85"/>
    </row>
    <row r="38814" spans="9:13" x14ac:dyDescent="0.3">
      <c r="I38814" s="82"/>
      <c r="M38814" s="85"/>
    </row>
    <row r="38815" spans="9:13" x14ac:dyDescent="0.3">
      <c r="I38815" s="82"/>
      <c r="M38815" s="85"/>
    </row>
    <row r="38816" spans="9:13" x14ac:dyDescent="0.3">
      <c r="I38816" s="82"/>
      <c r="M38816" s="85"/>
    </row>
    <row r="38817" spans="9:13" x14ac:dyDescent="0.3">
      <c r="I38817" s="82"/>
      <c r="M38817" s="85"/>
    </row>
    <row r="38818" spans="9:13" x14ac:dyDescent="0.3">
      <c r="I38818" s="82"/>
      <c r="M38818" s="85"/>
    </row>
    <row r="38819" spans="9:13" x14ac:dyDescent="0.3">
      <c r="I38819" s="82"/>
      <c r="M38819" s="85"/>
    </row>
    <row r="38820" spans="9:13" x14ac:dyDescent="0.3">
      <c r="I38820" s="82"/>
      <c r="M38820" s="85"/>
    </row>
    <row r="38821" spans="9:13" x14ac:dyDescent="0.3">
      <c r="I38821" s="82"/>
      <c r="M38821" s="85"/>
    </row>
    <row r="38822" spans="9:13" x14ac:dyDescent="0.3">
      <c r="I38822" s="82"/>
      <c r="M38822" s="85"/>
    </row>
    <row r="38823" spans="9:13" x14ac:dyDescent="0.3">
      <c r="I38823" s="82"/>
      <c r="M38823" s="85"/>
    </row>
    <row r="38824" spans="9:13" x14ac:dyDescent="0.3">
      <c r="I38824" s="82"/>
      <c r="M38824" s="85"/>
    </row>
    <row r="38825" spans="9:13" x14ac:dyDescent="0.3">
      <c r="I38825" s="82"/>
      <c r="M38825" s="85"/>
    </row>
    <row r="38826" spans="9:13" x14ac:dyDescent="0.3">
      <c r="I38826" s="82"/>
      <c r="M38826" s="85"/>
    </row>
    <row r="38827" spans="9:13" x14ac:dyDescent="0.3">
      <c r="I38827" s="82"/>
      <c r="M38827" s="85"/>
    </row>
    <row r="38828" spans="9:13" x14ac:dyDescent="0.3">
      <c r="I38828" s="82"/>
      <c r="M38828" s="85"/>
    </row>
    <row r="38829" spans="9:13" x14ac:dyDescent="0.3">
      <c r="I38829" s="82"/>
      <c r="M38829" s="85"/>
    </row>
    <row r="38830" spans="9:13" x14ac:dyDescent="0.3">
      <c r="I38830" s="82"/>
      <c r="M38830" s="85"/>
    </row>
    <row r="38831" spans="9:13" x14ac:dyDescent="0.3">
      <c r="I38831" s="82"/>
      <c r="M38831" s="85"/>
    </row>
    <row r="38832" spans="9:13" x14ac:dyDescent="0.3">
      <c r="I38832" s="82"/>
      <c r="M38832" s="85"/>
    </row>
    <row r="38833" spans="9:13" x14ac:dyDescent="0.3">
      <c r="I38833" s="82"/>
      <c r="M38833" s="85"/>
    </row>
    <row r="38834" spans="9:13" x14ac:dyDescent="0.3">
      <c r="I38834" s="82"/>
      <c r="M38834" s="85"/>
    </row>
    <row r="38835" spans="9:13" x14ac:dyDescent="0.3">
      <c r="I38835" s="82"/>
      <c r="M38835" s="85"/>
    </row>
    <row r="38836" spans="9:13" x14ac:dyDescent="0.3">
      <c r="I38836" s="82"/>
      <c r="M38836" s="85"/>
    </row>
    <row r="38837" spans="9:13" x14ac:dyDescent="0.3">
      <c r="I38837" s="82"/>
      <c r="M38837" s="85"/>
    </row>
    <row r="38838" spans="9:13" x14ac:dyDescent="0.3">
      <c r="I38838" s="82"/>
      <c r="M38838" s="85"/>
    </row>
    <row r="38839" spans="9:13" x14ac:dyDescent="0.3">
      <c r="I38839" s="82"/>
      <c r="M38839" s="85"/>
    </row>
    <row r="38840" spans="9:13" x14ac:dyDescent="0.3">
      <c r="I38840" s="82"/>
      <c r="M38840" s="85"/>
    </row>
    <row r="38841" spans="9:13" x14ac:dyDescent="0.3">
      <c r="I38841" s="82"/>
      <c r="M38841" s="85"/>
    </row>
    <row r="38842" spans="9:13" x14ac:dyDescent="0.3">
      <c r="I38842" s="82"/>
      <c r="M38842" s="85"/>
    </row>
    <row r="38843" spans="9:13" x14ac:dyDescent="0.3">
      <c r="I38843" s="82"/>
      <c r="M38843" s="85"/>
    </row>
    <row r="38844" spans="9:13" x14ac:dyDescent="0.3">
      <c r="I38844" s="82"/>
      <c r="M38844" s="85"/>
    </row>
    <row r="38845" spans="9:13" x14ac:dyDescent="0.3">
      <c r="I38845" s="82"/>
      <c r="M38845" s="85"/>
    </row>
    <row r="38846" spans="9:13" x14ac:dyDescent="0.3">
      <c r="I38846" s="82"/>
      <c r="M38846" s="85"/>
    </row>
    <row r="38847" spans="9:13" x14ac:dyDescent="0.3">
      <c r="I38847" s="82"/>
      <c r="M38847" s="85"/>
    </row>
    <row r="38848" spans="9:13" x14ac:dyDescent="0.3">
      <c r="I38848" s="82"/>
      <c r="M38848" s="85"/>
    </row>
    <row r="38849" spans="9:13" x14ac:dyDescent="0.3">
      <c r="I38849" s="82"/>
      <c r="M38849" s="85"/>
    </row>
    <row r="38850" spans="9:13" x14ac:dyDescent="0.3">
      <c r="I38850" s="82"/>
      <c r="M38850" s="85"/>
    </row>
    <row r="38851" spans="9:13" x14ac:dyDescent="0.3">
      <c r="I38851" s="82"/>
      <c r="M38851" s="85"/>
    </row>
    <row r="38852" spans="9:13" x14ac:dyDescent="0.3">
      <c r="I38852" s="82"/>
      <c r="M38852" s="85"/>
    </row>
    <row r="38853" spans="9:13" x14ac:dyDescent="0.3">
      <c r="I38853" s="82"/>
      <c r="M38853" s="85"/>
    </row>
    <row r="38854" spans="9:13" x14ac:dyDescent="0.3">
      <c r="I38854" s="82"/>
      <c r="M38854" s="85"/>
    </row>
    <row r="38855" spans="9:13" x14ac:dyDescent="0.3">
      <c r="I38855" s="82"/>
      <c r="M38855" s="85"/>
    </row>
    <row r="38856" spans="9:13" x14ac:dyDescent="0.3">
      <c r="I38856" s="82"/>
      <c r="M38856" s="85"/>
    </row>
    <row r="38857" spans="9:13" x14ac:dyDescent="0.3">
      <c r="I38857" s="82"/>
      <c r="M38857" s="85"/>
    </row>
    <row r="38858" spans="9:13" x14ac:dyDescent="0.3">
      <c r="I38858" s="82"/>
      <c r="M38858" s="85"/>
    </row>
    <row r="38859" spans="9:13" x14ac:dyDescent="0.3">
      <c r="I38859" s="82"/>
      <c r="M38859" s="85"/>
    </row>
    <row r="38860" spans="9:13" x14ac:dyDescent="0.3">
      <c r="I38860" s="82"/>
      <c r="M38860" s="85"/>
    </row>
    <row r="38861" spans="9:13" x14ac:dyDescent="0.3">
      <c r="I38861" s="82"/>
      <c r="M38861" s="85"/>
    </row>
    <row r="38862" spans="9:13" x14ac:dyDescent="0.3">
      <c r="I38862" s="82"/>
      <c r="M38862" s="85"/>
    </row>
    <row r="38863" spans="9:13" x14ac:dyDescent="0.3">
      <c r="I38863" s="82"/>
      <c r="M38863" s="85"/>
    </row>
    <row r="38864" spans="9:13" x14ac:dyDescent="0.3">
      <c r="I38864" s="82"/>
      <c r="M38864" s="85"/>
    </row>
    <row r="38865" spans="9:13" x14ac:dyDescent="0.3">
      <c r="I38865" s="82"/>
      <c r="M38865" s="85"/>
    </row>
    <row r="38866" spans="9:13" x14ac:dyDescent="0.3">
      <c r="I38866" s="82"/>
      <c r="M38866" s="85"/>
    </row>
    <row r="38867" spans="9:13" x14ac:dyDescent="0.3">
      <c r="I38867" s="82"/>
      <c r="M38867" s="85"/>
    </row>
    <row r="38868" spans="9:13" x14ac:dyDescent="0.3">
      <c r="I38868" s="82"/>
      <c r="M38868" s="85"/>
    </row>
    <row r="38869" spans="9:13" x14ac:dyDescent="0.3">
      <c r="I38869" s="82"/>
      <c r="M38869" s="85"/>
    </row>
    <row r="38870" spans="9:13" x14ac:dyDescent="0.3">
      <c r="I38870" s="82"/>
      <c r="M38870" s="85"/>
    </row>
    <row r="38871" spans="9:13" x14ac:dyDescent="0.3">
      <c r="I38871" s="82"/>
      <c r="M38871" s="85"/>
    </row>
    <row r="38872" spans="9:13" x14ac:dyDescent="0.3">
      <c r="I38872" s="82"/>
      <c r="M38872" s="85"/>
    </row>
    <row r="38873" spans="9:13" x14ac:dyDescent="0.3">
      <c r="I38873" s="82"/>
      <c r="M38873" s="85"/>
    </row>
    <row r="38874" spans="9:13" x14ac:dyDescent="0.3">
      <c r="I38874" s="82"/>
      <c r="M38874" s="85"/>
    </row>
    <row r="38875" spans="9:13" x14ac:dyDescent="0.3">
      <c r="I38875" s="82"/>
      <c r="M38875" s="85"/>
    </row>
    <row r="38876" spans="9:13" x14ac:dyDescent="0.3">
      <c r="I38876" s="82"/>
      <c r="M38876" s="85"/>
    </row>
    <row r="38877" spans="9:13" x14ac:dyDescent="0.3">
      <c r="I38877" s="82"/>
      <c r="M38877" s="85"/>
    </row>
    <row r="38878" spans="9:13" x14ac:dyDescent="0.3">
      <c r="I38878" s="82"/>
      <c r="M38878" s="85"/>
    </row>
    <row r="38879" spans="9:13" x14ac:dyDescent="0.3">
      <c r="I38879" s="82"/>
      <c r="M38879" s="85"/>
    </row>
    <row r="38880" spans="9:13" x14ac:dyDescent="0.3">
      <c r="I38880" s="82"/>
      <c r="M38880" s="85"/>
    </row>
    <row r="38881" spans="9:13" x14ac:dyDescent="0.3">
      <c r="I38881" s="82"/>
      <c r="M38881" s="85"/>
    </row>
    <row r="38882" spans="9:13" x14ac:dyDescent="0.3">
      <c r="I38882" s="82"/>
      <c r="M38882" s="85"/>
    </row>
    <row r="38883" spans="9:13" x14ac:dyDescent="0.3">
      <c r="I38883" s="82"/>
      <c r="M38883" s="85"/>
    </row>
    <row r="38884" spans="9:13" x14ac:dyDescent="0.3">
      <c r="I38884" s="82"/>
      <c r="M38884" s="85"/>
    </row>
    <row r="38885" spans="9:13" x14ac:dyDescent="0.3">
      <c r="I38885" s="82"/>
      <c r="M38885" s="85"/>
    </row>
    <row r="38886" spans="9:13" x14ac:dyDescent="0.3">
      <c r="I38886" s="82"/>
      <c r="M38886" s="85"/>
    </row>
    <row r="38887" spans="9:13" x14ac:dyDescent="0.3">
      <c r="I38887" s="82"/>
      <c r="M38887" s="85"/>
    </row>
    <row r="38888" spans="9:13" x14ac:dyDescent="0.3">
      <c r="I38888" s="82"/>
      <c r="M38888" s="85"/>
    </row>
    <row r="38889" spans="9:13" x14ac:dyDescent="0.3">
      <c r="I38889" s="82"/>
      <c r="M38889" s="85"/>
    </row>
    <row r="38890" spans="9:13" x14ac:dyDescent="0.3">
      <c r="I38890" s="82"/>
      <c r="M38890" s="85"/>
    </row>
    <row r="38891" spans="9:13" x14ac:dyDescent="0.3">
      <c r="I38891" s="82"/>
      <c r="M38891" s="85"/>
    </row>
    <row r="38892" spans="9:13" x14ac:dyDescent="0.3">
      <c r="I38892" s="82"/>
      <c r="M38892" s="85"/>
    </row>
    <row r="38893" spans="9:13" x14ac:dyDescent="0.3">
      <c r="I38893" s="82"/>
      <c r="M38893" s="85"/>
    </row>
    <row r="38894" spans="9:13" x14ac:dyDescent="0.3">
      <c r="I38894" s="82"/>
      <c r="M38894" s="85"/>
    </row>
    <row r="38895" spans="9:13" x14ac:dyDescent="0.3">
      <c r="I38895" s="82"/>
      <c r="M38895" s="85"/>
    </row>
    <row r="38896" spans="9:13" x14ac:dyDescent="0.3">
      <c r="I38896" s="82"/>
      <c r="M38896" s="85"/>
    </row>
    <row r="38897" spans="9:13" x14ac:dyDescent="0.3">
      <c r="I38897" s="82"/>
      <c r="M38897" s="85"/>
    </row>
    <row r="38898" spans="9:13" x14ac:dyDescent="0.3">
      <c r="I38898" s="82"/>
      <c r="M38898" s="85"/>
    </row>
    <row r="38899" spans="9:13" x14ac:dyDescent="0.3">
      <c r="I38899" s="82"/>
      <c r="M38899" s="85"/>
    </row>
    <row r="38900" spans="9:13" x14ac:dyDescent="0.3">
      <c r="I38900" s="82"/>
      <c r="M38900" s="85"/>
    </row>
    <row r="38901" spans="9:13" x14ac:dyDescent="0.3">
      <c r="I38901" s="82"/>
      <c r="M38901" s="85"/>
    </row>
    <row r="38902" spans="9:13" x14ac:dyDescent="0.3">
      <c r="I38902" s="82"/>
      <c r="M38902" s="85"/>
    </row>
    <row r="38903" spans="9:13" x14ac:dyDescent="0.3">
      <c r="I38903" s="82"/>
      <c r="M38903" s="85"/>
    </row>
    <row r="38904" spans="9:13" x14ac:dyDescent="0.3">
      <c r="I38904" s="82"/>
      <c r="M38904" s="85"/>
    </row>
    <row r="38905" spans="9:13" x14ac:dyDescent="0.3">
      <c r="I38905" s="82"/>
      <c r="M38905" s="85"/>
    </row>
    <row r="38906" spans="9:13" x14ac:dyDescent="0.3">
      <c r="I38906" s="82"/>
      <c r="M38906" s="85"/>
    </row>
    <row r="38907" spans="9:13" x14ac:dyDescent="0.3">
      <c r="I38907" s="82"/>
      <c r="M38907" s="85"/>
    </row>
    <row r="38908" spans="9:13" x14ac:dyDescent="0.3">
      <c r="I38908" s="82"/>
      <c r="M38908" s="85"/>
    </row>
    <row r="38909" spans="9:13" x14ac:dyDescent="0.3">
      <c r="I38909" s="82"/>
      <c r="M38909" s="85"/>
    </row>
    <row r="38910" spans="9:13" x14ac:dyDescent="0.3">
      <c r="I38910" s="82"/>
      <c r="M38910" s="85"/>
    </row>
    <row r="38911" spans="9:13" x14ac:dyDescent="0.3">
      <c r="I38911" s="82"/>
      <c r="M38911" s="85"/>
    </row>
    <row r="38912" spans="9:13" x14ac:dyDescent="0.3">
      <c r="I38912" s="82"/>
      <c r="M38912" s="85"/>
    </row>
    <row r="38913" spans="9:13" x14ac:dyDescent="0.3">
      <c r="I38913" s="82"/>
      <c r="M38913" s="85"/>
    </row>
    <row r="38914" spans="9:13" x14ac:dyDescent="0.3">
      <c r="I38914" s="82"/>
      <c r="M38914" s="85"/>
    </row>
    <row r="38915" spans="9:13" x14ac:dyDescent="0.3">
      <c r="I38915" s="82"/>
      <c r="M38915" s="85"/>
    </row>
    <row r="38916" spans="9:13" x14ac:dyDescent="0.3">
      <c r="I38916" s="82"/>
      <c r="M38916" s="85"/>
    </row>
    <row r="38917" spans="9:13" x14ac:dyDescent="0.3">
      <c r="I38917" s="82"/>
      <c r="M38917" s="85"/>
    </row>
    <row r="38918" spans="9:13" x14ac:dyDescent="0.3">
      <c r="I38918" s="82"/>
      <c r="M38918" s="85"/>
    </row>
    <row r="38919" spans="9:13" x14ac:dyDescent="0.3">
      <c r="I38919" s="82"/>
      <c r="M38919" s="85"/>
    </row>
    <row r="38920" spans="9:13" x14ac:dyDescent="0.3">
      <c r="I38920" s="82"/>
      <c r="M38920" s="85"/>
    </row>
    <row r="38921" spans="9:13" x14ac:dyDescent="0.3">
      <c r="I38921" s="82"/>
      <c r="M38921" s="85"/>
    </row>
    <row r="38922" spans="9:13" x14ac:dyDescent="0.3">
      <c r="I38922" s="82"/>
      <c r="M38922" s="85"/>
    </row>
    <row r="38923" spans="9:13" x14ac:dyDescent="0.3">
      <c r="I38923" s="82"/>
      <c r="M38923" s="85"/>
    </row>
    <row r="38924" spans="9:13" x14ac:dyDescent="0.3">
      <c r="I38924" s="82"/>
      <c r="M38924" s="85"/>
    </row>
    <row r="38925" spans="9:13" x14ac:dyDescent="0.3">
      <c r="I38925" s="82"/>
      <c r="M38925" s="85"/>
    </row>
    <row r="38926" spans="9:13" x14ac:dyDescent="0.3">
      <c r="I38926" s="82"/>
      <c r="M38926" s="85"/>
    </row>
    <row r="38927" spans="9:13" x14ac:dyDescent="0.3">
      <c r="I38927" s="82"/>
      <c r="M38927" s="85"/>
    </row>
    <row r="38928" spans="9:13" x14ac:dyDescent="0.3">
      <c r="I38928" s="82"/>
      <c r="M38928" s="85"/>
    </row>
    <row r="38929" spans="9:13" x14ac:dyDescent="0.3">
      <c r="I38929" s="82"/>
      <c r="M38929" s="85"/>
    </row>
    <row r="38930" spans="9:13" x14ac:dyDescent="0.3">
      <c r="I38930" s="82"/>
      <c r="M38930" s="85"/>
    </row>
    <row r="38931" spans="9:13" x14ac:dyDescent="0.3">
      <c r="I38931" s="82"/>
      <c r="M38931" s="85"/>
    </row>
    <row r="38932" spans="9:13" x14ac:dyDescent="0.3">
      <c r="I38932" s="82"/>
      <c r="M38932" s="85"/>
    </row>
    <row r="38933" spans="9:13" x14ac:dyDescent="0.3">
      <c r="I38933" s="82"/>
      <c r="M38933" s="85"/>
    </row>
    <row r="38934" spans="9:13" x14ac:dyDescent="0.3">
      <c r="I38934" s="82"/>
      <c r="M38934" s="85"/>
    </row>
    <row r="38935" spans="9:13" x14ac:dyDescent="0.3">
      <c r="I38935" s="82"/>
      <c r="M38935" s="85"/>
    </row>
    <row r="38936" spans="9:13" x14ac:dyDescent="0.3">
      <c r="I38936" s="82"/>
      <c r="M38936" s="85"/>
    </row>
    <row r="38937" spans="9:13" x14ac:dyDescent="0.3">
      <c r="I38937" s="82"/>
      <c r="M38937" s="85"/>
    </row>
    <row r="38938" spans="9:13" x14ac:dyDescent="0.3">
      <c r="I38938" s="82"/>
      <c r="M38938" s="85"/>
    </row>
    <row r="38939" spans="9:13" x14ac:dyDescent="0.3">
      <c r="I38939" s="82"/>
      <c r="M38939" s="85"/>
    </row>
    <row r="38940" spans="9:13" x14ac:dyDescent="0.3">
      <c r="I38940" s="82"/>
      <c r="M38940" s="85"/>
    </row>
    <row r="38941" spans="9:13" x14ac:dyDescent="0.3">
      <c r="I38941" s="82"/>
      <c r="M38941" s="85"/>
    </row>
    <row r="38942" spans="9:13" x14ac:dyDescent="0.3">
      <c r="I38942" s="82"/>
      <c r="M38942" s="85"/>
    </row>
    <row r="38943" spans="9:13" x14ac:dyDescent="0.3">
      <c r="I38943" s="82"/>
      <c r="M38943" s="85"/>
    </row>
    <row r="38944" spans="9:13" x14ac:dyDescent="0.3">
      <c r="I38944" s="82"/>
      <c r="M38944" s="85"/>
    </row>
    <row r="38945" spans="9:13" x14ac:dyDescent="0.3">
      <c r="I38945" s="82"/>
      <c r="M38945" s="85"/>
    </row>
    <row r="38946" spans="9:13" x14ac:dyDescent="0.3">
      <c r="I38946" s="82"/>
      <c r="M38946" s="85"/>
    </row>
    <row r="38947" spans="9:13" x14ac:dyDescent="0.3">
      <c r="I38947" s="82"/>
      <c r="M38947" s="85"/>
    </row>
    <row r="38948" spans="9:13" x14ac:dyDescent="0.3">
      <c r="I38948" s="82"/>
      <c r="M38948" s="85"/>
    </row>
    <row r="38949" spans="9:13" x14ac:dyDescent="0.3">
      <c r="I38949" s="82"/>
      <c r="M38949" s="85"/>
    </row>
    <row r="38950" spans="9:13" x14ac:dyDescent="0.3">
      <c r="I38950" s="82"/>
      <c r="M38950" s="85"/>
    </row>
    <row r="38951" spans="9:13" x14ac:dyDescent="0.3">
      <c r="I38951" s="82"/>
      <c r="M38951" s="85"/>
    </row>
    <row r="38952" spans="9:13" x14ac:dyDescent="0.3">
      <c r="I38952" s="82"/>
      <c r="M38952" s="85"/>
    </row>
    <row r="38953" spans="9:13" x14ac:dyDescent="0.3">
      <c r="I38953" s="82"/>
      <c r="M38953" s="85"/>
    </row>
    <row r="38954" spans="9:13" x14ac:dyDescent="0.3">
      <c r="I38954" s="82"/>
      <c r="M38954" s="85"/>
    </row>
    <row r="38955" spans="9:13" x14ac:dyDescent="0.3">
      <c r="I38955" s="82"/>
      <c r="M38955" s="85"/>
    </row>
    <row r="38956" spans="9:13" x14ac:dyDescent="0.3">
      <c r="I38956" s="82"/>
      <c r="M38956" s="85"/>
    </row>
    <row r="38957" spans="9:13" x14ac:dyDescent="0.3">
      <c r="I38957" s="82"/>
      <c r="M38957" s="85"/>
    </row>
    <row r="38958" spans="9:13" x14ac:dyDescent="0.3">
      <c r="I38958" s="82"/>
      <c r="M38958" s="85"/>
    </row>
    <row r="38959" spans="9:13" x14ac:dyDescent="0.3">
      <c r="I38959" s="82"/>
      <c r="M38959" s="85"/>
    </row>
    <row r="38960" spans="9:13" x14ac:dyDescent="0.3">
      <c r="I38960" s="82"/>
      <c r="M38960" s="85"/>
    </row>
    <row r="38961" spans="9:13" x14ac:dyDescent="0.3">
      <c r="I38961" s="82"/>
      <c r="M38961" s="85"/>
    </row>
    <row r="38962" spans="9:13" x14ac:dyDescent="0.3">
      <c r="I38962" s="82"/>
      <c r="M38962" s="85"/>
    </row>
    <row r="38963" spans="9:13" x14ac:dyDescent="0.3">
      <c r="I38963" s="82"/>
      <c r="M38963" s="85"/>
    </row>
    <row r="38964" spans="9:13" x14ac:dyDescent="0.3">
      <c r="I38964" s="82"/>
      <c r="M38964" s="85"/>
    </row>
    <row r="38965" spans="9:13" x14ac:dyDescent="0.3">
      <c r="I38965" s="82"/>
      <c r="M38965" s="85"/>
    </row>
    <row r="38966" spans="9:13" x14ac:dyDescent="0.3">
      <c r="I38966" s="82"/>
      <c r="M38966" s="85"/>
    </row>
    <row r="38967" spans="9:13" x14ac:dyDescent="0.3">
      <c r="I38967" s="82"/>
      <c r="M38967" s="85"/>
    </row>
    <row r="38968" spans="9:13" x14ac:dyDescent="0.3">
      <c r="I38968" s="82"/>
      <c r="M38968" s="85"/>
    </row>
    <row r="38969" spans="9:13" x14ac:dyDescent="0.3">
      <c r="I38969" s="82"/>
      <c r="M38969" s="85"/>
    </row>
    <row r="38970" spans="9:13" x14ac:dyDescent="0.3">
      <c r="I38970" s="82"/>
      <c r="M38970" s="85"/>
    </row>
    <row r="38971" spans="9:13" x14ac:dyDescent="0.3">
      <c r="I38971" s="82"/>
      <c r="M38971" s="85"/>
    </row>
    <row r="38972" spans="9:13" x14ac:dyDescent="0.3">
      <c r="I38972" s="82"/>
      <c r="M38972" s="85"/>
    </row>
    <row r="38973" spans="9:13" x14ac:dyDescent="0.3">
      <c r="I38973" s="82"/>
      <c r="M38973" s="85"/>
    </row>
    <row r="38974" spans="9:13" x14ac:dyDescent="0.3">
      <c r="I38974" s="82"/>
      <c r="M38974" s="85"/>
    </row>
    <row r="38975" spans="9:13" x14ac:dyDescent="0.3">
      <c r="I38975" s="82"/>
      <c r="M38975" s="85"/>
    </row>
    <row r="38976" spans="9:13" x14ac:dyDescent="0.3">
      <c r="I38976" s="82"/>
      <c r="M38976" s="85"/>
    </row>
    <row r="38977" spans="9:13" x14ac:dyDescent="0.3">
      <c r="I38977" s="82"/>
      <c r="M38977" s="85"/>
    </row>
    <row r="38978" spans="9:13" x14ac:dyDescent="0.3">
      <c r="I38978" s="82"/>
      <c r="M38978" s="85"/>
    </row>
    <row r="38979" spans="9:13" x14ac:dyDescent="0.3">
      <c r="I38979" s="82"/>
      <c r="M38979" s="85"/>
    </row>
    <row r="38980" spans="9:13" x14ac:dyDescent="0.3">
      <c r="I38980" s="82"/>
      <c r="M38980" s="85"/>
    </row>
    <row r="38981" spans="9:13" x14ac:dyDescent="0.3">
      <c r="I38981" s="82"/>
      <c r="M38981" s="85"/>
    </row>
    <row r="38982" spans="9:13" x14ac:dyDescent="0.3">
      <c r="I38982" s="82"/>
      <c r="M38982" s="85"/>
    </row>
    <row r="38983" spans="9:13" x14ac:dyDescent="0.3">
      <c r="I38983" s="82"/>
      <c r="M38983" s="85"/>
    </row>
    <row r="38984" spans="9:13" x14ac:dyDescent="0.3">
      <c r="I38984" s="82"/>
      <c r="M38984" s="85"/>
    </row>
    <row r="38985" spans="9:13" x14ac:dyDescent="0.3">
      <c r="I38985" s="82"/>
      <c r="M38985" s="85"/>
    </row>
    <row r="38986" spans="9:13" x14ac:dyDescent="0.3">
      <c r="I38986" s="82"/>
      <c r="M38986" s="85"/>
    </row>
    <row r="38987" spans="9:13" x14ac:dyDescent="0.3">
      <c r="I38987" s="82"/>
      <c r="M38987" s="85"/>
    </row>
    <row r="38988" spans="9:13" x14ac:dyDescent="0.3">
      <c r="I38988" s="82"/>
      <c r="M38988" s="85"/>
    </row>
    <row r="38989" spans="9:13" x14ac:dyDescent="0.3">
      <c r="I38989" s="82"/>
      <c r="M38989" s="85"/>
    </row>
    <row r="38990" spans="9:13" x14ac:dyDescent="0.3">
      <c r="I38990" s="82"/>
      <c r="M38990" s="85"/>
    </row>
    <row r="38991" spans="9:13" x14ac:dyDescent="0.3">
      <c r="I38991" s="82"/>
      <c r="M38991" s="85"/>
    </row>
    <row r="38992" spans="9:13" x14ac:dyDescent="0.3">
      <c r="I38992" s="82"/>
      <c r="M38992" s="85"/>
    </row>
    <row r="38993" spans="9:13" x14ac:dyDescent="0.3">
      <c r="I38993" s="82"/>
      <c r="M38993" s="85"/>
    </row>
    <row r="38994" spans="9:13" x14ac:dyDescent="0.3">
      <c r="I38994" s="82"/>
      <c r="M38994" s="85"/>
    </row>
    <row r="38995" spans="9:13" x14ac:dyDescent="0.3">
      <c r="I38995" s="82"/>
      <c r="M38995" s="85"/>
    </row>
    <row r="38996" spans="9:13" x14ac:dyDescent="0.3">
      <c r="I38996" s="82"/>
      <c r="M38996" s="85"/>
    </row>
    <row r="38997" spans="9:13" x14ac:dyDescent="0.3">
      <c r="I38997" s="82"/>
      <c r="M38997" s="85"/>
    </row>
    <row r="38998" spans="9:13" x14ac:dyDescent="0.3">
      <c r="I38998" s="82"/>
      <c r="M38998" s="85"/>
    </row>
    <row r="38999" spans="9:13" x14ac:dyDescent="0.3">
      <c r="I38999" s="82"/>
      <c r="M38999" s="85"/>
    </row>
    <row r="39000" spans="9:13" x14ac:dyDescent="0.3">
      <c r="I39000" s="82"/>
      <c r="M39000" s="85"/>
    </row>
    <row r="39001" spans="9:13" x14ac:dyDescent="0.3">
      <c r="I39001" s="82"/>
      <c r="M39001" s="85"/>
    </row>
    <row r="39002" spans="9:13" x14ac:dyDescent="0.3">
      <c r="I39002" s="82"/>
      <c r="M39002" s="85"/>
    </row>
    <row r="39003" spans="9:13" x14ac:dyDescent="0.3">
      <c r="I39003" s="82"/>
      <c r="M39003" s="85"/>
    </row>
    <row r="39004" spans="9:13" x14ac:dyDescent="0.3">
      <c r="I39004" s="82"/>
      <c r="M39004" s="85"/>
    </row>
    <row r="39005" spans="9:13" x14ac:dyDescent="0.3">
      <c r="I39005" s="82"/>
      <c r="M39005" s="85"/>
    </row>
    <row r="39006" spans="9:13" x14ac:dyDescent="0.3">
      <c r="I39006" s="82"/>
      <c r="M39006" s="85"/>
    </row>
    <row r="39007" spans="9:13" x14ac:dyDescent="0.3">
      <c r="I39007" s="82"/>
      <c r="M39007" s="85"/>
    </row>
    <row r="39008" spans="9:13" x14ac:dyDescent="0.3">
      <c r="I39008" s="82"/>
      <c r="M39008" s="85"/>
    </row>
    <row r="39009" spans="9:13" x14ac:dyDescent="0.3">
      <c r="I39009" s="82"/>
      <c r="M39009" s="85"/>
    </row>
    <row r="39010" spans="9:13" x14ac:dyDescent="0.3">
      <c r="I39010" s="82"/>
      <c r="M39010" s="85"/>
    </row>
    <row r="39011" spans="9:13" x14ac:dyDescent="0.3">
      <c r="I39011" s="82"/>
      <c r="M39011" s="85"/>
    </row>
    <row r="39012" spans="9:13" x14ac:dyDescent="0.3">
      <c r="I39012" s="82"/>
      <c r="M39012" s="85"/>
    </row>
    <row r="39013" spans="9:13" x14ac:dyDescent="0.3">
      <c r="I39013" s="82"/>
      <c r="M39013" s="85"/>
    </row>
    <row r="39014" spans="9:13" x14ac:dyDescent="0.3">
      <c r="I39014" s="82"/>
      <c r="M39014" s="85"/>
    </row>
    <row r="39015" spans="9:13" x14ac:dyDescent="0.3">
      <c r="I39015" s="82"/>
      <c r="M39015" s="85"/>
    </row>
    <row r="39016" spans="9:13" x14ac:dyDescent="0.3">
      <c r="I39016" s="82"/>
      <c r="M39016" s="85"/>
    </row>
    <row r="39017" spans="9:13" x14ac:dyDescent="0.3">
      <c r="I39017" s="82"/>
      <c r="M39017" s="85"/>
    </row>
    <row r="39018" spans="9:13" x14ac:dyDescent="0.3">
      <c r="I39018" s="82"/>
      <c r="M39018" s="85"/>
    </row>
    <row r="39019" spans="9:13" x14ac:dyDescent="0.3">
      <c r="I39019" s="82"/>
      <c r="M39019" s="85"/>
    </row>
    <row r="39020" spans="9:13" x14ac:dyDescent="0.3">
      <c r="I39020" s="82"/>
      <c r="M39020" s="85"/>
    </row>
    <row r="39021" spans="9:13" x14ac:dyDescent="0.3">
      <c r="I39021" s="82"/>
      <c r="M39021" s="85"/>
    </row>
    <row r="39022" spans="9:13" x14ac:dyDescent="0.3">
      <c r="I39022" s="82"/>
      <c r="M39022" s="85"/>
    </row>
    <row r="39023" spans="9:13" x14ac:dyDescent="0.3">
      <c r="I39023" s="82"/>
      <c r="M39023" s="85"/>
    </row>
    <row r="39024" spans="9:13" x14ac:dyDescent="0.3">
      <c r="I39024" s="82"/>
      <c r="M39024" s="85"/>
    </row>
    <row r="39025" spans="9:13" x14ac:dyDescent="0.3">
      <c r="I39025" s="82"/>
      <c r="M39025" s="85"/>
    </row>
    <row r="39026" spans="9:13" x14ac:dyDescent="0.3">
      <c r="I39026" s="82"/>
      <c r="M39026" s="85"/>
    </row>
    <row r="39027" spans="9:13" x14ac:dyDescent="0.3">
      <c r="I39027" s="82"/>
      <c r="M39027" s="85"/>
    </row>
    <row r="39028" spans="9:13" x14ac:dyDescent="0.3">
      <c r="I39028" s="82"/>
      <c r="M39028" s="85"/>
    </row>
    <row r="39029" spans="9:13" x14ac:dyDescent="0.3">
      <c r="I39029" s="82"/>
      <c r="M39029" s="85"/>
    </row>
    <row r="39030" spans="9:13" x14ac:dyDescent="0.3">
      <c r="I39030" s="82"/>
      <c r="M39030" s="85"/>
    </row>
    <row r="39031" spans="9:13" x14ac:dyDescent="0.3">
      <c r="I39031" s="82"/>
      <c r="M39031" s="85"/>
    </row>
    <row r="39032" spans="9:13" x14ac:dyDescent="0.3">
      <c r="I39032" s="82"/>
      <c r="M39032" s="85"/>
    </row>
    <row r="39033" spans="9:13" x14ac:dyDescent="0.3">
      <c r="I39033" s="82"/>
      <c r="M39033" s="85"/>
    </row>
    <row r="39034" spans="9:13" x14ac:dyDescent="0.3">
      <c r="I39034" s="82"/>
      <c r="M39034" s="85"/>
    </row>
    <row r="39035" spans="9:13" x14ac:dyDescent="0.3">
      <c r="I39035" s="82"/>
      <c r="M39035" s="85"/>
    </row>
    <row r="39036" spans="9:13" x14ac:dyDescent="0.3">
      <c r="I39036" s="82"/>
      <c r="M39036" s="85"/>
    </row>
    <row r="39037" spans="9:13" x14ac:dyDescent="0.3">
      <c r="I39037" s="82"/>
      <c r="M39037" s="85"/>
    </row>
    <row r="39038" spans="9:13" x14ac:dyDescent="0.3">
      <c r="I39038" s="82"/>
      <c r="M39038" s="85"/>
    </row>
    <row r="39039" spans="9:13" x14ac:dyDescent="0.3">
      <c r="I39039" s="82"/>
      <c r="M39039" s="85"/>
    </row>
    <row r="39040" spans="9:13" x14ac:dyDescent="0.3">
      <c r="I39040" s="82"/>
      <c r="M39040" s="85"/>
    </row>
    <row r="39041" spans="9:13" x14ac:dyDescent="0.3">
      <c r="I39041" s="82"/>
      <c r="M39041" s="85"/>
    </row>
    <row r="39042" spans="9:13" x14ac:dyDescent="0.3">
      <c r="I39042" s="82"/>
      <c r="M39042" s="85"/>
    </row>
    <row r="39043" spans="9:13" x14ac:dyDescent="0.3">
      <c r="I39043" s="82"/>
      <c r="M39043" s="85"/>
    </row>
    <row r="39044" spans="9:13" x14ac:dyDescent="0.3">
      <c r="I39044" s="82"/>
      <c r="M39044" s="85"/>
    </row>
    <row r="39045" spans="9:13" x14ac:dyDescent="0.3">
      <c r="I39045" s="82"/>
      <c r="M39045" s="85"/>
    </row>
    <row r="39046" spans="9:13" x14ac:dyDescent="0.3">
      <c r="I39046" s="82"/>
      <c r="M39046" s="85"/>
    </row>
    <row r="39047" spans="9:13" x14ac:dyDescent="0.3">
      <c r="I39047" s="82"/>
      <c r="M39047" s="85"/>
    </row>
    <row r="39048" spans="9:13" x14ac:dyDescent="0.3">
      <c r="I39048" s="82"/>
      <c r="M39048" s="85"/>
    </row>
    <row r="39049" spans="9:13" x14ac:dyDescent="0.3">
      <c r="I39049" s="82"/>
      <c r="M39049" s="85"/>
    </row>
    <row r="39050" spans="9:13" x14ac:dyDescent="0.3">
      <c r="I39050" s="82"/>
      <c r="M39050" s="85"/>
    </row>
    <row r="39051" spans="9:13" x14ac:dyDescent="0.3">
      <c r="I39051" s="82"/>
      <c r="M39051" s="85"/>
    </row>
    <row r="39052" spans="9:13" x14ac:dyDescent="0.3">
      <c r="I39052" s="82"/>
      <c r="M39052" s="85"/>
    </row>
    <row r="39053" spans="9:13" x14ac:dyDescent="0.3">
      <c r="I39053" s="82"/>
      <c r="M39053" s="85"/>
    </row>
    <row r="39054" spans="9:13" x14ac:dyDescent="0.3">
      <c r="I39054" s="82"/>
      <c r="M39054" s="85"/>
    </row>
    <row r="39055" spans="9:13" x14ac:dyDescent="0.3">
      <c r="I39055" s="82"/>
      <c r="M39055" s="85"/>
    </row>
    <row r="39056" spans="9:13" x14ac:dyDescent="0.3">
      <c r="I39056" s="82"/>
      <c r="M39056" s="85"/>
    </row>
    <row r="39057" spans="9:13" x14ac:dyDescent="0.3">
      <c r="I39057" s="82"/>
      <c r="M39057" s="85"/>
    </row>
    <row r="39058" spans="9:13" x14ac:dyDescent="0.3">
      <c r="I39058" s="82"/>
      <c r="M39058" s="85"/>
    </row>
    <row r="39059" spans="9:13" x14ac:dyDescent="0.3">
      <c r="I39059" s="82"/>
      <c r="M39059" s="85"/>
    </row>
    <row r="39060" spans="9:13" x14ac:dyDescent="0.3">
      <c r="I39060" s="82"/>
      <c r="M39060" s="85"/>
    </row>
    <row r="39061" spans="9:13" x14ac:dyDescent="0.3">
      <c r="I39061" s="82"/>
      <c r="M39061" s="85"/>
    </row>
    <row r="39062" spans="9:13" x14ac:dyDescent="0.3">
      <c r="I39062" s="82"/>
      <c r="M39062" s="85"/>
    </row>
    <row r="39063" spans="9:13" x14ac:dyDescent="0.3">
      <c r="I39063" s="82"/>
      <c r="M39063" s="85"/>
    </row>
    <row r="39064" spans="9:13" x14ac:dyDescent="0.3">
      <c r="I39064" s="82"/>
      <c r="M39064" s="85"/>
    </row>
    <row r="39065" spans="9:13" x14ac:dyDescent="0.3">
      <c r="I39065" s="82"/>
      <c r="M39065" s="85"/>
    </row>
    <row r="39066" spans="9:13" x14ac:dyDescent="0.3">
      <c r="I39066" s="82"/>
      <c r="M39066" s="85"/>
    </row>
    <row r="39067" spans="9:13" x14ac:dyDescent="0.3">
      <c r="I39067" s="82"/>
      <c r="M39067" s="85"/>
    </row>
    <row r="39068" spans="9:13" x14ac:dyDescent="0.3">
      <c r="I39068" s="82"/>
      <c r="M39068" s="85"/>
    </row>
    <row r="39069" spans="9:13" x14ac:dyDescent="0.3">
      <c r="I39069" s="82"/>
      <c r="M39069" s="85"/>
    </row>
    <row r="39070" spans="9:13" x14ac:dyDescent="0.3">
      <c r="I39070" s="82"/>
      <c r="M39070" s="85"/>
    </row>
    <row r="39071" spans="9:13" x14ac:dyDescent="0.3">
      <c r="I39071" s="82"/>
      <c r="M39071" s="85"/>
    </row>
    <row r="39072" spans="9:13" x14ac:dyDescent="0.3">
      <c r="I39072" s="82"/>
      <c r="M39072" s="85"/>
    </row>
    <row r="39073" spans="9:13" x14ac:dyDescent="0.3">
      <c r="I39073" s="82"/>
      <c r="M39073" s="85"/>
    </row>
    <row r="39074" spans="9:13" x14ac:dyDescent="0.3">
      <c r="I39074" s="82"/>
      <c r="M39074" s="85"/>
    </row>
    <row r="39075" spans="9:13" x14ac:dyDescent="0.3">
      <c r="I39075" s="82"/>
      <c r="M39075" s="85"/>
    </row>
    <row r="39076" spans="9:13" x14ac:dyDescent="0.3">
      <c r="I39076" s="82"/>
      <c r="M39076" s="85"/>
    </row>
    <row r="39077" spans="9:13" x14ac:dyDescent="0.3">
      <c r="I39077" s="82"/>
      <c r="M39077" s="85"/>
    </row>
    <row r="39078" spans="9:13" x14ac:dyDescent="0.3">
      <c r="I39078" s="82"/>
      <c r="M39078" s="85"/>
    </row>
    <row r="39079" spans="9:13" x14ac:dyDescent="0.3">
      <c r="I39079" s="82"/>
      <c r="M39079" s="85"/>
    </row>
    <row r="39080" spans="9:13" x14ac:dyDescent="0.3">
      <c r="I39080" s="82"/>
      <c r="M39080" s="85"/>
    </row>
    <row r="39081" spans="9:13" x14ac:dyDescent="0.3">
      <c r="I39081" s="82"/>
      <c r="M39081" s="85"/>
    </row>
    <row r="39082" spans="9:13" x14ac:dyDescent="0.3">
      <c r="I39082" s="82"/>
      <c r="M39082" s="85"/>
    </row>
    <row r="39083" spans="9:13" x14ac:dyDescent="0.3">
      <c r="I39083" s="82"/>
      <c r="M39083" s="85"/>
    </row>
    <row r="39084" spans="9:13" x14ac:dyDescent="0.3">
      <c r="I39084" s="82"/>
      <c r="M39084" s="85"/>
    </row>
    <row r="39085" spans="9:13" x14ac:dyDescent="0.3">
      <c r="I39085" s="82"/>
      <c r="M39085" s="85"/>
    </row>
    <row r="39086" spans="9:13" x14ac:dyDescent="0.3">
      <c r="I39086" s="82"/>
      <c r="M39086" s="85"/>
    </row>
    <row r="39087" spans="9:13" x14ac:dyDescent="0.3">
      <c r="I39087" s="82"/>
      <c r="M39087" s="85"/>
    </row>
    <row r="39088" spans="9:13" x14ac:dyDescent="0.3">
      <c r="I39088" s="82"/>
      <c r="M39088" s="85"/>
    </row>
    <row r="39089" spans="9:13" x14ac:dyDescent="0.3">
      <c r="I39089" s="82"/>
      <c r="M39089" s="85"/>
    </row>
    <row r="39090" spans="9:13" x14ac:dyDescent="0.3">
      <c r="I39090" s="82"/>
      <c r="M39090" s="85"/>
    </row>
    <row r="39091" spans="9:13" x14ac:dyDescent="0.3">
      <c r="I39091" s="82"/>
      <c r="M39091" s="85"/>
    </row>
    <row r="39092" spans="9:13" x14ac:dyDescent="0.3">
      <c r="I39092" s="82"/>
      <c r="M39092" s="85"/>
    </row>
    <row r="39093" spans="9:13" x14ac:dyDescent="0.3">
      <c r="I39093" s="82"/>
      <c r="M39093" s="85"/>
    </row>
    <row r="39094" spans="9:13" x14ac:dyDescent="0.3">
      <c r="I39094" s="82"/>
      <c r="M39094" s="85"/>
    </row>
    <row r="39095" spans="9:13" x14ac:dyDescent="0.3">
      <c r="I39095" s="82"/>
      <c r="M39095" s="85"/>
    </row>
    <row r="39096" spans="9:13" x14ac:dyDescent="0.3">
      <c r="I39096" s="82"/>
      <c r="M39096" s="85"/>
    </row>
    <row r="39097" spans="9:13" x14ac:dyDescent="0.3">
      <c r="I39097" s="82"/>
      <c r="M39097" s="85"/>
    </row>
    <row r="39098" spans="9:13" x14ac:dyDescent="0.3">
      <c r="I39098" s="82"/>
      <c r="M39098" s="85"/>
    </row>
    <row r="39099" spans="9:13" x14ac:dyDescent="0.3">
      <c r="I39099" s="82"/>
      <c r="M39099" s="85"/>
    </row>
    <row r="39100" spans="9:13" x14ac:dyDescent="0.3">
      <c r="I39100" s="82"/>
      <c r="M39100" s="85"/>
    </row>
    <row r="39101" spans="9:13" x14ac:dyDescent="0.3">
      <c r="I39101" s="82"/>
      <c r="M39101" s="85"/>
    </row>
    <row r="39102" spans="9:13" x14ac:dyDescent="0.3">
      <c r="I39102" s="82"/>
      <c r="M39102" s="85"/>
    </row>
    <row r="39103" spans="9:13" x14ac:dyDescent="0.3">
      <c r="I39103" s="82"/>
      <c r="M39103" s="85"/>
    </row>
    <row r="39104" spans="9:13" x14ac:dyDescent="0.3">
      <c r="I39104" s="82"/>
      <c r="M39104" s="85"/>
    </row>
    <row r="39105" spans="9:13" x14ac:dyDescent="0.3">
      <c r="I39105" s="82"/>
      <c r="M39105" s="85"/>
    </row>
    <row r="39106" spans="9:13" x14ac:dyDescent="0.3">
      <c r="I39106" s="82"/>
      <c r="M39106" s="85"/>
    </row>
    <row r="39107" spans="9:13" x14ac:dyDescent="0.3">
      <c r="I39107" s="82"/>
      <c r="M39107" s="85"/>
    </row>
    <row r="39108" spans="9:13" x14ac:dyDescent="0.3">
      <c r="I39108" s="82"/>
      <c r="M39108" s="85"/>
    </row>
    <row r="39109" spans="9:13" x14ac:dyDescent="0.3">
      <c r="I39109" s="82"/>
      <c r="M39109" s="85"/>
    </row>
    <row r="39110" spans="9:13" x14ac:dyDescent="0.3">
      <c r="I39110" s="82"/>
      <c r="M39110" s="85"/>
    </row>
    <row r="39111" spans="9:13" x14ac:dyDescent="0.3">
      <c r="I39111" s="82"/>
      <c r="M39111" s="85"/>
    </row>
    <row r="39112" spans="9:13" x14ac:dyDescent="0.3">
      <c r="I39112" s="82"/>
      <c r="M39112" s="85"/>
    </row>
    <row r="39113" spans="9:13" x14ac:dyDescent="0.3">
      <c r="I39113" s="82"/>
      <c r="M39113" s="85"/>
    </row>
    <row r="39114" spans="9:13" x14ac:dyDescent="0.3">
      <c r="I39114" s="82"/>
      <c r="M39114" s="85"/>
    </row>
    <row r="39115" spans="9:13" x14ac:dyDescent="0.3">
      <c r="I39115" s="82"/>
      <c r="M39115" s="85"/>
    </row>
    <row r="39116" spans="9:13" x14ac:dyDescent="0.3">
      <c r="I39116" s="82"/>
      <c r="M39116" s="85"/>
    </row>
    <row r="39117" spans="9:13" x14ac:dyDescent="0.3">
      <c r="I39117" s="82"/>
      <c r="M39117" s="85"/>
    </row>
    <row r="39118" spans="9:13" x14ac:dyDescent="0.3">
      <c r="I39118" s="82"/>
      <c r="M39118" s="85"/>
    </row>
    <row r="39119" spans="9:13" x14ac:dyDescent="0.3">
      <c r="I39119" s="82"/>
      <c r="M39119" s="85"/>
    </row>
    <row r="39120" spans="9:13" x14ac:dyDescent="0.3">
      <c r="I39120" s="82"/>
      <c r="M39120" s="85"/>
    </row>
    <row r="39121" spans="9:13" x14ac:dyDescent="0.3">
      <c r="I39121" s="82"/>
      <c r="M39121" s="85"/>
    </row>
    <row r="39122" spans="9:13" x14ac:dyDescent="0.3">
      <c r="I39122" s="82"/>
      <c r="M39122" s="85"/>
    </row>
    <row r="39123" spans="9:13" x14ac:dyDescent="0.3">
      <c r="I39123" s="82"/>
      <c r="M39123" s="85"/>
    </row>
    <row r="39124" spans="9:13" x14ac:dyDescent="0.3">
      <c r="I39124" s="82"/>
      <c r="M39124" s="85"/>
    </row>
    <row r="39125" spans="9:13" x14ac:dyDescent="0.3">
      <c r="I39125" s="82"/>
      <c r="M39125" s="85"/>
    </row>
    <row r="39126" spans="9:13" x14ac:dyDescent="0.3">
      <c r="I39126" s="82"/>
      <c r="M39126" s="85"/>
    </row>
    <row r="39127" spans="9:13" x14ac:dyDescent="0.3">
      <c r="I39127" s="82"/>
      <c r="M39127" s="85"/>
    </row>
    <row r="39128" spans="9:13" x14ac:dyDescent="0.3">
      <c r="I39128" s="82"/>
      <c r="M39128" s="85"/>
    </row>
    <row r="39129" spans="9:13" x14ac:dyDescent="0.3">
      <c r="I39129" s="82"/>
      <c r="M39129" s="85"/>
    </row>
    <row r="39130" spans="9:13" x14ac:dyDescent="0.3">
      <c r="I39130" s="82"/>
      <c r="M39130" s="85"/>
    </row>
    <row r="39131" spans="9:13" x14ac:dyDescent="0.3">
      <c r="I39131" s="82"/>
      <c r="M39131" s="85"/>
    </row>
    <row r="39132" spans="9:13" x14ac:dyDescent="0.3">
      <c r="I39132" s="82"/>
      <c r="M39132" s="85"/>
    </row>
    <row r="39133" spans="9:13" x14ac:dyDescent="0.3">
      <c r="I39133" s="82"/>
      <c r="M39133" s="85"/>
    </row>
    <row r="39134" spans="9:13" x14ac:dyDescent="0.3">
      <c r="I39134" s="82"/>
      <c r="M39134" s="85"/>
    </row>
    <row r="39135" spans="9:13" x14ac:dyDescent="0.3">
      <c r="I39135" s="82"/>
      <c r="M39135" s="85"/>
    </row>
    <row r="39136" spans="9:13" x14ac:dyDescent="0.3">
      <c r="I39136" s="82"/>
      <c r="M39136" s="85"/>
    </row>
    <row r="39137" spans="9:13" x14ac:dyDescent="0.3">
      <c r="I39137" s="82"/>
      <c r="M39137" s="85"/>
    </row>
    <row r="39138" spans="9:13" x14ac:dyDescent="0.3">
      <c r="I39138" s="82"/>
      <c r="M39138" s="85"/>
    </row>
    <row r="39139" spans="9:13" x14ac:dyDescent="0.3">
      <c r="I39139" s="82"/>
      <c r="M39139" s="85"/>
    </row>
    <row r="39140" spans="9:13" x14ac:dyDescent="0.3">
      <c r="I39140" s="82"/>
      <c r="M39140" s="85"/>
    </row>
    <row r="39141" spans="9:13" x14ac:dyDescent="0.3">
      <c r="I39141" s="82"/>
      <c r="M39141" s="85"/>
    </row>
    <row r="39142" spans="9:13" x14ac:dyDescent="0.3">
      <c r="I39142" s="82"/>
      <c r="M39142" s="85"/>
    </row>
    <row r="39143" spans="9:13" x14ac:dyDescent="0.3">
      <c r="I39143" s="82"/>
      <c r="M39143" s="85"/>
    </row>
    <row r="39144" spans="9:13" x14ac:dyDescent="0.3">
      <c r="I39144" s="82"/>
      <c r="M39144" s="85"/>
    </row>
    <row r="39145" spans="9:13" x14ac:dyDescent="0.3">
      <c r="I39145" s="82"/>
      <c r="M39145" s="85"/>
    </row>
    <row r="39146" spans="9:13" x14ac:dyDescent="0.3">
      <c r="I39146" s="82"/>
      <c r="M39146" s="85"/>
    </row>
    <row r="39147" spans="9:13" x14ac:dyDescent="0.3">
      <c r="I39147" s="82"/>
      <c r="M39147" s="85"/>
    </row>
    <row r="39148" spans="9:13" x14ac:dyDescent="0.3">
      <c r="I39148" s="82"/>
      <c r="M39148" s="85"/>
    </row>
    <row r="39149" spans="9:13" x14ac:dyDescent="0.3">
      <c r="I39149" s="82"/>
      <c r="M39149" s="85"/>
    </row>
    <row r="39150" spans="9:13" x14ac:dyDescent="0.3">
      <c r="I39150" s="82"/>
      <c r="M39150" s="85"/>
    </row>
    <row r="39151" spans="9:13" x14ac:dyDescent="0.3">
      <c r="I39151" s="82"/>
      <c r="M39151" s="85"/>
    </row>
    <row r="39152" spans="9:13" x14ac:dyDescent="0.3">
      <c r="I39152" s="82"/>
      <c r="M39152" s="85"/>
    </row>
    <row r="39153" spans="9:13" x14ac:dyDescent="0.3">
      <c r="I39153" s="82"/>
      <c r="M39153" s="85"/>
    </row>
    <row r="39154" spans="9:13" x14ac:dyDescent="0.3">
      <c r="I39154" s="82"/>
      <c r="M39154" s="85"/>
    </row>
    <row r="39155" spans="9:13" x14ac:dyDescent="0.3">
      <c r="I39155" s="82"/>
      <c r="M39155" s="85"/>
    </row>
    <row r="39156" spans="9:13" x14ac:dyDescent="0.3">
      <c r="I39156" s="82"/>
      <c r="M39156" s="85"/>
    </row>
    <row r="39157" spans="9:13" x14ac:dyDescent="0.3">
      <c r="I39157" s="82"/>
      <c r="M39157" s="85"/>
    </row>
    <row r="39158" spans="9:13" x14ac:dyDescent="0.3">
      <c r="I39158" s="82"/>
      <c r="M39158" s="85"/>
    </row>
    <row r="39159" spans="9:13" x14ac:dyDescent="0.3">
      <c r="I39159" s="82"/>
      <c r="M39159" s="85"/>
    </row>
    <row r="39160" spans="9:13" x14ac:dyDescent="0.3">
      <c r="I39160" s="82"/>
      <c r="M39160" s="85"/>
    </row>
    <row r="39161" spans="9:13" x14ac:dyDescent="0.3">
      <c r="I39161" s="82"/>
      <c r="M39161" s="85"/>
    </row>
    <row r="39162" spans="9:13" x14ac:dyDescent="0.3">
      <c r="I39162" s="82"/>
      <c r="M39162" s="85"/>
    </row>
    <row r="39163" spans="9:13" x14ac:dyDescent="0.3">
      <c r="I39163" s="82"/>
      <c r="M39163" s="85"/>
    </row>
    <row r="39164" spans="9:13" x14ac:dyDescent="0.3">
      <c r="I39164" s="82"/>
      <c r="M39164" s="85"/>
    </row>
    <row r="39165" spans="9:13" x14ac:dyDescent="0.3">
      <c r="I39165" s="82"/>
      <c r="M39165" s="85"/>
    </row>
    <row r="39166" spans="9:13" x14ac:dyDescent="0.3">
      <c r="I39166" s="82"/>
      <c r="M39166" s="85"/>
    </row>
    <row r="39167" spans="9:13" x14ac:dyDescent="0.3">
      <c r="I39167" s="82"/>
      <c r="M39167" s="85"/>
    </row>
    <row r="39168" spans="9:13" x14ac:dyDescent="0.3">
      <c r="I39168" s="82"/>
      <c r="M39168" s="85"/>
    </row>
    <row r="39169" spans="9:13" x14ac:dyDescent="0.3">
      <c r="I39169" s="82"/>
      <c r="M39169" s="85"/>
    </row>
    <row r="39170" spans="9:13" x14ac:dyDescent="0.3">
      <c r="I39170" s="82"/>
      <c r="M39170" s="85"/>
    </row>
    <row r="39171" spans="9:13" x14ac:dyDescent="0.3">
      <c r="I39171" s="82"/>
      <c r="M39171" s="85"/>
    </row>
    <row r="39172" spans="9:13" x14ac:dyDescent="0.3">
      <c r="I39172" s="82"/>
      <c r="M39172" s="85"/>
    </row>
    <row r="39173" spans="9:13" x14ac:dyDescent="0.3">
      <c r="I39173" s="82"/>
      <c r="M39173" s="85"/>
    </row>
    <row r="39174" spans="9:13" x14ac:dyDescent="0.3">
      <c r="I39174" s="82"/>
      <c r="M39174" s="85"/>
    </row>
    <row r="39175" spans="9:13" x14ac:dyDescent="0.3">
      <c r="I39175" s="82"/>
      <c r="M39175" s="85"/>
    </row>
    <row r="39176" spans="9:13" x14ac:dyDescent="0.3">
      <c r="I39176" s="82"/>
      <c r="M39176" s="85"/>
    </row>
    <row r="39177" spans="9:13" x14ac:dyDescent="0.3">
      <c r="I39177" s="82"/>
      <c r="M39177" s="85"/>
    </row>
    <row r="39178" spans="9:13" x14ac:dyDescent="0.3">
      <c r="I39178" s="82"/>
      <c r="M39178" s="85"/>
    </row>
    <row r="39179" spans="9:13" x14ac:dyDescent="0.3">
      <c r="I39179" s="82"/>
      <c r="M39179" s="85"/>
    </row>
    <row r="39180" spans="9:13" x14ac:dyDescent="0.3">
      <c r="I39180" s="82"/>
      <c r="M39180" s="85"/>
    </row>
    <row r="39181" spans="9:13" x14ac:dyDescent="0.3">
      <c r="I39181" s="82"/>
      <c r="M39181" s="85"/>
    </row>
    <row r="39182" spans="9:13" x14ac:dyDescent="0.3">
      <c r="I39182" s="82"/>
      <c r="M39182" s="85"/>
    </row>
    <row r="39183" spans="9:13" x14ac:dyDescent="0.3">
      <c r="I39183" s="82"/>
      <c r="M39183" s="85"/>
    </row>
    <row r="39184" spans="9:13" x14ac:dyDescent="0.3">
      <c r="I39184" s="82"/>
      <c r="M39184" s="85"/>
    </row>
    <row r="39185" spans="9:13" x14ac:dyDescent="0.3">
      <c r="I39185" s="82"/>
      <c r="M39185" s="85"/>
    </row>
    <row r="39186" spans="9:13" x14ac:dyDescent="0.3">
      <c r="I39186" s="82"/>
      <c r="M39186" s="85"/>
    </row>
    <row r="39187" spans="9:13" x14ac:dyDescent="0.3">
      <c r="I39187" s="82"/>
      <c r="M39187" s="85"/>
    </row>
    <row r="39188" spans="9:13" x14ac:dyDescent="0.3">
      <c r="I39188" s="82"/>
      <c r="M39188" s="85"/>
    </row>
    <row r="39189" spans="9:13" x14ac:dyDescent="0.3">
      <c r="I39189" s="82"/>
      <c r="M39189" s="85"/>
    </row>
    <row r="39190" spans="9:13" x14ac:dyDescent="0.3">
      <c r="I39190" s="82"/>
      <c r="M39190" s="85"/>
    </row>
    <row r="39191" spans="9:13" x14ac:dyDescent="0.3">
      <c r="I39191" s="82"/>
      <c r="M39191" s="85"/>
    </row>
    <row r="39192" spans="9:13" x14ac:dyDescent="0.3">
      <c r="I39192" s="82"/>
      <c r="M39192" s="85"/>
    </row>
    <row r="39193" spans="9:13" x14ac:dyDescent="0.3">
      <c r="I39193" s="82"/>
      <c r="M39193" s="85"/>
    </row>
    <row r="39194" spans="9:13" x14ac:dyDescent="0.3">
      <c r="I39194" s="82"/>
      <c r="M39194" s="85"/>
    </row>
    <row r="39195" spans="9:13" x14ac:dyDescent="0.3">
      <c r="I39195" s="82"/>
      <c r="M39195" s="85"/>
    </row>
    <row r="39196" spans="9:13" x14ac:dyDescent="0.3">
      <c r="I39196" s="82"/>
      <c r="M39196" s="85"/>
    </row>
    <row r="39197" spans="9:13" x14ac:dyDescent="0.3">
      <c r="I39197" s="82"/>
      <c r="M39197" s="85"/>
    </row>
    <row r="39198" spans="9:13" x14ac:dyDescent="0.3">
      <c r="I39198" s="82"/>
      <c r="M39198" s="85"/>
    </row>
    <row r="39199" spans="9:13" x14ac:dyDescent="0.3">
      <c r="I39199" s="82"/>
      <c r="M39199" s="85"/>
    </row>
    <row r="39200" spans="9:13" x14ac:dyDescent="0.3">
      <c r="I39200" s="82"/>
      <c r="M39200" s="85"/>
    </row>
    <row r="39201" spans="9:13" x14ac:dyDescent="0.3">
      <c r="I39201" s="82"/>
      <c r="M39201" s="85"/>
    </row>
    <row r="39202" spans="9:13" x14ac:dyDescent="0.3">
      <c r="I39202" s="82"/>
      <c r="M39202" s="85"/>
    </row>
    <row r="39203" spans="9:13" x14ac:dyDescent="0.3">
      <c r="I39203" s="82"/>
      <c r="M39203" s="85"/>
    </row>
    <row r="39204" spans="9:13" x14ac:dyDescent="0.3">
      <c r="I39204" s="82"/>
      <c r="M39204" s="85"/>
    </row>
    <row r="39205" spans="9:13" x14ac:dyDescent="0.3">
      <c r="I39205" s="82"/>
      <c r="M39205" s="85"/>
    </row>
    <row r="39206" spans="9:13" x14ac:dyDescent="0.3">
      <c r="I39206" s="82"/>
      <c r="M39206" s="85"/>
    </row>
    <row r="39207" spans="9:13" x14ac:dyDescent="0.3">
      <c r="I39207" s="82"/>
      <c r="M39207" s="85"/>
    </row>
    <row r="39208" spans="9:13" x14ac:dyDescent="0.3">
      <c r="I39208" s="82"/>
      <c r="M39208" s="85"/>
    </row>
    <row r="39209" spans="9:13" x14ac:dyDescent="0.3">
      <c r="I39209" s="82"/>
      <c r="M39209" s="85"/>
    </row>
    <row r="39210" spans="9:13" x14ac:dyDescent="0.3">
      <c r="I39210" s="82"/>
      <c r="M39210" s="85"/>
    </row>
    <row r="39211" spans="9:13" x14ac:dyDescent="0.3">
      <c r="I39211" s="82"/>
      <c r="M39211" s="85"/>
    </row>
    <row r="39212" spans="9:13" x14ac:dyDescent="0.3">
      <c r="I39212" s="82"/>
      <c r="M39212" s="85"/>
    </row>
    <row r="39213" spans="9:13" x14ac:dyDescent="0.3">
      <c r="I39213" s="82"/>
      <c r="M39213" s="85"/>
    </row>
    <row r="39214" spans="9:13" x14ac:dyDescent="0.3">
      <c r="I39214" s="82"/>
      <c r="M39214" s="85"/>
    </row>
    <row r="39215" spans="9:13" x14ac:dyDescent="0.3">
      <c r="I39215" s="82"/>
      <c r="M39215" s="85"/>
    </row>
    <row r="39216" spans="9:13" x14ac:dyDescent="0.3">
      <c r="I39216" s="82"/>
      <c r="M39216" s="85"/>
    </row>
    <row r="39217" spans="9:13" x14ac:dyDescent="0.3">
      <c r="I39217" s="82"/>
      <c r="M39217" s="85"/>
    </row>
    <row r="39218" spans="9:13" x14ac:dyDescent="0.3">
      <c r="I39218" s="82"/>
      <c r="M39218" s="85"/>
    </row>
    <row r="39219" spans="9:13" x14ac:dyDescent="0.3">
      <c r="I39219" s="82"/>
      <c r="M39219" s="85"/>
    </row>
    <row r="39220" spans="9:13" x14ac:dyDescent="0.3">
      <c r="I39220" s="82"/>
      <c r="M39220" s="85"/>
    </row>
    <row r="39221" spans="9:13" x14ac:dyDescent="0.3">
      <c r="I39221" s="82"/>
      <c r="M39221" s="85"/>
    </row>
    <row r="39222" spans="9:13" x14ac:dyDescent="0.3">
      <c r="I39222" s="82"/>
      <c r="M39222" s="85"/>
    </row>
    <row r="39223" spans="9:13" x14ac:dyDescent="0.3">
      <c r="I39223" s="82"/>
      <c r="M39223" s="85"/>
    </row>
    <row r="39224" spans="9:13" x14ac:dyDescent="0.3">
      <c r="I39224" s="82"/>
      <c r="M39224" s="85"/>
    </row>
    <row r="39225" spans="9:13" x14ac:dyDescent="0.3">
      <c r="I39225" s="82"/>
      <c r="M39225" s="85"/>
    </row>
    <row r="39226" spans="9:13" x14ac:dyDescent="0.3">
      <c r="I39226" s="82"/>
      <c r="M39226" s="85"/>
    </row>
    <row r="39227" spans="9:13" x14ac:dyDescent="0.3">
      <c r="I39227" s="82"/>
      <c r="M39227" s="85"/>
    </row>
    <row r="39228" spans="9:13" x14ac:dyDescent="0.3">
      <c r="I39228" s="82"/>
      <c r="M39228" s="85"/>
    </row>
    <row r="39229" spans="9:13" x14ac:dyDescent="0.3">
      <c r="I39229" s="82"/>
      <c r="M39229" s="85"/>
    </row>
    <row r="39230" spans="9:13" x14ac:dyDescent="0.3">
      <c r="I39230" s="82"/>
      <c r="M39230" s="85"/>
    </row>
    <row r="39231" spans="9:13" x14ac:dyDescent="0.3">
      <c r="I39231" s="82"/>
      <c r="M39231" s="85"/>
    </row>
    <row r="39232" spans="9:13" x14ac:dyDescent="0.3">
      <c r="I39232" s="82"/>
      <c r="M39232" s="85"/>
    </row>
    <row r="39233" spans="9:13" x14ac:dyDescent="0.3">
      <c r="I39233" s="82"/>
      <c r="M39233" s="85"/>
    </row>
    <row r="39234" spans="9:13" x14ac:dyDescent="0.3">
      <c r="I39234" s="82"/>
      <c r="M39234" s="85"/>
    </row>
    <row r="39235" spans="9:13" x14ac:dyDescent="0.3">
      <c r="I39235" s="82"/>
      <c r="M39235" s="85"/>
    </row>
    <row r="39236" spans="9:13" x14ac:dyDescent="0.3">
      <c r="I39236" s="82"/>
      <c r="M39236" s="85"/>
    </row>
    <row r="39237" spans="9:13" x14ac:dyDescent="0.3">
      <c r="I39237" s="82"/>
      <c r="M39237" s="85"/>
    </row>
    <row r="39238" spans="9:13" x14ac:dyDescent="0.3">
      <c r="I39238" s="82"/>
      <c r="M39238" s="85"/>
    </row>
    <row r="39239" spans="9:13" x14ac:dyDescent="0.3">
      <c r="I39239" s="82"/>
      <c r="M39239" s="85"/>
    </row>
    <row r="39240" spans="9:13" x14ac:dyDescent="0.3">
      <c r="I39240" s="82"/>
      <c r="M39240" s="85"/>
    </row>
    <row r="39241" spans="9:13" x14ac:dyDescent="0.3">
      <c r="I39241" s="82"/>
      <c r="M39241" s="85"/>
    </row>
    <row r="39242" spans="9:13" x14ac:dyDescent="0.3">
      <c r="I39242" s="82"/>
      <c r="M39242" s="85"/>
    </row>
    <row r="39243" spans="9:13" x14ac:dyDescent="0.3">
      <c r="I39243" s="82"/>
      <c r="M39243" s="85"/>
    </row>
    <row r="39244" spans="9:13" x14ac:dyDescent="0.3">
      <c r="I39244" s="82"/>
      <c r="M39244" s="85"/>
    </row>
    <row r="39245" spans="9:13" x14ac:dyDescent="0.3">
      <c r="I39245" s="82"/>
      <c r="M39245" s="85"/>
    </row>
    <row r="39246" spans="9:13" x14ac:dyDescent="0.3">
      <c r="I39246" s="82"/>
      <c r="M39246" s="85"/>
    </row>
    <row r="39247" spans="9:13" x14ac:dyDescent="0.3">
      <c r="I39247" s="82"/>
      <c r="M39247" s="85"/>
    </row>
    <row r="39248" spans="9:13" x14ac:dyDescent="0.3">
      <c r="I39248" s="82"/>
      <c r="M39248" s="85"/>
    </row>
    <row r="39249" spans="9:13" x14ac:dyDescent="0.3">
      <c r="I39249" s="82"/>
      <c r="M39249" s="85"/>
    </row>
    <row r="39250" spans="9:13" x14ac:dyDescent="0.3">
      <c r="I39250" s="82"/>
      <c r="M39250" s="85"/>
    </row>
    <row r="39251" spans="9:13" x14ac:dyDescent="0.3">
      <c r="I39251" s="82"/>
      <c r="M39251" s="85"/>
    </row>
    <row r="39252" spans="9:13" x14ac:dyDescent="0.3">
      <c r="I39252" s="82"/>
      <c r="M39252" s="85"/>
    </row>
    <row r="39253" spans="9:13" x14ac:dyDescent="0.3">
      <c r="I39253" s="82"/>
      <c r="M39253" s="85"/>
    </row>
    <row r="39254" spans="9:13" x14ac:dyDescent="0.3">
      <c r="I39254" s="82"/>
      <c r="M39254" s="85"/>
    </row>
    <row r="39255" spans="9:13" x14ac:dyDescent="0.3">
      <c r="I39255" s="82"/>
      <c r="M39255" s="85"/>
    </row>
    <row r="39256" spans="9:13" x14ac:dyDescent="0.3">
      <c r="I39256" s="82"/>
      <c r="M39256" s="85"/>
    </row>
    <row r="39257" spans="9:13" x14ac:dyDescent="0.3">
      <c r="I39257" s="82"/>
      <c r="M39257" s="85"/>
    </row>
    <row r="39258" spans="9:13" x14ac:dyDescent="0.3">
      <c r="I39258" s="82"/>
      <c r="M39258" s="85"/>
    </row>
    <row r="39259" spans="9:13" x14ac:dyDescent="0.3">
      <c r="I39259" s="82"/>
      <c r="M39259" s="85"/>
    </row>
    <row r="39260" spans="9:13" x14ac:dyDescent="0.3">
      <c r="I39260" s="82"/>
      <c r="M39260" s="85"/>
    </row>
    <row r="39261" spans="9:13" x14ac:dyDescent="0.3">
      <c r="I39261" s="82"/>
      <c r="M39261" s="85"/>
    </row>
    <row r="39262" spans="9:13" x14ac:dyDescent="0.3">
      <c r="I39262" s="82"/>
      <c r="M39262" s="85"/>
    </row>
    <row r="39263" spans="9:13" x14ac:dyDescent="0.3">
      <c r="I39263" s="82"/>
      <c r="M39263" s="85"/>
    </row>
    <row r="39264" spans="9:13" x14ac:dyDescent="0.3">
      <c r="I39264" s="82"/>
      <c r="M39264" s="85"/>
    </row>
    <row r="39265" spans="9:13" x14ac:dyDescent="0.3">
      <c r="I39265" s="82"/>
      <c r="M39265" s="85"/>
    </row>
    <row r="39266" spans="9:13" x14ac:dyDescent="0.3">
      <c r="I39266" s="82"/>
      <c r="M39266" s="85"/>
    </row>
    <row r="39267" spans="9:13" x14ac:dyDescent="0.3">
      <c r="I39267" s="82"/>
      <c r="M39267" s="85"/>
    </row>
    <row r="39268" spans="9:13" x14ac:dyDescent="0.3">
      <c r="I39268" s="82"/>
      <c r="M39268" s="85"/>
    </row>
    <row r="39269" spans="9:13" x14ac:dyDescent="0.3">
      <c r="I39269" s="82"/>
      <c r="M39269" s="85"/>
    </row>
    <row r="39270" spans="9:13" x14ac:dyDescent="0.3">
      <c r="I39270" s="82"/>
      <c r="M39270" s="85"/>
    </row>
    <row r="39271" spans="9:13" x14ac:dyDescent="0.3">
      <c r="I39271" s="82"/>
      <c r="M39271" s="85"/>
    </row>
    <row r="39272" spans="9:13" x14ac:dyDescent="0.3">
      <c r="I39272" s="82"/>
      <c r="M39272" s="85"/>
    </row>
    <row r="39273" spans="9:13" x14ac:dyDescent="0.3">
      <c r="I39273" s="82"/>
      <c r="M39273" s="85"/>
    </row>
    <row r="39274" spans="9:13" x14ac:dyDescent="0.3">
      <c r="I39274" s="82"/>
      <c r="M39274" s="85"/>
    </row>
    <row r="39275" spans="9:13" x14ac:dyDescent="0.3">
      <c r="I39275" s="82"/>
      <c r="M39275" s="85"/>
    </row>
    <row r="39276" spans="9:13" x14ac:dyDescent="0.3">
      <c r="I39276" s="82"/>
      <c r="M39276" s="85"/>
    </row>
    <row r="39277" spans="9:13" x14ac:dyDescent="0.3">
      <c r="I39277" s="82"/>
      <c r="M39277" s="85"/>
    </row>
    <row r="39278" spans="9:13" x14ac:dyDescent="0.3">
      <c r="I39278" s="82"/>
      <c r="M39278" s="85"/>
    </row>
    <row r="39279" spans="9:13" x14ac:dyDescent="0.3">
      <c r="I39279" s="82"/>
      <c r="M39279" s="85"/>
    </row>
    <row r="39280" spans="9:13" x14ac:dyDescent="0.3">
      <c r="I39280" s="82"/>
      <c r="M39280" s="85"/>
    </row>
    <row r="39281" spans="9:13" x14ac:dyDescent="0.3">
      <c r="I39281" s="82"/>
      <c r="M39281" s="85"/>
    </row>
    <row r="39282" spans="9:13" x14ac:dyDescent="0.3">
      <c r="I39282" s="82"/>
      <c r="M39282" s="85"/>
    </row>
    <row r="39283" spans="9:13" x14ac:dyDescent="0.3">
      <c r="I39283" s="82"/>
      <c r="M39283" s="85"/>
    </row>
    <row r="39284" spans="9:13" x14ac:dyDescent="0.3">
      <c r="I39284" s="82"/>
      <c r="M39284" s="85"/>
    </row>
    <row r="39285" spans="9:13" x14ac:dyDescent="0.3">
      <c r="I39285" s="82"/>
      <c r="M39285" s="85"/>
    </row>
    <row r="39286" spans="9:13" x14ac:dyDescent="0.3">
      <c r="I39286" s="82"/>
      <c r="M39286" s="85"/>
    </row>
    <row r="39287" spans="9:13" x14ac:dyDescent="0.3">
      <c r="I39287" s="82"/>
      <c r="M39287" s="85"/>
    </row>
    <row r="39288" spans="9:13" x14ac:dyDescent="0.3">
      <c r="I39288" s="82"/>
      <c r="M39288" s="85"/>
    </row>
    <row r="39289" spans="9:13" x14ac:dyDescent="0.3">
      <c r="I39289" s="82"/>
      <c r="M39289" s="85"/>
    </row>
    <row r="39290" spans="9:13" x14ac:dyDescent="0.3">
      <c r="I39290" s="82"/>
      <c r="M39290" s="85"/>
    </row>
    <row r="39291" spans="9:13" x14ac:dyDescent="0.3">
      <c r="I39291" s="82"/>
      <c r="M39291" s="85"/>
    </row>
    <row r="39292" spans="9:13" x14ac:dyDescent="0.3">
      <c r="I39292" s="82"/>
      <c r="M39292" s="85"/>
    </row>
    <row r="39293" spans="9:13" x14ac:dyDescent="0.3">
      <c r="I39293" s="82"/>
      <c r="M39293" s="85"/>
    </row>
    <row r="39294" spans="9:13" x14ac:dyDescent="0.3">
      <c r="I39294" s="82"/>
      <c r="M39294" s="85"/>
    </row>
    <row r="39295" spans="9:13" x14ac:dyDescent="0.3">
      <c r="I39295" s="82"/>
      <c r="M39295" s="85"/>
    </row>
    <row r="39296" spans="9:13" x14ac:dyDescent="0.3">
      <c r="I39296" s="82"/>
      <c r="M39296" s="85"/>
    </row>
    <row r="39297" spans="9:13" x14ac:dyDescent="0.3">
      <c r="I39297" s="82"/>
      <c r="M39297" s="85"/>
    </row>
    <row r="39298" spans="9:13" x14ac:dyDescent="0.3">
      <c r="I39298" s="82"/>
      <c r="M39298" s="85"/>
    </row>
    <row r="39299" spans="9:13" x14ac:dyDescent="0.3">
      <c r="I39299" s="82"/>
      <c r="M39299" s="85"/>
    </row>
    <row r="39300" spans="9:13" x14ac:dyDescent="0.3">
      <c r="I39300" s="82"/>
      <c r="M39300" s="85"/>
    </row>
    <row r="39301" spans="9:13" x14ac:dyDescent="0.3">
      <c r="I39301" s="82"/>
      <c r="M39301" s="85"/>
    </row>
    <row r="39302" spans="9:13" x14ac:dyDescent="0.3">
      <c r="I39302" s="82"/>
      <c r="M39302" s="85"/>
    </row>
    <row r="39303" spans="9:13" x14ac:dyDescent="0.3">
      <c r="I39303" s="82"/>
      <c r="M39303" s="85"/>
    </row>
    <row r="39304" spans="9:13" x14ac:dyDescent="0.3">
      <c r="I39304" s="82"/>
      <c r="M39304" s="85"/>
    </row>
    <row r="39305" spans="9:13" x14ac:dyDescent="0.3">
      <c r="I39305" s="82"/>
      <c r="M39305" s="85"/>
    </row>
    <row r="39306" spans="9:13" x14ac:dyDescent="0.3">
      <c r="I39306" s="82"/>
      <c r="M39306" s="85"/>
    </row>
    <row r="39307" spans="9:13" x14ac:dyDescent="0.3">
      <c r="I39307" s="82"/>
      <c r="M39307" s="85"/>
    </row>
    <row r="39308" spans="9:13" x14ac:dyDescent="0.3">
      <c r="I39308" s="82"/>
      <c r="M39308" s="85"/>
    </row>
    <row r="39309" spans="9:13" x14ac:dyDescent="0.3">
      <c r="I39309" s="82"/>
      <c r="M39309" s="85"/>
    </row>
    <row r="39310" spans="9:13" x14ac:dyDescent="0.3">
      <c r="I39310" s="82"/>
      <c r="M39310" s="85"/>
    </row>
    <row r="39311" spans="9:13" x14ac:dyDescent="0.3">
      <c r="I39311" s="82"/>
      <c r="M39311" s="85"/>
    </row>
    <row r="39312" spans="9:13" x14ac:dyDescent="0.3">
      <c r="I39312" s="82"/>
      <c r="M39312" s="85"/>
    </row>
    <row r="39313" spans="9:13" x14ac:dyDescent="0.3">
      <c r="I39313" s="82"/>
      <c r="M39313" s="85"/>
    </row>
    <row r="39314" spans="9:13" x14ac:dyDescent="0.3">
      <c r="I39314" s="82"/>
      <c r="M39314" s="85"/>
    </row>
    <row r="39315" spans="9:13" x14ac:dyDescent="0.3">
      <c r="I39315" s="82"/>
      <c r="M39315" s="85"/>
    </row>
    <row r="39316" spans="9:13" x14ac:dyDescent="0.3">
      <c r="I39316" s="82"/>
      <c r="M39316" s="85"/>
    </row>
    <row r="39317" spans="9:13" x14ac:dyDescent="0.3">
      <c r="I39317" s="82"/>
      <c r="M39317" s="85"/>
    </row>
    <row r="39318" spans="9:13" x14ac:dyDescent="0.3">
      <c r="I39318" s="82"/>
      <c r="M39318" s="85"/>
    </row>
    <row r="39319" spans="9:13" x14ac:dyDescent="0.3">
      <c r="I39319" s="82"/>
      <c r="M39319" s="85"/>
    </row>
    <row r="39320" spans="9:13" x14ac:dyDescent="0.3">
      <c r="I39320" s="82"/>
      <c r="M39320" s="85"/>
    </row>
    <row r="39321" spans="9:13" x14ac:dyDescent="0.3">
      <c r="I39321" s="82"/>
      <c r="M39321" s="85"/>
    </row>
    <row r="39322" spans="9:13" x14ac:dyDescent="0.3">
      <c r="I39322" s="82"/>
      <c r="M39322" s="85"/>
    </row>
    <row r="39323" spans="9:13" x14ac:dyDescent="0.3">
      <c r="I39323" s="82"/>
      <c r="M39323" s="85"/>
    </row>
    <row r="39324" spans="9:13" x14ac:dyDescent="0.3">
      <c r="I39324" s="82"/>
      <c r="M39324" s="85"/>
    </row>
    <row r="39325" spans="9:13" x14ac:dyDescent="0.3">
      <c r="I39325" s="82"/>
      <c r="M39325" s="85"/>
    </row>
    <row r="39326" spans="9:13" x14ac:dyDescent="0.3">
      <c r="I39326" s="82"/>
      <c r="M39326" s="85"/>
    </row>
    <row r="39327" spans="9:13" x14ac:dyDescent="0.3">
      <c r="I39327" s="82"/>
      <c r="M39327" s="85"/>
    </row>
    <row r="39328" spans="9:13" x14ac:dyDescent="0.3">
      <c r="I39328" s="82"/>
      <c r="M39328" s="85"/>
    </row>
    <row r="39329" spans="9:13" x14ac:dyDescent="0.3">
      <c r="I39329" s="82"/>
      <c r="M39329" s="85"/>
    </row>
    <row r="39330" spans="9:13" x14ac:dyDescent="0.3">
      <c r="I39330" s="82"/>
      <c r="M39330" s="85"/>
    </row>
    <row r="39331" spans="9:13" x14ac:dyDescent="0.3">
      <c r="I39331" s="82"/>
      <c r="M39331" s="85"/>
    </row>
    <row r="39332" spans="9:13" x14ac:dyDescent="0.3">
      <c r="I39332" s="82"/>
      <c r="M39332" s="85"/>
    </row>
    <row r="39333" spans="9:13" x14ac:dyDescent="0.3">
      <c r="I39333" s="82"/>
      <c r="M39333" s="85"/>
    </row>
    <row r="39334" spans="9:13" x14ac:dyDescent="0.3">
      <c r="I39334" s="82"/>
      <c r="M39334" s="85"/>
    </row>
    <row r="39335" spans="9:13" x14ac:dyDescent="0.3">
      <c r="I39335" s="82"/>
      <c r="M39335" s="85"/>
    </row>
    <row r="39336" spans="9:13" x14ac:dyDescent="0.3">
      <c r="I39336" s="82"/>
      <c r="M39336" s="85"/>
    </row>
    <row r="39337" spans="9:13" x14ac:dyDescent="0.3">
      <c r="I39337" s="82"/>
      <c r="M39337" s="85"/>
    </row>
    <row r="39338" spans="9:13" x14ac:dyDescent="0.3">
      <c r="I39338" s="82"/>
      <c r="M39338" s="85"/>
    </row>
    <row r="39339" spans="9:13" x14ac:dyDescent="0.3">
      <c r="I39339" s="82"/>
      <c r="M39339" s="85"/>
    </row>
    <row r="39340" spans="9:13" x14ac:dyDescent="0.3">
      <c r="I39340" s="82"/>
      <c r="M39340" s="85"/>
    </row>
    <row r="39341" spans="9:13" x14ac:dyDescent="0.3">
      <c r="I39341" s="82"/>
      <c r="M39341" s="85"/>
    </row>
    <row r="39342" spans="9:13" x14ac:dyDescent="0.3">
      <c r="I39342" s="82"/>
      <c r="M39342" s="85"/>
    </row>
    <row r="39343" spans="9:13" x14ac:dyDescent="0.3">
      <c r="I39343" s="82"/>
      <c r="M39343" s="85"/>
    </row>
    <row r="39344" spans="9:13" x14ac:dyDescent="0.3">
      <c r="I39344" s="82"/>
      <c r="M39344" s="85"/>
    </row>
    <row r="39345" spans="9:13" x14ac:dyDescent="0.3">
      <c r="I39345" s="82"/>
      <c r="M39345" s="85"/>
    </row>
    <row r="39346" spans="9:13" x14ac:dyDescent="0.3">
      <c r="I39346" s="82"/>
      <c r="M39346" s="85"/>
    </row>
    <row r="39347" spans="9:13" x14ac:dyDescent="0.3">
      <c r="I39347" s="82"/>
      <c r="M39347" s="85"/>
    </row>
    <row r="39348" spans="9:13" x14ac:dyDescent="0.3">
      <c r="I39348" s="82"/>
      <c r="M39348" s="85"/>
    </row>
    <row r="39349" spans="9:13" x14ac:dyDescent="0.3">
      <c r="I39349" s="82"/>
      <c r="M39349" s="85"/>
    </row>
    <row r="39350" spans="9:13" x14ac:dyDescent="0.3">
      <c r="I39350" s="82"/>
      <c r="M39350" s="85"/>
    </row>
    <row r="39351" spans="9:13" x14ac:dyDescent="0.3">
      <c r="I39351" s="82"/>
      <c r="M39351" s="85"/>
    </row>
    <row r="39352" spans="9:13" x14ac:dyDescent="0.3">
      <c r="I39352" s="82"/>
      <c r="M39352" s="85"/>
    </row>
    <row r="39353" spans="9:13" x14ac:dyDescent="0.3">
      <c r="I39353" s="82"/>
      <c r="M39353" s="85"/>
    </row>
    <row r="39354" spans="9:13" x14ac:dyDescent="0.3">
      <c r="I39354" s="82"/>
      <c r="M39354" s="85"/>
    </row>
    <row r="39355" spans="9:13" x14ac:dyDescent="0.3">
      <c r="I39355" s="82"/>
      <c r="M39355" s="85"/>
    </row>
    <row r="39356" spans="9:13" x14ac:dyDescent="0.3">
      <c r="I39356" s="82"/>
      <c r="M39356" s="85"/>
    </row>
    <row r="39357" spans="9:13" x14ac:dyDescent="0.3">
      <c r="I39357" s="82"/>
      <c r="M39357" s="85"/>
    </row>
    <row r="39358" spans="9:13" x14ac:dyDescent="0.3">
      <c r="I39358" s="82"/>
      <c r="M39358" s="85"/>
    </row>
    <row r="39359" spans="9:13" x14ac:dyDescent="0.3">
      <c r="I39359" s="82"/>
      <c r="M39359" s="85"/>
    </row>
    <row r="39360" spans="9:13" x14ac:dyDescent="0.3">
      <c r="I39360" s="82"/>
      <c r="M39360" s="85"/>
    </row>
    <row r="39361" spans="9:13" x14ac:dyDescent="0.3">
      <c r="I39361" s="82"/>
      <c r="M39361" s="85"/>
    </row>
    <row r="39362" spans="9:13" x14ac:dyDescent="0.3">
      <c r="I39362" s="82"/>
      <c r="M39362" s="85"/>
    </row>
    <row r="39363" spans="9:13" x14ac:dyDescent="0.3">
      <c r="I39363" s="82"/>
      <c r="M39363" s="85"/>
    </row>
    <row r="39364" spans="9:13" x14ac:dyDescent="0.3">
      <c r="I39364" s="82"/>
      <c r="M39364" s="85"/>
    </row>
    <row r="39365" spans="9:13" x14ac:dyDescent="0.3">
      <c r="I39365" s="82"/>
      <c r="M39365" s="85"/>
    </row>
    <row r="39366" spans="9:13" x14ac:dyDescent="0.3">
      <c r="I39366" s="82"/>
      <c r="M39366" s="85"/>
    </row>
    <row r="39367" spans="9:13" x14ac:dyDescent="0.3">
      <c r="I39367" s="82"/>
      <c r="M39367" s="85"/>
    </row>
    <row r="39368" spans="9:13" x14ac:dyDescent="0.3">
      <c r="I39368" s="82"/>
      <c r="M39368" s="85"/>
    </row>
    <row r="39369" spans="9:13" x14ac:dyDescent="0.3">
      <c r="I39369" s="82"/>
      <c r="M39369" s="85"/>
    </row>
    <row r="39370" spans="9:13" x14ac:dyDescent="0.3">
      <c r="I39370" s="82"/>
      <c r="M39370" s="85"/>
    </row>
    <row r="39371" spans="9:13" x14ac:dyDescent="0.3">
      <c r="I39371" s="82"/>
      <c r="M39371" s="85"/>
    </row>
    <row r="39372" spans="9:13" x14ac:dyDescent="0.3">
      <c r="I39372" s="82"/>
      <c r="M39372" s="85"/>
    </row>
    <row r="39373" spans="9:13" x14ac:dyDescent="0.3">
      <c r="I39373" s="82"/>
      <c r="M39373" s="85"/>
    </row>
    <row r="39374" spans="9:13" x14ac:dyDescent="0.3">
      <c r="I39374" s="82"/>
      <c r="M39374" s="85"/>
    </row>
    <row r="39375" spans="9:13" x14ac:dyDescent="0.3">
      <c r="I39375" s="82"/>
      <c r="M39375" s="85"/>
    </row>
    <row r="39376" spans="9:13" x14ac:dyDescent="0.3">
      <c r="I39376" s="82"/>
      <c r="M39376" s="85"/>
    </row>
    <row r="39377" spans="9:13" x14ac:dyDescent="0.3">
      <c r="I39377" s="82"/>
      <c r="M39377" s="85"/>
    </row>
    <row r="39378" spans="9:13" x14ac:dyDescent="0.3">
      <c r="I39378" s="82"/>
      <c r="M39378" s="85"/>
    </row>
    <row r="39379" spans="9:13" x14ac:dyDescent="0.3">
      <c r="I39379" s="82"/>
      <c r="M39379" s="85"/>
    </row>
    <row r="39380" spans="9:13" x14ac:dyDescent="0.3">
      <c r="I39380" s="82"/>
      <c r="M39380" s="85"/>
    </row>
    <row r="39381" spans="9:13" x14ac:dyDescent="0.3">
      <c r="I39381" s="82"/>
      <c r="M39381" s="85"/>
    </row>
    <row r="39382" spans="9:13" x14ac:dyDescent="0.3">
      <c r="I39382" s="82"/>
      <c r="M39382" s="85"/>
    </row>
    <row r="39383" spans="9:13" x14ac:dyDescent="0.3">
      <c r="I39383" s="82"/>
      <c r="M39383" s="85"/>
    </row>
    <row r="39384" spans="9:13" x14ac:dyDescent="0.3">
      <c r="I39384" s="82"/>
      <c r="M39384" s="85"/>
    </row>
    <row r="39385" spans="9:13" x14ac:dyDescent="0.3">
      <c r="I39385" s="82"/>
      <c r="M39385" s="85"/>
    </row>
    <row r="39386" spans="9:13" x14ac:dyDescent="0.3">
      <c r="I39386" s="82"/>
      <c r="M39386" s="85"/>
    </row>
    <row r="39387" spans="9:13" x14ac:dyDescent="0.3">
      <c r="I39387" s="82"/>
      <c r="M39387" s="85"/>
    </row>
    <row r="39388" spans="9:13" x14ac:dyDescent="0.3">
      <c r="I39388" s="82"/>
      <c r="M39388" s="85"/>
    </row>
    <row r="39389" spans="9:13" x14ac:dyDescent="0.3">
      <c r="I39389" s="82"/>
      <c r="M39389" s="85"/>
    </row>
    <row r="39390" spans="9:13" x14ac:dyDescent="0.3">
      <c r="I39390" s="82"/>
      <c r="M39390" s="85"/>
    </row>
    <row r="39391" spans="9:13" x14ac:dyDescent="0.3">
      <c r="I39391" s="82"/>
      <c r="M39391" s="85"/>
    </row>
    <row r="39392" spans="9:13" x14ac:dyDescent="0.3">
      <c r="I39392" s="82"/>
      <c r="M39392" s="85"/>
    </row>
    <row r="39393" spans="9:13" x14ac:dyDescent="0.3">
      <c r="I39393" s="82"/>
      <c r="M39393" s="85"/>
    </row>
    <row r="39394" spans="9:13" x14ac:dyDescent="0.3">
      <c r="I39394" s="82"/>
      <c r="M39394" s="85"/>
    </row>
    <row r="39395" spans="9:13" x14ac:dyDescent="0.3">
      <c r="I39395" s="82"/>
      <c r="M39395" s="85"/>
    </row>
    <row r="39396" spans="9:13" x14ac:dyDescent="0.3">
      <c r="I39396" s="82"/>
      <c r="M39396" s="85"/>
    </row>
    <row r="39397" spans="9:13" x14ac:dyDescent="0.3">
      <c r="I39397" s="82"/>
      <c r="M39397" s="85"/>
    </row>
    <row r="39398" spans="9:13" x14ac:dyDescent="0.3">
      <c r="I39398" s="82"/>
      <c r="M39398" s="85"/>
    </row>
    <row r="39399" spans="9:13" x14ac:dyDescent="0.3">
      <c r="I39399" s="82"/>
      <c r="M39399" s="85"/>
    </row>
    <row r="39400" spans="9:13" x14ac:dyDescent="0.3">
      <c r="I39400" s="82"/>
      <c r="M39400" s="85"/>
    </row>
    <row r="39401" spans="9:13" x14ac:dyDescent="0.3">
      <c r="I39401" s="82"/>
      <c r="M39401" s="85"/>
    </row>
    <row r="39402" spans="9:13" x14ac:dyDescent="0.3">
      <c r="I39402" s="82"/>
      <c r="M39402" s="85"/>
    </row>
    <row r="39403" spans="9:13" x14ac:dyDescent="0.3">
      <c r="I39403" s="82"/>
      <c r="M39403" s="85"/>
    </row>
    <row r="39404" spans="9:13" x14ac:dyDescent="0.3">
      <c r="I39404" s="82"/>
      <c r="M39404" s="85"/>
    </row>
    <row r="39405" spans="9:13" x14ac:dyDescent="0.3">
      <c r="I39405" s="82"/>
      <c r="M39405" s="85"/>
    </row>
    <row r="39406" spans="9:13" x14ac:dyDescent="0.3">
      <c r="I39406" s="82"/>
      <c r="M39406" s="85"/>
    </row>
    <row r="39407" spans="9:13" x14ac:dyDescent="0.3">
      <c r="I39407" s="82"/>
      <c r="M39407" s="85"/>
    </row>
    <row r="39408" spans="9:13" x14ac:dyDescent="0.3">
      <c r="I39408" s="82"/>
      <c r="M39408" s="85"/>
    </row>
    <row r="39409" spans="9:13" x14ac:dyDescent="0.3">
      <c r="I39409" s="82"/>
      <c r="M39409" s="85"/>
    </row>
    <row r="39410" spans="9:13" x14ac:dyDescent="0.3">
      <c r="I39410" s="82"/>
      <c r="M39410" s="85"/>
    </row>
    <row r="39411" spans="9:13" x14ac:dyDescent="0.3">
      <c r="I39411" s="82"/>
      <c r="M39411" s="85"/>
    </row>
    <row r="39412" spans="9:13" x14ac:dyDescent="0.3">
      <c r="I39412" s="82"/>
      <c r="M39412" s="85"/>
    </row>
    <row r="39413" spans="9:13" x14ac:dyDescent="0.3">
      <c r="I39413" s="82"/>
      <c r="M39413" s="85"/>
    </row>
    <row r="39414" spans="9:13" x14ac:dyDescent="0.3">
      <c r="I39414" s="82"/>
      <c r="M39414" s="85"/>
    </row>
    <row r="39415" spans="9:13" x14ac:dyDescent="0.3">
      <c r="I39415" s="82"/>
      <c r="M39415" s="85"/>
    </row>
    <row r="39416" spans="9:13" x14ac:dyDescent="0.3">
      <c r="I39416" s="82"/>
      <c r="M39416" s="85"/>
    </row>
    <row r="39417" spans="9:13" x14ac:dyDescent="0.3">
      <c r="I39417" s="82"/>
      <c r="M39417" s="85"/>
    </row>
    <row r="39418" spans="9:13" x14ac:dyDescent="0.3">
      <c r="I39418" s="82"/>
      <c r="M39418" s="85"/>
    </row>
    <row r="39419" spans="9:13" x14ac:dyDescent="0.3">
      <c r="I39419" s="82"/>
      <c r="M39419" s="85"/>
    </row>
    <row r="39420" spans="9:13" x14ac:dyDescent="0.3">
      <c r="I39420" s="82"/>
      <c r="M39420" s="85"/>
    </row>
    <row r="39421" spans="9:13" x14ac:dyDescent="0.3">
      <c r="I39421" s="82"/>
      <c r="M39421" s="85"/>
    </row>
    <row r="39422" spans="9:13" x14ac:dyDescent="0.3">
      <c r="I39422" s="82"/>
      <c r="M39422" s="85"/>
    </row>
    <row r="39423" spans="9:13" x14ac:dyDescent="0.3">
      <c r="I39423" s="82"/>
      <c r="M39423" s="85"/>
    </row>
    <row r="39424" spans="9:13" x14ac:dyDescent="0.3">
      <c r="I39424" s="82"/>
      <c r="M39424" s="85"/>
    </row>
    <row r="39425" spans="9:13" x14ac:dyDescent="0.3">
      <c r="I39425" s="82"/>
      <c r="M39425" s="85"/>
    </row>
    <row r="39426" spans="9:13" x14ac:dyDescent="0.3">
      <c r="I39426" s="82"/>
      <c r="M39426" s="85"/>
    </row>
    <row r="39427" spans="9:13" x14ac:dyDescent="0.3">
      <c r="I39427" s="82"/>
      <c r="M39427" s="85"/>
    </row>
    <row r="39428" spans="9:13" x14ac:dyDescent="0.3">
      <c r="I39428" s="82"/>
      <c r="M39428" s="85"/>
    </row>
    <row r="39429" spans="9:13" x14ac:dyDescent="0.3">
      <c r="I39429" s="82"/>
      <c r="M39429" s="85"/>
    </row>
    <row r="39430" spans="9:13" x14ac:dyDescent="0.3">
      <c r="I39430" s="82"/>
      <c r="M39430" s="85"/>
    </row>
    <row r="39431" spans="9:13" x14ac:dyDescent="0.3">
      <c r="I39431" s="82"/>
      <c r="M39431" s="85"/>
    </row>
    <row r="39432" spans="9:13" x14ac:dyDescent="0.3">
      <c r="I39432" s="82"/>
      <c r="M39432" s="85"/>
    </row>
    <row r="39433" spans="9:13" x14ac:dyDescent="0.3">
      <c r="I39433" s="82"/>
      <c r="M39433" s="85"/>
    </row>
    <row r="39434" spans="9:13" x14ac:dyDescent="0.3">
      <c r="I39434" s="82"/>
      <c r="M39434" s="85"/>
    </row>
    <row r="39435" spans="9:13" x14ac:dyDescent="0.3">
      <c r="I39435" s="82"/>
      <c r="M39435" s="85"/>
    </row>
    <row r="39436" spans="9:13" x14ac:dyDescent="0.3">
      <c r="I39436" s="82"/>
      <c r="M39436" s="85"/>
    </row>
    <row r="39437" spans="9:13" x14ac:dyDescent="0.3">
      <c r="I39437" s="82"/>
      <c r="M39437" s="85"/>
    </row>
    <row r="39438" spans="9:13" x14ac:dyDescent="0.3">
      <c r="I39438" s="82"/>
      <c r="M39438" s="85"/>
    </row>
    <row r="39439" spans="9:13" x14ac:dyDescent="0.3">
      <c r="I39439" s="82"/>
      <c r="M39439" s="85"/>
    </row>
    <row r="39440" spans="9:13" x14ac:dyDescent="0.3">
      <c r="I39440" s="82"/>
      <c r="M39440" s="85"/>
    </row>
    <row r="39441" spans="9:13" x14ac:dyDescent="0.3">
      <c r="I39441" s="82"/>
      <c r="M39441" s="85"/>
    </row>
    <row r="39442" spans="9:13" x14ac:dyDescent="0.3">
      <c r="I39442" s="82"/>
      <c r="M39442" s="85"/>
    </row>
    <row r="39443" spans="9:13" x14ac:dyDescent="0.3">
      <c r="I39443" s="82"/>
      <c r="M39443" s="85"/>
    </row>
    <row r="39444" spans="9:13" x14ac:dyDescent="0.3">
      <c r="I39444" s="82"/>
      <c r="M39444" s="85"/>
    </row>
    <row r="39445" spans="9:13" x14ac:dyDescent="0.3">
      <c r="I39445" s="82"/>
      <c r="M39445" s="85"/>
    </row>
    <row r="39446" spans="9:13" x14ac:dyDescent="0.3">
      <c r="I39446" s="82"/>
      <c r="M39446" s="85"/>
    </row>
    <row r="39447" spans="9:13" x14ac:dyDescent="0.3">
      <c r="I39447" s="82"/>
      <c r="M39447" s="85"/>
    </row>
    <row r="39448" spans="9:13" x14ac:dyDescent="0.3">
      <c r="I39448" s="82"/>
      <c r="M39448" s="85"/>
    </row>
    <row r="39449" spans="9:13" x14ac:dyDescent="0.3">
      <c r="I39449" s="82"/>
      <c r="M39449" s="85"/>
    </row>
    <row r="39450" spans="9:13" x14ac:dyDescent="0.3">
      <c r="I39450" s="82"/>
      <c r="M39450" s="85"/>
    </row>
    <row r="39451" spans="9:13" x14ac:dyDescent="0.3">
      <c r="I39451" s="82"/>
      <c r="M39451" s="85"/>
    </row>
    <row r="39452" spans="9:13" x14ac:dyDescent="0.3">
      <c r="I39452" s="82"/>
      <c r="M39452" s="85"/>
    </row>
    <row r="39453" spans="9:13" x14ac:dyDescent="0.3">
      <c r="I39453" s="82"/>
      <c r="M39453" s="85"/>
    </row>
    <row r="39454" spans="9:13" x14ac:dyDescent="0.3">
      <c r="I39454" s="82"/>
      <c r="M39454" s="85"/>
    </row>
    <row r="39455" spans="9:13" x14ac:dyDescent="0.3">
      <c r="I39455" s="82"/>
      <c r="M39455" s="85"/>
    </row>
    <row r="39456" spans="9:13" x14ac:dyDescent="0.3">
      <c r="I39456" s="82"/>
      <c r="M39456" s="85"/>
    </row>
    <row r="39457" spans="9:13" x14ac:dyDescent="0.3">
      <c r="I39457" s="82"/>
      <c r="M39457" s="85"/>
    </row>
    <row r="39458" spans="9:13" x14ac:dyDescent="0.3">
      <c r="I39458" s="82"/>
      <c r="M39458" s="85"/>
    </row>
    <row r="39459" spans="9:13" x14ac:dyDescent="0.3">
      <c r="I39459" s="82"/>
      <c r="M39459" s="85"/>
    </row>
    <row r="39460" spans="9:13" x14ac:dyDescent="0.3">
      <c r="I39460" s="82"/>
      <c r="M39460" s="85"/>
    </row>
    <row r="39461" spans="9:13" x14ac:dyDescent="0.3">
      <c r="I39461" s="82"/>
      <c r="M39461" s="85"/>
    </row>
    <row r="39462" spans="9:13" x14ac:dyDescent="0.3">
      <c r="I39462" s="82"/>
      <c r="M39462" s="85"/>
    </row>
    <row r="39463" spans="9:13" x14ac:dyDescent="0.3">
      <c r="I39463" s="82"/>
      <c r="M39463" s="85"/>
    </row>
    <row r="39464" spans="9:13" x14ac:dyDescent="0.3">
      <c r="I39464" s="82"/>
      <c r="M39464" s="85"/>
    </row>
    <row r="39465" spans="9:13" x14ac:dyDescent="0.3">
      <c r="I39465" s="82"/>
      <c r="M39465" s="85"/>
    </row>
    <row r="39466" spans="9:13" x14ac:dyDescent="0.3">
      <c r="I39466" s="82"/>
      <c r="M39466" s="85"/>
    </row>
    <row r="39467" spans="9:13" x14ac:dyDescent="0.3">
      <c r="I39467" s="82"/>
      <c r="M39467" s="85"/>
    </row>
    <row r="39468" spans="9:13" x14ac:dyDescent="0.3">
      <c r="I39468" s="82"/>
      <c r="M39468" s="85"/>
    </row>
    <row r="39469" spans="9:13" x14ac:dyDescent="0.3">
      <c r="I39469" s="82"/>
      <c r="M39469" s="85"/>
    </row>
    <row r="39470" spans="9:13" x14ac:dyDescent="0.3">
      <c r="I39470" s="82"/>
      <c r="M39470" s="85"/>
    </row>
    <row r="39471" spans="9:13" x14ac:dyDescent="0.3">
      <c r="I39471" s="82"/>
      <c r="M39471" s="85"/>
    </row>
    <row r="39472" spans="9:13" x14ac:dyDescent="0.3">
      <c r="I39472" s="82"/>
      <c r="M39472" s="85"/>
    </row>
    <row r="39473" spans="9:13" x14ac:dyDescent="0.3">
      <c r="I39473" s="82"/>
      <c r="M39473" s="85"/>
    </row>
    <row r="39474" spans="9:13" x14ac:dyDescent="0.3">
      <c r="I39474" s="82"/>
      <c r="M39474" s="85"/>
    </row>
    <row r="39475" spans="9:13" x14ac:dyDescent="0.3">
      <c r="I39475" s="82"/>
      <c r="M39475" s="85"/>
    </row>
    <row r="39476" spans="9:13" x14ac:dyDescent="0.3">
      <c r="I39476" s="82"/>
      <c r="M39476" s="85"/>
    </row>
    <row r="39477" spans="9:13" x14ac:dyDescent="0.3">
      <c r="I39477" s="82"/>
      <c r="M39477" s="85"/>
    </row>
    <row r="39478" spans="9:13" x14ac:dyDescent="0.3">
      <c r="I39478" s="82"/>
      <c r="M39478" s="85"/>
    </row>
    <row r="39479" spans="9:13" x14ac:dyDescent="0.3">
      <c r="I39479" s="82"/>
      <c r="M39479" s="85"/>
    </row>
    <row r="39480" spans="9:13" x14ac:dyDescent="0.3">
      <c r="I39480" s="82"/>
      <c r="M39480" s="85"/>
    </row>
    <row r="39481" spans="9:13" x14ac:dyDescent="0.3">
      <c r="I39481" s="82"/>
      <c r="M39481" s="85"/>
    </row>
    <row r="39482" spans="9:13" x14ac:dyDescent="0.3">
      <c r="I39482" s="82"/>
      <c r="M39482" s="85"/>
    </row>
    <row r="39483" spans="9:13" x14ac:dyDescent="0.3">
      <c r="I39483" s="82"/>
      <c r="M39483" s="85"/>
    </row>
    <row r="39484" spans="9:13" x14ac:dyDescent="0.3">
      <c r="I39484" s="82"/>
      <c r="M39484" s="85"/>
    </row>
    <row r="39485" spans="9:13" x14ac:dyDescent="0.3">
      <c r="I39485" s="82"/>
      <c r="M39485" s="85"/>
    </row>
    <row r="39486" spans="9:13" x14ac:dyDescent="0.3">
      <c r="I39486" s="82"/>
      <c r="M39486" s="85"/>
    </row>
    <row r="39487" spans="9:13" x14ac:dyDescent="0.3">
      <c r="I39487" s="82"/>
      <c r="M39487" s="85"/>
    </row>
    <row r="39488" spans="9:13" x14ac:dyDescent="0.3">
      <c r="I39488" s="82"/>
      <c r="M39488" s="85"/>
    </row>
    <row r="39489" spans="9:13" x14ac:dyDescent="0.3">
      <c r="I39489" s="82"/>
      <c r="M39489" s="85"/>
    </row>
    <row r="39490" spans="9:13" x14ac:dyDescent="0.3">
      <c r="I39490" s="82"/>
      <c r="M39490" s="85"/>
    </row>
    <row r="39491" spans="9:13" x14ac:dyDescent="0.3">
      <c r="I39491" s="82"/>
      <c r="M39491" s="85"/>
    </row>
    <row r="39492" spans="9:13" x14ac:dyDescent="0.3">
      <c r="I39492" s="82"/>
      <c r="M39492" s="85"/>
    </row>
    <row r="39493" spans="9:13" x14ac:dyDescent="0.3">
      <c r="I39493" s="82"/>
      <c r="M39493" s="85"/>
    </row>
    <row r="39494" spans="9:13" x14ac:dyDescent="0.3">
      <c r="I39494" s="82"/>
      <c r="M39494" s="85"/>
    </row>
    <row r="39495" spans="9:13" x14ac:dyDescent="0.3">
      <c r="I39495" s="82"/>
      <c r="M39495" s="85"/>
    </row>
    <row r="39496" spans="9:13" x14ac:dyDescent="0.3">
      <c r="I39496" s="82"/>
      <c r="M39496" s="85"/>
    </row>
    <row r="39497" spans="9:13" x14ac:dyDescent="0.3">
      <c r="I39497" s="82"/>
      <c r="M39497" s="85"/>
    </row>
    <row r="39498" spans="9:13" x14ac:dyDescent="0.3">
      <c r="I39498" s="82"/>
      <c r="M39498" s="85"/>
    </row>
    <row r="39499" spans="9:13" x14ac:dyDescent="0.3">
      <c r="I39499" s="82"/>
      <c r="M39499" s="85"/>
    </row>
    <row r="39500" spans="9:13" x14ac:dyDescent="0.3">
      <c r="I39500" s="82"/>
      <c r="M39500" s="85"/>
    </row>
    <row r="39501" spans="9:13" x14ac:dyDescent="0.3">
      <c r="I39501" s="82"/>
      <c r="M39501" s="85"/>
    </row>
    <row r="39502" spans="9:13" x14ac:dyDescent="0.3">
      <c r="I39502" s="82"/>
      <c r="M39502" s="85"/>
    </row>
    <row r="39503" spans="9:13" x14ac:dyDescent="0.3">
      <c r="I39503" s="82"/>
      <c r="M39503" s="85"/>
    </row>
    <row r="39504" spans="9:13" x14ac:dyDescent="0.3">
      <c r="I39504" s="82"/>
      <c r="M39504" s="85"/>
    </row>
    <row r="39505" spans="9:13" x14ac:dyDescent="0.3">
      <c r="I39505" s="82"/>
      <c r="M39505" s="85"/>
    </row>
    <row r="39506" spans="9:13" x14ac:dyDescent="0.3">
      <c r="I39506" s="82"/>
      <c r="M39506" s="85"/>
    </row>
    <row r="39507" spans="9:13" x14ac:dyDescent="0.3">
      <c r="I39507" s="82"/>
      <c r="M39507" s="85"/>
    </row>
    <row r="39508" spans="9:13" x14ac:dyDescent="0.3">
      <c r="I39508" s="82"/>
      <c r="M39508" s="85"/>
    </row>
    <row r="39509" spans="9:13" x14ac:dyDescent="0.3">
      <c r="I39509" s="82"/>
      <c r="M39509" s="85"/>
    </row>
    <row r="39510" spans="9:13" x14ac:dyDescent="0.3">
      <c r="I39510" s="82"/>
      <c r="M39510" s="85"/>
    </row>
    <row r="39511" spans="9:13" x14ac:dyDescent="0.3">
      <c r="I39511" s="82"/>
      <c r="M39511" s="85"/>
    </row>
    <row r="39512" spans="9:13" x14ac:dyDescent="0.3">
      <c r="I39512" s="82"/>
      <c r="M39512" s="85"/>
    </row>
    <row r="39513" spans="9:13" x14ac:dyDescent="0.3">
      <c r="I39513" s="82"/>
      <c r="M39513" s="85"/>
    </row>
    <row r="39514" spans="9:13" x14ac:dyDescent="0.3">
      <c r="I39514" s="82"/>
      <c r="M39514" s="85"/>
    </row>
    <row r="39515" spans="9:13" x14ac:dyDescent="0.3">
      <c r="I39515" s="82"/>
      <c r="M39515" s="85"/>
    </row>
    <row r="39516" spans="9:13" x14ac:dyDescent="0.3">
      <c r="I39516" s="82"/>
      <c r="M39516" s="85"/>
    </row>
    <row r="39517" spans="9:13" x14ac:dyDescent="0.3">
      <c r="I39517" s="82"/>
      <c r="M39517" s="85"/>
    </row>
    <row r="39518" spans="9:13" x14ac:dyDescent="0.3">
      <c r="I39518" s="82"/>
      <c r="M39518" s="85"/>
    </row>
    <row r="39519" spans="9:13" x14ac:dyDescent="0.3">
      <c r="I39519" s="82"/>
      <c r="M39519" s="85"/>
    </row>
    <row r="39520" spans="9:13" x14ac:dyDescent="0.3">
      <c r="I39520" s="82"/>
      <c r="M39520" s="85"/>
    </row>
    <row r="39521" spans="9:13" x14ac:dyDescent="0.3">
      <c r="I39521" s="82"/>
      <c r="M39521" s="85"/>
    </row>
    <row r="39522" spans="9:13" x14ac:dyDescent="0.3">
      <c r="I39522" s="82"/>
      <c r="M39522" s="85"/>
    </row>
    <row r="39523" spans="9:13" x14ac:dyDescent="0.3">
      <c r="I39523" s="82"/>
      <c r="M39523" s="85"/>
    </row>
    <row r="39524" spans="9:13" x14ac:dyDescent="0.3">
      <c r="I39524" s="82"/>
      <c r="M39524" s="85"/>
    </row>
    <row r="39525" spans="9:13" x14ac:dyDescent="0.3">
      <c r="I39525" s="82"/>
      <c r="M39525" s="85"/>
    </row>
    <row r="39526" spans="9:13" x14ac:dyDescent="0.3">
      <c r="I39526" s="82"/>
      <c r="M39526" s="85"/>
    </row>
    <row r="39527" spans="9:13" x14ac:dyDescent="0.3">
      <c r="I39527" s="82"/>
      <c r="M39527" s="85"/>
    </row>
    <row r="39528" spans="9:13" x14ac:dyDescent="0.3">
      <c r="I39528" s="82"/>
      <c r="M39528" s="85"/>
    </row>
    <row r="39529" spans="9:13" x14ac:dyDescent="0.3">
      <c r="I39529" s="82"/>
      <c r="M39529" s="85"/>
    </row>
    <row r="39530" spans="9:13" x14ac:dyDescent="0.3">
      <c r="I39530" s="82"/>
      <c r="M39530" s="85"/>
    </row>
    <row r="39531" spans="9:13" x14ac:dyDescent="0.3">
      <c r="I39531" s="82"/>
      <c r="M39531" s="85"/>
    </row>
    <row r="39532" spans="9:13" x14ac:dyDescent="0.3">
      <c r="I39532" s="82"/>
      <c r="M39532" s="85"/>
    </row>
    <row r="39533" spans="9:13" x14ac:dyDescent="0.3">
      <c r="I39533" s="82"/>
      <c r="M39533" s="85"/>
    </row>
    <row r="39534" spans="9:13" x14ac:dyDescent="0.3">
      <c r="I39534" s="82"/>
      <c r="M39534" s="85"/>
    </row>
    <row r="39535" spans="9:13" x14ac:dyDescent="0.3">
      <c r="I39535" s="82"/>
      <c r="M39535" s="85"/>
    </row>
    <row r="39536" spans="9:13" x14ac:dyDescent="0.3">
      <c r="I39536" s="82"/>
      <c r="M39536" s="85"/>
    </row>
    <row r="39537" spans="9:13" x14ac:dyDescent="0.3">
      <c r="I39537" s="82"/>
      <c r="M39537" s="85"/>
    </row>
    <row r="39538" spans="9:13" x14ac:dyDescent="0.3">
      <c r="I39538" s="82"/>
      <c r="M39538" s="85"/>
    </row>
    <row r="39539" spans="9:13" x14ac:dyDescent="0.3">
      <c r="I39539" s="82"/>
      <c r="M39539" s="85"/>
    </row>
    <row r="39540" spans="9:13" x14ac:dyDescent="0.3">
      <c r="I39540" s="82"/>
      <c r="M39540" s="85"/>
    </row>
    <row r="39541" spans="9:13" x14ac:dyDescent="0.3">
      <c r="I39541" s="82"/>
      <c r="M39541" s="85"/>
    </row>
    <row r="39542" spans="9:13" x14ac:dyDescent="0.3">
      <c r="I39542" s="82"/>
      <c r="M39542" s="85"/>
    </row>
    <row r="39543" spans="9:13" x14ac:dyDescent="0.3">
      <c r="I39543" s="82"/>
      <c r="M39543" s="85"/>
    </row>
    <row r="39544" spans="9:13" x14ac:dyDescent="0.3">
      <c r="I39544" s="82"/>
      <c r="M39544" s="85"/>
    </row>
    <row r="39545" spans="9:13" x14ac:dyDescent="0.3">
      <c r="I39545" s="82"/>
      <c r="M39545" s="85"/>
    </row>
    <row r="39546" spans="9:13" x14ac:dyDescent="0.3">
      <c r="I39546" s="82"/>
      <c r="M39546" s="85"/>
    </row>
    <row r="39547" spans="9:13" x14ac:dyDescent="0.3">
      <c r="I39547" s="82"/>
      <c r="M39547" s="85"/>
    </row>
    <row r="39548" spans="9:13" x14ac:dyDescent="0.3">
      <c r="I39548" s="82"/>
      <c r="M39548" s="85"/>
    </row>
    <row r="39549" spans="9:13" x14ac:dyDescent="0.3">
      <c r="I39549" s="82"/>
      <c r="M39549" s="85"/>
    </row>
    <row r="39550" spans="9:13" x14ac:dyDescent="0.3">
      <c r="I39550" s="82"/>
      <c r="M39550" s="85"/>
    </row>
    <row r="39551" spans="9:13" x14ac:dyDescent="0.3">
      <c r="I39551" s="82"/>
      <c r="M39551" s="85"/>
    </row>
    <row r="39552" spans="9:13" x14ac:dyDescent="0.3">
      <c r="I39552" s="82"/>
      <c r="M39552" s="85"/>
    </row>
    <row r="39553" spans="9:13" x14ac:dyDescent="0.3">
      <c r="I39553" s="82"/>
      <c r="M39553" s="85"/>
    </row>
    <row r="39554" spans="9:13" x14ac:dyDescent="0.3">
      <c r="I39554" s="82"/>
      <c r="M39554" s="85"/>
    </row>
    <row r="39555" spans="9:13" x14ac:dyDescent="0.3">
      <c r="I39555" s="82"/>
      <c r="M39555" s="85"/>
    </row>
    <row r="39556" spans="9:13" x14ac:dyDescent="0.3">
      <c r="I39556" s="82"/>
      <c r="M39556" s="85"/>
    </row>
    <row r="39557" spans="9:13" x14ac:dyDescent="0.3">
      <c r="I39557" s="82"/>
      <c r="M39557" s="85"/>
    </row>
    <row r="39558" spans="9:13" x14ac:dyDescent="0.3">
      <c r="I39558" s="82"/>
      <c r="M39558" s="85"/>
    </row>
    <row r="39559" spans="9:13" x14ac:dyDescent="0.3">
      <c r="I39559" s="82"/>
      <c r="M39559" s="85"/>
    </row>
    <row r="39560" spans="9:13" x14ac:dyDescent="0.3">
      <c r="I39560" s="82"/>
      <c r="M39560" s="85"/>
    </row>
    <row r="39561" spans="9:13" x14ac:dyDescent="0.3">
      <c r="I39561" s="82"/>
      <c r="M39561" s="85"/>
    </row>
    <row r="39562" spans="9:13" x14ac:dyDescent="0.3">
      <c r="I39562" s="82"/>
      <c r="M39562" s="85"/>
    </row>
    <row r="39563" spans="9:13" x14ac:dyDescent="0.3">
      <c r="I39563" s="82"/>
      <c r="M39563" s="85"/>
    </row>
    <row r="39564" spans="9:13" x14ac:dyDescent="0.3">
      <c r="I39564" s="82"/>
      <c r="M39564" s="85"/>
    </row>
    <row r="39565" spans="9:13" x14ac:dyDescent="0.3">
      <c r="I39565" s="82"/>
      <c r="M39565" s="85"/>
    </row>
    <row r="39566" spans="9:13" x14ac:dyDescent="0.3">
      <c r="I39566" s="82"/>
      <c r="M39566" s="85"/>
    </row>
    <row r="39567" spans="9:13" x14ac:dyDescent="0.3">
      <c r="I39567" s="82"/>
      <c r="M39567" s="85"/>
    </row>
    <row r="39568" spans="9:13" x14ac:dyDescent="0.3">
      <c r="I39568" s="82"/>
      <c r="M39568" s="85"/>
    </row>
    <row r="39569" spans="9:13" x14ac:dyDescent="0.3">
      <c r="I39569" s="82"/>
      <c r="M39569" s="85"/>
    </row>
    <row r="39570" spans="9:13" x14ac:dyDescent="0.3">
      <c r="I39570" s="82"/>
      <c r="M39570" s="85"/>
    </row>
    <row r="39571" spans="9:13" x14ac:dyDescent="0.3">
      <c r="I39571" s="82"/>
      <c r="M39571" s="85"/>
    </row>
    <row r="39572" spans="9:13" x14ac:dyDescent="0.3">
      <c r="I39572" s="82"/>
      <c r="M39572" s="85"/>
    </row>
    <row r="39573" spans="9:13" x14ac:dyDescent="0.3">
      <c r="I39573" s="82"/>
      <c r="M39573" s="85"/>
    </row>
    <row r="39574" spans="9:13" x14ac:dyDescent="0.3">
      <c r="I39574" s="82"/>
      <c r="M39574" s="85"/>
    </row>
    <row r="39575" spans="9:13" x14ac:dyDescent="0.3">
      <c r="I39575" s="82"/>
      <c r="M39575" s="85"/>
    </row>
    <row r="39576" spans="9:13" x14ac:dyDescent="0.3">
      <c r="I39576" s="82"/>
      <c r="M39576" s="85"/>
    </row>
    <row r="39577" spans="9:13" x14ac:dyDescent="0.3">
      <c r="I39577" s="82"/>
      <c r="M39577" s="85"/>
    </row>
    <row r="39578" spans="9:13" x14ac:dyDescent="0.3">
      <c r="I39578" s="82"/>
      <c r="M39578" s="85"/>
    </row>
    <row r="39579" spans="9:13" x14ac:dyDescent="0.3">
      <c r="I39579" s="82"/>
      <c r="M39579" s="85"/>
    </row>
    <row r="39580" spans="9:13" x14ac:dyDescent="0.3">
      <c r="I39580" s="82"/>
      <c r="M39580" s="85"/>
    </row>
    <row r="39581" spans="9:13" x14ac:dyDescent="0.3">
      <c r="I39581" s="82"/>
      <c r="M39581" s="85"/>
    </row>
    <row r="39582" spans="9:13" x14ac:dyDescent="0.3">
      <c r="I39582" s="82"/>
      <c r="M39582" s="85"/>
    </row>
    <row r="39583" spans="9:13" x14ac:dyDescent="0.3">
      <c r="I39583" s="82"/>
      <c r="M39583" s="85"/>
    </row>
    <row r="39584" spans="9:13" x14ac:dyDescent="0.3">
      <c r="I39584" s="82"/>
      <c r="M39584" s="85"/>
    </row>
    <row r="39585" spans="9:13" x14ac:dyDescent="0.3">
      <c r="I39585" s="82"/>
      <c r="M39585" s="85"/>
    </row>
    <row r="39586" spans="9:13" x14ac:dyDescent="0.3">
      <c r="I39586" s="82"/>
      <c r="M39586" s="85"/>
    </row>
    <row r="39587" spans="9:13" x14ac:dyDescent="0.3">
      <c r="I39587" s="82"/>
      <c r="M39587" s="85"/>
    </row>
    <row r="39588" spans="9:13" x14ac:dyDescent="0.3">
      <c r="I39588" s="82"/>
      <c r="M39588" s="85"/>
    </row>
    <row r="39589" spans="9:13" x14ac:dyDescent="0.3">
      <c r="I39589" s="82"/>
      <c r="M39589" s="85"/>
    </row>
    <row r="39590" spans="9:13" x14ac:dyDescent="0.3">
      <c r="I39590" s="82"/>
      <c r="M39590" s="85"/>
    </row>
    <row r="39591" spans="9:13" x14ac:dyDescent="0.3">
      <c r="I39591" s="82"/>
      <c r="M39591" s="85"/>
    </row>
    <row r="39592" spans="9:13" x14ac:dyDescent="0.3">
      <c r="I39592" s="82"/>
      <c r="M39592" s="85"/>
    </row>
    <row r="39593" spans="9:13" x14ac:dyDescent="0.3">
      <c r="I39593" s="82"/>
      <c r="M39593" s="85"/>
    </row>
    <row r="39594" spans="9:13" x14ac:dyDescent="0.3">
      <c r="I39594" s="82"/>
      <c r="M39594" s="85"/>
    </row>
    <row r="39595" spans="9:13" x14ac:dyDescent="0.3">
      <c r="I39595" s="82"/>
      <c r="M39595" s="85"/>
    </row>
    <row r="39596" spans="9:13" x14ac:dyDescent="0.3">
      <c r="I39596" s="82"/>
      <c r="M39596" s="85"/>
    </row>
    <row r="39597" spans="9:13" x14ac:dyDescent="0.3">
      <c r="I39597" s="82"/>
      <c r="M39597" s="85"/>
    </row>
    <row r="39598" spans="9:13" x14ac:dyDescent="0.3">
      <c r="I39598" s="82"/>
      <c r="M39598" s="85"/>
    </row>
    <row r="39599" spans="9:13" x14ac:dyDescent="0.3">
      <c r="I39599" s="82"/>
      <c r="M39599" s="85"/>
    </row>
    <row r="39600" spans="9:13" x14ac:dyDescent="0.3">
      <c r="I39600" s="82"/>
      <c r="M39600" s="85"/>
    </row>
    <row r="39601" spans="9:13" x14ac:dyDescent="0.3">
      <c r="I39601" s="82"/>
      <c r="M39601" s="85"/>
    </row>
    <row r="39602" spans="9:13" x14ac:dyDescent="0.3">
      <c r="I39602" s="82"/>
      <c r="M39602" s="85"/>
    </row>
    <row r="39603" spans="9:13" x14ac:dyDescent="0.3">
      <c r="I39603" s="82"/>
      <c r="M39603" s="85"/>
    </row>
    <row r="39604" spans="9:13" x14ac:dyDescent="0.3">
      <c r="I39604" s="82"/>
      <c r="M39604" s="85"/>
    </row>
    <row r="39605" spans="9:13" x14ac:dyDescent="0.3">
      <c r="I39605" s="82"/>
      <c r="M39605" s="85"/>
    </row>
    <row r="39606" spans="9:13" x14ac:dyDescent="0.3">
      <c r="I39606" s="82"/>
      <c r="M39606" s="85"/>
    </row>
    <row r="39607" spans="9:13" x14ac:dyDescent="0.3">
      <c r="I39607" s="82"/>
      <c r="M39607" s="85"/>
    </row>
    <row r="39608" spans="9:13" x14ac:dyDescent="0.3">
      <c r="I39608" s="82"/>
      <c r="M39608" s="85"/>
    </row>
    <row r="39609" spans="9:13" x14ac:dyDescent="0.3">
      <c r="I39609" s="82"/>
      <c r="M39609" s="85"/>
    </row>
    <row r="39610" spans="9:13" x14ac:dyDescent="0.3">
      <c r="I39610" s="82"/>
      <c r="M39610" s="85"/>
    </row>
    <row r="39611" spans="9:13" x14ac:dyDescent="0.3">
      <c r="I39611" s="82"/>
      <c r="M39611" s="85"/>
    </row>
    <row r="39612" spans="9:13" x14ac:dyDescent="0.3">
      <c r="I39612" s="82"/>
      <c r="M39612" s="85"/>
    </row>
    <row r="39613" spans="9:13" x14ac:dyDescent="0.3">
      <c r="I39613" s="82"/>
      <c r="M39613" s="85"/>
    </row>
    <row r="39614" spans="9:13" x14ac:dyDescent="0.3">
      <c r="I39614" s="82"/>
      <c r="M39614" s="85"/>
    </row>
    <row r="39615" spans="9:13" x14ac:dyDescent="0.3">
      <c r="I39615" s="82"/>
      <c r="M39615" s="85"/>
    </row>
    <row r="39616" spans="9:13" x14ac:dyDescent="0.3">
      <c r="I39616" s="82"/>
      <c r="M39616" s="85"/>
    </row>
    <row r="39617" spans="9:13" x14ac:dyDescent="0.3">
      <c r="I39617" s="82"/>
      <c r="M39617" s="85"/>
    </row>
    <row r="39618" spans="9:13" x14ac:dyDescent="0.3">
      <c r="I39618" s="82"/>
      <c r="M39618" s="85"/>
    </row>
    <row r="39619" spans="9:13" x14ac:dyDescent="0.3">
      <c r="I39619" s="82"/>
      <c r="M39619" s="85"/>
    </row>
    <row r="39620" spans="9:13" x14ac:dyDescent="0.3">
      <c r="I39620" s="82"/>
      <c r="M39620" s="85"/>
    </row>
    <row r="39621" spans="9:13" x14ac:dyDescent="0.3">
      <c r="I39621" s="82"/>
      <c r="M39621" s="85"/>
    </row>
    <row r="39622" spans="9:13" x14ac:dyDescent="0.3">
      <c r="I39622" s="82"/>
      <c r="M39622" s="85"/>
    </row>
    <row r="39623" spans="9:13" x14ac:dyDescent="0.3">
      <c r="I39623" s="82"/>
      <c r="M39623" s="85"/>
    </row>
    <row r="39624" spans="9:13" x14ac:dyDescent="0.3">
      <c r="I39624" s="82"/>
      <c r="M39624" s="85"/>
    </row>
    <row r="39625" spans="9:13" x14ac:dyDescent="0.3">
      <c r="I39625" s="82"/>
      <c r="M39625" s="85"/>
    </row>
    <row r="39626" spans="9:13" x14ac:dyDescent="0.3">
      <c r="I39626" s="82"/>
      <c r="M39626" s="85"/>
    </row>
    <row r="39627" spans="9:13" x14ac:dyDescent="0.3">
      <c r="I39627" s="82"/>
      <c r="M39627" s="85"/>
    </row>
    <row r="39628" spans="9:13" x14ac:dyDescent="0.3">
      <c r="I39628" s="82"/>
      <c r="M39628" s="85"/>
    </row>
    <row r="39629" spans="9:13" x14ac:dyDescent="0.3">
      <c r="I39629" s="82"/>
      <c r="M39629" s="85"/>
    </row>
    <row r="39630" spans="9:13" x14ac:dyDescent="0.3">
      <c r="I39630" s="82"/>
      <c r="M39630" s="85"/>
    </row>
    <row r="39631" spans="9:13" x14ac:dyDescent="0.3">
      <c r="I39631" s="82"/>
      <c r="M39631" s="85"/>
    </row>
    <row r="39632" spans="9:13" x14ac:dyDescent="0.3">
      <c r="I39632" s="82"/>
      <c r="M39632" s="85"/>
    </row>
    <row r="39633" spans="9:13" x14ac:dyDescent="0.3">
      <c r="I39633" s="82"/>
      <c r="M39633" s="85"/>
    </row>
    <row r="39634" spans="9:13" x14ac:dyDescent="0.3">
      <c r="I39634" s="82"/>
      <c r="M39634" s="85"/>
    </row>
    <row r="39635" spans="9:13" x14ac:dyDescent="0.3">
      <c r="I39635" s="82"/>
      <c r="M39635" s="85"/>
    </row>
    <row r="39636" spans="9:13" x14ac:dyDescent="0.3">
      <c r="I39636" s="82"/>
      <c r="M39636" s="85"/>
    </row>
    <row r="39637" spans="9:13" x14ac:dyDescent="0.3">
      <c r="I39637" s="82"/>
      <c r="M39637" s="85"/>
    </row>
    <row r="39638" spans="9:13" x14ac:dyDescent="0.3">
      <c r="I39638" s="82"/>
      <c r="M39638" s="85"/>
    </row>
    <row r="39639" spans="9:13" x14ac:dyDescent="0.3">
      <c r="I39639" s="82"/>
      <c r="M39639" s="85"/>
    </row>
    <row r="39640" spans="9:13" x14ac:dyDescent="0.3">
      <c r="I39640" s="82"/>
      <c r="M39640" s="85"/>
    </row>
    <row r="39641" spans="9:13" x14ac:dyDescent="0.3">
      <c r="I39641" s="82"/>
      <c r="M39641" s="85"/>
    </row>
    <row r="39642" spans="9:13" x14ac:dyDescent="0.3">
      <c r="I39642" s="82"/>
      <c r="M39642" s="85"/>
    </row>
    <row r="39643" spans="9:13" x14ac:dyDescent="0.3">
      <c r="I39643" s="82"/>
      <c r="M39643" s="85"/>
    </row>
    <row r="39644" spans="9:13" x14ac:dyDescent="0.3">
      <c r="I39644" s="82"/>
      <c r="M39644" s="85"/>
    </row>
    <row r="39645" spans="9:13" x14ac:dyDescent="0.3">
      <c r="I39645" s="82"/>
      <c r="M39645" s="85"/>
    </row>
    <row r="39646" spans="9:13" x14ac:dyDescent="0.3">
      <c r="I39646" s="82"/>
      <c r="M39646" s="85"/>
    </row>
    <row r="39647" spans="9:13" x14ac:dyDescent="0.3">
      <c r="I39647" s="82"/>
      <c r="M39647" s="85"/>
    </row>
    <row r="39648" spans="9:13" x14ac:dyDescent="0.3">
      <c r="I39648" s="82"/>
      <c r="M39648" s="85"/>
    </row>
    <row r="39649" spans="9:13" x14ac:dyDescent="0.3">
      <c r="I39649" s="82"/>
      <c r="M39649" s="85"/>
    </row>
    <row r="39650" spans="9:13" x14ac:dyDescent="0.3">
      <c r="I39650" s="82"/>
      <c r="M39650" s="85"/>
    </row>
    <row r="39651" spans="9:13" x14ac:dyDescent="0.3">
      <c r="I39651" s="82"/>
      <c r="M39651" s="85"/>
    </row>
    <row r="39652" spans="9:13" x14ac:dyDescent="0.3">
      <c r="I39652" s="82"/>
      <c r="M39652" s="85"/>
    </row>
    <row r="39653" spans="9:13" x14ac:dyDescent="0.3">
      <c r="I39653" s="82"/>
      <c r="M39653" s="85"/>
    </row>
    <row r="39654" spans="9:13" x14ac:dyDescent="0.3">
      <c r="I39654" s="82"/>
      <c r="M39654" s="85"/>
    </row>
    <row r="39655" spans="9:13" x14ac:dyDescent="0.3">
      <c r="I39655" s="82"/>
      <c r="M39655" s="85"/>
    </row>
    <row r="39656" spans="9:13" x14ac:dyDescent="0.3">
      <c r="I39656" s="82"/>
      <c r="M39656" s="85"/>
    </row>
    <row r="39657" spans="9:13" x14ac:dyDescent="0.3">
      <c r="I39657" s="82"/>
      <c r="M39657" s="85"/>
    </row>
    <row r="39658" spans="9:13" x14ac:dyDescent="0.3">
      <c r="I39658" s="82"/>
      <c r="M39658" s="85"/>
    </row>
    <row r="39659" spans="9:13" x14ac:dyDescent="0.3">
      <c r="I39659" s="82"/>
      <c r="M39659" s="85"/>
    </row>
    <row r="39660" spans="9:13" x14ac:dyDescent="0.3">
      <c r="I39660" s="82"/>
      <c r="M39660" s="85"/>
    </row>
    <row r="39661" spans="9:13" x14ac:dyDescent="0.3">
      <c r="I39661" s="82"/>
      <c r="M39661" s="85"/>
    </row>
    <row r="39662" spans="9:13" x14ac:dyDescent="0.3">
      <c r="I39662" s="82"/>
      <c r="M39662" s="85"/>
    </row>
    <row r="39663" spans="9:13" x14ac:dyDescent="0.3">
      <c r="I39663" s="82"/>
      <c r="M39663" s="85"/>
    </row>
    <row r="39664" spans="9:13" x14ac:dyDescent="0.3">
      <c r="I39664" s="82"/>
      <c r="M39664" s="85"/>
    </row>
    <row r="39665" spans="9:13" x14ac:dyDescent="0.3">
      <c r="I39665" s="82"/>
      <c r="M39665" s="85"/>
    </row>
    <row r="39666" spans="9:13" x14ac:dyDescent="0.3">
      <c r="I39666" s="82"/>
      <c r="M39666" s="85"/>
    </row>
    <row r="39667" spans="9:13" x14ac:dyDescent="0.3">
      <c r="I39667" s="82"/>
      <c r="M39667" s="85"/>
    </row>
    <row r="39668" spans="9:13" x14ac:dyDescent="0.3">
      <c r="I39668" s="82"/>
      <c r="M39668" s="85"/>
    </row>
    <row r="39669" spans="9:13" x14ac:dyDescent="0.3">
      <c r="I39669" s="82"/>
      <c r="M39669" s="85"/>
    </row>
    <row r="39670" spans="9:13" x14ac:dyDescent="0.3">
      <c r="I39670" s="82"/>
      <c r="M39670" s="85"/>
    </row>
    <row r="39671" spans="9:13" x14ac:dyDescent="0.3">
      <c r="I39671" s="82"/>
      <c r="M39671" s="85"/>
    </row>
    <row r="39672" spans="9:13" x14ac:dyDescent="0.3">
      <c r="I39672" s="82"/>
      <c r="M39672" s="85"/>
    </row>
    <row r="39673" spans="9:13" x14ac:dyDescent="0.3">
      <c r="I39673" s="82"/>
      <c r="M39673" s="85"/>
    </row>
    <row r="39674" spans="9:13" x14ac:dyDescent="0.3">
      <c r="I39674" s="82"/>
      <c r="M39674" s="85"/>
    </row>
    <row r="39675" spans="9:13" x14ac:dyDescent="0.3">
      <c r="I39675" s="82"/>
      <c r="M39675" s="85"/>
    </row>
    <row r="39676" spans="9:13" x14ac:dyDescent="0.3">
      <c r="I39676" s="82"/>
      <c r="M39676" s="85"/>
    </row>
    <row r="39677" spans="9:13" x14ac:dyDescent="0.3">
      <c r="I39677" s="82"/>
      <c r="M39677" s="85"/>
    </row>
    <row r="39678" spans="9:13" x14ac:dyDescent="0.3">
      <c r="I39678" s="82"/>
      <c r="M39678" s="85"/>
    </row>
    <row r="39679" spans="9:13" x14ac:dyDescent="0.3">
      <c r="I39679" s="82"/>
      <c r="M39679" s="85"/>
    </row>
    <row r="39680" spans="9:13" x14ac:dyDescent="0.3">
      <c r="I39680" s="82"/>
      <c r="M39680" s="85"/>
    </row>
    <row r="39681" spans="9:13" x14ac:dyDescent="0.3">
      <c r="I39681" s="82"/>
      <c r="M39681" s="85"/>
    </row>
    <row r="39682" spans="9:13" x14ac:dyDescent="0.3">
      <c r="I39682" s="82"/>
      <c r="M39682" s="85"/>
    </row>
    <row r="39683" spans="9:13" x14ac:dyDescent="0.3">
      <c r="I39683" s="82"/>
      <c r="M39683" s="85"/>
    </row>
    <row r="39684" spans="9:13" x14ac:dyDescent="0.3">
      <c r="I39684" s="82"/>
      <c r="M39684" s="85"/>
    </row>
    <row r="39685" spans="9:13" x14ac:dyDescent="0.3">
      <c r="I39685" s="82"/>
      <c r="M39685" s="85"/>
    </row>
    <row r="39686" spans="9:13" x14ac:dyDescent="0.3">
      <c r="I39686" s="82"/>
      <c r="M39686" s="85"/>
    </row>
    <row r="39687" spans="9:13" x14ac:dyDescent="0.3">
      <c r="I39687" s="82"/>
      <c r="M39687" s="85"/>
    </row>
    <row r="39688" spans="9:13" x14ac:dyDescent="0.3">
      <c r="I39688" s="82"/>
      <c r="M39688" s="85"/>
    </row>
    <row r="39689" spans="9:13" x14ac:dyDescent="0.3">
      <c r="I39689" s="82"/>
      <c r="M39689" s="85"/>
    </row>
    <row r="39690" spans="9:13" x14ac:dyDescent="0.3">
      <c r="I39690" s="82"/>
      <c r="M39690" s="85"/>
    </row>
    <row r="39691" spans="9:13" x14ac:dyDescent="0.3">
      <c r="I39691" s="82"/>
      <c r="M39691" s="85"/>
    </row>
    <row r="39692" spans="9:13" x14ac:dyDescent="0.3">
      <c r="I39692" s="82"/>
      <c r="M39692" s="85"/>
    </row>
    <row r="39693" spans="9:13" x14ac:dyDescent="0.3">
      <c r="I39693" s="82"/>
      <c r="M39693" s="85"/>
    </row>
    <row r="39694" spans="9:13" x14ac:dyDescent="0.3">
      <c r="I39694" s="82"/>
      <c r="M39694" s="85"/>
    </row>
    <row r="39695" spans="9:13" x14ac:dyDescent="0.3">
      <c r="I39695" s="82"/>
      <c r="M39695" s="85"/>
    </row>
    <row r="39696" spans="9:13" x14ac:dyDescent="0.3">
      <c r="I39696" s="82"/>
      <c r="M39696" s="85"/>
    </row>
    <row r="39697" spans="9:13" x14ac:dyDescent="0.3">
      <c r="I39697" s="82"/>
      <c r="M39697" s="85"/>
    </row>
    <row r="39698" spans="9:13" x14ac:dyDescent="0.3">
      <c r="I39698" s="82"/>
      <c r="M39698" s="85"/>
    </row>
    <row r="39699" spans="9:13" x14ac:dyDescent="0.3">
      <c r="I39699" s="82"/>
      <c r="M39699" s="85"/>
    </row>
    <row r="39700" spans="9:13" x14ac:dyDescent="0.3">
      <c r="I39700" s="82"/>
      <c r="M39700" s="85"/>
    </row>
    <row r="39701" spans="9:13" x14ac:dyDescent="0.3">
      <c r="I39701" s="82"/>
      <c r="M39701" s="85"/>
    </row>
    <row r="39702" spans="9:13" x14ac:dyDescent="0.3">
      <c r="I39702" s="82"/>
      <c r="M39702" s="85"/>
    </row>
    <row r="39703" spans="9:13" x14ac:dyDescent="0.3">
      <c r="I39703" s="82"/>
      <c r="M39703" s="85"/>
    </row>
    <row r="39704" spans="9:13" x14ac:dyDescent="0.3">
      <c r="I39704" s="82"/>
      <c r="M39704" s="85"/>
    </row>
    <row r="39705" spans="9:13" x14ac:dyDescent="0.3">
      <c r="I39705" s="82"/>
      <c r="M39705" s="85"/>
    </row>
    <row r="39706" spans="9:13" x14ac:dyDescent="0.3">
      <c r="I39706" s="82"/>
      <c r="M39706" s="85"/>
    </row>
    <row r="39707" spans="9:13" x14ac:dyDescent="0.3">
      <c r="I39707" s="82"/>
      <c r="M39707" s="85"/>
    </row>
    <row r="39708" spans="9:13" x14ac:dyDescent="0.3">
      <c r="I39708" s="82"/>
      <c r="M39708" s="85"/>
    </row>
    <row r="39709" spans="9:13" x14ac:dyDescent="0.3">
      <c r="I39709" s="82"/>
      <c r="M39709" s="85"/>
    </row>
    <row r="39710" spans="9:13" x14ac:dyDescent="0.3">
      <c r="I39710" s="82"/>
      <c r="M39710" s="85"/>
    </row>
    <row r="39711" spans="9:13" x14ac:dyDescent="0.3">
      <c r="I39711" s="82"/>
      <c r="M39711" s="85"/>
    </row>
    <row r="39712" spans="9:13" x14ac:dyDescent="0.3">
      <c r="I39712" s="82"/>
      <c r="M39712" s="85"/>
    </row>
    <row r="39713" spans="9:13" x14ac:dyDescent="0.3">
      <c r="I39713" s="82"/>
      <c r="M39713" s="85"/>
    </row>
    <row r="39714" spans="9:13" x14ac:dyDescent="0.3">
      <c r="I39714" s="82"/>
      <c r="M39714" s="85"/>
    </row>
    <row r="39715" spans="9:13" x14ac:dyDescent="0.3">
      <c r="I39715" s="82"/>
      <c r="M39715" s="85"/>
    </row>
    <row r="39716" spans="9:13" x14ac:dyDescent="0.3">
      <c r="I39716" s="82"/>
      <c r="M39716" s="85"/>
    </row>
    <row r="39717" spans="9:13" x14ac:dyDescent="0.3">
      <c r="I39717" s="82"/>
      <c r="M39717" s="85"/>
    </row>
    <row r="39718" spans="9:13" x14ac:dyDescent="0.3">
      <c r="I39718" s="82"/>
      <c r="M39718" s="85"/>
    </row>
    <row r="39719" spans="9:13" x14ac:dyDescent="0.3">
      <c r="I39719" s="82"/>
      <c r="M39719" s="85"/>
    </row>
    <row r="39720" spans="9:13" x14ac:dyDescent="0.3">
      <c r="I39720" s="82"/>
      <c r="M39720" s="85"/>
    </row>
    <row r="39721" spans="9:13" x14ac:dyDescent="0.3">
      <c r="I39721" s="82"/>
      <c r="M39721" s="85"/>
    </row>
    <row r="39722" spans="9:13" x14ac:dyDescent="0.3">
      <c r="I39722" s="82"/>
      <c r="M39722" s="85"/>
    </row>
    <row r="39723" spans="9:13" x14ac:dyDescent="0.3">
      <c r="I39723" s="82"/>
      <c r="M39723" s="85"/>
    </row>
    <row r="39724" spans="9:13" x14ac:dyDescent="0.3">
      <c r="I39724" s="82"/>
      <c r="M39724" s="85"/>
    </row>
    <row r="39725" spans="9:13" x14ac:dyDescent="0.3">
      <c r="I39725" s="82"/>
      <c r="M39725" s="85"/>
    </row>
    <row r="39726" spans="9:13" x14ac:dyDescent="0.3">
      <c r="I39726" s="82"/>
      <c r="M39726" s="85"/>
    </row>
    <row r="39727" spans="9:13" x14ac:dyDescent="0.3">
      <c r="I39727" s="82"/>
      <c r="M39727" s="85"/>
    </row>
    <row r="39728" spans="9:13" x14ac:dyDescent="0.3">
      <c r="I39728" s="82"/>
      <c r="M39728" s="85"/>
    </row>
    <row r="39729" spans="9:13" x14ac:dyDescent="0.3">
      <c r="I39729" s="82"/>
      <c r="M39729" s="85"/>
    </row>
    <row r="39730" spans="9:13" x14ac:dyDescent="0.3">
      <c r="I39730" s="82"/>
      <c r="M39730" s="85"/>
    </row>
    <row r="39731" spans="9:13" x14ac:dyDescent="0.3">
      <c r="I39731" s="82"/>
      <c r="M39731" s="85"/>
    </row>
    <row r="39732" spans="9:13" x14ac:dyDescent="0.3">
      <c r="I39732" s="82"/>
      <c r="M39732" s="85"/>
    </row>
    <row r="39733" spans="9:13" x14ac:dyDescent="0.3">
      <c r="I39733" s="82"/>
      <c r="M39733" s="85"/>
    </row>
    <row r="39734" spans="9:13" x14ac:dyDescent="0.3">
      <c r="I39734" s="82"/>
      <c r="M39734" s="85"/>
    </row>
    <row r="39735" spans="9:13" x14ac:dyDescent="0.3">
      <c r="I39735" s="82"/>
      <c r="M39735" s="85"/>
    </row>
    <row r="39736" spans="9:13" x14ac:dyDescent="0.3">
      <c r="I39736" s="82"/>
      <c r="M39736" s="85"/>
    </row>
    <row r="39737" spans="9:13" x14ac:dyDescent="0.3">
      <c r="I39737" s="82"/>
      <c r="M39737" s="85"/>
    </row>
    <row r="39738" spans="9:13" x14ac:dyDescent="0.3">
      <c r="I39738" s="82"/>
      <c r="M39738" s="85"/>
    </row>
    <row r="39739" spans="9:13" x14ac:dyDescent="0.3">
      <c r="I39739" s="82"/>
      <c r="M39739" s="85"/>
    </row>
    <row r="39740" spans="9:13" x14ac:dyDescent="0.3">
      <c r="I39740" s="82"/>
      <c r="M39740" s="85"/>
    </row>
    <row r="39741" spans="9:13" x14ac:dyDescent="0.3">
      <c r="I39741" s="82"/>
      <c r="M39741" s="85"/>
    </row>
    <row r="39742" spans="9:13" x14ac:dyDescent="0.3">
      <c r="I39742" s="82"/>
      <c r="M39742" s="85"/>
    </row>
    <row r="39743" spans="9:13" x14ac:dyDescent="0.3">
      <c r="I39743" s="82"/>
      <c r="M39743" s="85"/>
    </row>
    <row r="39744" spans="9:13" x14ac:dyDescent="0.3">
      <c r="I39744" s="82"/>
      <c r="M39744" s="85"/>
    </row>
    <row r="39745" spans="9:13" x14ac:dyDescent="0.3">
      <c r="I39745" s="82"/>
      <c r="M39745" s="85"/>
    </row>
    <row r="39746" spans="9:13" x14ac:dyDescent="0.3">
      <c r="I39746" s="82"/>
      <c r="M39746" s="85"/>
    </row>
    <row r="39747" spans="9:13" x14ac:dyDescent="0.3">
      <c r="I39747" s="82"/>
      <c r="M39747" s="85"/>
    </row>
    <row r="39748" spans="9:13" x14ac:dyDescent="0.3">
      <c r="I39748" s="82"/>
      <c r="M39748" s="85"/>
    </row>
    <row r="39749" spans="9:13" x14ac:dyDescent="0.3">
      <c r="I39749" s="82"/>
      <c r="M39749" s="85"/>
    </row>
    <row r="39750" spans="9:13" x14ac:dyDescent="0.3">
      <c r="I39750" s="82"/>
      <c r="M39750" s="85"/>
    </row>
    <row r="39751" spans="9:13" x14ac:dyDescent="0.3">
      <c r="I39751" s="82"/>
      <c r="M39751" s="85"/>
    </row>
    <row r="39752" spans="9:13" x14ac:dyDescent="0.3">
      <c r="I39752" s="82"/>
      <c r="M39752" s="85"/>
    </row>
    <row r="39753" spans="9:13" x14ac:dyDescent="0.3">
      <c r="I39753" s="82"/>
      <c r="M39753" s="85"/>
    </row>
    <row r="39754" spans="9:13" x14ac:dyDescent="0.3">
      <c r="I39754" s="82"/>
      <c r="M39754" s="85"/>
    </row>
    <row r="39755" spans="9:13" x14ac:dyDescent="0.3">
      <c r="I39755" s="82"/>
      <c r="M39755" s="85"/>
    </row>
    <row r="39756" spans="9:13" x14ac:dyDescent="0.3">
      <c r="I39756" s="82"/>
      <c r="M39756" s="85"/>
    </row>
    <row r="39757" spans="9:13" x14ac:dyDescent="0.3">
      <c r="I39757" s="82"/>
      <c r="M39757" s="85"/>
    </row>
    <row r="39758" spans="9:13" x14ac:dyDescent="0.3">
      <c r="I39758" s="82"/>
      <c r="M39758" s="85"/>
    </row>
    <row r="39759" spans="9:13" x14ac:dyDescent="0.3">
      <c r="I39759" s="82"/>
      <c r="M39759" s="85"/>
    </row>
    <row r="39760" spans="9:13" x14ac:dyDescent="0.3">
      <c r="I39760" s="82"/>
      <c r="M39760" s="85"/>
    </row>
    <row r="39761" spans="9:13" x14ac:dyDescent="0.3">
      <c r="I39761" s="82"/>
      <c r="M39761" s="85"/>
    </row>
    <row r="39762" spans="9:13" x14ac:dyDescent="0.3">
      <c r="I39762" s="82"/>
      <c r="M39762" s="85"/>
    </row>
    <row r="39763" spans="9:13" x14ac:dyDescent="0.3">
      <c r="I39763" s="82"/>
      <c r="M39763" s="85"/>
    </row>
    <row r="39764" spans="9:13" x14ac:dyDescent="0.3">
      <c r="I39764" s="82"/>
      <c r="M39764" s="85"/>
    </row>
    <row r="39765" spans="9:13" x14ac:dyDescent="0.3">
      <c r="I39765" s="82"/>
      <c r="M39765" s="85"/>
    </row>
    <row r="39766" spans="9:13" x14ac:dyDescent="0.3">
      <c r="I39766" s="82"/>
      <c r="M39766" s="85"/>
    </row>
    <row r="39767" spans="9:13" x14ac:dyDescent="0.3">
      <c r="I39767" s="82"/>
      <c r="M39767" s="85"/>
    </row>
    <row r="39768" spans="9:13" x14ac:dyDescent="0.3">
      <c r="I39768" s="82"/>
      <c r="M39768" s="85"/>
    </row>
    <row r="39769" spans="9:13" x14ac:dyDescent="0.3">
      <c r="I39769" s="82"/>
      <c r="M39769" s="85"/>
    </row>
    <row r="39770" spans="9:13" x14ac:dyDescent="0.3">
      <c r="I39770" s="82"/>
      <c r="M39770" s="85"/>
    </row>
    <row r="39771" spans="9:13" x14ac:dyDescent="0.3">
      <c r="I39771" s="82"/>
      <c r="M39771" s="85"/>
    </row>
    <row r="39772" spans="9:13" x14ac:dyDescent="0.3">
      <c r="I39772" s="82"/>
      <c r="M39772" s="85"/>
    </row>
    <row r="39773" spans="9:13" x14ac:dyDescent="0.3">
      <c r="I39773" s="82"/>
      <c r="M39773" s="85"/>
    </row>
    <row r="39774" spans="9:13" x14ac:dyDescent="0.3">
      <c r="I39774" s="82"/>
      <c r="M39774" s="85"/>
    </row>
    <row r="39775" spans="9:13" x14ac:dyDescent="0.3">
      <c r="I39775" s="82"/>
      <c r="M39775" s="85"/>
    </row>
    <row r="39776" spans="9:13" x14ac:dyDescent="0.3">
      <c r="I39776" s="82"/>
      <c r="M39776" s="85"/>
    </row>
    <row r="39777" spans="9:13" x14ac:dyDescent="0.3">
      <c r="I39777" s="82"/>
      <c r="M39777" s="85"/>
    </row>
    <row r="39778" spans="9:13" x14ac:dyDescent="0.3">
      <c r="I39778" s="82"/>
      <c r="M39778" s="85"/>
    </row>
    <row r="39779" spans="9:13" x14ac:dyDescent="0.3">
      <c r="I39779" s="82"/>
      <c r="M39779" s="85"/>
    </row>
    <row r="39780" spans="9:13" x14ac:dyDescent="0.3">
      <c r="I39780" s="82"/>
      <c r="M39780" s="85"/>
    </row>
    <row r="39781" spans="9:13" x14ac:dyDescent="0.3">
      <c r="I39781" s="82"/>
      <c r="M39781" s="85"/>
    </row>
    <row r="39782" spans="9:13" x14ac:dyDescent="0.3">
      <c r="I39782" s="82"/>
      <c r="M39782" s="85"/>
    </row>
    <row r="39783" spans="9:13" x14ac:dyDescent="0.3">
      <c r="I39783" s="82"/>
      <c r="M39783" s="85"/>
    </row>
    <row r="39784" spans="9:13" x14ac:dyDescent="0.3">
      <c r="I39784" s="82"/>
      <c r="M39784" s="85"/>
    </row>
    <row r="39785" spans="9:13" x14ac:dyDescent="0.3">
      <c r="I39785" s="82"/>
      <c r="M39785" s="85"/>
    </row>
    <row r="39786" spans="9:13" x14ac:dyDescent="0.3">
      <c r="I39786" s="82"/>
      <c r="M39786" s="85"/>
    </row>
    <row r="39787" spans="9:13" x14ac:dyDescent="0.3">
      <c r="I39787" s="82"/>
      <c r="M39787" s="85"/>
    </row>
    <row r="39788" spans="9:13" x14ac:dyDescent="0.3">
      <c r="I39788" s="82"/>
      <c r="M39788" s="85"/>
    </row>
    <row r="39789" spans="9:13" x14ac:dyDescent="0.3">
      <c r="I39789" s="82"/>
      <c r="M39789" s="85"/>
    </row>
    <row r="39790" spans="9:13" x14ac:dyDescent="0.3">
      <c r="I39790" s="82"/>
      <c r="M39790" s="85"/>
    </row>
    <row r="39791" spans="9:13" x14ac:dyDescent="0.3">
      <c r="I39791" s="82"/>
      <c r="M39791" s="85"/>
    </row>
    <row r="39792" spans="9:13" x14ac:dyDescent="0.3">
      <c r="I39792" s="82"/>
      <c r="M39792" s="85"/>
    </row>
    <row r="39793" spans="9:13" x14ac:dyDescent="0.3">
      <c r="I39793" s="82"/>
      <c r="M39793" s="85"/>
    </row>
    <row r="39794" spans="9:13" x14ac:dyDescent="0.3">
      <c r="I39794" s="82"/>
      <c r="M39794" s="85"/>
    </row>
    <row r="39795" spans="9:13" x14ac:dyDescent="0.3">
      <c r="I39795" s="82"/>
      <c r="M39795" s="85"/>
    </row>
    <row r="39796" spans="9:13" x14ac:dyDescent="0.3">
      <c r="I39796" s="82"/>
      <c r="M39796" s="85"/>
    </row>
    <row r="39797" spans="9:13" x14ac:dyDescent="0.3">
      <c r="I39797" s="82"/>
      <c r="M39797" s="85"/>
    </row>
    <row r="39798" spans="9:13" x14ac:dyDescent="0.3">
      <c r="I39798" s="82"/>
      <c r="M39798" s="85"/>
    </row>
    <row r="39799" spans="9:13" x14ac:dyDescent="0.3">
      <c r="I39799" s="82"/>
      <c r="M39799" s="85"/>
    </row>
    <row r="39800" spans="9:13" x14ac:dyDescent="0.3">
      <c r="I39800" s="82"/>
      <c r="M39800" s="85"/>
    </row>
    <row r="39801" spans="9:13" x14ac:dyDescent="0.3">
      <c r="I39801" s="82"/>
      <c r="M39801" s="85"/>
    </row>
    <row r="39802" spans="9:13" x14ac:dyDescent="0.3">
      <c r="I39802" s="82"/>
      <c r="M39802" s="85"/>
    </row>
    <row r="39803" spans="9:13" x14ac:dyDescent="0.3">
      <c r="I39803" s="82"/>
      <c r="M39803" s="85"/>
    </row>
    <row r="39804" spans="9:13" x14ac:dyDescent="0.3">
      <c r="I39804" s="82"/>
      <c r="M39804" s="85"/>
    </row>
    <row r="39805" spans="9:13" x14ac:dyDescent="0.3">
      <c r="I39805" s="82"/>
      <c r="M39805" s="85"/>
    </row>
    <row r="39806" spans="9:13" x14ac:dyDescent="0.3">
      <c r="I39806" s="82"/>
      <c r="M39806" s="85"/>
    </row>
    <row r="39807" spans="9:13" x14ac:dyDescent="0.3">
      <c r="I39807" s="82"/>
      <c r="M39807" s="85"/>
    </row>
    <row r="39808" spans="9:13" x14ac:dyDescent="0.3">
      <c r="I39808" s="82"/>
      <c r="M39808" s="85"/>
    </row>
    <row r="39809" spans="9:13" x14ac:dyDescent="0.3">
      <c r="I39809" s="82"/>
      <c r="M39809" s="85"/>
    </row>
    <row r="39810" spans="9:13" x14ac:dyDescent="0.3">
      <c r="I39810" s="82"/>
      <c r="M39810" s="85"/>
    </row>
    <row r="39811" spans="9:13" x14ac:dyDescent="0.3">
      <c r="I39811" s="82"/>
      <c r="M39811" s="85"/>
    </row>
    <row r="39812" spans="9:13" x14ac:dyDescent="0.3">
      <c r="I39812" s="82"/>
      <c r="M39812" s="85"/>
    </row>
    <row r="39813" spans="9:13" x14ac:dyDescent="0.3">
      <c r="I39813" s="82"/>
      <c r="M39813" s="85"/>
    </row>
    <row r="39814" spans="9:13" x14ac:dyDescent="0.3">
      <c r="I39814" s="82"/>
      <c r="M39814" s="85"/>
    </row>
    <row r="39815" spans="9:13" x14ac:dyDescent="0.3">
      <c r="I39815" s="82"/>
      <c r="M39815" s="85"/>
    </row>
    <row r="39816" spans="9:13" x14ac:dyDescent="0.3">
      <c r="I39816" s="82"/>
      <c r="M39816" s="85"/>
    </row>
    <row r="39817" spans="9:13" x14ac:dyDescent="0.3">
      <c r="I39817" s="82"/>
      <c r="M39817" s="85"/>
    </row>
    <row r="39818" spans="9:13" x14ac:dyDescent="0.3">
      <c r="I39818" s="82"/>
      <c r="M39818" s="85"/>
    </row>
    <row r="39819" spans="9:13" x14ac:dyDescent="0.3">
      <c r="I39819" s="82"/>
      <c r="M39819" s="85"/>
    </row>
    <row r="39820" spans="9:13" x14ac:dyDescent="0.3">
      <c r="I39820" s="82"/>
      <c r="M39820" s="85"/>
    </row>
    <row r="39821" spans="9:13" x14ac:dyDescent="0.3">
      <c r="I39821" s="82"/>
      <c r="M39821" s="85"/>
    </row>
    <row r="39822" spans="9:13" x14ac:dyDescent="0.3">
      <c r="I39822" s="82"/>
      <c r="M39822" s="85"/>
    </row>
    <row r="39823" spans="9:13" x14ac:dyDescent="0.3">
      <c r="I39823" s="82"/>
      <c r="M39823" s="85"/>
    </row>
    <row r="39824" spans="9:13" x14ac:dyDescent="0.3">
      <c r="I39824" s="82"/>
      <c r="M39824" s="85"/>
    </row>
    <row r="39825" spans="9:13" x14ac:dyDescent="0.3">
      <c r="I39825" s="82"/>
      <c r="M39825" s="85"/>
    </row>
    <row r="39826" spans="9:13" x14ac:dyDescent="0.3">
      <c r="I39826" s="82"/>
      <c r="M39826" s="85"/>
    </row>
    <row r="39827" spans="9:13" x14ac:dyDescent="0.3">
      <c r="I39827" s="82"/>
      <c r="M39827" s="85"/>
    </row>
    <row r="39828" spans="9:13" x14ac:dyDescent="0.3">
      <c r="I39828" s="82"/>
      <c r="M39828" s="85"/>
    </row>
    <row r="39829" spans="9:13" x14ac:dyDescent="0.3">
      <c r="I39829" s="82"/>
      <c r="M39829" s="85"/>
    </row>
    <row r="39830" spans="9:13" x14ac:dyDescent="0.3">
      <c r="I39830" s="82"/>
      <c r="M39830" s="85"/>
    </row>
    <row r="39831" spans="9:13" x14ac:dyDescent="0.3">
      <c r="I39831" s="82"/>
      <c r="M39831" s="85"/>
    </row>
    <row r="39832" spans="9:13" x14ac:dyDescent="0.3">
      <c r="I39832" s="82"/>
      <c r="M39832" s="85"/>
    </row>
    <row r="39833" spans="9:13" x14ac:dyDescent="0.3">
      <c r="I39833" s="82"/>
      <c r="M39833" s="85"/>
    </row>
    <row r="39834" spans="9:13" x14ac:dyDescent="0.3">
      <c r="I39834" s="82"/>
      <c r="M39834" s="85"/>
    </row>
    <row r="39835" spans="9:13" x14ac:dyDescent="0.3">
      <c r="I39835" s="82"/>
      <c r="M39835" s="85"/>
    </row>
    <row r="39836" spans="9:13" x14ac:dyDescent="0.3">
      <c r="I39836" s="82"/>
      <c r="M39836" s="85"/>
    </row>
    <row r="39837" spans="9:13" x14ac:dyDescent="0.3">
      <c r="I39837" s="82"/>
      <c r="M39837" s="85"/>
    </row>
    <row r="39838" spans="9:13" x14ac:dyDescent="0.3">
      <c r="I39838" s="82"/>
      <c r="M39838" s="85"/>
    </row>
    <row r="39839" spans="9:13" x14ac:dyDescent="0.3">
      <c r="I39839" s="82"/>
      <c r="M39839" s="85"/>
    </row>
    <row r="39840" spans="9:13" x14ac:dyDescent="0.3">
      <c r="I39840" s="82"/>
      <c r="M39840" s="85"/>
    </row>
    <row r="39841" spans="9:13" x14ac:dyDescent="0.3">
      <c r="I39841" s="82"/>
      <c r="M39841" s="85"/>
    </row>
    <row r="39842" spans="9:13" x14ac:dyDescent="0.3">
      <c r="I39842" s="82"/>
      <c r="M39842" s="85"/>
    </row>
    <row r="39843" spans="9:13" x14ac:dyDescent="0.3">
      <c r="I39843" s="82"/>
      <c r="M39843" s="85"/>
    </row>
    <row r="39844" spans="9:13" x14ac:dyDescent="0.3">
      <c r="I39844" s="82"/>
      <c r="M39844" s="85"/>
    </row>
    <row r="39845" spans="9:13" x14ac:dyDescent="0.3">
      <c r="I39845" s="82"/>
      <c r="M39845" s="85"/>
    </row>
    <row r="39846" spans="9:13" x14ac:dyDescent="0.3">
      <c r="I39846" s="82"/>
      <c r="M39846" s="85"/>
    </row>
    <row r="39847" spans="9:13" x14ac:dyDescent="0.3">
      <c r="I39847" s="82"/>
      <c r="M39847" s="85"/>
    </row>
    <row r="39848" spans="9:13" x14ac:dyDescent="0.3">
      <c r="I39848" s="82"/>
      <c r="M39848" s="85"/>
    </row>
    <row r="39849" spans="9:13" x14ac:dyDescent="0.3">
      <c r="I39849" s="82"/>
      <c r="M39849" s="85"/>
    </row>
    <row r="39850" spans="9:13" x14ac:dyDescent="0.3">
      <c r="I39850" s="82"/>
      <c r="M39850" s="85"/>
    </row>
    <row r="39851" spans="9:13" x14ac:dyDescent="0.3">
      <c r="I39851" s="82"/>
      <c r="M39851" s="85"/>
    </row>
    <row r="39852" spans="9:13" x14ac:dyDescent="0.3">
      <c r="I39852" s="82"/>
      <c r="M39852" s="85"/>
    </row>
    <row r="39853" spans="9:13" x14ac:dyDescent="0.3">
      <c r="I39853" s="82"/>
      <c r="M39853" s="85"/>
    </row>
    <row r="39854" spans="9:13" x14ac:dyDescent="0.3">
      <c r="I39854" s="82"/>
      <c r="M39854" s="85"/>
    </row>
    <row r="39855" spans="9:13" x14ac:dyDescent="0.3">
      <c r="I39855" s="82"/>
      <c r="M39855" s="85"/>
    </row>
    <row r="39856" spans="9:13" x14ac:dyDescent="0.3">
      <c r="I39856" s="82"/>
      <c r="M39856" s="85"/>
    </row>
    <row r="39857" spans="9:13" x14ac:dyDescent="0.3">
      <c r="I39857" s="82"/>
      <c r="M39857" s="85"/>
    </row>
    <row r="39858" spans="9:13" x14ac:dyDescent="0.3">
      <c r="I39858" s="82"/>
      <c r="M39858" s="85"/>
    </row>
    <row r="39859" spans="9:13" x14ac:dyDescent="0.3">
      <c r="I39859" s="82"/>
      <c r="M39859" s="85"/>
    </row>
    <row r="39860" spans="9:13" x14ac:dyDescent="0.3">
      <c r="I39860" s="82"/>
      <c r="M39860" s="85"/>
    </row>
    <row r="39861" spans="9:13" x14ac:dyDescent="0.3">
      <c r="I39861" s="82"/>
      <c r="M39861" s="85"/>
    </row>
    <row r="39862" spans="9:13" x14ac:dyDescent="0.3">
      <c r="I39862" s="82"/>
      <c r="M39862" s="85"/>
    </row>
    <row r="39863" spans="9:13" x14ac:dyDescent="0.3">
      <c r="I39863" s="82"/>
      <c r="M39863" s="85"/>
    </row>
    <row r="39864" spans="9:13" x14ac:dyDescent="0.3">
      <c r="I39864" s="82"/>
      <c r="M39864" s="85"/>
    </row>
    <row r="39865" spans="9:13" x14ac:dyDescent="0.3">
      <c r="I39865" s="82"/>
      <c r="M39865" s="85"/>
    </row>
    <row r="39866" spans="9:13" x14ac:dyDescent="0.3">
      <c r="I39866" s="82"/>
      <c r="M39866" s="85"/>
    </row>
    <row r="39867" spans="9:13" x14ac:dyDescent="0.3">
      <c r="I39867" s="82"/>
      <c r="M39867" s="85"/>
    </row>
    <row r="39868" spans="9:13" x14ac:dyDescent="0.3">
      <c r="I39868" s="82"/>
      <c r="M39868" s="85"/>
    </row>
    <row r="39869" spans="9:13" x14ac:dyDescent="0.3">
      <c r="I39869" s="82"/>
      <c r="M39869" s="85"/>
    </row>
    <row r="39870" spans="9:13" x14ac:dyDescent="0.3">
      <c r="I39870" s="82"/>
      <c r="M39870" s="85"/>
    </row>
    <row r="39871" spans="9:13" x14ac:dyDescent="0.3">
      <c r="I39871" s="82"/>
      <c r="M39871" s="85"/>
    </row>
    <row r="39872" spans="9:13" x14ac:dyDescent="0.3">
      <c r="I39872" s="82"/>
      <c r="M39872" s="85"/>
    </row>
    <row r="39873" spans="9:13" x14ac:dyDescent="0.3">
      <c r="I39873" s="82"/>
      <c r="M39873" s="85"/>
    </row>
    <row r="39874" spans="9:13" x14ac:dyDescent="0.3">
      <c r="I39874" s="82"/>
      <c r="M39874" s="85"/>
    </row>
    <row r="39875" spans="9:13" x14ac:dyDescent="0.3">
      <c r="I39875" s="82"/>
      <c r="M39875" s="85"/>
    </row>
    <row r="39876" spans="9:13" x14ac:dyDescent="0.3">
      <c r="I39876" s="82"/>
      <c r="M39876" s="85"/>
    </row>
    <row r="39877" spans="9:13" x14ac:dyDescent="0.3">
      <c r="I39877" s="82"/>
      <c r="M39877" s="85"/>
    </row>
    <row r="39878" spans="9:13" x14ac:dyDescent="0.3">
      <c r="I39878" s="82"/>
      <c r="M39878" s="85"/>
    </row>
    <row r="39879" spans="9:13" x14ac:dyDescent="0.3">
      <c r="I39879" s="82"/>
      <c r="M39879" s="85"/>
    </row>
    <row r="39880" spans="9:13" x14ac:dyDescent="0.3">
      <c r="I39880" s="82"/>
      <c r="M39880" s="85"/>
    </row>
    <row r="39881" spans="9:13" x14ac:dyDescent="0.3">
      <c r="I39881" s="82"/>
      <c r="M39881" s="85"/>
    </row>
    <row r="39882" spans="9:13" x14ac:dyDescent="0.3">
      <c r="I39882" s="82"/>
      <c r="M39882" s="85"/>
    </row>
    <row r="39883" spans="9:13" x14ac:dyDescent="0.3">
      <c r="I39883" s="82"/>
      <c r="M39883" s="85"/>
    </row>
    <row r="39884" spans="9:13" x14ac:dyDescent="0.3">
      <c r="I39884" s="82"/>
      <c r="M39884" s="85"/>
    </row>
    <row r="39885" spans="9:13" x14ac:dyDescent="0.3">
      <c r="I39885" s="82"/>
      <c r="M39885" s="85"/>
    </row>
    <row r="39886" spans="9:13" x14ac:dyDescent="0.3">
      <c r="I39886" s="82"/>
      <c r="M39886" s="85"/>
    </row>
    <row r="39887" spans="9:13" x14ac:dyDescent="0.3">
      <c r="I39887" s="82"/>
      <c r="M39887" s="85"/>
    </row>
    <row r="39888" spans="9:13" x14ac:dyDescent="0.3">
      <c r="I39888" s="82"/>
      <c r="M39888" s="85"/>
    </row>
    <row r="39889" spans="9:13" x14ac:dyDescent="0.3">
      <c r="I39889" s="82"/>
      <c r="M39889" s="85"/>
    </row>
    <row r="39890" spans="9:13" x14ac:dyDescent="0.3">
      <c r="I39890" s="82"/>
      <c r="M39890" s="85"/>
    </row>
    <row r="39891" spans="9:13" x14ac:dyDescent="0.3">
      <c r="I39891" s="82"/>
      <c r="M39891" s="85"/>
    </row>
    <row r="39892" spans="9:13" x14ac:dyDescent="0.3">
      <c r="I39892" s="82"/>
      <c r="M39892" s="85"/>
    </row>
    <row r="39893" spans="9:13" x14ac:dyDescent="0.3">
      <c r="I39893" s="82"/>
      <c r="M39893" s="85"/>
    </row>
    <row r="39894" spans="9:13" x14ac:dyDescent="0.3">
      <c r="I39894" s="82"/>
      <c r="M39894" s="85"/>
    </row>
    <row r="39895" spans="9:13" x14ac:dyDescent="0.3">
      <c r="I39895" s="82"/>
      <c r="M39895" s="85"/>
    </row>
    <row r="39896" spans="9:13" x14ac:dyDescent="0.3">
      <c r="I39896" s="82"/>
      <c r="M39896" s="85"/>
    </row>
    <row r="39897" spans="9:13" x14ac:dyDescent="0.3">
      <c r="I39897" s="82"/>
      <c r="M39897" s="85"/>
    </row>
    <row r="39898" spans="9:13" x14ac:dyDescent="0.3">
      <c r="I39898" s="82"/>
      <c r="M39898" s="85"/>
    </row>
    <row r="39899" spans="9:13" x14ac:dyDescent="0.3">
      <c r="I39899" s="82"/>
      <c r="M39899" s="85"/>
    </row>
    <row r="39900" spans="9:13" x14ac:dyDescent="0.3">
      <c r="I39900" s="82"/>
      <c r="M39900" s="85"/>
    </row>
    <row r="39901" spans="9:13" x14ac:dyDescent="0.3">
      <c r="I39901" s="82"/>
      <c r="M39901" s="85"/>
    </row>
    <row r="39902" spans="9:13" x14ac:dyDescent="0.3">
      <c r="I39902" s="82"/>
      <c r="M39902" s="85"/>
    </row>
    <row r="39903" spans="9:13" x14ac:dyDescent="0.3">
      <c r="I39903" s="82"/>
      <c r="M39903" s="85"/>
    </row>
    <row r="39904" spans="9:13" x14ac:dyDescent="0.3">
      <c r="I39904" s="82"/>
      <c r="M39904" s="85"/>
    </row>
    <row r="39905" spans="9:13" x14ac:dyDescent="0.3">
      <c r="I39905" s="82"/>
      <c r="M39905" s="85"/>
    </row>
    <row r="39906" spans="9:13" x14ac:dyDescent="0.3">
      <c r="I39906" s="82"/>
      <c r="M39906" s="85"/>
    </row>
    <row r="39907" spans="9:13" x14ac:dyDescent="0.3">
      <c r="I39907" s="82"/>
      <c r="M39907" s="85"/>
    </row>
    <row r="39908" spans="9:13" x14ac:dyDescent="0.3">
      <c r="I39908" s="82"/>
      <c r="M39908" s="85"/>
    </row>
    <row r="39909" spans="9:13" x14ac:dyDescent="0.3">
      <c r="I39909" s="82"/>
      <c r="M39909" s="85"/>
    </row>
    <row r="39910" spans="9:13" x14ac:dyDescent="0.3">
      <c r="I39910" s="82"/>
      <c r="M39910" s="85"/>
    </row>
    <row r="39911" spans="9:13" x14ac:dyDescent="0.3">
      <c r="I39911" s="82"/>
      <c r="M39911" s="85"/>
    </row>
    <row r="39912" spans="9:13" x14ac:dyDescent="0.3">
      <c r="I39912" s="82"/>
      <c r="M39912" s="85"/>
    </row>
    <row r="39913" spans="9:13" x14ac:dyDescent="0.3">
      <c r="I39913" s="82"/>
      <c r="M39913" s="85"/>
    </row>
    <row r="39914" spans="9:13" x14ac:dyDescent="0.3">
      <c r="I39914" s="82"/>
      <c r="M39914" s="85"/>
    </row>
    <row r="39915" spans="9:13" x14ac:dyDescent="0.3">
      <c r="I39915" s="82"/>
      <c r="M39915" s="85"/>
    </row>
    <row r="39916" spans="9:13" x14ac:dyDescent="0.3">
      <c r="I39916" s="82"/>
      <c r="M39916" s="85"/>
    </row>
    <row r="39917" spans="9:13" x14ac:dyDescent="0.3">
      <c r="I39917" s="82"/>
      <c r="M39917" s="85"/>
    </row>
    <row r="39918" spans="9:13" x14ac:dyDescent="0.3">
      <c r="I39918" s="82"/>
      <c r="M39918" s="85"/>
    </row>
    <row r="39919" spans="9:13" x14ac:dyDescent="0.3">
      <c r="I39919" s="82"/>
      <c r="M39919" s="85"/>
    </row>
    <row r="39920" spans="9:13" x14ac:dyDescent="0.3">
      <c r="I39920" s="82"/>
      <c r="M39920" s="85"/>
    </row>
    <row r="39921" spans="9:13" x14ac:dyDescent="0.3">
      <c r="I39921" s="82"/>
      <c r="M39921" s="85"/>
    </row>
    <row r="39922" spans="9:13" x14ac:dyDescent="0.3">
      <c r="I39922" s="82"/>
      <c r="M39922" s="85"/>
    </row>
    <row r="39923" spans="9:13" x14ac:dyDescent="0.3">
      <c r="I39923" s="82"/>
      <c r="M39923" s="85"/>
    </row>
    <row r="39924" spans="9:13" x14ac:dyDescent="0.3">
      <c r="I39924" s="82"/>
      <c r="M39924" s="85"/>
    </row>
    <row r="39925" spans="9:13" x14ac:dyDescent="0.3">
      <c r="I39925" s="82"/>
      <c r="M39925" s="85"/>
    </row>
    <row r="39926" spans="9:13" x14ac:dyDescent="0.3">
      <c r="I39926" s="82"/>
      <c r="M39926" s="85"/>
    </row>
    <row r="39927" spans="9:13" x14ac:dyDescent="0.3">
      <c r="I39927" s="82"/>
      <c r="M39927" s="85"/>
    </row>
    <row r="39928" spans="9:13" x14ac:dyDescent="0.3">
      <c r="I39928" s="82"/>
      <c r="M39928" s="85"/>
    </row>
    <row r="39929" spans="9:13" x14ac:dyDescent="0.3">
      <c r="I39929" s="82"/>
      <c r="M39929" s="85"/>
    </row>
    <row r="39930" spans="9:13" x14ac:dyDescent="0.3">
      <c r="I39930" s="82"/>
      <c r="M39930" s="85"/>
    </row>
    <row r="39931" spans="9:13" x14ac:dyDescent="0.3">
      <c r="I39931" s="82"/>
      <c r="M39931" s="85"/>
    </row>
    <row r="39932" spans="9:13" x14ac:dyDescent="0.3">
      <c r="I39932" s="82"/>
      <c r="M39932" s="85"/>
    </row>
    <row r="39933" spans="9:13" x14ac:dyDescent="0.3">
      <c r="I39933" s="82"/>
      <c r="M39933" s="85"/>
    </row>
    <row r="39934" spans="9:13" x14ac:dyDescent="0.3">
      <c r="I39934" s="82"/>
      <c r="M39934" s="85"/>
    </row>
    <row r="39935" spans="9:13" x14ac:dyDescent="0.3">
      <c r="I39935" s="82"/>
      <c r="M39935" s="85"/>
    </row>
    <row r="39936" spans="9:13" x14ac:dyDescent="0.3">
      <c r="I39936" s="82"/>
      <c r="M39936" s="85"/>
    </row>
    <row r="39937" spans="9:13" x14ac:dyDescent="0.3">
      <c r="I39937" s="82"/>
      <c r="M39937" s="85"/>
    </row>
    <row r="39938" spans="9:13" x14ac:dyDescent="0.3">
      <c r="I39938" s="82"/>
      <c r="M39938" s="85"/>
    </row>
    <row r="39939" spans="9:13" x14ac:dyDescent="0.3">
      <c r="I39939" s="82"/>
      <c r="M39939" s="85"/>
    </row>
    <row r="39940" spans="9:13" x14ac:dyDescent="0.3">
      <c r="I39940" s="82"/>
      <c r="M39940" s="85"/>
    </row>
    <row r="39941" spans="9:13" x14ac:dyDescent="0.3">
      <c r="I39941" s="82"/>
      <c r="M39941" s="85"/>
    </row>
    <row r="39942" spans="9:13" x14ac:dyDescent="0.3">
      <c r="I39942" s="82"/>
      <c r="M39942" s="85"/>
    </row>
    <row r="39943" spans="9:13" x14ac:dyDescent="0.3">
      <c r="I39943" s="82"/>
      <c r="M39943" s="85"/>
    </row>
    <row r="39944" spans="9:13" x14ac:dyDescent="0.3">
      <c r="I39944" s="82"/>
      <c r="M39944" s="85"/>
    </row>
    <row r="39945" spans="9:13" x14ac:dyDescent="0.3">
      <c r="I39945" s="82"/>
      <c r="M39945" s="85"/>
    </row>
    <row r="39946" spans="9:13" x14ac:dyDescent="0.3">
      <c r="I39946" s="82"/>
      <c r="M39946" s="85"/>
    </row>
    <row r="39947" spans="9:13" x14ac:dyDescent="0.3">
      <c r="I39947" s="82"/>
      <c r="M39947" s="85"/>
    </row>
    <row r="39948" spans="9:13" x14ac:dyDescent="0.3">
      <c r="I39948" s="82"/>
      <c r="M39948" s="85"/>
    </row>
    <row r="39949" spans="9:13" x14ac:dyDescent="0.3">
      <c r="I39949" s="82"/>
      <c r="M39949" s="85"/>
    </row>
    <row r="39950" spans="9:13" x14ac:dyDescent="0.3">
      <c r="I39950" s="82"/>
      <c r="M39950" s="85"/>
    </row>
    <row r="39951" spans="9:13" x14ac:dyDescent="0.3">
      <c r="I39951" s="82"/>
      <c r="M39951" s="85"/>
    </row>
    <row r="39952" spans="9:13" x14ac:dyDescent="0.3">
      <c r="I39952" s="82"/>
      <c r="M39952" s="85"/>
    </row>
    <row r="39953" spans="9:13" x14ac:dyDescent="0.3">
      <c r="I39953" s="94"/>
      <c r="J39953" s="95"/>
      <c r="K39953" s="96"/>
      <c r="L39953" s="97"/>
      <c r="M39953" s="98"/>
    </row>
  </sheetData>
  <sheetProtection deleteColumns="0" deleteRows="0" selectLockedCells="1" sort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444"/>
  <sheetViews>
    <sheetView workbookViewId="0">
      <selection activeCell="S5" sqref="S5"/>
    </sheetView>
  </sheetViews>
  <sheetFormatPr defaultRowHeight="14.4" x14ac:dyDescent="0.3"/>
  <cols>
    <col min="1" max="1" width="15.33203125" bestFit="1" customWidth="1"/>
    <col min="2" max="2" width="28.33203125" bestFit="1" customWidth="1"/>
    <col min="3" max="3" width="7.44140625" bestFit="1" customWidth="1"/>
    <col min="4" max="4" width="4.33203125" bestFit="1" customWidth="1"/>
    <col min="5" max="6" width="10.33203125" bestFit="1" customWidth="1"/>
    <col min="8" max="8" width="12.5546875" bestFit="1" customWidth="1"/>
  </cols>
  <sheetData>
    <row r="1" spans="1:19" x14ac:dyDescent="0.3">
      <c r="A1" s="32" t="s">
        <v>0</v>
      </c>
      <c r="B1" s="33" t="s">
        <v>1</v>
      </c>
      <c r="C1" s="33" t="s">
        <v>60</v>
      </c>
      <c r="D1" s="134" t="s">
        <v>62</v>
      </c>
      <c r="E1" s="134" t="s">
        <v>63</v>
      </c>
      <c r="F1" s="34" t="s">
        <v>61</v>
      </c>
      <c r="G1" s="35" t="s">
        <v>5</v>
      </c>
      <c r="H1" s="35" t="s">
        <v>6</v>
      </c>
      <c r="I1" s="134" t="s">
        <v>64</v>
      </c>
    </row>
    <row r="2" spans="1:19" x14ac:dyDescent="0.3">
      <c r="A2" s="171"/>
      <c r="B2" s="174"/>
      <c r="C2" s="172"/>
      <c r="D2" s="172"/>
      <c r="E2" s="172"/>
      <c r="F2" s="172"/>
      <c r="G2" s="173"/>
      <c r="H2" s="173"/>
      <c r="I2" s="173"/>
    </row>
    <row r="3" spans="1:19" x14ac:dyDescent="0.3">
      <c r="A3" s="171"/>
      <c r="B3" s="174"/>
      <c r="C3" s="172"/>
      <c r="D3" s="172"/>
      <c r="E3" s="172"/>
      <c r="F3" s="172"/>
      <c r="G3" s="173"/>
      <c r="H3" s="173"/>
      <c r="I3" s="173"/>
    </row>
    <row r="4" spans="1:19" x14ac:dyDescent="0.3">
      <c r="A4" s="171"/>
      <c r="B4" s="174"/>
      <c r="C4" s="172"/>
      <c r="D4" s="172"/>
      <c r="E4" s="172"/>
      <c r="F4" s="172"/>
      <c r="G4" s="173"/>
      <c r="H4" s="173"/>
      <c r="I4" s="173"/>
      <c r="S4" t="s">
        <v>1</v>
      </c>
    </row>
    <row r="5" spans="1:19" x14ac:dyDescent="0.3">
      <c r="A5" s="171"/>
      <c r="B5" s="174"/>
      <c r="C5" s="172"/>
      <c r="D5" s="172"/>
      <c r="E5" s="172"/>
      <c r="F5" s="172"/>
      <c r="G5" s="173"/>
      <c r="H5" s="173"/>
      <c r="I5" s="173"/>
      <c r="S5" t="s">
        <v>986</v>
      </c>
    </row>
    <row r="6" spans="1:19" x14ac:dyDescent="0.3">
      <c r="A6" s="171"/>
      <c r="B6" s="174"/>
      <c r="C6" s="172"/>
      <c r="D6" s="172"/>
      <c r="E6" s="172"/>
      <c r="F6" s="172"/>
      <c r="G6" s="173"/>
      <c r="H6" s="173"/>
      <c r="I6" s="173"/>
    </row>
    <row r="7" spans="1:19" x14ac:dyDescent="0.3">
      <c r="A7" s="171"/>
      <c r="B7" s="174"/>
      <c r="C7" s="172"/>
      <c r="D7" s="172"/>
      <c r="E7" s="172"/>
      <c r="F7" s="172"/>
      <c r="G7" s="173"/>
      <c r="H7" s="173"/>
      <c r="I7" s="173"/>
    </row>
    <row r="8" spans="1:19" x14ac:dyDescent="0.3">
      <c r="A8" s="171"/>
      <c r="B8" s="174"/>
      <c r="C8" s="172"/>
      <c r="D8" s="172"/>
      <c r="E8" s="172"/>
      <c r="F8" s="172"/>
      <c r="G8" s="173"/>
      <c r="H8" s="173"/>
      <c r="I8" s="173"/>
    </row>
    <row r="9" spans="1:19" x14ac:dyDescent="0.3">
      <c r="A9" s="171"/>
      <c r="B9" s="174"/>
      <c r="C9" s="172"/>
      <c r="D9" s="172"/>
      <c r="E9" s="172"/>
      <c r="F9" s="172"/>
      <c r="G9" s="173"/>
      <c r="H9" s="173"/>
      <c r="I9" s="173"/>
    </row>
    <row r="10" spans="1:19" x14ac:dyDescent="0.3">
      <c r="A10" s="171"/>
      <c r="B10" s="174"/>
      <c r="C10" s="172"/>
      <c r="D10" s="172"/>
      <c r="E10" s="172"/>
      <c r="F10" s="172"/>
      <c r="G10" s="173"/>
      <c r="H10" s="173"/>
      <c r="I10" s="173"/>
    </row>
    <row r="11" spans="1:19" x14ac:dyDescent="0.3">
      <c r="A11" s="171"/>
      <c r="B11" s="174"/>
      <c r="C11" s="172"/>
      <c r="D11" s="172"/>
      <c r="E11" s="172"/>
      <c r="F11" s="172"/>
      <c r="G11" s="173"/>
      <c r="H11" s="173"/>
      <c r="I11" s="173"/>
    </row>
    <row r="12" spans="1:19" x14ac:dyDescent="0.3">
      <c r="A12" s="171"/>
      <c r="B12" s="174"/>
      <c r="C12" s="172"/>
      <c r="D12" s="172"/>
      <c r="E12" s="172"/>
      <c r="F12" s="172"/>
      <c r="G12" s="173"/>
      <c r="H12" s="173"/>
      <c r="I12" s="173"/>
    </row>
    <row r="13" spans="1:19" x14ac:dyDescent="0.3">
      <c r="A13" s="171"/>
      <c r="B13" s="174"/>
      <c r="C13" s="172"/>
      <c r="D13" s="172"/>
      <c r="E13" s="172"/>
      <c r="F13" s="172"/>
      <c r="G13" s="173"/>
      <c r="H13" s="173"/>
      <c r="I13" s="173"/>
    </row>
    <row r="14" spans="1:19" x14ac:dyDescent="0.3">
      <c r="A14" s="171"/>
      <c r="B14" s="174"/>
      <c r="C14" s="172"/>
      <c r="D14" s="172"/>
      <c r="E14" s="172"/>
      <c r="F14" s="172"/>
      <c r="G14" s="173"/>
      <c r="H14" s="173"/>
      <c r="I14" s="173"/>
    </row>
    <row r="15" spans="1:19" x14ac:dyDescent="0.3">
      <c r="A15" s="171"/>
      <c r="B15" s="174"/>
      <c r="C15" s="172"/>
      <c r="D15" s="172"/>
      <c r="E15" s="172"/>
      <c r="F15" s="172"/>
      <c r="G15" s="173"/>
      <c r="H15" s="173"/>
      <c r="I15" s="173"/>
    </row>
    <row r="16" spans="1:19" x14ac:dyDescent="0.3">
      <c r="A16" s="171"/>
      <c r="B16" s="174"/>
      <c r="C16" s="172"/>
      <c r="D16" s="172"/>
      <c r="E16" s="172"/>
      <c r="F16" s="172"/>
      <c r="G16" s="173"/>
      <c r="H16" s="173"/>
      <c r="I16" s="173"/>
    </row>
    <row r="17" spans="1:9" x14ac:dyDescent="0.3">
      <c r="A17" s="171"/>
      <c r="B17" s="174"/>
      <c r="C17" s="172"/>
      <c r="D17" s="172"/>
      <c r="E17" s="172"/>
      <c r="F17" s="172"/>
      <c r="G17" s="173"/>
      <c r="H17" s="173"/>
      <c r="I17" s="173"/>
    </row>
    <row r="18" spans="1:9" x14ac:dyDescent="0.3">
      <c r="A18" s="171"/>
      <c r="B18" s="174"/>
      <c r="C18" s="172"/>
      <c r="D18" s="172"/>
      <c r="E18" s="172"/>
      <c r="F18" s="172"/>
      <c r="G18" s="173"/>
      <c r="H18" s="173"/>
      <c r="I18" s="173"/>
    </row>
    <row r="19" spans="1:9" x14ac:dyDescent="0.3">
      <c r="A19" s="171"/>
      <c r="B19" s="174"/>
      <c r="C19" s="172"/>
      <c r="D19" s="172"/>
      <c r="E19" s="172"/>
      <c r="F19" s="172"/>
      <c r="G19" s="173"/>
      <c r="H19" s="173"/>
      <c r="I19" s="173"/>
    </row>
    <row r="20" spans="1:9" x14ac:dyDescent="0.3">
      <c r="A20" s="171"/>
      <c r="B20" s="174"/>
      <c r="C20" s="172"/>
      <c r="D20" s="172"/>
      <c r="E20" s="172"/>
      <c r="F20" s="172"/>
      <c r="G20" s="173"/>
      <c r="H20" s="173"/>
      <c r="I20" s="173"/>
    </row>
    <row r="21" spans="1:9" x14ac:dyDescent="0.3">
      <c r="A21" s="171"/>
      <c r="B21" s="174"/>
      <c r="C21" s="172"/>
      <c r="D21" s="172"/>
      <c r="E21" s="172"/>
      <c r="F21" s="172"/>
      <c r="G21" s="173"/>
      <c r="H21" s="173"/>
      <c r="I21" s="173"/>
    </row>
    <row r="22" spans="1:9" x14ac:dyDescent="0.3">
      <c r="A22" s="171"/>
      <c r="B22" s="174"/>
      <c r="C22" s="172"/>
      <c r="D22" s="172"/>
      <c r="E22" s="172"/>
      <c r="F22" s="172"/>
      <c r="G22" s="173"/>
      <c r="H22" s="173"/>
      <c r="I22" s="173"/>
    </row>
    <row r="23" spans="1:9" x14ac:dyDescent="0.3">
      <c r="A23" s="171"/>
      <c r="B23" s="174"/>
      <c r="C23" s="172"/>
      <c r="D23" s="172"/>
      <c r="E23" s="172"/>
      <c r="F23" s="172"/>
      <c r="G23" s="173"/>
      <c r="H23" s="173"/>
      <c r="I23" s="173"/>
    </row>
    <row r="24" spans="1:9" x14ac:dyDescent="0.3">
      <c r="A24" s="171"/>
      <c r="B24" s="174"/>
      <c r="C24" s="172"/>
      <c r="D24" s="172"/>
      <c r="E24" s="172"/>
      <c r="F24" s="172"/>
      <c r="G24" s="173"/>
      <c r="H24" s="173"/>
      <c r="I24" s="173"/>
    </row>
    <row r="25" spans="1:9" x14ac:dyDescent="0.3">
      <c r="A25" s="171"/>
      <c r="B25" s="174"/>
      <c r="C25" s="172"/>
      <c r="D25" s="172"/>
      <c r="E25" s="172"/>
      <c r="F25" s="172"/>
      <c r="G25" s="173"/>
      <c r="H25" s="173"/>
      <c r="I25" s="173"/>
    </row>
    <row r="26" spans="1:9" x14ac:dyDescent="0.3">
      <c r="A26" s="171"/>
      <c r="B26" s="174"/>
      <c r="C26" s="172"/>
      <c r="D26" s="172"/>
      <c r="E26" s="172"/>
      <c r="F26" s="172"/>
      <c r="G26" s="173"/>
      <c r="H26" s="173"/>
      <c r="I26" s="173"/>
    </row>
    <row r="27" spans="1:9" x14ac:dyDescent="0.3">
      <c r="A27" s="171"/>
      <c r="B27" s="174"/>
      <c r="C27" s="172"/>
      <c r="D27" s="172"/>
      <c r="E27" s="172"/>
      <c r="F27" s="172"/>
      <c r="G27" s="173"/>
      <c r="H27" s="173"/>
      <c r="I27" s="173"/>
    </row>
    <row r="28" spans="1:9" x14ac:dyDescent="0.3">
      <c r="A28" s="171"/>
      <c r="B28" s="174"/>
      <c r="C28" s="172"/>
      <c r="D28" s="172"/>
      <c r="E28" s="172"/>
      <c r="F28" s="172"/>
      <c r="G28" s="173"/>
      <c r="H28" s="173"/>
      <c r="I28" s="173"/>
    </row>
    <row r="29" spans="1:9" x14ac:dyDescent="0.3">
      <c r="A29" s="171"/>
      <c r="B29" s="174"/>
      <c r="C29" s="172"/>
      <c r="D29" s="172"/>
      <c r="E29" s="172"/>
      <c r="F29" s="172"/>
      <c r="G29" s="173"/>
      <c r="H29" s="173"/>
      <c r="I29" s="173"/>
    </row>
    <row r="30" spans="1:9" x14ac:dyDescent="0.3">
      <c r="A30" s="171"/>
      <c r="B30" s="174"/>
      <c r="C30" s="172"/>
      <c r="D30" s="172"/>
      <c r="E30" s="172"/>
      <c r="F30" s="172"/>
      <c r="G30" s="173"/>
      <c r="H30" s="173"/>
      <c r="I30" s="173"/>
    </row>
    <row r="31" spans="1:9" x14ac:dyDescent="0.3">
      <c r="A31" s="171"/>
      <c r="B31" s="174"/>
      <c r="C31" s="172"/>
      <c r="D31" s="172"/>
      <c r="E31" s="172"/>
      <c r="F31" s="172"/>
      <c r="G31" s="173"/>
      <c r="H31" s="173"/>
      <c r="I31" s="173"/>
    </row>
    <row r="32" spans="1:9" x14ac:dyDescent="0.3">
      <c r="A32" s="171"/>
      <c r="B32" s="174"/>
      <c r="C32" s="172"/>
      <c r="D32" s="172"/>
      <c r="E32" s="172"/>
      <c r="F32" s="172"/>
      <c r="G32" s="173"/>
      <c r="H32" s="173"/>
      <c r="I32" s="173"/>
    </row>
    <row r="33" spans="1:9" x14ac:dyDescent="0.3">
      <c r="A33" s="171"/>
      <c r="B33" s="174"/>
      <c r="C33" s="172"/>
      <c r="D33" s="172"/>
      <c r="E33" s="172"/>
      <c r="F33" s="172"/>
      <c r="G33" s="173"/>
      <c r="H33" s="173"/>
      <c r="I33" s="173"/>
    </row>
    <row r="34" spans="1:9" x14ac:dyDescent="0.3">
      <c r="A34" s="171"/>
      <c r="B34" s="174"/>
      <c r="C34" s="172"/>
      <c r="D34" s="172"/>
      <c r="E34" s="172"/>
      <c r="F34" s="172"/>
      <c r="G34" s="173"/>
      <c r="H34" s="173"/>
      <c r="I34" s="173"/>
    </row>
    <row r="35" spans="1:9" x14ac:dyDescent="0.3">
      <c r="A35" s="171"/>
      <c r="B35" s="174"/>
      <c r="C35" s="172"/>
      <c r="D35" s="172"/>
      <c r="E35" s="172"/>
      <c r="F35" s="172"/>
      <c r="G35" s="173"/>
      <c r="H35" s="173"/>
      <c r="I35" s="173"/>
    </row>
    <row r="36" spans="1:9" x14ac:dyDescent="0.3">
      <c r="A36" s="171"/>
      <c r="B36" s="174"/>
      <c r="C36" s="172"/>
      <c r="D36" s="172"/>
      <c r="E36" s="172"/>
      <c r="F36" s="172"/>
      <c r="G36" s="173"/>
      <c r="H36" s="173"/>
      <c r="I36" s="173"/>
    </row>
    <row r="37" spans="1:9" x14ac:dyDescent="0.3">
      <c r="A37" s="171"/>
      <c r="B37" s="174"/>
      <c r="C37" s="172"/>
      <c r="D37" s="172"/>
      <c r="E37" s="172"/>
      <c r="F37" s="172"/>
      <c r="G37" s="173"/>
      <c r="H37" s="173"/>
      <c r="I37" s="173"/>
    </row>
    <row r="38" spans="1:9" x14ac:dyDescent="0.3">
      <c r="A38" s="171"/>
      <c r="B38" s="174"/>
      <c r="C38" s="172"/>
      <c r="D38" s="172"/>
      <c r="E38" s="172"/>
      <c r="F38" s="172"/>
      <c r="G38" s="173"/>
      <c r="H38" s="173"/>
      <c r="I38" s="173"/>
    </row>
    <row r="39" spans="1:9" x14ac:dyDescent="0.3">
      <c r="A39" s="171"/>
      <c r="B39" s="174"/>
      <c r="C39" s="172"/>
      <c r="D39" s="172"/>
      <c r="E39" s="172"/>
      <c r="F39" s="172"/>
      <c r="G39" s="173"/>
      <c r="H39" s="173"/>
      <c r="I39" s="173"/>
    </row>
    <row r="40" spans="1:9" x14ac:dyDescent="0.3">
      <c r="A40" s="171"/>
      <c r="B40" s="174"/>
      <c r="C40" s="172"/>
      <c r="D40" s="172"/>
      <c r="E40" s="172"/>
      <c r="F40" s="172"/>
      <c r="G40" s="173"/>
      <c r="H40" s="173"/>
      <c r="I40" s="173"/>
    </row>
    <row r="41" spans="1:9" x14ac:dyDescent="0.3">
      <c r="A41" s="171"/>
      <c r="B41" s="174"/>
      <c r="C41" s="172"/>
      <c r="D41" s="172"/>
      <c r="E41" s="172"/>
      <c r="F41" s="172"/>
      <c r="G41" s="173"/>
      <c r="H41" s="173"/>
      <c r="I41" s="173"/>
    </row>
    <row r="42" spans="1:9" x14ac:dyDescent="0.3">
      <c r="A42" s="171"/>
      <c r="B42" s="174"/>
      <c r="C42" s="172"/>
      <c r="D42" s="172"/>
      <c r="E42" s="172"/>
      <c r="F42" s="172"/>
      <c r="G42" s="173"/>
      <c r="H42" s="173"/>
      <c r="I42" s="173"/>
    </row>
    <row r="43" spans="1:9" x14ac:dyDescent="0.3">
      <c r="A43" s="171"/>
      <c r="B43" s="174"/>
      <c r="C43" s="172"/>
      <c r="D43" s="172"/>
      <c r="E43" s="172"/>
      <c r="F43" s="172"/>
      <c r="G43" s="173"/>
      <c r="H43" s="173"/>
      <c r="I43" s="173"/>
    </row>
    <row r="44" spans="1:9" x14ac:dyDescent="0.3">
      <c r="A44" s="171"/>
      <c r="B44" s="174"/>
      <c r="C44" s="172"/>
      <c r="D44" s="172"/>
      <c r="E44" s="172"/>
      <c r="F44" s="172"/>
      <c r="G44" s="173"/>
      <c r="H44" s="173"/>
      <c r="I44" s="173"/>
    </row>
    <row r="45" spans="1:9" x14ac:dyDescent="0.3">
      <c r="A45" s="171"/>
      <c r="B45" s="174"/>
      <c r="C45" s="172"/>
      <c r="D45" s="172"/>
      <c r="E45" s="172"/>
      <c r="F45" s="172"/>
      <c r="G45" s="173"/>
      <c r="H45" s="173"/>
      <c r="I45" s="173"/>
    </row>
    <row r="46" spans="1:9" x14ac:dyDescent="0.3">
      <c r="A46" s="171"/>
      <c r="B46" s="174"/>
      <c r="C46" s="172"/>
      <c r="D46" s="172"/>
      <c r="E46" s="172"/>
      <c r="F46" s="172"/>
      <c r="G46" s="173"/>
      <c r="H46" s="173"/>
      <c r="I46" s="173"/>
    </row>
    <row r="47" spans="1:9" x14ac:dyDescent="0.3">
      <c r="A47" s="171"/>
      <c r="B47" s="174"/>
      <c r="C47" s="172"/>
      <c r="D47" s="172"/>
      <c r="E47" s="172"/>
      <c r="F47" s="172"/>
      <c r="G47" s="173"/>
      <c r="H47" s="173"/>
      <c r="I47" s="173"/>
    </row>
    <row r="48" spans="1:9" x14ac:dyDescent="0.3">
      <c r="A48" s="171"/>
      <c r="B48" s="174"/>
      <c r="C48" s="172"/>
      <c r="D48" s="172"/>
      <c r="E48" s="172"/>
      <c r="F48" s="172"/>
      <c r="G48" s="173"/>
      <c r="H48" s="173"/>
      <c r="I48" s="173"/>
    </row>
    <row r="49" spans="1:9" x14ac:dyDescent="0.3">
      <c r="A49" s="171"/>
      <c r="B49" s="174"/>
      <c r="C49" s="172"/>
      <c r="D49" s="172"/>
      <c r="E49" s="172"/>
      <c r="F49" s="172"/>
      <c r="G49" s="173"/>
      <c r="H49" s="173"/>
      <c r="I49" s="173"/>
    </row>
    <row r="50" spans="1:9" x14ac:dyDescent="0.3">
      <c r="A50" s="171"/>
      <c r="B50" s="174"/>
      <c r="C50" s="172"/>
      <c r="D50" s="172"/>
      <c r="E50" s="172"/>
      <c r="F50" s="172"/>
      <c r="G50" s="173"/>
      <c r="H50" s="173"/>
      <c r="I50" s="173"/>
    </row>
    <row r="51" spans="1:9" x14ac:dyDescent="0.3">
      <c r="A51" s="171"/>
      <c r="B51" s="174"/>
      <c r="C51" s="172"/>
      <c r="D51" s="172"/>
      <c r="E51" s="172"/>
      <c r="F51" s="172"/>
      <c r="G51" s="173"/>
      <c r="H51" s="173"/>
      <c r="I51" s="173"/>
    </row>
    <row r="52" spans="1:9" x14ac:dyDescent="0.3">
      <c r="A52" s="171"/>
      <c r="B52" s="174"/>
      <c r="C52" s="172"/>
      <c r="D52" s="172"/>
      <c r="E52" s="172"/>
      <c r="F52" s="172"/>
      <c r="G52" s="173"/>
      <c r="H52" s="173"/>
      <c r="I52" s="173"/>
    </row>
    <row r="53" spans="1:9" x14ac:dyDescent="0.3">
      <c r="A53" s="171"/>
      <c r="B53" s="174"/>
      <c r="C53" s="172"/>
      <c r="D53" s="172"/>
      <c r="E53" s="172"/>
      <c r="F53" s="172"/>
      <c r="G53" s="173"/>
      <c r="H53" s="173"/>
      <c r="I53" s="173"/>
    </row>
    <row r="54" spans="1:9" x14ac:dyDescent="0.3">
      <c r="A54" s="171"/>
      <c r="B54" s="174"/>
      <c r="C54" s="172"/>
      <c r="D54" s="172"/>
      <c r="E54" s="172"/>
      <c r="F54" s="172"/>
      <c r="G54" s="173"/>
      <c r="H54" s="173"/>
      <c r="I54" s="173"/>
    </row>
    <row r="55" spans="1:9" x14ac:dyDescent="0.3">
      <c r="A55" s="171"/>
      <c r="B55" s="174"/>
      <c r="C55" s="172"/>
      <c r="D55" s="172"/>
      <c r="E55" s="172"/>
      <c r="F55" s="172"/>
      <c r="G55" s="173"/>
      <c r="H55" s="173"/>
      <c r="I55" s="173"/>
    </row>
    <row r="56" spans="1:9" x14ac:dyDescent="0.3">
      <c r="A56" s="171"/>
      <c r="B56" s="174"/>
      <c r="C56" s="172"/>
      <c r="D56" s="172"/>
      <c r="E56" s="172"/>
      <c r="F56" s="172"/>
      <c r="G56" s="173"/>
      <c r="H56" s="173"/>
      <c r="I56" s="173"/>
    </row>
    <row r="57" spans="1:9" x14ac:dyDescent="0.3">
      <c r="A57" s="171"/>
      <c r="B57" s="174"/>
      <c r="C57" s="172"/>
      <c r="D57" s="172"/>
      <c r="E57" s="172"/>
      <c r="F57" s="172"/>
      <c r="G57" s="173"/>
      <c r="H57" s="173"/>
      <c r="I57" s="173"/>
    </row>
    <row r="58" spans="1:9" x14ac:dyDescent="0.3">
      <c r="A58" s="171"/>
      <c r="B58" s="174"/>
      <c r="C58" s="172"/>
      <c r="D58" s="172"/>
      <c r="E58" s="172"/>
      <c r="F58" s="172"/>
      <c r="G58" s="173"/>
      <c r="H58" s="173"/>
      <c r="I58" s="173"/>
    </row>
    <row r="59" spans="1:9" x14ac:dyDescent="0.3">
      <c r="A59" s="171"/>
      <c r="B59" s="174"/>
      <c r="C59" s="172"/>
      <c r="D59" s="172"/>
      <c r="E59" s="172"/>
      <c r="F59" s="172"/>
      <c r="G59" s="173"/>
      <c r="H59" s="173"/>
      <c r="I59" s="173"/>
    </row>
    <row r="60" spans="1:9" x14ac:dyDescent="0.3">
      <c r="A60" s="171"/>
      <c r="B60" s="174"/>
      <c r="C60" s="172"/>
      <c r="D60" s="172"/>
      <c r="E60" s="172"/>
      <c r="F60" s="172"/>
      <c r="G60" s="173"/>
      <c r="H60" s="173"/>
      <c r="I60" s="173"/>
    </row>
    <row r="61" spans="1:9" x14ac:dyDescent="0.3">
      <c r="A61" s="171"/>
      <c r="B61" s="174"/>
      <c r="C61" s="172"/>
      <c r="D61" s="172"/>
      <c r="E61" s="172"/>
      <c r="F61" s="172"/>
      <c r="G61" s="173"/>
      <c r="H61" s="173"/>
      <c r="I61" s="173"/>
    </row>
    <row r="62" spans="1:9" x14ac:dyDescent="0.3">
      <c r="A62" s="171"/>
      <c r="B62" s="174"/>
      <c r="C62" s="172"/>
      <c r="D62" s="172"/>
      <c r="E62" s="172"/>
      <c r="F62" s="172"/>
      <c r="G62" s="173"/>
      <c r="H62" s="173"/>
      <c r="I62" s="173"/>
    </row>
    <row r="63" spans="1:9" x14ac:dyDescent="0.3">
      <c r="A63" s="171"/>
      <c r="B63" s="174"/>
      <c r="C63" s="172"/>
      <c r="D63" s="172"/>
      <c r="E63" s="172"/>
      <c r="F63" s="172"/>
      <c r="G63" s="173"/>
      <c r="H63" s="173"/>
      <c r="I63" s="173"/>
    </row>
    <row r="64" spans="1:9" x14ac:dyDescent="0.3">
      <c r="A64" s="171"/>
      <c r="B64" s="174"/>
      <c r="C64" s="172"/>
      <c r="D64" s="172"/>
      <c r="E64" s="172"/>
      <c r="F64" s="172"/>
      <c r="G64" s="173"/>
      <c r="H64" s="173"/>
      <c r="I64" s="173"/>
    </row>
    <row r="65" spans="1:9" x14ac:dyDescent="0.3">
      <c r="A65" s="171"/>
      <c r="B65" s="174"/>
      <c r="C65" s="172"/>
      <c r="D65" s="172"/>
      <c r="E65" s="172"/>
      <c r="F65" s="172"/>
      <c r="G65" s="173"/>
      <c r="H65" s="173"/>
      <c r="I65" s="173"/>
    </row>
    <row r="66" spans="1:9" x14ac:dyDescent="0.3">
      <c r="A66" s="171"/>
      <c r="B66" s="174"/>
      <c r="C66" s="172"/>
      <c r="D66" s="172"/>
      <c r="E66" s="172"/>
      <c r="F66" s="172"/>
      <c r="G66" s="173"/>
      <c r="H66" s="173"/>
      <c r="I66" s="173"/>
    </row>
    <row r="67" spans="1:9" x14ac:dyDescent="0.3">
      <c r="A67" s="171"/>
      <c r="B67" s="174"/>
      <c r="C67" s="172"/>
      <c r="D67" s="172"/>
      <c r="E67" s="172"/>
      <c r="F67" s="172"/>
      <c r="G67" s="173"/>
      <c r="H67" s="173"/>
      <c r="I67" s="173"/>
    </row>
    <row r="68" spans="1:9" x14ac:dyDescent="0.3">
      <c r="A68" s="171"/>
      <c r="B68" s="174"/>
      <c r="C68" s="172"/>
      <c r="D68" s="172"/>
      <c r="E68" s="172"/>
      <c r="F68" s="172"/>
      <c r="G68" s="173"/>
      <c r="H68" s="173"/>
      <c r="I68" s="173"/>
    </row>
    <row r="69" spans="1:9" x14ac:dyDescent="0.3">
      <c r="A69" s="171"/>
      <c r="B69" s="174"/>
      <c r="C69" s="172"/>
      <c r="D69" s="172"/>
      <c r="E69" s="172"/>
      <c r="F69" s="172"/>
      <c r="G69" s="173"/>
      <c r="H69" s="173"/>
      <c r="I69" s="173"/>
    </row>
    <row r="70" spans="1:9" x14ac:dyDescent="0.3">
      <c r="A70" s="171"/>
      <c r="B70" s="174"/>
      <c r="C70" s="172"/>
      <c r="D70" s="172"/>
      <c r="E70" s="172"/>
      <c r="F70" s="172"/>
      <c r="G70" s="173"/>
      <c r="H70" s="173"/>
      <c r="I70" s="173"/>
    </row>
    <row r="71" spans="1:9" x14ac:dyDescent="0.3">
      <c r="A71" s="171"/>
      <c r="B71" s="174"/>
      <c r="C71" s="172"/>
      <c r="D71" s="172"/>
      <c r="E71" s="172"/>
      <c r="F71" s="172"/>
      <c r="G71" s="173"/>
      <c r="H71" s="173"/>
      <c r="I71" s="173"/>
    </row>
    <row r="72" spans="1:9" x14ac:dyDescent="0.3">
      <c r="A72" s="171"/>
      <c r="B72" s="174"/>
      <c r="C72" s="172"/>
      <c r="D72" s="172"/>
      <c r="E72" s="172"/>
      <c r="F72" s="172"/>
      <c r="G72" s="173"/>
      <c r="H72" s="173"/>
      <c r="I72" s="173"/>
    </row>
    <row r="73" spans="1:9" x14ac:dyDescent="0.3">
      <c r="A73" s="171"/>
      <c r="B73" s="174"/>
      <c r="C73" s="172"/>
      <c r="D73" s="172"/>
      <c r="E73" s="172"/>
      <c r="F73" s="172"/>
      <c r="G73" s="173"/>
      <c r="H73" s="173"/>
      <c r="I73" s="173"/>
    </row>
    <row r="74" spans="1:9" x14ac:dyDescent="0.3">
      <c r="A74" s="171"/>
      <c r="B74" s="174"/>
      <c r="C74" s="172"/>
      <c r="D74" s="172"/>
      <c r="E74" s="172"/>
      <c r="F74" s="172"/>
      <c r="G74" s="173"/>
      <c r="H74" s="173"/>
      <c r="I74" s="173"/>
    </row>
    <row r="75" spans="1:9" x14ac:dyDescent="0.3">
      <c r="A75" s="171"/>
      <c r="B75" s="174"/>
      <c r="C75" s="172"/>
      <c r="D75" s="172"/>
      <c r="E75" s="172"/>
      <c r="F75" s="172"/>
      <c r="G75" s="173"/>
      <c r="H75" s="173"/>
      <c r="I75" s="173"/>
    </row>
    <row r="76" spans="1:9" x14ac:dyDescent="0.3">
      <c r="A76" s="171"/>
      <c r="B76" s="174"/>
      <c r="C76" s="172"/>
      <c r="D76" s="172"/>
      <c r="E76" s="172"/>
      <c r="F76" s="172"/>
      <c r="G76" s="173"/>
      <c r="H76" s="173"/>
      <c r="I76" s="173"/>
    </row>
    <row r="77" spans="1:9" x14ac:dyDescent="0.3">
      <c r="A77" s="171"/>
      <c r="B77" s="174"/>
      <c r="C77" s="172"/>
      <c r="D77" s="172"/>
      <c r="E77" s="172"/>
      <c r="F77" s="172"/>
      <c r="G77" s="173"/>
      <c r="H77" s="173"/>
      <c r="I77" s="173"/>
    </row>
    <row r="78" spans="1:9" x14ac:dyDescent="0.3">
      <c r="A78" s="171"/>
      <c r="B78" s="174"/>
      <c r="C78" s="172"/>
      <c r="D78" s="172"/>
      <c r="E78" s="172"/>
      <c r="F78" s="172"/>
      <c r="G78" s="173"/>
      <c r="H78" s="173"/>
      <c r="I78" s="173"/>
    </row>
    <row r="79" spans="1:9" x14ac:dyDescent="0.3">
      <c r="A79" s="171"/>
      <c r="B79" s="174"/>
      <c r="C79" s="172"/>
      <c r="D79" s="172"/>
      <c r="E79" s="172"/>
      <c r="F79" s="172"/>
      <c r="G79" s="173"/>
      <c r="H79" s="173"/>
      <c r="I79" s="173"/>
    </row>
    <row r="80" spans="1:9" x14ac:dyDescent="0.3">
      <c r="A80" s="171"/>
      <c r="B80" s="174"/>
      <c r="C80" s="172"/>
      <c r="D80" s="172"/>
      <c r="E80" s="172"/>
      <c r="F80" s="172"/>
      <c r="G80" s="173"/>
      <c r="H80" s="173"/>
      <c r="I80" s="173"/>
    </row>
    <row r="81" spans="1:9" x14ac:dyDescent="0.3">
      <c r="A81" s="171"/>
      <c r="B81" s="174"/>
      <c r="C81" s="172"/>
      <c r="D81" s="172"/>
      <c r="E81" s="172"/>
      <c r="F81" s="172"/>
      <c r="G81" s="173"/>
      <c r="H81" s="173"/>
      <c r="I81" s="173"/>
    </row>
    <row r="82" spans="1:9" x14ac:dyDescent="0.3">
      <c r="A82" s="171"/>
      <c r="B82" s="174"/>
      <c r="C82" s="172"/>
      <c r="D82" s="172"/>
      <c r="E82" s="172"/>
      <c r="F82" s="172"/>
      <c r="G82" s="173"/>
      <c r="H82" s="173"/>
      <c r="I82" s="173"/>
    </row>
    <row r="83" spans="1:9" x14ac:dyDescent="0.3">
      <c r="A83" s="171"/>
      <c r="B83" s="174"/>
      <c r="C83" s="172"/>
      <c r="D83" s="172"/>
      <c r="E83" s="172"/>
      <c r="F83" s="172"/>
      <c r="G83" s="173"/>
      <c r="H83" s="173"/>
      <c r="I83" s="173"/>
    </row>
    <row r="84" spans="1:9" x14ac:dyDescent="0.3">
      <c r="A84" s="171"/>
      <c r="B84" s="174"/>
      <c r="C84" s="172"/>
      <c r="D84" s="172"/>
      <c r="E84" s="172"/>
      <c r="F84" s="172"/>
      <c r="G84" s="173"/>
      <c r="H84" s="173"/>
      <c r="I84" s="173"/>
    </row>
    <row r="85" spans="1:9" x14ac:dyDescent="0.3">
      <c r="A85" s="171"/>
      <c r="B85" s="174"/>
      <c r="C85" s="172"/>
      <c r="D85" s="172"/>
      <c r="E85" s="172"/>
      <c r="F85" s="172"/>
      <c r="G85" s="173"/>
      <c r="H85" s="173"/>
      <c r="I85" s="173"/>
    </row>
    <row r="86" spans="1:9" x14ac:dyDescent="0.3">
      <c r="A86" s="171"/>
      <c r="B86" s="174"/>
      <c r="C86" s="172"/>
      <c r="D86" s="172"/>
      <c r="E86" s="172"/>
      <c r="F86" s="172"/>
      <c r="G86" s="173"/>
      <c r="H86" s="173"/>
      <c r="I86" s="173"/>
    </row>
    <row r="87" spans="1:9" x14ac:dyDescent="0.3">
      <c r="A87" s="171"/>
      <c r="B87" s="174"/>
      <c r="C87" s="172"/>
      <c r="D87" s="172"/>
      <c r="E87" s="172"/>
      <c r="F87" s="172"/>
      <c r="G87" s="173"/>
      <c r="H87" s="173"/>
      <c r="I87" s="173"/>
    </row>
    <row r="88" spans="1:9" x14ac:dyDescent="0.3">
      <c r="A88" s="171"/>
      <c r="B88" s="174"/>
      <c r="C88" s="172"/>
      <c r="D88" s="172"/>
      <c r="E88" s="172"/>
      <c r="F88" s="172"/>
      <c r="G88" s="173"/>
      <c r="H88" s="173"/>
      <c r="I88" s="173"/>
    </row>
    <row r="89" spans="1:9" x14ac:dyDescent="0.3">
      <c r="A89" s="171"/>
      <c r="B89" s="174"/>
      <c r="C89" s="172"/>
      <c r="D89" s="172"/>
      <c r="E89" s="172"/>
      <c r="F89" s="172"/>
      <c r="G89" s="173"/>
      <c r="H89" s="173"/>
      <c r="I89" s="173"/>
    </row>
    <row r="90" spans="1:9" x14ac:dyDescent="0.3">
      <c r="A90" s="171"/>
      <c r="B90" s="174"/>
      <c r="C90" s="172"/>
      <c r="D90" s="172"/>
      <c r="E90" s="172"/>
      <c r="F90" s="172"/>
      <c r="G90" s="173"/>
      <c r="H90" s="173"/>
      <c r="I90" s="173"/>
    </row>
    <row r="91" spans="1:9" x14ac:dyDescent="0.3">
      <c r="A91" s="171"/>
      <c r="B91" s="174"/>
      <c r="C91" s="172"/>
      <c r="D91" s="172"/>
      <c r="E91" s="172"/>
      <c r="F91" s="172"/>
      <c r="G91" s="173"/>
      <c r="H91" s="173"/>
      <c r="I91" s="173"/>
    </row>
    <row r="92" spans="1:9" x14ac:dyDescent="0.3">
      <c r="A92" s="171"/>
      <c r="B92" s="174"/>
      <c r="C92" s="172"/>
      <c r="D92" s="172"/>
      <c r="E92" s="172"/>
      <c r="F92" s="172"/>
      <c r="G92" s="173"/>
      <c r="H92" s="173"/>
      <c r="I92" s="173"/>
    </row>
    <row r="93" spans="1:9" x14ac:dyDescent="0.3">
      <c r="A93" s="171"/>
      <c r="B93" s="174"/>
      <c r="C93" s="172"/>
      <c r="D93" s="172"/>
      <c r="E93" s="172"/>
      <c r="F93" s="172"/>
      <c r="G93" s="173"/>
      <c r="H93" s="173"/>
      <c r="I93" s="173"/>
    </row>
    <row r="94" spans="1:9" x14ac:dyDescent="0.3">
      <c r="A94" s="171"/>
      <c r="B94" s="174"/>
      <c r="C94" s="172"/>
      <c r="D94" s="172"/>
      <c r="E94" s="172"/>
      <c r="F94" s="172"/>
      <c r="G94" s="173"/>
      <c r="H94" s="173"/>
      <c r="I94" s="173"/>
    </row>
    <row r="95" spans="1:9" x14ac:dyDescent="0.3">
      <c r="A95" s="171"/>
      <c r="B95" s="174"/>
      <c r="C95" s="172"/>
      <c r="D95" s="172"/>
      <c r="E95" s="172"/>
      <c r="F95" s="172"/>
      <c r="G95" s="173"/>
      <c r="H95" s="173"/>
      <c r="I95" s="173"/>
    </row>
    <row r="96" spans="1:9" x14ac:dyDescent="0.3">
      <c r="A96" s="171"/>
      <c r="B96" s="174"/>
      <c r="C96" s="172"/>
      <c r="D96" s="172"/>
      <c r="E96" s="172"/>
      <c r="F96" s="172"/>
      <c r="G96" s="173"/>
      <c r="H96" s="173"/>
      <c r="I96" s="173"/>
    </row>
    <row r="97" spans="1:9" x14ac:dyDescent="0.3">
      <c r="A97" s="171"/>
      <c r="B97" s="174"/>
      <c r="C97" s="172"/>
      <c r="D97" s="172"/>
      <c r="E97" s="172"/>
      <c r="F97" s="172"/>
      <c r="G97" s="173"/>
      <c r="H97" s="173"/>
      <c r="I97" s="173"/>
    </row>
    <row r="98" spans="1:9" x14ac:dyDescent="0.3">
      <c r="A98" s="171"/>
      <c r="B98" s="174"/>
      <c r="C98" s="172"/>
      <c r="D98" s="172"/>
      <c r="E98" s="172"/>
      <c r="F98" s="172"/>
      <c r="G98" s="173"/>
      <c r="H98" s="173"/>
      <c r="I98" s="173"/>
    </row>
    <row r="99" spans="1:9" x14ac:dyDescent="0.3">
      <c r="A99" s="171"/>
      <c r="B99" s="174"/>
      <c r="C99" s="172"/>
      <c r="D99" s="172"/>
      <c r="E99" s="172"/>
      <c r="F99" s="172"/>
      <c r="G99" s="173"/>
      <c r="H99" s="173"/>
      <c r="I99" s="173"/>
    </row>
    <row r="100" spans="1:9" x14ac:dyDescent="0.3">
      <c r="A100" s="171"/>
      <c r="B100" s="174"/>
      <c r="C100" s="172"/>
      <c r="D100" s="172"/>
      <c r="E100" s="172"/>
      <c r="F100" s="172"/>
      <c r="G100" s="173"/>
      <c r="H100" s="173"/>
      <c r="I100" s="173"/>
    </row>
    <row r="101" spans="1:9" x14ac:dyDescent="0.3">
      <c r="A101" s="171"/>
      <c r="B101" s="174"/>
      <c r="C101" s="172"/>
      <c r="D101" s="172"/>
      <c r="E101" s="172"/>
      <c r="F101" s="172"/>
      <c r="G101" s="173"/>
      <c r="H101" s="173"/>
      <c r="I101" s="173"/>
    </row>
    <row r="102" spans="1:9" x14ac:dyDescent="0.3">
      <c r="A102" s="171"/>
      <c r="B102" s="174"/>
      <c r="C102" s="172"/>
      <c r="D102" s="172"/>
      <c r="E102" s="172"/>
      <c r="F102" s="172"/>
      <c r="G102" s="173"/>
      <c r="H102" s="173"/>
      <c r="I102" s="173"/>
    </row>
    <row r="103" spans="1:9" x14ac:dyDescent="0.3">
      <c r="A103" s="171"/>
      <c r="B103" s="174"/>
      <c r="C103" s="172"/>
      <c r="D103" s="172"/>
      <c r="E103" s="172"/>
      <c r="F103" s="172"/>
      <c r="G103" s="173"/>
      <c r="H103" s="173"/>
      <c r="I103" s="173"/>
    </row>
    <row r="104" spans="1:9" x14ac:dyDescent="0.3">
      <c r="A104" s="171"/>
      <c r="B104" s="174"/>
      <c r="C104" s="172"/>
      <c r="D104" s="172"/>
      <c r="E104" s="172"/>
      <c r="F104" s="172"/>
      <c r="G104" s="173"/>
      <c r="H104" s="173"/>
      <c r="I104" s="173"/>
    </row>
    <row r="105" spans="1:9" x14ac:dyDescent="0.3">
      <c r="A105" s="171"/>
      <c r="B105" s="174"/>
      <c r="C105" s="172"/>
      <c r="D105" s="172"/>
      <c r="E105" s="172"/>
      <c r="F105" s="172"/>
      <c r="G105" s="173"/>
      <c r="H105" s="173"/>
      <c r="I105" s="173"/>
    </row>
    <row r="106" spans="1:9" x14ac:dyDescent="0.3">
      <c r="A106" s="171"/>
      <c r="B106" s="174"/>
      <c r="C106" s="172"/>
      <c r="D106" s="172"/>
      <c r="E106" s="172"/>
      <c r="F106" s="172"/>
      <c r="G106" s="173"/>
      <c r="H106" s="173"/>
      <c r="I106" s="173"/>
    </row>
    <row r="107" spans="1:9" x14ac:dyDescent="0.3">
      <c r="A107" s="171"/>
      <c r="B107" s="174"/>
      <c r="C107" s="172"/>
      <c r="D107" s="172"/>
      <c r="E107" s="172"/>
      <c r="F107" s="172"/>
      <c r="G107" s="173"/>
      <c r="H107" s="173"/>
      <c r="I107" s="173"/>
    </row>
    <row r="108" spans="1:9" x14ac:dyDescent="0.3">
      <c r="A108" s="171"/>
      <c r="B108" s="174"/>
      <c r="C108" s="172"/>
      <c r="D108" s="172"/>
      <c r="E108" s="172"/>
      <c r="F108" s="172"/>
      <c r="G108" s="173"/>
      <c r="H108" s="173"/>
      <c r="I108" s="173"/>
    </row>
    <row r="109" spans="1:9" x14ac:dyDescent="0.3">
      <c r="A109" s="171"/>
      <c r="B109" s="174"/>
      <c r="C109" s="172"/>
      <c r="D109" s="172"/>
      <c r="E109" s="172"/>
      <c r="F109" s="172"/>
      <c r="G109" s="173"/>
      <c r="H109" s="173"/>
      <c r="I109" s="173"/>
    </row>
    <row r="110" spans="1:9" x14ac:dyDescent="0.3">
      <c r="A110" s="171"/>
      <c r="B110" s="174"/>
      <c r="C110" s="172"/>
      <c r="D110" s="172"/>
      <c r="E110" s="172"/>
      <c r="F110" s="172"/>
      <c r="G110" s="173"/>
      <c r="H110" s="173"/>
      <c r="I110" s="173"/>
    </row>
    <row r="111" spans="1:9" x14ac:dyDescent="0.3">
      <c r="A111" s="171"/>
      <c r="B111" s="174"/>
      <c r="C111" s="172"/>
      <c r="D111" s="172"/>
      <c r="E111" s="172"/>
      <c r="F111" s="172"/>
      <c r="G111" s="173"/>
      <c r="H111" s="173"/>
      <c r="I111" s="173"/>
    </row>
    <row r="112" spans="1:9" x14ac:dyDescent="0.3">
      <c r="A112" s="171"/>
      <c r="B112" s="174"/>
      <c r="C112" s="172"/>
      <c r="D112" s="172"/>
      <c r="E112" s="172"/>
      <c r="F112" s="172"/>
      <c r="G112" s="173"/>
      <c r="H112" s="173"/>
      <c r="I112" s="173"/>
    </row>
    <row r="113" spans="1:9" x14ac:dyDescent="0.3">
      <c r="A113" s="171"/>
      <c r="B113" s="174"/>
      <c r="C113" s="172"/>
      <c r="D113" s="172"/>
      <c r="E113" s="172"/>
      <c r="F113" s="172"/>
      <c r="G113" s="173"/>
      <c r="H113" s="173"/>
      <c r="I113" s="173"/>
    </row>
    <row r="114" spans="1:9" x14ac:dyDescent="0.3">
      <c r="A114" s="171"/>
      <c r="B114" s="174"/>
      <c r="C114" s="172"/>
      <c r="D114" s="172"/>
      <c r="E114" s="172"/>
      <c r="F114" s="172"/>
      <c r="G114" s="173"/>
      <c r="H114" s="173"/>
      <c r="I114" s="173"/>
    </row>
    <row r="115" spans="1:9" x14ac:dyDescent="0.3">
      <c r="A115" s="171"/>
      <c r="B115" s="174"/>
      <c r="C115" s="172"/>
      <c r="D115" s="172"/>
      <c r="E115" s="172"/>
      <c r="F115" s="172"/>
      <c r="G115" s="173"/>
      <c r="H115" s="173"/>
      <c r="I115" s="173"/>
    </row>
    <row r="116" spans="1:9" x14ac:dyDescent="0.3">
      <c r="A116" s="171"/>
      <c r="B116" s="174"/>
      <c r="C116" s="172"/>
      <c r="D116" s="172"/>
      <c r="E116" s="172"/>
      <c r="F116" s="172"/>
      <c r="G116" s="173"/>
      <c r="H116" s="173"/>
      <c r="I116" s="173"/>
    </row>
    <row r="117" spans="1:9" x14ac:dyDescent="0.3">
      <c r="A117" s="171"/>
      <c r="B117" s="174"/>
      <c r="C117" s="172"/>
      <c r="D117" s="172"/>
      <c r="E117" s="172"/>
      <c r="F117" s="172"/>
      <c r="G117" s="173"/>
      <c r="H117" s="173"/>
      <c r="I117" s="173"/>
    </row>
    <row r="118" spans="1:9" x14ac:dyDescent="0.3">
      <c r="A118" s="171"/>
      <c r="B118" s="174"/>
      <c r="C118" s="172"/>
      <c r="D118" s="172"/>
      <c r="E118" s="172"/>
      <c r="F118" s="172"/>
      <c r="G118" s="173"/>
      <c r="H118" s="173"/>
      <c r="I118" s="173"/>
    </row>
    <row r="119" spans="1:9" x14ac:dyDescent="0.3">
      <c r="A119" s="171"/>
      <c r="B119" s="174"/>
      <c r="C119" s="172"/>
      <c r="D119" s="172"/>
      <c r="E119" s="172"/>
      <c r="F119" s="172"/>
      <c r="G119" s="173"/>
      <c r="H119" s="173"/>
      <c r="I119" s="173"/>
    </row>
    <row r="120" spans="1:9" x14ac:dyDescent="0.3">
      <c r="A120" s="171"/>
      <c r="B120" s="174"/>
      <c r="C120" s="172"/>
      <c r="D120" s="172"/>
      <c r="E120" s="172"/>
      <c r="F120" s="172"/>
      <c r="G120" s="173"/>
      <c r="H120" s="173"/>
      <c r="I120" s="173"/>
    </row>
    <row r="121" spans="1:9" x14ac:dyDescent="0.3">
      <c r="A121" s="171"/>
      <c r="B121" s="174"/>
      <c r="C121" s="172"/>
      <c r="D121" s="172"/>
      <c r="E121" s="172"/>
      <c r="F121" s="172"/>
      <c r="G121" s="173"/>
      <c r="H121" s="173"/>
      <c r="I121" s="173"/>
    </row>
    <row r="122" spans="1:9" x14ac:dyDescent="0.3">
      <c r="A122" s="171"/>
      <c r="B122" s="174"/>
      <c r="C122" s="172"/>
      <c r="D122" s="172"/>
      <c r="E122" s="172"/>
      <c r="F122" s="172"/>
      <c r="G122" s="173"/>
      <c r="H122" s="173"/>
      <c r="I122" s="173"/>
    </row>
    <row r="123" spans="1:9" x14ac:dyDescent="0.3">
      <c r="A123" s="171"/>
      <c r="B123" s="174"/>
      <c r="C123" s="172"/>
      <c r="D123" s="172"/>
      <c r="E123" s="172"/>
      <c r="F123" s="172"/>
      <c r="G123" s="173"/>
      <c r="H123" s="173"/>
      <c r="I123" s="173"/>
    </row>
    <row r="124" spans="1:9" x14ac:dyDescent="0.3">
      <c r="A124" s="171"/>
      <c r="B124" s="174"/>
      <c r="C124" s="172"/>
      <c r="D124" s="172"/>
      <c r="E124" s="172"/>
      <c r="F124" s="172"/>
      <c r="G124" s="173"/>
      <c r="H124" s="173"/>
      <c r="I124" s="173"/>
    </row>
    <row r="125" spans="1:9" x14ac:dyDescent="0.3">
      <c r="A125" s="171"/>
      <c r="B125" s="174"/>
      <c r="C125" s="172"/>
      <c r="D125" s="172"/>
      <c r="E125" s="172"/>
      <c r="F125" s="172"/>
      <c r="G125" s="173"/>
      <c r="H125" s="173"/>
      <c r="I125" s="173"/>
    </row>
    <row r="126" spans="1:9" x14ac:dyDescent="0.3">
      <c r="A126" s="171"/>
      <c r="B126" s="174"/>
      <c r="C126" s="172"/>
      <c r="D126" s="172"/>
      <c r="E126" s="172"/>
      <c r="F126" s="172"/>
      <c r="G126" s="173"/>
      <c r="H126" s="173"/>
      <c r="I126" s="173"/>
    </row>
    <row r="127" spans="1:9" x14ac:dyDescent="0.3">
      <c r="A127" s="171"/>
      <c r="B127" s="174"/>
      <c r="C127" s="172"/>
      <c r="D127" s="172"/>
      <c r="E127" s="172"/>
      <c r="F127" s="172"/>
      <c r="G127" s="173"/>
      <c r="H127" s="173"/>
      <c r="I127" s="173"/>
    </row>
    <row r="128" spans="1:9" x14ac:dyDescent="0.3">
      <c r="A128" s="171"/>
      <c r="B128" s="174"/>
      <c r="C128" s="172"/>
      <c r="D128" s="172"/>
      <c r="E128" s="172"/>
      <c r="F128" s="172"/>
      <c r="G128" s="173"/>
      <c r="H128" s="173"/>
      <c r="I128" s="173"/>
    </row>
    <row r="129" spans="1:9" x14ac:dyDescent="0.3">
      <c r="A129" s="171"/>
      <c r="B129" s="174"/>
      <c r="C129" s="172"/>
      <c r="D129" s="172"/>
      <c r="E129" s="172"/>
      <c r="F129" s="172"/>
      <c r="G129" s="173"/>
      <c r="H129" s="173"/>
      <c r="I129" s="173"/>
    </row>
    <row r="130" spans="1:9" x14ac:dyDescent="0.3">
      <c r="A130" s="171"/>
      <c r="B130" s="174"/>
      <c r="C130" s="172"/>
      <c r="D130" s="172"/>
      <c r="E130" s="172"/>
      <c r="F130" s="172"/>
      <c r="G130" s="173"/>
      <c r="H130" s="173"/>
      <c r="I130" s="173"/>
    </row>
    <row r="131" spans="1:9" x14ac:dyDescent="0.3">
      <c r="A131" s="171"/>
      <c r="B131" s="174"/>
      <c r="C131" s="172"/>
      <c r="D131" s="172"/>
      <c r="E131" s="172"/>
      <c r="F131" s="172"/>
      <c r="G131" s="173"/>
      <c r="H131" s="173"/>
      <c r="I131" s="173"/>
    </row>
    <row r="132" spans="1:9" x14ac:dyDescent="0.3">
      <c r="A132" s="171"/>
      <c r="B132" s="174"/>
      <c r="C132" s="172"/>
      <c r="D132" s="172"/>
      <c r="E132" s="172"/>
      <c r="F132" s="172"/>
      <c r="G132" s="173"/>
      <c r="H132" s="173"/>
      <c r="I132" s="173"/>
    </row>
    <row r="133" spans="1:9" x14ac:dyDescent="0.3">
      <c r="A133" s="171"/>
      <c r="B133" s="174"/>
      <c r="C133" s="172"/>
      <c r="D133" s="172"/>
      <c r="E133" s="172"/>
      <c r="F133" s="172"/>
      <c r="G133" s="173"/>
      <c r="H133" s="173"/>
      <c r="I133" s="173"/>
    </row>
    <row r="134" spans="1:9" x14ac:dyDescent="0.3">
      <c r="A134" s="171"/>
      <c r="B134" s="174"/>
      <c r="C134" s="172"/>
      <c r="D134" s="172"/>
      <c r="E134" s="172"/>
      <c r="F134" s="172"/>
      <c r="G134" s="173"/>
      <c r="H134" s="173"/>
      <c r="I134" s="173"/>
    </row>
    <row r="135" spans="1:9" x14ac:dyDescent="0.3">
      <c r="A135" s="171"/>
      <c r="B135" s="174"/>
      <c r="C135" s="172"/>
      <c r="D135" s="172"/>
      <c r="E135" s="172"/>
      <c r="F135" s="172"/>
      <c r="G135" s="173"/>
      <c r="H135" s="173"/>
      <c r="I135" s="173"/>
    </row>
    <row r="136" spans="1:9" x14ac:dyDescent="0.3">
      <c r="A136" s="171"/>
      <c r="B136" s="174"/>
      <c r="C136" s="172"/>
      <c r="D136" s="172"/>
      <c r="E136" s="172"/>
      <c r="F136" s="172"/>
      <c r="G136" s="173"/>
      <c r="H136" s="173"/>
      <c r="I136" s="173"/>
    </row>
    <row r="137" spans="1:9" x14ac:dyDescent="0.3">
      <c r="A137" s="171"/>
      <c r="B137" s="174"/>
      <c r="C137" s="172"/>
      <c r="D137" s="172"/>
      <c r="E137" s="172"/>
      <c r="F137" s="172"/>
      <c r="G137" s="173"/>
      <c r="H137" s="173"/>
      <c r="I137" s="173"/>
    </row>
    <row r="138" spans="1:9" x14ac:dyDescent="0.3">
      <c r="A138" s="171"/>
      <c r="B138" s="174"/>
      <c r="C138" s="172"/>
      <c r="D138" s="172"/>
      <c r="E138" s="172"/>
      <c r="F138" s="172"/>
      <c r="G138" s="173"/>
      <c r="H138" s="173"/>
      <c r="I138" s="173"/>
    </row>
    <row r="139" spans="1:9" x14ac:dyDescent="0.3">
      <c r="A139" s="171"/>
      <c r="B139" s="174"/>
      <c r="C139" s="172"/>
      <c r="D139" s="172"/>
      <c r="E139" s="172"/>
      <c r="F139" s="172"/>
      <c r="G139" s="173"/>
      <c r="H139" s="173"/>
      <c r="I139" s="173"/>
    </row>
    <row r="140" spans="1:9" x14ac:dyDescent="0.3">
      <c r="A140" s="171"/>
      <c r="B140" s="174"/>
      <c r="C140" s="172"/>
      <c r="D140" s="172"/>
      <c r="E140" s="172"/>
      <c r="F140" s="172"/>
      <c r="G140" s="173"/>
      <c r="H140" s="173"/>
      <c r="I140" s="173"/>
    </row>
    <row r="141" spans="1:9" x14ac:dyDescent="0.3">
      <c r="A141" s="171"/>
      <c r="B141" s="174"/>
      <c r="C141" s="172"/>
      <c r="D141" s="172"/>
      <c r="E141" s="172"/>
      <c r="F141" s="172"/>
      <c r="G141" s="173"/>
      <c r="H141" s="173"/>
      <c r="I141" s="173"/>
    </row>
    <row r="142" spans="1:9" x14ac:dyDescent="0.3">
      <c r="A142" s="171"/>
      <c r="B142" s="174"/>
      <c r="C142" s="172"/>
      <c r="D142" s="172"/>
      <c r="E142" s="172"/>
      <c r="F142" s="172"/>
      <c r="G142" s="173"/>
      <c r="H142" s="173"/>
      <c r="I142" s="173"/>
    </row>
    <row r="143" spans="1:9" x14ac:dyDescent="0.3">
      <c r="A143" s="171"/>
      <c r="B143" s="174"/>
      <c r="C143" s="172"/>
      <c r="D143" s="172"/>
      <c r="E143" s="172"/>
      <c r="F143" s="172"/>
      <c r="G143" s="173"/>
      <c r="H143" s="173"/>
      <c r="I143" s="173"/>
    </row>
    <row r="144" spans="1:9" x14ac:dyDescent="0.3">
      <c r="A144" s="171"/>
      <c r="B144" s="174"/>
      <c r="C144" s="172"/>
      <c r="D144" s="172"/>
      <c r="E144" s="172"/>
      <c r="F144" s="172"/>
      <c r="G144" s="173"/>
      <c r="H144" s="173"/>
      <c r="I144" s="173"/>
    </row>
    <row r="145" spans="1:9" x14ac:dyDescent="0.3">
      <c r="A145" s="171"/>
      <c r="B145" s="174"/>
      <c r="C145" s="172"/>
      <c r="D145" s="172"/>
      <c r="E145" s="172"/>
      <c r="F145" s="172"/>
      <c r="G145" s="173"/>
      <c r="H145" s="173"/>
      <c r="I145" s="173"/>
    </row>
    <row r="146" spans="1:9" x14ac:dyDescent="0.3">
      <c r="A146" s="171"/>
      <c r="B146" s="174"/>
      <c r="C146" s="172"/>
      <c r="D146" s="172"/>
      <c r="E146" s="172"/>
      <c r="F146" s="172"/>
      <c r="G146" s="173"/>
      <c r="H146" s="173"/>
      <c r="I146" s="173"/>
    </row>
    <row r="147" spans="1:9" x14ac:dyDescent="0.3">
      <c r="A147" s="171"/>
      <c r="B147" s="174"/>
      <c r="C147" s="172"/>
      <c r="D147" s="172"/>
      <c r="E147" s="172"/>
      <c r="F147" s="172"/>
      <c r="G147" s="173"/>
      <c r="H147" s="173"/>
      <c r="I147" s="173"/>
    </row>
    <row r="148" spans="1:9" x14ac:dyDescent="0.3">
      <c r="A148" s="171"/>
      <c r="B148" s="174"/>
      <c r="C148" s="172"/>
      <c r="D148" s="172"/>
      <c r="E148" s="172"/>
      <c r="F148" s="172"/>
      <c r="G148" s="173"/>
      <c r="H148" s="173"/>
      <c r="I148" s="173"/>
    </row>
    <row r="149" spans="1:9" x14ac:dyDescent="0.3">
      <c r="A149" s="171"/>
      <c r="B149" s="174"/>
      <c r="C149" s="172"/>
      <c r="D149" s="172"/>
      <c r="E149" s="172"/>
      <c r="F149" s="172"/>
      <c r="G149" s="173"/>
      <c r="H149" s="173"/>
      <c r="I149" s="173"/>
    </row>
    <row r="150" spans="1:9" x14ac:dyDescent="0.3">
      <c r="A150" s="171"/>
      <c r="B150" s="174"/>
      <c r="C150" s="172"/>
      <c r="D150" s="172"/>
      <c r="E150" s="172"/>
      <c r="F150" s="172"/>
      <c r="G150" s="173"/>
      <c r="H150" s="173"/>
      <c r="I150" s="173"/>
    </row>
    <row r="151" spans="1:9" x14ac:dyDescent="0.3">
      <c r="A151" s="171"/>
      <c r="B151" s="174"/>
      <c r="C151" s="172"/>
      <c r="D151" s="172"/>
      <c r="E151" s="172"/>
      <c r="F151" s="172"/>
      <c r="G151" s="173"/>
      <c r="H151" s="173"/>
      <c r="I151" s="173"/>
    </row>
    <row r="152" spans="1:9" x14ac:dyDescent="0.3">
      <c r="A152" s="171"/>
      <c r="B152" s="174"/>
      <c r="C152" s="172"/>
      <c r="D152" s="172"/>
      <c r="E152" s="172"/>
      <c r="F152" s="172"/>
      <c r="G152" s="173"/>
      <c r="H152" s="173"/>
      <c r="I152" s="173"/>
    </row>
    <row r="153" spans="1:9" x14ac:dyDescent="0.3">
      <c r="A153" s="171"/>
      <c r="B153" s="174"/>
      <c r="C153" s="172"/>
      <c r="D153" s="172"/>
      <c r="E153" s="172"/>
      <c r="F153" s="172"/>
      <c r="G153" s="173"/>
      <c r="H153" s="173"/>
      <c r="I153" s="173"/>
    </row>
    <row r="154" spans="1:9" x14ac:dyDescent="0.3">
      <c r="A154" s="171"/>
      <c r="B154" s="174"/>
      <c r="C154" s="172"/>
      <c r="D154" s="172"/>
      <c r="E154" s="172"/>
      <c r="F154" s="172"/>
      <c r="G154" s="173"/>
      <c r="H154" s="173"/>
      <c r="I154" s="173"/>
    </row>
    <row r="155" spans="1:9" x14ac:dyDescent="0.3">
      <c r="A155" s="171"/>
      <c r="B155" s="174"/>
      <c r="C155" s="172"/>
      <c r="D155" s="172"/>
      <c r="E155" s="172"/>
      <c r="F155" s="172"/>
      <c r="G155" s="173"/>
      <c r="H155" s="173"/>
      <c r="I155" s="173"/>
    </row>
    <row r="156" spans="1:9" x14ac:dyDescent="0.3">
      <c r="A156" s="171"/>
      <c r="B156" s="174"/>
      <c r="C156" s="172"/>
      <c r="D156" s="172"/>
      <c r="E156" s="172"/>
      <c r="F156" s="172"/>
      <c r="G156" s="173"/>
      <c r="H156" s="173"/>
      <c r="I156" s="173"/>
    </row>
    <row r="157" spans="1:9" x14ac:dyDescent="0.3">
      <c r="A157" s="171"/>
      <c r="B157" s="174"/>
      <c r="C157" s="172"/>
      <c r="D157" s="172"/>
      <c r="E157" s="172"/>
      <c r="F157" s="172"/>
      <c r="G157" s="173"/>
      <c r="H157" s="173"/>
      <c r="I157" s="173"/>
    </row>
    <row r="158" spans="1:9" x14ac:dyDescent="0.3">
      <c r="A158" s="171"/>
      <c r="B158" s="174"/>
      <c r="C158" s="172"/>
      <c r="D158" s="172"/>
      <c r="E158" s="172"/>
      <c r="F158" s="172"/>
      <c r="G158" s="173"/>
      <c r="H158" s="173"/>
      <c r="I158" s="173"/>
    </row>
    <row r="159" spans="1:9" x14ac:dyDescent="0.3">
      <c r="A159" s="171"/>
      <c r="B159" s="174"/>
      <c r="C159" s="172"/>
      <c r="D159" s="172"/>
      <c r="E159" s="172"/>
      <c r="F159" s="172"/>
      <c r="G159" s="173"/>
      <c r="H159" s="173"/>
      <c r="I159" s="173"/>
    </row>
    <row r="160" spans="1:9" x14ac:dyDescent="0.3">
      <c r="A160" s="171"/>
      <c r="B160" s="174"/>
      <c r="C160" s="172"/>
      <c r="D160" s="172"/>
      <c r="E160" s="172"/>
      <c r="F160" s="172"/>
      <c r="G160" s="173"/>
      <c r="H160" s="173"/>
      <c r="I160" s="173"/>
    </row>
    <row r="161" spans="1:9" x14ac:dyDescent="0.3">
      <c r="A161" s="171"/>
      <c r="B161" s="174"/>
      <c r="C161" s="172"/>
      <c r="D161" s="172"/>
      <c r="E161" s="172"/>
      <c r="F161" s="172"/>
      <c r="G161" s="173"/>
      <c r="H161" s="173"/>
      <c r="I161" s="173"/>
    </row>
    <row r="162" spans="1:9" x14ac:dyDescent="0.3">
      <c r="A162" s="171"/>
      <c r="B162" s="174"/>
      <c r="C162" s="172"/>
      <c r="D162" s="172"/>
      <c r="E162" s="172"/>
      <c r="F162" s="172"/>
      <c r="G162" s="173"/>
      <c r="H162" s="173"/>
      <c r="I162" s="173"/>
    </row>
    <row r="163" spans="1:9" x14ac:dyDescent="0.3">
      <c r="A163" s="171"/>
      <c r="B163" s="174"/>
      <c r="C163" s="172"/>
      <c r="D163" s="172"/>
      <c r="E163" s="172"/>
      <c r="F163" s="172"/>
      <c r="G163" s="173"/>
      <c r="H163" s="173"/>
      <c r="I163" s="173"/>
    </row>
    <row r="164" spans="1:9" x14ac:dyDescent="0.3">
      <c r="A164" s="171"/>
      <c r="B164" s="174"/>
      <c r="C164" s="172"/>
      <c r="D164" s="172"/>
      <c r="E164" s="172"/>
      <c r="F164" s="172"/>
      <c r="G164" s="173"/>
      <c r="H164" s="173"/>
      <c r="I164" s="173"/>
    </row>
    <row r="165" spans="1:9" x14ac:dyDescent="0.3">
      <c r="A165" s="171"/>
      <c r="B165" s="174"/>
      <c r="C165" s="172"/>
      <c r="D165" s="172"/>
      <c r="E165" s="172"/>
      <c r="F165" s="172"/>
      <c r="G165" s="173"/>
      <c r="H165" s="173"/>
      <c r="I165" s="173"/>
    </row>
    <row r="166" spans="1:9" x14ac:dyDescent="0.3">
      <c r="A166" s="171"/>
      <c r="B166" s="174"/>
      <c r="C166" s="172"/>
      <c r="D166" s="172"/>
      <c r="E166" s="172"/>
      <c r="F166" s="172"/>
      <c r="G166" s="173"/>
      <c r="H166" s="173"/>
      <c r="I166" s="173"/>
    </row>
    <row r="167" spans="1:9" x14ac:dyDescent="0.3">
      <c r="A167" s="171"/>
      <c r="B167" s="174"/>
      <c r="C167" s="172"/>
      <c r="D167" s="172"/>
      <c r="E167" s="172"/>
      <c r="F167" s="172"/>
      <c r="G167" s="173"/>
      <c r="H167" s="173"/>
      <c r="I167" s="173"/>
    </row>
    <row r="168" spans="1:9" x14ac:dyDescent="0.3">
      <c r="A168" s="171"/>
      <c r="B168" s="174"/>
      <c r="C168" s="172"/>
      <c r="D168" s="172"/>
      <c r="E168" s="172"/>
      <c r="F168" s="172"/>
      <c r="G168" s="173"/>
      <c r="H168" s="173"/>
      <c r="I168" s="173"/>
    </row>
    <row r="169" spans="1:9" x14ac:dyDescent="0.3">
      <c r="A169" s="171"/>
      <c r="B169" s="174"/>
      <c r="C169" s="172"/>
      <c r="D169" s="172"/>
      <c r="E169" s="172"/>
      <c r="F169" s="172"/>
      <c r="G169" s="173"/>
      <c r="H169" s="173"/>
      <c r="I169" s="173"/>
    </row>
    <row r="170" spans="1:9" x14ac:dyDescent="0.3">
      <c r="A170" s="171"/>
      <c r="B170" s="174"/>
      <c r="C170" s="172"/>
      <c r="D170" s="172"/>
      <c r="E170" s="172"/>
      <c r="F170" s="172"/>
      <c r="G170" s="173"/>
      <c r="H170" s="173"/>
      <c r="I170" s="173"/>
    </row>
    <row r="171" spans="1:9" x14ac:dyDescent="0.3">
      <c r="A171" s="171"/>
      <c r="B171" s="174"/>
      <c r="C171" s="172"/>
      <c r="D171" s="172"/>
      <c r="E171" s="172"/>
      <c r="F171" s="172"/>
      <c r="G171" s="173"/>
      <c r="H171" s="173"/>
      <c r="I171" s="173"/>
    </row>
    <row r="172" spans="1:9" x14ac:dyDescent="0.3">
      <c r="A172" s="171"/>
      <c r="B172" s="174"/>
      <c r="C172" s="172"/>
      <c r="D172" s="172"/>
      <c r="E172" s="172"/>
      <c r="F172" s="172"/>
      <c r="G172" s="173"/>
      <c r="H172" s="173"/>
      <c r="I172" s="173"/>
    </row>
    <row r="173" spans="1:9" x14ac:dyDescent="0.3">
      <c r="A173" s="171"/>
      <c r="B173" s="174"/>
      <c r="C173" s="172"/>
      <c r="D173" s="172"/>
      <c r="E173" s="172"/>
      <c r="F173" s="172"/>
      <c r="G173" s="173"/>
      <c r="H173" s="173"/>
      <c r="I173" s="173"/>
    </row>
    <row r="174" spans="1:9" x14ac:dyDescent="0.3">
      <c r="A174" s="171"/>
      <c r="B174" s="174"/>
      <c r="C174" s="172"/>
      <c r="D174" s="172"/>
      <c r="E174" s="172"/>
      <c r="F174" s="172"/>
      <c r="G174" s="173"/>
      <c r="H174" s="173"/>
      <c r="I174" s="173"/>
    </row>
    <row r="175" spans="1:9" x14ac:dyDescent="0.3">
      <c r="A175" s="171"/>
      <c r="B175" s="174"/>
      <c r="C175" s="172"/>
      <c r="D175" s="172"/>
      <c r="E175" s="172"/>
      <c r="F175" s="172"/>
      <c r="G175" s="173"/>
      <c r="H175" s="173"/>
      <c r="I175" s="173"/>
    </row>
    <row r="176" spans="1:9" x14ac:dyDescent="0.3">
      <c r="A176" s="171"/>
      <c r="B176" s="174"/>
      <c r="C176" s="172"/>
      <c r="D176" s="172"/>
      <c r="E176" s="172"/>
      <c r="F176" s="172"/>
      <c r="G176" s="173"/>
      <c r="H176" s="173"/>
      <c r="I176" s="173"/>
    </row>
    <row r="177" spans="1:9" x14ac:dyDescent="0.3">
      <c r="A177" s="171"/>
      <c r="B177" s="174"/>
      <c r="C177" s="172"/>
      <c r="D177" s="172"/>
      <c r="E177" s="172"/>
      <c r="F177" s="172"/>
      <c r="G177" s="173"/>
      <c r="H177" s="173"/>
      <c r="I177" s="173"/>
    </row>
    <row r="178" spans="1:9" x14ac:dyDescent="0.3">
      <c r="A178" s="171"/>
      <c r="B178" s="174"/>
      <c r="C178" s="172"/>
      <c r="D178" s="172"/>
      <c r="E178" s="172"/>
      <c r="F178" s="172"/>
      <c r="G178" s="173"/>
      <c r="H178" s="173"/>
      <c r="I178" s="173"/>
    </row>
    <row r="179" spans="1:9" x14ac:dyDescent="0.3">
      <c r="A179" s="171"/>
      <c r="B179" s="174"/>
      <c r="C179" s="172"/>
      <c r="D179" s="172"/>
      <c r="E179" s="172"/>
      <c r="F179" s="172"/>
      <c r="G179" s="173"/>
      <c r="H179" s="173"/>
      <c r="I179" s="173"/>
    </row>
    <row r="180" spans="1:9" x14ac:dyDescent="0.3">
      <c r="A180" s="171"/>
      <c r="B180" s="174"/>
      <c r="C180" s="172"/>
      <c r="D180" s="172"/>
      <c r="E180" s="172"/>
      <c r="F180" s="172"/>
      <c r="G180" s="173"/>
      <c r="H180" s="173"/>
      <c r="I180" s="173"/>
    </row>
    <row r="181" spans="1:9" x14ac:dyDescent="0.3">
      <c r="A181" s="171"/>
      <c r="B181" s="174"/>
      <c r="C181" s="172"/>
      <c r="D181" s="172"/>
      <c r="E181" s="172"/>
      <c r="F181" s="172"/>
      <c r="G181" s="173"/>
      <c r="H181" s="173"/>
      <c r="I181" s="173"/>
    </row>
    <row r="182" spans="1:9" x14ac:dyDescent="0.3">
      <c r="A182" s="171"/>
      <c r="B182" s="174"/>
      <c r="C182" s="172"/>
      <c r="D182" s="172"/>
      <c r="E182" s="172"/>
      <c r="F182" s="172"/>
      <c r="G182" s="173"/>
      <c r="H182" s="173"/>
      <c r="I182" s="173"/>
    </row>
    <row r="183" spans="1:9" x14ac:dyDescent="0.3">
      <c r="A183" s="171"/>
      <c r="B183" s="174"/>
      <c r="C183" s="172"/>
      <c r="D183" s="172"/>
      <c r="E183" s="172"/>
      <c r="F183" s="172"/>
      <c r="G183" s="173"/>
      <c r="H183" s="173"/>
      <c r="I183" s="173"/>
    </row>
    <row r="184" spans="1:9" x14ac:dyDescent="0.3">
      <c r="A184" s="171"/>
      <c r="B184" s="174"/>
      <c r="C184" s="172"/>
      <c r="D184" s="172"/>
      <c r="E184" s="172"/>
      <c r="F184" s="172"/>
      <c r="G184" s="173"/>
      <c r="H184" s="173"/>
      <c r="I184" s="173"/>
    </row>
    <row r="185" spans="1:9" x14ac:dyDescent="0.3">
      <c r="A185" s="171"/>
      <c r="B185" s="174"/>
      <c r="C185" s="172"/>
      <c r="D185" s="172"/>
      <c r="E185" s="172"/>
      <c r="F185" s="172"/>
      <c r="G185" s="173"/>
      <c r="H185" s="173"/>
      <c r="I185" s="173"/>
    </row>
    <row r="186" spans="1:9" x14ac:dyDescent="0.3">
      <c r="A186" s="171"/>
      <c r="B186" s="174"/>
      <c r="C186" s="172"/>
      <c r="D186" s="172"/>
      <c r="E186" s="172"/>
      <c r="F186" s="172"/>
      <c r="G186" s="173"/>
      <c r="H186" s="173"/>
      <c r="I186" s="173"/>
    </row>
    <row r="187" spans="1:9" x14ac:dyDescent="0.3">
      <c r="A187" s="171"/>
      <c r="B187" s="174"/>
      <c r="C187" s="172"/>
      <c r="D187" s="172"/>
      <c r="E187" s="172"/>
      <c r="F187" s="172"/>
      <c r="G187" s="173"/>
      <c r="H187" s="173"/>
      <c r="I187" s="173"/>
    </row>
    <row r="188" spans="1:9" x14ac:dyDescent="0.3">
      <c r="A188" s="171"/>
      <c r="B188" s="174"/>
      <c r="C188" s="172"/>
      <c r="D188" s="172"/>
      <c r="E188" s="172"/>
      <c r="F188" s="172"/>
      <c r="G188" s="173"/>
      <c r="H188" s="173"/>
      <c r="I188" s="173"/>
    </row>
    <row r="189" spans="1:9" x14ac:dyDescent="0.3">
      <c r="A189" s="171"/>
      <c r="B189" s="174"/>
      <c r="C189" s="172"/>
      <c r="D189" s="172"/>
      <c r="E189" s="172"/>
      <c r="F189" s="172"/>
      <c r="G189" s="173"/>
      <c r="H189" s="173"/>
      <c r="I189" s="173"/>
    </row>
    <row r="190" spans="1:9" x14ac:dyDescent="0.3">
      <c r="A190" s="171"/>
      <c r="B190" s="174"/>
      <c r="C190" s="172"/>
      <c r="D190" s="172"/>
      <c r="E190" s="172"/>
      <c r="F190" s="172"/>
      <c r="G190" s="173"/>
      <c r="H190" s="173"/>
      <c r="I190" s="173"/>
    </row>
    <row r="191" spans="1:9" x14ac:dyDescent="0.3">
      <c r="A191" s="171"/>
      <c r="B191" s="174"/>
      <c r="C191" s="172"/>
      <c r="D191" s="172"/>
      <c r="E191" s="172"/>
      <c r="F191" s="172"/>
      <c r="G191" s="173"/>
      <c r="H191" s="173"/>
      <c r="I191" s="173"/>
    </row>
    <row r="192" spans="1:9" x14ac:dyDescent="0.3">
      <c r="A192" s="171"/>
      <c r="B192" s="174"/>
      <c r="C192" s="172"/>
      <c r="D192" s="172"/>
      <c r="E192" s="172"/>
      <c r="F192" s="172"/>
      <c r="G192" s="173"/>
      <c r="H192" s="173"/>
      <c r="I192" s="173"/>
    </row>
    <row r="193" spans="1:9" x14ac:dyDescent="0.3">
      <c r="A193" s="171"/>
      <c r="B193" s="174"/>
      <c r="C193" s="172"/>
      <c r="D193" s="172"/>
      <c r="E193" s="172"/>
      <c r="F193" s="172"/>
      <c r="G193" s="173"/>
      <c r="H193" s="173"/>
      <c r="I193" s="173"/>
    </row>
    <row r="194" spans="1:9" x14ac:dyDescent="0.3">
      <c r="A194" s="171"/>
      <c r="B194" s="174"/>
      <c r="C194" s="172"/>
      <c r="D194" s="172"/>
      <c r="E194" s="172"/>
      <c r="F194" s="172"/>
      <c r="G194" s="173"/>
      <c r="H194" s="173"/>
      <c r="I194" s="173"/>
    </row>
    <row r="195" spans="1:9" x14ac:dyDescent="0.3">
      <c r="A195" s="171"/>
      <c r="B195" s="174"/>
      <c r="C195" s="172"/>
      <c r="D195" s="172"/>
      <c r="E195" s="172"/>
      <c r="F195" s="172"/>
      <c r="G195" s="173"/>
      <c r="H195" s="173"/>
      <c r="I195" s="173"/>
    </row>
    <row r="196" spans="1:9" x14ac:dyDescent="0.3">
      <c r="A196" s="171"/>
      <c r="B196" s="174"/>
      <c r="C196" s="172"/>
      <c r="D196" s="172"/>
      <c r="E196" s="172"/>
      <c r="F196" s="172"/>
      <c r="G196" s="173"/>
      <c r="H196" s="173"/>
      <c r="I196" s="173"/>
    </row>
    <row r="197" spans="1:9" x14ac:dyDescent="0.3">
      <c r="A197" s="171"/>
      <c r="B197" s="174"/>
      <c r="C197" s="172"/>
      <c r="D197" s="172"/>
      <c r="E197" s="172"/>
      <c r="F197" s="172"/>
      <c r="G197" s="173"/>
      <c r="H197" s="173"/>
      <c r="I197" s="173"/>
    </row>
    <row r="198" spans="1:9" x14ac:dyDescent="0.3">
      <c r="A198" s="171"/>
      <c r="B198" s="174"/>
      <c r="C198" s="172"/>
      <c r="D198" s="172"/>
      <c r="E198" s="172"/>
      <c r="F198" s="172"/>
      <c r="G198" s="173"/>
      <c r="H198" s="173"/>
      <c r="I198" s="173"/>
    </row>
    <row r="199" spans="1:9" x14ac:dyDescent="0.3">
      <c r="A199" s="171"/>
      <c r="B199" s="174"/>
      <c r="C199" s="172"/>
      <c r="D199" s="172"/>
      <c r="E199" s="172"/>
      <c r="F199" s="172"/>
      <c r="G199" s="173"/>
      <c r="H199" s="173"/>
      <c r="I199" s="173"/>
    </row>
    <row r="200" spans="1:9" x14ac:dyDescent="0.3">
      <c r="A200" s="171"/>
      <c r="B200" s="174"/>
      <c r="C200" s="172"/>
      <c r="D200" s="172"/>
      <c r="E200" s="172"/>
      <c r="F200" s="172"/>
      <c r="G200" s="173"/>
      <c r="H200" s="173"/>
      <c r="I200" s="173"/>
    </row>
    <row r="201" spans="1:9" x14ac:dyDescent="0.3">
      <c r="A201" s="171"/>
      <c r="B201" s="174"/>
      <c r="C201" s="172"/>
      <c r="D201" s="172"/>
      <c r="E201" s="172"/>
      <c r="F201" s="172"/>
      <c r="G201" s="173"/>
      <c r="H201" s="173"/>
      <c r="I201" s="173"/>
    </row>
    <row r="202" spans="1:9" x14ac:dyDescent="0.3">
      <c r="A202" s="171"/>
      <c r="B202" s="174"/>
      <c r="C202" s="172"/>
      <c r="D202" s="172"/>
      <c r="E202" s="172"/>
      <c r="F202" s="172"/>
      <c r="G202" s="173"/>
      <c r="H202" s="173"/>
      <c r="I202" s="173"/>
    </row>
    <row r="203" spans="1:9" x14ac:dyDescent="0.3">
      <c r="A203" s="171"/>
      <c r="B203" s="174"/>
      <c r="C203" s="172"/>
      <c r="D203" s="172"/>
      <c r="E203" s="172"/>
      <c r="F203" s="172"/>
      <c r="G203" s="173"/>
      <c r="H203" s="173"/>
      <c r="I203" s="173"/>
    </row>
    <row r="204" spans="1:9" x14ac:dyDescent="0.3">
      <c r="A204" s="171"/>
      <c r="B204" s="174"/>
      <c r="C204" s="172"/>
      <c r="D204" s="172"/>
      <c r="E204" s="172"/>
      <c r="F204" s="172"/>
      <c r="G204" s="173"/>
      <c r="H204" s="173"/>
      <c r="I204" s="173"/>
    </row>
    <row r="205" spans="1:9" x14ac:dyDescent="0.3">
      <c r="A205" s="171"/>
      <c r="B205" s="174"/>
      <c r="C205" s="172"/>
      <c r="D205" s="172"/>
      <c r="E205" s="172"/>
      <c r="F205" s="172"/>
      <c r="G205" s="173"/>
      <c r="H205" s="173"/>
      <c r="I205" s="173"/>
    </row>
    <row r="206" spans="1:9" x14ac:dyDescent="0.3">
      <c r="A206" s="171"/>
      <c r="B206" s="174"/>
      <c r="C206" s="172"/>
      <c r="D206" s="172"/>
      <c r="E206" s="172"/>
      <c r="F206" s="172"/>
      <c r="G206" s="173"/>
      <c r="H206" s="173"/>
      <c r="I206" s="173"/>
    </row>
    <row r="207" spans="1:9" x14ac:dyDescent="0.3">
      <c r="A207" s="171"/>
      <c r="B207" s="174"/>
      <c r="C207" s="172"/>
      <c r="D207" s="172"/>
      <c r="E207" s="172"/>
      <c r="F207" s="172"/>
      <c r="G207" s="173"/>
      <c r="H207" s="173"/>
      <c r="I207" s="173"/>
    </row>
    <row r="208" spans="1:9" x14ac:dyDescent="0.3">
      <c r="A208" s="171"/>
      <c r="B208" s="174"/>
      <c r="C208" s="172"/>
      <c r="D208" s="172"/>
      <c r="E208" s="172"/>
      <c r="F208" s="172"/>
      <c r="G208" s="173"/>
      <c r="H208" s="173"/>
      <c r="I208" s="173"/>
    </row>
    <row r="209" spans="1:9" x14ac:dyDescent="0.3">
      <c r="A209" s="171"/>
      <c r="B209" s="174"/>
      <c r="C209" s="172"/>
      <c r="D209" s="172"/>
      <c r="E209" s="172"/>
      <c r="F209" s="172"/>
      <c r="G209" s="173"/>
      <c r="H209" s="173"/>
      <c r="I209" s="173"/>
    </row>
    <row r="210" spans="1:9" x14ac:dyDescent="0.3">
      <c r="A210" s="171"/>
      <c r="B210" s="174"/>
      <c r="C210" s="172"/>
      <c r="D210" s="172"/>
      <c r="E210" s="172"/>
      <c r="F210" s="172"/>
      <c r="G210" s="173"/>
      <c r="H210" s="173"/>
      <c r="I210" s="173"/>
    </row>
    <row r="211" spans="1:9" x14ac:dyDescent="0.3">
      <c r="A211" s="171"/>
      <c r="B211" s="174"/>
      <c r="C211" s="172"/>
      <c r="D211" s="172"/>
      <c r="E211" s="172"/>
      <c r="F211" s="172"/>
      <c r="G211" s="173"/>
      <c r="H211" s="173"/>
      <c r="I211" s="173"/>
    </row>
    <row r="212" spans="1:9" x14ac:dyDescent="0.3">
      <c r="A212" s="171"/>
      <c r="B212" s="174"/>
      <c r="C212" s="172"/>
      <c r="D212" s="172"/>
      <c r="E212" s="172"/>
      <c r="F212" s="172"/>
      <c r="G212" s="173"/>
      <c r="H212" s="173"/>
      <c r="I212" s="173"/>
    </row>
    <row r="213" spans="1:9" x14ac:dyDescent="0.3">
      <c r="A213" s="171"/>
      <c r="B213" s="174"/>
      <c r="C213" s="172"/>
      <c r="D213" s="172"/>
      <c r="E213" s="172"/>
      <c r="F213" s="172"/>
      <c r="G213" s="173"/>
      <c r="H213" s="173"/>
      <c r="I213" s="173"/>
    </row>
    <row r="214" spans="1:9" x14ac:dyDescent="0.3">
      <c r="A214" s="171"/>
      <c r="B214" s="174"/>
      <c r="C214" s="172"/>
      <c r="D214" s="172"/>
      <c r="E214" s="172"/>
      <c r="F214" s="172"/>
      <c r="G214" s="173"/>
      <c r="H214" s="173"/>
      <c r="I214" s="173"/>
    </row>
    <row r="215" spans="1:9" x14ac:dyDescent="0.3">
      <c r="A215" s="171"/>
      <c r="B215" s="174"/>
      <c r="C215" s="172"/>
      <c r="D215" s="172"/>
      <c r="E215" s="172"/>
      <c r="F215" s="172"/>
      <c r="G215" s="173"/>
      <c r="H215" s="173"/>
      <c r="I215" s="173"/>
    </row>
    <row r="216" spans="1:9" x14ac:dyDescent="0.3">
      <c r="A216" s="171"/>
      <c r="B216" s="174"/>
      <c r="C216" s="172"/>
      <c r="D216" s="172"/>
      <c r="E216" s="172"/>
      <c r="F216" s="172"/>
      <c r="G216" s="173"/>
      <c r="H216" s="173"/>
      <c r="I216" s="173"/>
    </row>
    <row r="217" spans="1:9" x14ac:dyDescent="0.3">
      <c r="A217" s="171"/>
      <c r="B217" s="174"/>
      <c r="C217" s="172"/>
      <c r="D217" s="172"/>
      <c r="E217" s="172"/>
      <c r="F217" s="172"/>
      <c r="G217" s="173"/>
      <c r="H217" s="173"/>
      <c r="I217" s="173"/>
    </row>
    <row r="218" spans="1:9" x14ac:dyDescent="0.3">
      <c r="A218" s="171"/>
      <c r="B218" s="174"/>
      <c r="C218" s="172"/>
      <c r="D218" s="172"/>
      <c r="E218" s="172"/>
      <c r="F218" s="172"/>
      <c r="G218" s="173"/>
      <c r="H218" s="173"/>
      <c r="I218" s="173"/>
    </row>
    <row r="219" spans="1:9" x14ac:dyDescent="0.3">
      <c r="A219" s="171"/>
      <c r="B219" s="174"/>
      <c r="C219" s="172"/>
      <c r="D219" s="172"/>
      <c r="E219" s="172"/>
      <c r="F219" s="172"/>
      <c r="G219" s="173"/>
      <c r="H219" s="173"/>
      <c r="I219" s="173"/>
    </row>
    <row r="220" spans="1:9" x14ac:dyDescent="0.3">
      <c r="A220" s="171"/>
      <c r="B220" s="174"/>
      <c r="C220" s="172"/>
      <c r="D220" s="172"/>
      <c r="E220" s="172"/>
      <c r="F220" s="172"/>
      <c r="G220" s="173"/>
      <c r="H220" s="173"/>
      <c r="I220" s="173"/>
    </row>
    <row r="221" spans="1:9" x14ac:dyDescent="0.3">
      <c r="A221" s="171"/>
      <c r="B221" s="174"/>
      <c r="C221" s="172"/>
      <c r="D221" s="172"/>
      <c r="E221" s="172"/>
      <c r="F221" s="172"/>
      <c r="G221" s="173"/>
      <c r="H221" s="173"/>
      <c r="I221" s="173"/>
    </row>
    <row r="222" spans="1:9" x14ac:dyDescent="0.3">
      <c r="A222" s="171"/>
      <c r="B222" s="174"/>
      <c r="C222" s="172"/>
      <c r="D222" s="172"/>
      <c r="E222" s="172"/>
      <c r="F222" s="172"/>
      <c r="G222" s="173"/>
      <c r="H222" s="173"/>
      <c r="I222" s="173"/>
    </row>
    <row r="223" spans="1:9" x14ac:dyDescent="0.3">
      <c r="A223" s="171"/>
      <c r="B223" s="174"/>
      <c r="C223" s="172"/>
      <c r="D223" s="172"/>
      <c r="E223" s="172"/>
      <c r="F223" s="172"/>
      <c r="G223" s="173"/>
      <c r="H223" s="173"/>
      <c r="I223" s="173"/>
    </row>
    <row r="224" spans="1:9" x14ac:dyDescent="0.3">
      <c r="A224" s="171"/>
      <c r="B224" s="174"/>
      <c r="C224" s="172"/>
      <c r="D224" s="172"/>
      <c r="E224" s="172"/>
      <c r="F224" s="172"/>
      <c r="G224" s="173"/>
      <c r="H224" s="173"/>
      <c r="I224" s="173"/>
    </row>
    <row r="225" spans="1:9" x14ac:dyDescent="0.3">
      <c r="A225" s="171"/>
      <c r="B225" s="174"/>
      <c r="C225" s="172"/>
      <c r="D225" s="172"/>
      <c r="E225" s="172"/>
      <c r="F225" s="172"/>
      <c r="G225" s="173"/>
      <c r="H225" s="173"/>
      <c r="I225" s="173"/>
    </row>
    <row r="226" spans="1:9" x14ac:dyDescent="0.3">
      <c r="A226" s="171"/>
      <c r="B226" s="174"/>
      <c r="C226" s="172"/>
      <c r="D226" s="172"/>
      <c r="E226" s="172"/>
      <c r="F226" s="172"/>
      <c r="G226" s="173"/>
      <c r="H226" s="173"/>
      <c r="I226" s="173"/>
    </row>
    <row r="227" spans="1:9" x14ac:dyDescent="0.3">
      <c r="A227" s="171"/>
      <c r="B227" s="174"/>
      <c r="C227" s="172"/>
      <c r="D227" s="172"/>
      <c r="E227" s="172"/>
      <c r="F227" s="172"/>
      <c r="G227" s="173"/>
      <c r="H227" s="173"/>
      <c r="I227" s="173"/>
    </row>
    <row r="228" spans="1:9" x14ac:dyDescent="0.3">
      <c r="A228" s="171"/>
      <c r="B228" s="174"/>
      <c r="C228" s="172"/>
      <c r="D228" s="172"/>
      <c r="E228" s="172"/>
      <c r="F228" s="172"/>
      <c r="G228" s="173"/>
      <c r="H228" s="173"/>
      <c r="I228" s="173"/>
    </row>
    <row r="229" spans="1:9" x14ac:dyDescent="0.3">
      <c r="A229" s="171"/>
      <c r="B229" s="174"/>
      <c r="C229" s="172"/>
      <c r="D229" s="172"/>
      <c r="E229" s="172"/>
      <c r="F229" s="172"/>
      <c r="G229" s="173"/>
      <c r="H229" s="173"/>
      <c r="I229" s="173"/>
    </row>
    <row r="230" spans="1:9" x14ac:dyDescent="0.3">
      <c r="A230" s="171"/>
      <c r="B230" s="174"/>
      <c r="C230" s="172"/>
      <c r="D230" s="172"/>
      <c r="E230" s="172"/>
      <c r="F230" s="172"/>
      <c r="G230" s="173"/>
      <c r="H230" s="173"/>
      <c r="I230" s="173"/>
    </row>
    <row r="231" spans="1:9" x14ac:dyDescent="0.3">
      <c r="A231" s="171"/>
      <c r="B231" s="174"/>
      <c r="C231" s="172"/>
      <c r="D231" s="172"/>
      <c r="E231" s="172"/>
      <c r="F231" s="172"/>
      <c r="G231" s="173"/>
      <c r="H231" s="173"/>
      <c r="I231" s="173"/>
    </row>
    <row r="232" spans="1:9" x14ac:dyDescent="0.3">
      <c r="A232" s="171"/>
      <c r="B232" s="174"/>
      <c r="C232" s="172"/>
      <c r="D232" s="172"/>
      <c r="E232" s="172"/>
      <c r="F232" s="172"/>
      <c r="G232" s="173"/>
      <c r="H232" s="173"/>
      <c r="I232" s="173"/>
    </row>
    <row r="233" spans="1:9" x14ac:dyDescent="0.3">
      <c r="A233" s="171"/>
      <c r="B233" s="174"/>
      <c r="C233" s="172"/>
      <c r="D233" s="172"/>
      <c r="E233" s="172"/>
      <c r="F233" s="172"/>
      <c r="G233" s="173"/>
      <c r="H233" s="173"/>
      <c r="I233" s="173"/>
    </row>
    <row r="234" spans="1:9" x14ac:dyDescent="0.3">
      <c r="A234" s="171"/>
      <c r="B234" s="174"/>
      <c r="C234" s="172"/>
      <c r="D234" s="172"/>
      <c r="E234" s="172"/>
      <c r="F234" s="172"/>
      <c r="G234" s="173"/>
      <c r="H234" s="173"/>
      <c r="I234" s="173"/>
    </row>
    <row r="235" spans="1:9" x14ac:dyDescent="0.3">
      <c r="A235" s="171"/>
      <c r="B235" s="174"/>
      <c r="C235" s="172"/>
      <c r="D235" s="172"/>
      <c r="E235" s="172"/>
      <c r="F235" s="172"/>
      <c r="G235" s="173"/>
      <c r="H235" s="173"/>
      <c r="I235" s="173"/>
    </row>
    <row r="236" spans="1:9" x14ac:dyDescent="0.3">
      <c r="A236" s="171"/>
      <c r="B236" s="174"/>
      <c r="C236" s="172"/>
      <c r="D236" s="172"/>
      <c r="E236" s="172"/>
      <c r="F236" s="172"/>
      <c r="G236" s="173"/>
      <c r="H236" s="173"/>
      <c r="I236" s="173"/>
    </row>
    <row r="237" spans="1:9" x14ac:dyDescent="0.3">
      <c r="A237" s="171"/>
      <c r="B237" s="174"/>
      <c r="C237" s="172"/>
      <c r="D237" s="172"/>
      <c r="E237" s="172"/>
      <c r="F237" s="172"/>
      <c r="G237" s="173"/>
      <c r="H237" s="173"/>
      <c r="I237" s="173"/>
    </row>
    <row r="238" spans="1:9" x14ac:dyDescent="0.3">
      <c r="A238" s="171"/>
      <c r="B238" s="174"/>
      <c r="C238" s="172"/>
      <c r="D238" s="172"/>
      <c r="E238" s="172"/>
      <c r="F238" s="172"/>
      <c r="G238" s="173"/>
      <c r="H238" s="173"/>
      <c r="I238" s="173"/>
    </row>
    <row r="239" spans="1:9" x14ac:dyDescent="0.3">
      <c r="A239" s="171"/>
      <c r="B239" s="174"/>
      <c r="C239" s="172"/>
      <c r="D239" s="172"/>
      <c r="E239" s="172"/>
      <c r="F239" s="172"/>
      <c r="G239" s="173"/>
      <c r="H239" s="173"/>
      <c r="I239" s="173"/>
    </row>
    <row r="240" spans="1:9" x14ac:dyDescent="0.3">
      <c r="A240" s="171"/>
      <c r="B240" s="174"/>
      <c r="C240" s="172"/>
      <c r="D240" s="172"/>
      <c r="E240" s="172"/>
      <c r="F240" s="172"/>
      <c r="G240" s="173"/>
      <c r="H240" s="173"/>
      <c r="I240" s="173"/>
    </row>
    <row r="241" spans="1:9" x14ac:dyDescent="0.3">
      <c r="A241" s="171"/>
      <c r="B241" s="174"/>
      <c r="C241" s="172"/>
      <c r="D241" s="172"/>
      <c r="E241" s="172"/>
      <c r="F241" s="172"/>
      <c r="G241" s="173"/>
      <c r="H241" s="173"/>
      <c r="I241" s="173"/>
    </row>
    <row r="242" spans="1:9" x14ac:dyDescent="0.3">
      <c r="A242" s="171"/>
      <c r="B242" s="174"/>
      <c r="C242" s="172"/>
      <c r="D242" s="172"/>
      <c r="E242" s="172"/>
      <c r="F242" s="172"/>
      <c r="G242" s="173"/>
      <c r="H242" s="173"/>
      <c r="I242" s="173"/>
    </row>
    <row r="243" spans="1:9" x14ac:dyDescent="0.3">
      <c r="A243" s="171"/>
      <c r="B243" s="174"/>
      <c r="C243" s="172"/>
      <c r="D243" s="172"/>
      <c r="E243" s="172"/>
      <c r="F243" s="172"/>
      <c r="G243" s="173"/>
      <c r="H243" s="173"/>
      <c r="I243" s="173"/>
    </row>
    <row r="244" spans="1:9" x14ac:dyDescent="0.3">
      <c r="A244" s="171"/>
      <c r="B244" s="174"/>
      <c r="C244" s="172"/>
      <c r="D244" s="172"/>
      <c r="E244" s="172"/>
      <c r="F244" s="172"/>
      <c r="G244" s="173"/>
      <c r="H244" s="173"/>
      <c r="I244" s="173"/>
    </row>
    <row r="245" spans="1:9" x14ac:dyDescent="0.3">
      <c r="A245" s="171"/>
      <c r="B245" s="174"/>
      <c r="C245" s="172"/>
      <c r="D245" s="172"/>
      <c r="E245" s="172"/>
      <c r="F245" s="172"/>
      <c r="G245" s="173"/>
      <c r="H245" s="173"/>
      <c r="I245" s="173"/>
    </row>
    <row r="246" spans="1:9" x14ac:dyDescent="0.3">
      <c r="A246" s="171"/>
      <c r="B246" s="174"/>
      <c r="C246" s="172"/>
      <c r="D246" s="172"/>
      <c r="E246" s="172"/>
      <c r="F246" s="172"/>
      <c r="G246" s="173"/>
      <c r="H246" s="173"/>
      <c r="I246" s="173"/>
    </row>
    <row r="247" spans="1:9" x14ac:dyDescent="0.3">
      <c r="A247" s="171"/>
      <c r="B247" s="174"/>
      <c r="C247" s="172"/>
      <c r="D247" s="172"/>
      <c r="E247" s="172"/>
      <c r="F247" s="172"/>
      <c r="G247" s="173"/>
      <c r="H247" s="173"/>
      <c r="I247" s="173"/>
    </row>
    <row r="248" spans="1:9" x14ac:dyDescent="0.3">
      <c r="A248" s="171"/>
      <c r="B248" s="174"/>
      <c r="C248" s="172"/>
      <c r="D248" s="172"/>
      <c r="E248" s="172"/>
      <c r="F248" s="172"/>
      <c r="G248" s="173"/>
      <c r="H248" s="173"/>
      <c r="I248" s="173"/>
    </row>
    <row r="249" spans="1:9" x14ac:dyDescent="0.3">
      <c r="A249" s="171"/>
      <c r="B249" s="174"/>
      <c r="C249" s="172"/>
      <c r="D249" s="172"/>
      <c r="E249" s="172"/>
      <c r="F249" s="172"/>
      <c r="G249" s="173"/>
      <c r="H249" s="173"/>
      <c r="I249" s="173"/>
    </row>
    <row r="250" spans="1:9" x14ac:dyDescent="0.3">
      <c r="A250" s="171"/>
      <c r="B250" s="174"/>
      <c r="C250" s="172"/>
      <c r="D250" s="172"/>
      <c r="E250" s="172"/>
      <c r="F250" s="172"/>
      <c r="G250" s="173"/>
      <c r="H250" s="173"/>
      <c r="I250" s="173"/>
    </row>
    <row r="251" spans="1:9" x14ac:dyDescent="0.3">
      <c r="A251" s="171"/>
      <c r="B251" s="174"/>
      <c r="C251" s="172"/>
      <c r="D251" s="172"/>
      <c r="E251" s="172"/>
      <c r="F251" s="172"/>
      <c r="G251" s="173"/>
      <c r="H251" s="173"/>
      <c r="I251" s="173"/>
    </row>
    <row r="252" spans="1:9" x14ac:dyDescent="0.3">
      <c r="A252" s="171"/>
      <c r="B252" s="174"/>
      <c r="C252" s="172"/>
      <c r="D252" s="172"/>
      <c r="E252" s="172"/>
      <c r="F252" s="172"/>
      <c r="G252" s="173"/>
      <c r="H252" s="173"/>
      <c r="I252" s="173"/>
    </row>
    <row r="253" spans="1:9" x14ac:dyDescent="0.3">
      <c r="A253" s="171"/>
      <c r="B253" s="174"/>
      <c r="C253" s="172"/>
      <c r="D253" s="172"/>
      <c r="E253" s="172"/>
      <c r="F253" s="172"/>
      <c r="G253" s="173"/>
      <c r="H253" s="173"/>
      <c r="I253" s="173"/>
    </row>
    <row r="254" spans="1:9" x14ac:dyDescent="0.3">
      <c r="A254" s="171"/>
      <c r="B254" s="174"/>
      <c r="C254" s="172"/>
      <c r="D254" s="172"/>
      <c r="E254" s="172"/>
      <c r="F254" s="172"/>
      <c r="G254" s="173"/>
      <c r="H254" s="173"/>
      <c r="I254" s="173"/>
    </row>
    <row r="255" spans="1:9" x14ac:dyDescent="0.3">
      <c r="A255" s="171"/>
      <c r="B255" s="174"/>
      <c r="C255" s="172"/>
      <c r="D255" s="172"/>
      <c r="E255" s="172"/>
      <c r="F255" s="172"/>
      <c r="G255" s="173"/>
      <c r="H255" s="173"/>
      <c r="I255" s="173"/>
    </row>
    <row r="256" spans="1:9" x14ac:dyDescent="0.3">
      <c r="A256" s="171"/>
      <c r="B256" s="174"/>
      <c r="C256" s="172"/>
      <c r="D256" s="172"/>
      <c r="E256" s="172"/>
      <c r="F256" s="172"/>
      <c r="G256" s="173"/>
      <c r="H256" s="173"/>
      <c r="I256" s="173"/>
    </row>
    <row r="257" spans="1:9" x14ac:dyDescent="0.3">
      <c r="A257" s="171"/>
      <c r="B257" s="174"/>
      <c r="C257" s="172"/>
      <c r="D257" s="172"/>
      <c r="E257" s="172"/>
      <c r="F257" s="172"/>
      <c r="G257" s="173"/>
      <c r="H257" s="173"/>
      <c r="I257" s="173"/>
    </row>
    <row r="258" spans="1:9" x14ac:dyDescent="0.3">
      <c r="A258" s="171"/>
      <c r="B258" s="174"/>
      <c r="C258" s="172"/>
      <c r="D258" s="172"/>
      <c r="E258" s="172"/>
      <c r="F258" s="172"/>
      <c r="G258" s="173"/>
      <c r="H258" s="173"/>
      <c r="I258" s="173"/>
    </row>
    <row r="259" spans="1:9" x14ac:dyDescent="0.3">
      <c r="A259" s="171"/>
      <c r="B259" s="174"/>
      <c r="C259" s="172"/>
      <c r="D259" s="172"/>
      <c r="E259" s="172"/>
      <c r="F259" s="172"/>
      <c r="G259" s="173"/>
      <c r="H259" s="173"/>
      <c r="I259" s="173"/>
    </row>
    <row r="260" spans="1:9" x14ac:dyDescent="0.3">
      <c r="A260" s="171"/>
      <c r="B260" s="174"/>
      <c r="C260" s="172"/>
      <c r="D260" s="172"/>
      <c r="E260" s="172"/>
      <c r="F260" s="172"/>
      <c r="G260" s="173"/>
      <c r="H260" s="173"/>
      <c r="I260" s="173"/>
    </row>
    <row r="261" spans="1:9" x14ac:dyDescent="0.3">
      <c r="A261" s="171"/>
      <c r="B261" s="174"/>
      <c r="C261" s="172"/>
      <c r="D261" s="172"/>
      <c r="E261" s="172"/>
      <c r="F261" s="172"/>
      <c r="G261" s="173"/>
      <c r="H261" s="173"/>
      <c r="I261" s="173"/>
    </row>
    <row r="262" spans="1:9" x14ac:dyDescent="0.3">
      <c r="A262" s="171"/>
      <c r="B262" s="174"/>
      <c r="C262" s="172"/>
      <c r="D262" s="172"/>
      <c r="E262" s="172"/>
      <c r="F262" s="172"/>
      <c r="G262" s="173"/>
      <c r="H262" s="173"/>
      <c r="I262" s="173"/>
    </row>
    <row r="263" spans="1:9" x14ac:dyDescent="0.3">
      <c r="A263" s="171"/>
      <c r="B263" s="174"/>
      <c r="C263" s="172"/>
      <c r="D263" s="172"/>
      <c r="E263" s="172"/>
      <c r="F263" s="172"/>
      <c r="G263" s="173"/>
      <c r="H263" s="173"/>
      <c r="I263" s="173"/>
    </row>
    <row r="264" spans="1:9" x14ac:dyDescent="0.3">
      <c r="A264" s="171"/>
      <c r="B264" s="174"/>
      <c r="C264" s="172"/>
      <c r="D264" s="172"/>
      <c r="E264" s="172"/>
      <c r="F264" s="172"/>
      <c r="G264" s="173"/>
      <c r="H264" s="173"/>
      <c r="I264" s="173"/>
    </row>
    <row r="265" spans="1:9" x14ac:dyDescent="0.3">
      <c r="A265" s="171"/>
      <c r="B265" s="174"/>
      <c r="C265" s="172"/>
      <c r="D265" s="172"/>
      <c r="E265" s="172"/>
      <c r="F265" s="172"/>
      <c r="G265" s="173"/>
      <c r="H265" s="173"/>
      <c r="I265" s="173"/>
    </row>
    <row r="266" spans="1:9" x14ac:dyDescent="0.3">
      <c r="A266" s="171"/>
      <c r="B266" s="174"/>
      <c r="C266" s="172"/>
      <c r="D266" s="172"/>
      <c r="E266" s="172"/>
      <c r="F266" s="172"/>
      <c r="G266" s="173"/>
      <c r="H266" s="173"/>
      <c r="I266" s="173"/>
    </row>
    <row r="267" spans="1:9" x14ac:dyDescent="0.3">
      <c r="A267" s="171"/>
      <c r="B267" s="174"/>
      <c r="C267" s="172"/>
      <c r="D267" s="172"/>
      <c r="E267" s="172"/>
      <c r="F267" s="172"/>
      <c r="G267" s="173"/>
      <c r="H267" s="173"/>
      <c r="I267" s="173"/>
    </row>
    <row r="268" spans="1:9" x14ac:dyDescent="0.3">
      <c r="A268" s="171"/>
      <c r="B268" s="174"/>
      <c r="C268" s="172"/>
      <c r="D268" s="172"/>
      <c r="E268" s="172"/>
      <c r="F268" s="172"/>
      <c r="G268" s="173"/>
      <c r="H268" s="173"/>
      <c r="I268" s="173"/>
    </row>
    <row r="269" spans="1:9" x14ac:dyDescent="0.3">
      <c r="A269" s="171"/>
      <c r="B269" s="174"/>
      <c r="C269" s="172"/>
      <c r="D269" s="172"/>
      <c r="E269" s="172"/>
      <c r="F269" s="172"/>
      <c r="G269" s="173"/>
      <c r="H269" s="173"/>
      <c r="I269" s="173"/>
    </row>
    <row r="270" spans="1:9" x14ac:dyDescent="0.3">
      <c r="A270" s="171"/>
      <c r="B270" s="174"/>
      <c r="C270" s="172"/>
      <c r="D270" s="172"/>
      <c r="E270" s="172"/>
      <c r="F270" s="172"/>
      <c r="G270" s="173"/>
      <c r="H270" s="173"/>
      <c r="I270" s="173"/>
    </row>
    <row r="271" spans="1:9" x14ac:dyDescent="0.3">
      <c r="A271" s="171"/>
      <c r="B271" s="174"/>
      <c r="C271" s="172"/>
      <c r="D271" s="172"/>
      <c r="E271" s="172"/>
      <c r="F271" s="172"/>
      <c r="G271" s="173"/>
      <c r="H271" s="173"/>
      <c r="I271" s="173"/>
    </row>
    <row r="272" spans="1:9" x14ac:dyDescent="0.3">
      <c r="A272" s="171"/>
      <c r="B272" s="174"/>
      <c r="C272" s="172"/>
      <c r="D272" s="172"/>
      <c r="E272" s="172"/>
      <c r="F272" s="172"/>
      <c r="G272" s="173"/>
      <c r="H272" s="173"/>
      <c r="I272" s="173"/>
    </row>
    <row r="273" spans="1:9" x14ac:dyDescent="0.3">
      <c r="A273" s="171"/>
      <c r="B273" s="174"/>
      <c r="C273" s="172"/>
      <c r="D273" s="172"/>
      <c r="E273" s="172"/>
      <c r="F273" s="172"/>
      <c r="G273" s="173"/>
      <c r="H273" s="173"/>
      <c r="I273" s="173"/>
    </row>
    <row r="274" spans="1:9" x14ac:dyDescent="0.3">
      <c r="A274" s="171"/>
      <c r="B274" s="174"/>
      <c r="C274" s="172"/>
      <c r="D274" s="172"/>
      <c r="E274" s="172"/>
      <c r="F274" s="172"/>
      <c r="G274" s="173"/>
      <c r="H274" s="173"/>
      <c r="I274" s="173"/>
    </row>
    <row r="275" spans="1:9" x14ac:dyDescent="0.3">
      <c r="A275" s="171"/>
      <c r="B275" s="174"/>
      <c r="C275" s="172"/>
      <c r="D275" s="172"/>
      <c r="E275" s="172"/>
      <c r="F275" s="172"/>
      <c r="G275" s="173"/>
      <c r="H275" s="173"/>
      <c r="I275" s="173"/>
    </row>
    <row r="276" spans="1:9" x14ac:dyDescent="0.3">
      <c r="A276" s="171"/>
      <c r="B276" s="174"/>
      <c r="C276" s="172"/>
      <c r="D276" s="172"/>
      <c r="E276" s="172"/>
      <c r="F276" s="172"/>
      <c r="G276" s="173"/>
      <c r="H276" s="173"/>
      <c r="I276" s="173"/>
    </row>
    <row r="277" spans="1:9" x14ac:dyDescent="0.3">
      <c r="A277" s="171"/>
      <c r="B277" s="174"/>
      <c r="C277" s="172"/>
      <c r="D277" s="172"/>
      <c r="E277" s="172"/>
      <c r="F277" s="172"/>
      <c r="G277" s="173"/>
      <c r="H277" s="173"/>
      <c r="I277" s="173"/>
    </row>
    <row r="278" spans="1:9" x14ac:dyDescent="0.3">
      <c r="A278" s="171"/>
      <c r="B278" s="174"/>
      <c r="C278" s="172"/>
      <c r="D278" s="172"/>
      <c r="E278" s="172"/>
      <c r="F278" s="172"/>
      <c r="G278" s="173"/>
      <c r="H278" s="173"/>
      <c r="I278" s="173"/>
    </row>
    <row r="279" spans="1:9" x14ac:dyDescent="0.3">
      <c r="A279" s="171"/>
      <c r="B279" s="174"/>
      <c r="C279" s="172"/>
      <c r="D279" s="172"/>
      <c r="E279" s="172"/>
      <c r="F279" s="172"/>
      <c r="G279" s="173"/>
      <c r="H279" s="173"/>
      <c r="I279" s="173"/>
    </row>
    <row r="280" spans="1:9" x14ac:dyDescent="0.3">
      <c r="A280" s="171"/>
      <c r="B280" s="174"/>
      <c r="C280" s="172"/>
      <c r="D280" s="172"/>
      <c r="E280" s="172"/>
      <c r="F280" s="172"/>
      <c r="G280" s="173"/>
      <c r="H280" s="173"/>
      <c r="I280" s="173"/>
    </row>
    <row r="281" spans="1:9" x14ac:dyDescent="0.3">
      <c r="A281" s="171"/>
      <c r="B281" s="174"/>
      <c r="C281" s="172"/>
      <c r="D281" s="172"/>
      <c r="E281" s="172"/>
      <c r="F281" s="172"/>
      <c r="G281" s="173"/>
      <c r="H281" s="173"/>
      <c r="I281" s="173"/>
    </row>
    <row r="282" spans="1:9" x14ac:dyDescent="0.3">
      <c r="A282" s="171"/>
      <c r="B282" s="174"/>
      <c r="C282" s="172"/>
      <c r="D282" s="172"/>
      <c r="E282" s="172"/>
      <c r="F282" s="172"/>
      <c r="G282" s="173"/>
      <c r="H282" s="173"/>
      <c r="I282" s="173"/>
    </row>
    <row r="283" spans="1:9" x14ac:dyDescent="0.3">
      <c r="A283" s="171"/>
      <c r="B283" s="174"/>
      <c r="C283" s="172"/>
      <c r="D283" s="172"/>
      <c r="E283" s="172"/>
      <c r="F283" s="172"/>
      <c r="G283" s="173"/>
      <c r="H283" s="173"/>
      <c r="I283" s="173"/>
    </row>
    <row r="284" spans="1:9" x14ac:dyDescent="0.3">
      <c r="A284" s="171"/>
      <c r="B284" s="174"/>
      <c r="C284" s="172"/>
      <c r="D284" s="172"/>
      <c r="E284" s="172"/>
      <c r="F284" s="172"/>
      <c r="G284" s="173"/>
      <c r="H284" s="173"/>
      <c r="I284" s="173"/>
    </row>
    <row r="285" spans="1:9" x14ac:dyDescent="0.3">
      <c r="A285" s="171"/>
      <c r="B285" s="174"/>
      <c r="C285" s="172"/>
      <c r="D285" s="172"/>
      <c r="E285" s="172"/>
      <c r="F285" s="172"/>
      <c r="G285" s="173"/>
      <c r="H285" s="173"/>
      <c r="I285" s="173"/>
    </row>
    <row r="286" spans="1:9" x14ac:dyDescent="0.3">
      <c r="A286" s="171"/>
      <c r="B286" s="174"/>
      <c r="C286" s="172"/>
      <c r="D286" s="172"/>
      <c r="E286" s="172"/>
      <c r="F286" s="172"/>
      <c r="G286" s="173"/>
      <c r="H286" s="173"/>
      <c r="I286" s="173"/>
    </row>
    <row r="287" spans="1:9" x14ac:dyDescent="0.3">
      <c r="A287" s="171"/>
      <c r="B287" s="174"/>
      <c r="C287" s="172"/>
      <c r="D287" s="172"/>
      <c r="E287" s="172"/>
      <c r="F287" s="172"/>
      <c r="G287" s="173"/>
      <c r="H287" s="173"/>
      <c r="I287" s="173"/>
    </row>
    <row r="288" spans="1:9" x14ac:dyDescent="0.3">
      <c r="A288" s="171"/>
      <c r="B288" s="174"/>
      <c r="C288" s="172"/>
      <c r="D288" s="172"/>
      <c r="E288" s="172"/>
      <c r="F288" s="172"/>
      <c r="G288" s="173"/>
      <c r="H288" s="173"/>
      <c r="I288" s="173"/>
    </row>
    <row r="289" spans="1:9" x14ac:dyDescent="0.3">
      <c r="A289" s="171"/>
      <c r="B289" s="174"/>
      <c r="C289" s="172"/>
      <c r="D289" s="172"/>
      <c r="E289" s="172"/>
      <c r="F289" s="172"/>
      <c r="G289" s="173"/>
      <c r="H289" s="173"/>
      <c r="I289" s="173"/>
    </row>
    <row r="290" spans="1:9" x14ac:dyDescent="0.3">
      <c r="A290" s="171"/>
      <c r="B290" s="174"/>
      <c r="C290" s="172"/>
      <c r="D290" s="172"/>
      <c r="E290" s="172"/>
      <c r="F290" s="172"/>
      <c r="G290" s="173"/>
      <c r="H290" s="173"/>
      <c r="I290" s="173"/>
    </row>
    <row r="291" spans="1:9" x14ac:dyDescent="0.3">
      <c r="A291" s="171"/>
      <c r="B291" s="174"/>
      <c r="C291" s="172"/>
      <c r="D291" s="172"/>
      <c r="E291" s="172"/>
      <c r="F291" s="172"/>
      <c r="G291" s="173"/>
      <c r="H291" s="173"/>
      <c r="I291" s="173"/>
    </row>
    <row r="292" spans="1:9" x14ac:dyDescent="0.3">
      <c r="A292" s="171"/>
      <c r="B292" s="174"/>
      <c r="C292" s="172"/>
      <c r="D292" s="172"/>
      <c r="E292" s="172"/>
      <c r="F292" s="172"/>
      <c r="G292" s="173"/>
      <c r="H292" s="173"/>
      <c r="I292" s="173"/>
    </row>
    <row r="293" spans="1:9" x14ac:dyDescent="0.3">
      <c r="A293" s="171"/>
      <c r="B293" s="174"/>
      <c r="C293" s="172"/>
      <c r="D293" s="172"/>
      <c r="E293" s="172"/>
      <c r="F293" s="172"/>
      <c r="G293" s="173"/>
      <c r="H293" s="173"/>
      <c r="I293" s="173"/>
    </row>
    <row r="294" spans="1:9" x14ac:dyDescent="0.3">
      <c r="A294" s="171"/>
      <c r="B294" s="174"/>
      <c r="C294" s="172"/>
      <c r="D294" s="172"/>
      <c r="E294" s="172"/>
      <c r="F294" s="172"/>
      <c r="G294" s="173"/>
      <c r="H294" s="173"/>
      <c r="I294" s="173"/>
    </row>
    <row r="295" spans="1:9" x14ac:dyDescent="0.3">
      <c r="A295" s="171"/>
      <c r="B295" s="174"/>
      <c r="C295" s="172"/>
      <c r="D295" s="172"/>
      <c r="E295" s="172"/>
      <c r="F295" s="172"/>
      <c r="G295" s="173"/>
      <c r="H295" s="173"/>
      <c r="I295" s="173"/>
    </row>
    <row r="296" spans="1:9" x14ac:dyDescent="0.3">
      <c r="A296" s="171"/>
      <c r="B296" s="174"/>
      <c r="C296" s="172"/>
      <c r="D296" s="172"/>
      <c r="E296" s="172"/>
      <c r="F296" s="172"/>
      <c r="G296" s="173"/>
      <c r="H296" s="173"/>
      <c r="I296" s="173"/>
    </row>
    <row r="297" spans="1:9" x14ac:dyDescent="0.3">
      <c r="A297" s="171"/>
      <c r="B297" s="174"/>
      <c r="C297" s="172"/>
      <c r="D297" s="172"/>
      <c r="E297" s="172"/>
      <c r="F297" s="172"/>
      <c r="G297" s="173"/>
      <c r="H297" s="173"/>
      <c r="I297" s="173"/>
    </row>
    <row r="298" spans="1:9" x14ac:dyDescent="0.3">
      <c r="A298" s="171"/>
      <c r="B298" s="174"/>
      <c r="C298" s="172"/>
      <c r="D298" s="172"/>
      <c r="E298" s="172"/>
      <c r="F298" s="172"/>
      <c r="G298" s="173"/>
      <c r="H298" s="173"/>
      <c r="I298" s="173"/>
    </row>
    <row r="299" spans="1:9" x14ac:dyDescent="0.3">
      <c r="A299" s="171"/>
      <c r="B299" s="174"/>
      <c r="C299" s="172"/>
      <c r="D299" s="172"/>
      <c r="E299" s="172"/>
      <c r="F299" s="172"/>
      <c r="G299" s="173"/>
      <c r="H299" s="173"/>
      <c r="I299" s="173"/>
    </row>
    <row r="300" spans="1:9" x14ac:dyDescent="0.3">
      <c r="A300" s="171"/>
      <c r="B300" s="174"/>
      <c r="C300" s="172"/>
      <c r="D300" s="172"/>
      <c r="E300" s="172"/>
      <c r="F300" s="172"/>
      <c r="G300" s="173"/>
      <c r="H300" s="173"/>
      <c r="I300" s="173"/>
    </row>
    <row r="301" spans="1:9" x14ac:dyDescent="0.3">
      <c r="A301" s="171"/>
      <c r="B301" s="174"/>
      <c r="C301" s="172"/>
      <c r="D301" s="172"/>
      <c r="E301" s="172"/>
      <c r="F301" s="172"/>
      <c r="G301" s="173"/>
      <c r="H301" s="173"/>
      <c r="I301" s="173"/>
    </row>
    <row r="302" spans="1:9" x14ac:dyDescent="0.3">
      <c r="A302" s="171"/>
      <c r="B302" s="174"/>
      <c r="C302" s="172"/>
      <c r="D302" s="172"/>
      <c r="E302" s="172"/>
      <c r="F302" s="172"/>
      <c r="G302" s="173"/>
      <c r="H302" s="173"/>
      <c r="I302" s="173"/>
    </row>
    <row r="303" spans="1:9" x14ac:dyDescent="0.3">
      <c r="A303" s="171"/>
      <c r="B303" s="174"/>
      <c r="C303" s="172"/>
      <c r="D303" s="172"/>
      <c r="E303" s="172"/>
      <c r="F303" s="172"/>
      <c r="G303" s="173"/>
      <c r="H303" s="173"/>
      <c r="I303" s="173"/>
    </row>
    <row r="304" spans="1:9" x14ac:dyDescent="0.3">
      <c r="A304" s="171"/>
      <c r="B304" s="174"/>
      <c r="C304" s="172"/>
      <c r="D304" s="172"/>
      <c r="E304" s="172"/>
      <c r="F304" s="172"/>
      <c r="G304" s="173"/>
      <c r="H304" s="173"/>
      <c r="I304" s="173"/>
    </row>
    <row r="305" spans="1:9" x14ac:dyDescent="0.3">
      <c r="A305" s="171"/>
      <c r="B305" s="174"/>
      <c r="C305" s="172"/>
      <c r="D305" s="172"/>
      <c r="E305" s="172"/>
      <c r="F305" s="172"/>
      <c r="G305" s="173"/>
      <c r="H305" s="173"/>
      <c r="I305" s="173"/>
    </row>
    <row r="306" spans="1:9" x14ac:dyDescent="0.3">
      <c r="A306" s="171"/>
      <c r="B306" s="174"/>
      <c r="C306" s="172"/>
      <c r="D306" s="172"/>
      <c r="E306" s="172"/>
      <c r="F306" s="172"/>
      <c r="G306" s="173"/>
      <c r="H306" s="173"/>
      <c r="I306" s="173"/>
    </row>
    <row r="307" spans="1:9" x14ac:dyDescent="0.3">
      <c r="A307" s="171"/>
      <c r="B307" s="174"/>
      <c r="C307" s="172"/>
      <c r="D307" s="172"/>
      <c r="E307" s="172"/>
      <c r="F307" s="172"/>
      <c r="G307" s="173"/>
      <c r="H307" s="173"/>
      <c r="I307" s="173"/>
    </row>
    <row r="308" spans="1:9" x14ac:dyDescent="0.3">
      <c r="A308" s="171"/>
      <c r="B308" s="174"/>
      <c r="C308" s="172"/>
      <c r="D308" s="172"/>
      <c r="E308" s="172"/>
      <c r="F308" s="172"/>
      <c r="G308" s="173"/>
      <c r="H308" s="173"/>
      <c r="I308" s="173"/>
    </row>
    <row r="309" spans="1:9" x14ac:dyDescent="0.3">
      <c r="A309" s="171"/>
      <c r="B309" s="174"/>
      <c r="C309" s="172"/>
      <c r="D309" s="172"/>
      <c r="E309" s="172"/>
      <c r="F309" s="172"/>
      <c r="G309" s="173"/>
      <c r="H309" s="173"/>
      <c r="I309" s="173"/>
    </row>
    <row r="310" spans="1:9" x14ac:dyDescent="0.3">
      <c r="A310" s="171"/>
      <c r="B310" s="174"/>
      <c r="C310" s="172"/>
      <c r="D310" s="172"/>
      <c r="E310" s="172"/>
      <c r="F310" s="172"/>
      <c r="G310" s="173"/>
      <c r="H310" s="173"/>
      <c r="I310" s="173"/>
    </row>
    <row r="311" spans="1:9" x14ac:dyDescent="0.3">
      <c r="A311" s="171"/>
      <c r="B311" s="174"/>
      <c r="C311" s="172"/>
      <c r="D311" s="172"/>
      <c r="E311" s="172"/>
      <c r="F311" s="172"/>
      <c r="G311" s="173"/>
      <c r="H311" s="173"/>
      <c r="I311" s="173"/>
    </row>
    <row r="312" spans="1:9" x14ac:dyDescent="0.3">
      <c r="A312" s="171"/>
      <c r="B312" s="174"/>
      <c r="C312" s="172"/>
      <c r="D312" s="172"/>
      <c r="E312" s="172"/>
      <c r="F312" s="172"/>
      <c r="G312" s="173"/>
      <c r="H312" s="173"/>
      <c r="I312" s="173"/>
    </row>
    <row r="313" spans="1:9" x14ac:dyDescent="0.3">
      <c r="A313" s="171"/>
      <c r="B313" s="174"/>
      <c r="C313" s="172"/>
      <c r="D313" s="172"/>
      <c r="E313" s="172"/>
      <c r="F313" s="172"/>
      <c r="G313" s="173"/>
      <c r="H313" s="173"/>
      <c r="I313" s="173"/>
    </row>
    <row r="314" spans="1:9" x14ac:dyDescent="0.3">
      <c r="A314" s="171"/>
      <c r="B314" s="174"/>
      <c r="C314" s="172"/>
      <c r="D314" s="172"/>
      <c r="E314" s="172"/>
      <c r="F314" s="172"/>
      <c r="G314" s="173"/>
      <c r="H314" s="173"/>
      <c r="I314" s="173"/>
    </row>
    <row r="315" spans="1:9" x14ac:dyDescent="0.3">
      <c r="A315" s="171"/>
      <c r="B315" s="174"/>
      <c r="C315" s="172"/>
      <c r="D315" s="172"/>
      <c r="E315" s="172"/>
      <c r="F315" s="172"/>
      <c r="G315" s="173"/>
      <c r="H315" s="173"/>
      <c r="I315" s="173"/>
    </row>
    <row r="316" spans="1:9" x14ac:dyDescent="0.3">
      <c r="A316" s="171"/>
      <c r="B316" s="174"/>
      <c r="C316" s="172"/>
      <c r="D316" s="172"/>
      <c r="E316" s="172"/>
      <c r="F316" s="172"/>
      <c r="G316" s="173"/>
      <c r="H316" s="173"/>
      <c r="I316" s="173"/>
    </row>
    <row r="317" spans="1:9" x14ac:dyDescent="0.3">
      <c r="A317" s="171"/>
      <c r="B317" s="174"/>
      <c r="C317" s="172"/>
      <c r="D317" s="172"/>
      <c r="E317" s="172"/>
      <c r="F317" s="172"/>
      <c r="G317" s="173"/>
      <c r="H317" s="173"/>
      <c r="I317" s="173"/>
    </row>
    <row r="318" spans="1:9" x14ac:dyDescent="0.3">
      <c r="A318" s="171"/>
      <c r="B318" s="174"/>
      <c r="C318" s="172"/>
      <c r="D318" s="172"/>
      <c r="E318" s="172"/>
      <c r="F318" s="172"/>
      <c r="G318" s="173"/>
      <c r="H318" s="173"/>
      <c r="I318" s="173"/>
    </row>
    <row r="319" spans="1:9" x14ac:dyDescent="0.3">
      <c r="A319" s="171"/>
      <c r="B319" s="174"/>
      <c r="C319" s="172"/>
      <c r="D319" s="172"/>
      <c r="E319" s="172"/>
      <c r="F319" s="172"/>
      <c r="G319" s="173"/>
      <c r="H319" s="173"/>
      <c r="I319" s="173"/>
    </row>
    <row r="320" spans="1:9" x14ac:dyDescent="0.3">
      <c r="A320" s="171"/>
      <c r="B320" s="174"/>
      <c r="C320" s="172"/>
      <c r="D320" s="172"/>
      <c r="E320" s="172"/>
      <c r="F320" s="172"/>
      <c r="G320" s="173"/>
      <c r="H320" s="173"/>
      <c r="I320" s="173"/>
    </row>
    <row r="321" spans="1:9" x14ac:dyDescent="0.3">
      <c r="A321" s="171"/>
      <c r="B321" s="174"/>
      <c r="C321" s="172"/>
      <c r="D321" s="172"/>
      <c r="E321" s="172"/>
      <c r="F321" s="172"/>
      <c r="G321" s="173"/>
      <c r="H321" s="173"/>
      <c r="I321" s="173"/>
    </row>
    <row r="322" spans="1:9" x14ac:dyDescent="0.3">
      <c r="A322" s="171"/>
      <c r="B322" s="174"/>
      <c r="C322" s="172"/>
      <c r="D322" s="172"/>
      <c r="E322" s="172"/>
      <c r="F322" s="172"/>
      <c r="G322" s="173"/>
      <c r="H322" s="173"/>
      <c r="I322" s="173"/>
    </row>
    <row r="323" spans="1:9" x14ac:dyDescent="0.3">
      <c r="A323" s="171"/>
      <c r="B323" s="174"/>
      <c r="C323" s="172"/>
      <c r="D323" s="172"/>
      <c r="E323" s="172"/>
      <c r="F323" s="172"/>
      <c r="G323" s="173"/>
      <c r="H323" s="173"/>
      <c r="I323" s="173"/>
    </row>
    <row r="324" spans="1:9" x14ac:dyDescent="0.3">
      <c r="A324" s="171"/>
      <c r="B324" s="174"/>
      <c r="C324" s="172"/>
      <c r="D324" s="172"/>
      <c r="E324" s="172"/>
      <c r="F324" s="172"/>
      <c r="G324" s="173"/>
      <c r="H324" s="173"/>
      <c r="I324" s="173"/>
    </row>
    <row r="325" spans="1:9" x14ac:dyDescent="0.3">
      <c r="A325" s="171"/>
      <c r="B325" s="174"/>
      <c r="C325" s="172"/>
      <c r="D325" s="172"/>
      <c r="E325" s="172"/>
      <c r="F325" s="172"/>
      <c r="G325" s="173"/>
      <c r="H325" s="173"/>
      <c r="I325" s="173"/>
    </row>
    <row r="326" spans="1:9" x14ac:dyDescent="0.3">
      <c r="A326" s="171"/>
      <c r="B326" s="174"/>
      <c r="C326" s="172"/>
      <c r="D326" s="172"/>
      <c r="E326" s="172"/>
      <c r="F326" s="172"/>
      <c r="G326" s="173"/>
      <c r="H326" s="173"/>
      <c r="I326" s="173"/>
    </row>
    <row r="327" spans="1:9" x14ac:dyDescent="0.3">
      <c r="A327" s="171"/>
      <c r="B327" s="174"/>
      <c r="C327" s="172"/>
      <c r="D327" s="172"/>
      <c r="E327" s="172"/>
      <c r="F327" s="172"/>
      <c r="G327" s="173"/>
      <c r="H327" s="173"/>
      <c r="I327" s="173"/>
    </row>
    <row r="328" spans="1:9" x14ac:dyDescent="0.3">
      <c r="A328" s="171"/>
      <c r="B328" s="174"/>
      <c r="C328" s="172"/>
      <c r="D328" s="172"/>
      <c r="E328" s="172"/>
      <c r="F328" s="172"/>
      <c r="G328" s="173"/>
      <c r="H328" s="173"/>
      <c r="I328" s="173"/>
    </row>
    <row r="329" spans="1:9" x14ac:dyDescent="0.3">
      <c r="A329" s="171"/>
      <c r="B329" s="174"/>
      <c r="C329" s="172"/>
      <c r="D329" s="172"/>
      <c r="E329" s="172"/>
      <c r="F329" s="172"/>
      <c r="G329" s="173"/>
      <c r="H329" s="173"/>
      <c r="I329" s="173"/>
    </row>
    <row r="330" spans="1:9" x14ac:dyDescent="0.3">
      <c r="A330" s="171"/>
      <c r="B330" s="174"/>
      <c r="C330" s="172"/>
      <c r="D330" s="172"/>
      <c r="E330" s="172"/>
      <c r="F330" s="172"/>
      <c r="G330" s="173"/>
      <c r="H330" s="173"/>
      <c r="I330" s="173"/>
    </row>
    <row r="331" spans="1:9" x14ac:dyDescent="0.3">
      <c r="A331" s="171"/>
      <c r="B331" s="174"/>
      <c r="C331" s="172"/>
      <c r="D331" s="172"/>
      <c r="E331" s="172"/>
      <c r="F331" s="172"/>
      <c r="G331" s="173"/>
      <c r="H331" s="173"/>
      <c r="I331" s="173"/>
    </row>
    <row r="332" spans="1:9" x14ac:dyDescent="0.3">
      <c r="A332" s="171"/>
      <c r="B332" s="174"/>
      <c r="C332" s="172"/>
      <c r="D332" s="172"/>
      <c r="E332" s="172"/>
      <c r="F332" s="172"/>
      <c r="G332" s="173"/>
      <c r="H332" s="173"/>
      <c r="I332" s="173"/>
    </row>
    <row r="333" spans="1:9" x14ac:dyDescent="0.3">
      <c r="A333" s="171"/>
      <c r="B333" s="174"/>
      <c r="C333" s="172"/>
      <c r="D333" s="172"/>
      <c r="E333" s="172"/>
      <c r="F333" s="172"/>
      <c r="G333" s="173"/>
      <c r="H333" s="173"/>
      <c r="I333" s="173"/>
    </row>
    <row r="334" spans="1:9" x14ac:dyDescent="0.3">
      <c r="A334" s="171"/>
      <c r="B334" s="174"/>
      <c r="C334" s="172"/>
      <c r="D334" s="172"/>
      <c r="E334" s="172"/>
      <c r="F334" s="172"/>
      <c r="G334" s="173"/>
      <c r="H334" s="173"/>
      <c r="I334" s="173"/>
    </row>
    <row r="335" spans="1:9" x14ac:dyDescent="0.3">
      <c r="A335" s="171"/>
      <c r="B335" s="174"/>
      <c r="C335" s="172"/>
      <c r="D335" s="172"/>
      <c r="E335" s="172"/>
      <c r="F335" s="172"/>
      <c r="G335" s="173"/>
      <c r="H335" s="173"/>
      <c r="I335" s="173"/>
    </row>
    <row r="336" spans="1:9" x14ac:dyDescent="0.3">
      <c r="A336" s="171"/>
      <c r="B336" s="174"/>
      <c r="C336" s="172"/>
      <c r="D336" s="172"/>
      <c r="E336" s="172"/>
      <c r="F336" s="172"/>
      <c r="G336" s="173"/>
      <c r="H336" s="173"/>
      <c r="I336" s="173"/>
    </row>
    <row r="337" spans="1:9" x14ac:dyDescent="0.3">
      <c r="A337" s="171"/>
      <c r="B337" s="174"/>
      <c r="C337" s="172"/>
      <c r="D337" s="172"/>
      <c r="E337" s="172"/>
      <c r="F337" s="172"/>
      <c r="G337" s="173"/>
      <c r="H337" s="173"/>
      <c r="I337" s="173"/>
    </row>
    <row r="338" spans="1:9" x14ac:dyDescent="0.3">
      <c r="A338" s="171"/>
      <c r="B338" s="174"/>
      <c r="C338" s="172"/>
      <c r="D338" s="172"/>
      <c r="E338" s="172"/>
      <c r="F338" s="172"/>
      <c r="G338" s="173"/>
      <c r="H338" s="173"/>
      <c r="I338" s="173"/>
    </row>
    <row r="339" spans="1:9" x14ac:dyDescent="0.3">
      <c r="A339" s="171"/>
      <c r="B339" s="174"/>
      <c r="C339" s="172"/>
      <c r="D339" s="172"/>
      <c r="E339" s="172"/>
      <c r="F339" s="172"/>
      <c r="G339" s="173"/>
      <c r="H339" s="173"/>
      <c r="I339" s="173"/>
    </row>
    <row r="340" spans="1:9" x14ac:dyDescent="0.3">
      <c r="A340" s="171"/>
      <c r="B340" s="174"/>
      <c r="C340" s="172"/>
      <c r="D340" s="172"/>
      <c r="E340" s="172"/>
      <c r="F340" s="172"/>
      <c r="G340" s="173"/>
      <c r="H340" s="173"/>
      <c r="I340" s="173"/>
    </row>
    <row r="341" spans="1:9" x14ac:dyDescent="0.3">
      <c r="A341" s="171"/>
      <c r="B341" s="174"/>
      <c r="C341" s="172"/>
      <c r="D341" s="172"/>
      <c r="E341" s="172"/>
      <c r="F341" s="172"/>
      <c r="G341" s="173"/>
      <c r="H341" s="173"/>
      <c r="I341" s="173"/>
    </row>
    <row r="342" spans="1:9" x14ac:dyDescent="0.3">
      <c r="A342" s="171"/>
      <c r="B342" s="174"/>
      <c r="C342" s="172"/>
      <c r="D342" s="172"/>
      <c r="E342" s="172"/>
      <c r="F342" s="172"/>
      <c r="G342" s="173"/>
      <c r="H342" s="173"/>
      <c r="I342" s="173"/>
    </row>
    <row r="343" spans="1:9" x14ac:dyDescent="0.3">
      <c r="A343" s="171"/>
      <c r="B343" s="174"/>
      <c r="C343" s="172"/>
      <c r="D343" s="172"/>
      <c r="E343" s="172"/>
      <c r="F343" s="172"/>
      <c r="G343" s="173"/>
      <c r="H343" s="173"/>
      <c r="I343" s="173"/>
    </row>
    <row r="344" spans="1:9" x14ac:dyDescent="0.3">
      <c r="A344" s="171"/>
      <c r="B344" s="174"/>
      <c r="C344" s="172"/>
      <c r="D344" s="172"/>
      <c r="E344" s="172"/>
      <c r="F344" s="172"/>
      <c r="G344" s="173"/>
      <c r="H344" s="173"/>
      <c r="I344" s="173"/>
    </row>
    <row r="345" spans="1:9" x14ac:dyDescent="0.3">
      <c r="A345" s="171"/>
      <c r="B345" s="174"/>
      <c r="C345" s="172"/>
      <c r="D345" s="172"/>
      <c r="E345" s="172"/>
      <c r="F345" s="172"/>
      <c r="G345" s="173"/>
      <c r="H345" s="173"/>
      <c r="I345" s="173"/>
    </row>
    <row r="346" spans="1:9" x14ac:dyDescent="0.3">
      <c r="A346" s="171"/>
      <c r="B346" s="174"/>
      <c r="C346" s="172"/>
      <c r="D346" s="172"/>
      <c r="E346" s="172"/>
      <c r="F346" s="172"/>
      <c r="G346" s="173"/>
      <c r="H346" s="173"/>
      <c r="I346" s="173"/>
    </row>
    <row r="347" spans="1:9" x14ac:dyDescent="0.3">
      <c r="A347" s="171"/>
      <c r="B347" s="174"/>
      <c r="C347" s="172"/>
      <c r="D347" s="172"/>
      <c r="E347" s="172"/>
      <c r="F347" s="172"/>
      <c r="G347" s="173"/>
      <c r="H347" s="173"/>
      <c r="I347" s="173"/>
    </row>
    <row r="348" spans="1:9" x14ac:dyDescent="0.3">
      <c r="A348" s="171"/>
      <c r="B348" s="174"/>
      <c r="C348" s="172"/>
      <c r="D348" s="172"/>
      <c r="E348" s="172"/>
      <c r="F348" s="172"/>
      <c r="G348" s="173"/>
      <c r="H348" s="173"/>
      <c r="I348" s="173"/>
    </row>
    <row r="349" spans="1:9" x14ac:dyDescent="0.3">
      <c r="A349" s="171"/>
      <c r="B349" s="174"/>
      <c r="C349" s="172"/>
      <c r="D349" s="172"/>
      <c r="E349" s="172"/>
      <c r="F349" s="172"/>
      <c r="G349" s="173"/>
      <c r="H349" s="173"/>
      <c r="I349" s="173"/>
    </row>
    <row r="350" spans="1:9" x14ac:dyDescent="0.3">
      <c r="A350" s="171"/>
      <c r="B350" s="174"/>
      <c r="C350" s="172"/>
      <c r="D350" s="172"/>
      <c r="E350" s="172"/>
      <c r="F350" s="172"/>
      <c r="G350" s="173"/>
      <c r="H350" s="173"/>
      <c r="I350" s="173"/>
    </row>
    <row r="351" spans="1:9" x14ac:dyDescent="0.3">
      <c r="A351" s="171"/>
      <c r="B351" s="174"/>
      <c r="C351" s="172"/>
      <c r="D351" s="172"/>
      <c r="E351" s="172"/>
      <c r="F351" s="172"/>
      <c r="G351" s="173"/>
      <c r="H351" s="173"/>
      <c r="I351" s="173"/>
    </row>
    <row r="352" spans="1:9" x14ac:dyDescent="0.3">
      <c r="A352" s="171"/>
      <c r="B352" s="174"/>
      <c r="C352" s="172"/>
      <c r="D352" s="172"/>
      <c r="E352" s="172"/>
      <c r="F352" s="172"/>
      <c r="G352" s="173"/>
      <c r="H352" s="173"/>
      <c r="I352" s="173"/>
    </row>
    <row r="353" spans="1:9" x14ac:dyDescent="0.3">
      <c r="A353" s="171"/>
      <c r="B353" s="174"/>
      <c r="C353" s="172"/>
      <c r="D353" s="172"/>
      <c r="E353" s="172"/>
      <c r="F353" s="172"/>
      <c r="G353" s="173"/>
      <c r="H353" s="173"/>
      <c r="I353" s="173"/>
    </row>
    <row r="354" spans="1:9" x14ac:dyDescent="0.3">
      <c r="A354" s="171"/>
      <c r="B354" s="174"/>
      <c r="C354" s="172"/>
      <c r="D354" s="172"/>
      <c r="E354" s="172"/>
      <c r="F354" s="172"/>
      <c r="G354" s="173"/>
      <c r="H354" s="173"/>
      <c r="I354" s="173"/>
    </row>
    <row r="355" spans="1:9" x14ac:dyDescent="0.3">
      <c r="A355" s="171"/>
      <c r="B355" s="174"/>
      <c r="C355" s="172"/>
      <c r="D355" s="172"/>
      <c r="E355" s="172"/>
      <c r="F355" s="172"/>
      <c r="G355" s="173"/>
      <c r="H355" s="173"/>
      <c r="I355" s="173"/>
    </row>
    <row r="356" spans="1:9" x14ac:dyDescent="0.3">
      <c r="A356" s="171"/>
      <c r="B356" s="174"/>
      <c r="C356" s="172"/>
      <c r="D356" s="172"/>
      <c r="E356" s="172"/>
      <c r="F356" s="172"/>
      <c r="G356" s="173"/>
      <c r="H356" s="173"/>
      <c r="I356" s="173"/>
    </row>
    <row r="357" spans="1:9" x14ac:dyDescent="0.3">
      <c r="A357" s="171"/>
      <c r="B357" s="174"/>
      <c r="C357" s="172"/>
      <c r="D357" s="172"/>
      <c r="E357" s="172"/>
      <c r="F357" s="172"/>
      <c r="G357" s="173"/>
      <c r="H357" s="173"/>
      <c r="I357" s="173"/>
    </row>
    <row r="358" spans="1:9" x14ac:dyDescent="0.3">
      <c r="A358" s="171"/>
      <c r="B358" s="174"/>
      <c r="C358" s="172"/>
      <c r="D358" s="172"/>
      <c r="E358" s="172"/>
      <c r="F358" s="172"/>
      <c r="G358" s="173"/>
      <c r="H358" s="173"/>
      <c r="I358" s="173"/>
    </row>
    <row r="359" spans="1:9" x14ac:dyDescent="0.3">
      <c r="A359" s="171"/>
      <c r="B359" s="174"/>
      <c r="C359" s="172"/>
      <c r="D359" s="172"/>
      <c r="E359" s="172"/>
      <c r="F359" s="172"/>
      <c r="G359" s="173"/>
      <c r="H359" s="173"/>
      <c r="I359" s="173"/>
    </row>
    <row r="360" spans="1:9" x14ac:dyDescent="0.3">
      <c r="A360" s="171"/>
      <c r="B360" s="174"/>
      <c r="C360" s="172"/>
      <c r="D360" s="172"/>
      <c r="E360" s="172"/>
      <c r="F360" s="172"/>
      <c r="G360" s="173"/>
      <c r="H360" s="173"/>
      <c r="I360" s="173"/>
    </row>
    <row r="361" spans="1:9" x14ac:dyDescent="0.3">
      <c r="A361" s="171"/>
      <c r="B361" s="174"/>
      <c r="C361" s="172"/>
      <c r="D361" s="172"/>
      <c r="E361" s="172"/>
      <c r="F361" s="172"/>
      <c r="G361" s="173"/>
      <c r="H361" s="173"/>
      <c r="I361" s="173"/>
    </row>
    <row r="362" spans="1:9" x14ac:dyDescent="0.3">
      <c r="A362" s="171"/>
      <c r="B362" s="174"/>
      <c r="C362" s="172"/>
      <c r="D362" s="172"/>
      <c r="E362" s="172"/>
      <c r="F362" s="172"/>
      <c r="G362" s="173"/>
      <c r="H362" s="173"/>
      <c r="I362" s="173"/>
    </row>
    <row r="363" spans="1:9" x14ac:dyDescent="0.3">
      <c r="A363" s="171"/>
      <c r="B363" s="174"/>
      <c r="C363" s="172"/>
      <c r="D363" s="172"/>
      <c r="E363" s="172"/>
      <c r="F363" s="172"/>
      <c r="G363" s="173"/>
      <c r="H363" s="173"/>
      <c r="I363" s="173"/>
    </row>
    <row r="364" spans="1:9" x14ac:dyDescent="0.3">
      <c r="A364" s="171"/>
      <c r="B364" s="174"/>
      <c r="C364" s="172"/>
      <c r="D364" s="172"/>
      <c r="E364" s="172"/>
      <c r="F364" s="172"/>
      <c r="G364" s="173"/>
      <c r="H364" s="173"/>
      <c r="I364" s="173"/>
    </row>
    <row r="365" spans="1:9" x14ac:dyDescent="0.3">
      <c r="A365" s="171"/>
      <c r="B365" s="174"/>
      <c r="C365" s="172"/>
      <c r="D365" s="172"/>
      <c r="E365" s="172"/>
      <c r="F365" s="172"/>
      <c r="G365" s="173"/>
      <c r="H365" s="173"/>
      <c r="I365" s="173"/>
    </row>
    <row r="366" spans="1:9" x14ac:dyDescent="0.3">
      <c r="A366" s="171"/>
      <c r="B366" s="174"/>
      <c r="C366" s="172"/>
      <c r="D366" s="172"/>
      <c r="E366" s="172"/>
      <c r="F366" s="172"/>
      <c r="G366" s="173"/>
      <c r="H366" s="173"/>
      <c r="I366" s="173"/>
    </row>
    <row r="367" spans="1:9" x14ac:dyDescent="0.3">
      <c r="A367" s="171"/>
      <c r="B367" s="174"/>
      <c r="C367" s="172"/>
      <c r="D367" s="172"/>
      <c r="E367" s="172"/>
      <c r="F367" s="172"/>
      <c r="G367" s="173"/>
      <c r="H367" s="173"/>
      <c r="I367" s="173"/>
    </row>
    <row r="368" spans="1:9" x14ac:dyDescent="0.3">
      <c r="A368" s="171"/>
      <c r="B368" s="174"/>
      <c r="C368" s="172"/>
      <c r="D368" s="172"/>
      <c r="E368" s="172"/>
      <c r="F368" s="172"/>
      <c r="G368" s="173"/>
      <c r="H368" s="173"/>
      <c r="I368" s="173"/>
    </row>
    <row r="369" spans="1:9" x14ac:dyDescent="0.3">
      <c r="A369" s="171"/>
      <c r="B369" s="174"/>
      <c r="C369" s="172"/>
      <c r="D369" s="172"/>
      <c r="E369" s="172"/>
      <c r="F369" s="172"/>
      <c r="G369" s="173"/>
      <c r="H369" s="173"/>
      <c r="I369" s="173"/>
    </row>
    <row r="370" spans="1:9" x14ac:dyDescent="0.3">
      <c r="A370" s="171"/>
      <c r="B370" s="174"/>
      <c r="C370" s="172"/>
      <c r="D370" s="172"/>
      <c r="E370" s="172"/>
      <c r="F370" s="172"/>
      <c r="G370" s="173"/>
      <c r="H370" s="173"/>
      <c r="I370" s="173"/>
    </row>
    <row r="371" spans="1:9" x14ac:dyDescent="0.3">
      <c r="A371" s="171"/>
      <c r="B371" s="174"/>
      <c r="C371" s="172"/>
      <c r="D371" s="172"/>
      <c r="E371" s="172"/>
      <c r="F371" s="172"/>
      <c r="G371" s="173"/>
      <c r="H371" s="173"/>
      <c r="I371" s="173"/>
    </row>
    <row r="372" spans="1:9" x14ac:dyDescent="0.3">
      <c r="A372" s="171"/>
      <c r="B372" s="174"/>
      <c r="C372" s="172"/>
      <c r="D372" s="172"/>
      <c r="E372" s="172"/>
      <c r="F372" s="172"/>
      <c r="G372" s="173"/>
      <c r="H372" s="173"/>
      <c r="I372" s="173"/>
    </row>
    <row r="373" spans="1:9" x14ac:dyDescent="0.3">
      <c r="A373" s="171"/>
      <c r="B373" s="174"/>
      <c r="C373" s="172"/>
      <c r="D373" s="172"/>
      <c r="E373" s="172"/>
      <c r="F373" s="172"/>
      <c r="G373" s="173"/>
      <c r="H373" s="173"/>
      <c r="I373" s="173"/>
    </row>
    <row r="374" spans="1:9" x14ac:dyDescent="0.3">
      <c r="A374" s="171"/>
      <c r="B374" s="174"/>
      <c r="C374" s="172"/>
      <c r="D374" s="172"/>
      <c r="E374" s="172"/>
      <c r="F374" s="172"/>
      <c r="G374" s="173"/>
      <c r="H374" s="173"/>
      <c r="I374" s="173"/>
    </row>
    <row r="375" spans="1:9" x14ac:dyDescent="0.3">
      <c r="A375" s="171"/>
      <c r="B375" s="174"/>
      <c r="C375" s="172"/>
      <c r="D375" s="172"/>
      <c r="E375" s="172"/>
      <c r="F375" s="172"/>
      <c r="G375" s="173"/>
      <c r="H375" s="173"/>
      <c r="I375" s="173"/>
    </row>
    <row r="376" spans="1:9" x14ac:dyDescent="0.3">
      <c r="A376" s="171"/>
      <c r="B376" s="174"/>
      <c r="C376" s="172"/>
      <c r="D376" s="172"/>
      <c r="E376" s="172"/>
      <c r="F376" s="172"/>
      <c r="G376" s="173"/>
      <c r="H376" s="173"/>
      <c r="I376" s="173"/>
    </row>
    <row r="377" spans="1:9" x14ac:dyDescent="0.3">
      <c r="A377" s="171"/>
      <c r="B377" s="174"/>
      <c r="C377" s="172"/>
      <c r="D377" s="172"/>
      <c r="E377" s="172"/>
      <c r="F377" s="172"/>
      <c r="G377" s="173"/>
      <c r="H377" s="173"/>
      <c r="I377" s="173"/>
    </row>
    <row r="378" spans="1:9" x14ac:dyDescent="0.3">
      <c r="A378" s="171"/>
      <c r="B378" s="174"/>
      <c r="C378" s="172"/>
      <c r="D378" s="172"/>
      <c r="E378" s="172"/>
      <c r="F378" s="172"/>
      <c r="G378" s="173"/>
      <c r="H378" s="173"/>
      <c r="I378" s="173"/>
    </row>
    <row r="379" spans="1:9" x14ac:dyDescent="0.3">
      <c r="A379" s="171"/>
      <c r="B379" s="174"/>
      <c r="C379" s="172"/>
      <c r="D379" s="172"/>
      <c r="E379" s="172"/>
      <c r="F379" s="172"/>
      <c r="G379" s="173"/>
      <c r="H379" s="173"/>
      <c r="I379" s="173"/>
    </row>
    <row r="380" spans="1:9" x14ac:dyDescent="0.3">
      <c r="A380" s="171"/>
      <c r="B380" s="174"/>
      <c r="C380" s="172"/>
      <c r="D380" s="172"/>
      <c r="E380" s="172"/>
      <c r="F380" s="172"/>
      <c r="G380" s="173"/>
      <c r="H380" s="173"/>
      <c r="I380" s="173"/>
    </row>
    <row r="381" spans="1:9" x14ac:dyDescent="0.3">
      <c r="A381" s="171"/>
      <c r="B381" s="174"/>
      <c r="C381" s="172"/>
      <c r="D381" s="172"/>
      <c r="E381" s="172"/>
      <c r="F381" s="172"/>
      <c r="G381" s="173"/>
      <c r="H381" s="173"/>
      <c r="I381" s="173"/>
    </row>
    <row r="382" spans="1:9" x14ac:dyDescent="0.3">
      <c r="A382" s="171"/>
      <c r="B382" s="174"/>
      <c r="C382" s="172"/>
      <c r="D382" s="172"/>
      <c r="E382" s="172"/>
      <c r="F382" s="172"/>
      <c r="G382" s="173"/>
      <c r="H382" s="173"/>
      <c r="I382" s="173"/>
    </row>
    <row r="383" spans="1:9" x14ac:dyDescent="0.3">
      <c r="A383" s="171"/>
      <c r="B383" s="174"/>
      <c r="C383" s="172"/>
      <c r="D383" s="172"/>
      <c r="E383" s="172"/>
      <c r="F383" s="172"/>
      <c r="G383" s="173"/>
      <c r="H383" s="173"/>
      <c r="I383" s="173"/>
    </row>
    <row r="384" spans="1:9" x14ac:dyDescent="0.3">
      <c r="A384" s="171"/>
      <c r="B384" s="174"/>
      <c r="C384" s="172"/>
      <c r="D384" s="172"/>
      <c r="E384" s="172"/>
      <c r="F384" s="172"/>
      <c r="G384" s="173"/>
      <c r="H384" s="173"/>
      <c r="I384" s="173"/>
    </row>
    <row r="385" spans="1:9" x14ac:dyDescent="0.3">
      <c r="A385" s="171"/>
      <c r="B385" s="174"/>
      <c r="C385" s="172"/>
      <c r="D385" s="172"/>
      <c r="E385" s="172"/>
      <c r="F385" s="172"/>
      <c r="G385" s="173"/>
      <c r="H385" s="173"/>
      <c r="I385" s="173"/>
    </row>
    <row r="386" spans="1:9" x14ac:dyDescent="0.3">
      <c r="A386" s="171"/>
      <c r="B386" s="174"/>
      <c r="C386" s="172"/>
      <c r="D386" s="172"/>
      <c r="E386" s="172"/>
      <c r="F386" s="172"/>
      <c r="G386" s="173"/>
      <c r="H386" s="173"/>
      <c r="I386" s="173"/>
    </row>
    <row r="387" spans="1:9" x14ac:dyDescent="0.3">
      <c r="A387" s="171"/>
      <c r="B387" s="174"/>
      <c r="C387" s="172"/>
      <c r="D387" s="172"/>
      <c r="E387" s="172"/>
      <c r="F387" s="172"/>
      <c r="G387" s="173"/>
      <c r="H387" s="173"/>
      <c r="I387" s="173"/>
    </row>
    <row r="388" spans="1:9" x14ac:dyDescent="0.3">
      <c r="A388" s="171"/>
      <c r="B388" s="174"/>
      <c r="C388" s="172"/>
      <c r="D388" s="172"/>
      <c r="E388" s="172"/>
      <c r="F388" s="172"/>
      <c r="G388" s="173"/>
      <c r="H388" s="173"/>
      <c r="I388" s="173"/>
    </row>
    <row r="389" spans="1:9" x14ac:dyDescent="0.3">
      <c r="A389" s="171"/>
      <c r="B389" s="174"/>
      <c r="C389" s="172"/>
      <c r="D389" s="172"/>
      <c r="E389" s="172"/>
      <c r="F389" s="172"/>
      <c r="G389" s="173"/>
      <c r="H389" s="173"/>
      <c r="I389" s="173"/>
    </row>
    <row r="390" spans="1:9" x14ac:dyDescent="0.3">
      <c r="A390" s="171"/>
      <c r="B390" s="174"/>
      <c r="C390" s="172"/>
      <c r="D390" s="172"/>
      <c r="E390" s="172"/>
      <c r="F390" s="172"/>
      <c r="G390" s="173"/>
      <c r="H390" s="173"/>
      <c r="I390" s="173"/>
    </row>
    <row r="391" spans="1:9" x14ac:dyDescent="0.3">
      <c r="A391" s="171"/>
      <c r="B391" s="174"/>
      <c r="C391" s="172"/>
      <c r="D391" s="172"/>
      <c r="E391" s="172"/>
      <c r="F391" s="172"/>
      <c r="G391" s="173"/>
      <c r="H391" s="173"/>
      <c r="I391" s="173"/>
    </row>
    <row r="392" spans="1:9" x14ac:dyDescent="0.3">
      <c r="A392" s="171"/>
      <c r="B392" s="174"/>
      <c r="C392" s="172"/>
      <c r="D392" s="172"/>
      <c r="E392" s="172"/>
      <c r="F392" s="172"/>
      <c r="G392" s="173"/>
      <c r="H392" s="173"/>
      <c r="I392" s="173"/>
    </row>
    <row r="393" spans="1:9" x14ac:dyDescent="0.3">
      <c r="A393" s="171"/>
      <c r="B393" s="174"/>
      <c r="C393" s="172"/>
      <c r="D393" s="172"/>
      <c r="E393" s="172"/>
      <c r="F393" s="172"/>
      <c r="G393" s="173"/>
      <c r="H393" s="173"/>
      <c r="I393" s="173"/>
    </row>
    <row r="394" spans="1:9" x14ac:dyDescent="0.3">
      <c r="A394" s="171"/>
      <c r="B394" s="174"/>
      <c r="C394" s="172"/>
      <c r="D394" s="172"/>
      <c r="E394" s="172"/>
      <c r="F394" s="172"/>
      <c r="G394" s="173"/>
      <c r="H394" s="173"/>
      <c r="I394" s="173"/>
    </row>
    <row r="395" spans="1:9" x14ac:dyDescent="0.3">
      <c r="A395" s="171"/>
      <c r="D395" s="172"/>
      <c r="E395" s="173"/>
      <c r="F395" s="173"/>
      <c r="I395" s="173"/>
    </row>
    <row r="396" spans="1:9" x14ac:dyDescent="0.3">
      <c r="A396" s="1"/>
      <c r="D396" s="2"/>
      <c r="E396" s="3"/>
      <c r="F396" s="3"/>
    </row>
    <row r="397" spans="1:9" x14ac:dyDescent="0.3">
      <c r="A397" s="1"/>
      <c r="D397" s="2"/>
      <c r="E397" s="3"/>
      <c r="F397" s="3"/>
    </row>
    <row r="398" spans="1:9" x14ac:dyDescent="0.3">
      <c r="A398" s="1"/>
      <c r="D398" s="2"/>
      <c r="E398" s="3"/>
      <c r="F398" s="3"/>
    </row>
    <row r="399" spans="1:9" x14ac:dyDescent="0.3">
      <c r="A399" s="1"/>
      <c r="D399" s="2"/>
      <c r="E399" s="3"/>
      <c r="F399" s="3"/>
    </row>
    <row r="400" spans="1:9" x14ac:dyDescent="0.3">
      <c r="A400" s="1"/>
      <c r="D400" s="2"/>
      <c r="E400" s="3"/>
      <c r="F400" s="3"/>
    </row>
    <row r="401" spans="1:6" x14ac:dyDescent="0.3">
      <c r="A401" s="1"/>
      <c r="D401" s="2"/>
      <c r="E401" s="3"/>
      <c r="F401" s="3"/>
    </row>
    <row r="402" spans="1:6" x14ac:dyDescent="0.3">
      <c r="A402" s="1"/>
      <c r="D402" s="2"/>
      <c r="E402" s="3"/>
      <c r="F402" s="3"/>
    </row>
    <row r="403" spans="1:6" x14ac:dyDescent="0.3">
      <c r="A403" s="1"/>
      <c r="D403" s="2"/>
      <c r="E403" s="3"/>
      <c r="F403" s="3"/>
    </row>
    <row r="404" spans="1:6" x14ac:dyDescent="0.3">
      <c r="A404" s="1"/>
      <c r="D404" s="2"/>
      <c r="E404" s="3"/>
      <c r="F404" s="3"/>
    </row>
    <row r="405" spans="1:6" x14ac:dyDescent="0.3">
      <c r="A405" s="1"/>
      <c r="D405" s="2"/>
      <c r="E405" s="3"/>
      <c r="F405" s="3"/>
    </row>
    <row r="406" spans="1:6" x14ac:dyDescent="0.3">
      <c r="A406" s="1"/>
      <c r="D406" s="2"/>
      <c r="E406" s="3"/>
      <c r="F406" s="3"/>
    </row>
    <row r="407" spans="1:6" x14ac:dyDescent="0.3">
      <c r="A407" s="1"/>
      <c r="D407" s="2"/>
      <c r="E407" s="3"/>
      <c r="F407" s="3"/>
    </row>
    <row r="408" spans="1:6" x14ac:dyDescent="0.3">
      <c r="A408" s="1"/>
      <c r="D408" s="2"/>
      <c r="E408" s="3"/>
      <c r="F408" s="3"/>
    </row>
    <row r="409" spans="1:6" x14ac:dyDescent="0.3">
      <c r="A409" s="1"/>
      <c r="D409" s="2"/>
      <c r="E409" s="3"/>
      <c r="F409" s="3"/>
    </row>
    <row r="410" spans="1:6" x14ac:dyDescent="0.3">
      <c r="A410" s="1"/>
      <c r="D410" s="2"/>
      <c r="E410" s="3"/>
      <c r="F410" s="3"/>
    </row>
    <row r="411" spans="1:6" x14ac:dyDescent="0.3">
      <c r="A411" s="1"/>
      <c r="D411" s="2"/>
      <c r="E411" s="3"/>
      <c r="F411" s="3"/>
    </row>
    <row r="412" spans="1:6" x14ac:dyDescent="0.3">
      <c r="A412" s="1"/>
      <c r="D412" s="2"/>
      <c r="E412" s="3"/>
      <c r="F412" s="3"/>
    </row>
    <row r="413" spans="1:6" x14ac:dyDescent="0.3">
      <c r="A413" s="1"/>
      <c r="D413" s="2"/>
      <c r="E413" s="3"/>
      <c r="F413" s="3"/>
    </row>
    <row r="414" spans="1:6" x14ac:dyDescent="0.3">
      <c r="A414" s="1"/>
      <c r="D414" s="2"/>
      <c r="E414" s="3"/>
      <c r="F414" s="3"/>
    </row>
    <row r="415" spans="1:6" x14ac:dyDescent="0.3">
      <c r="A415" s="1"/>
      <c r="D415" s="2"/>
      <c r="E415" s="3"/>
      <c r="F415" s="3"/>
    </row>
    <row r="416" spans="1:6" x14ac:dyDescent="0.3">
      <c r="A416" s="1"/>
      <c r="D416" s="2"/>
      <c r="E416" s="3"/>
      <c r="F416" s="3"/>
    </row>
    <row r="417" spans="1:6" x14ac:dyDescent="0.3">
      <c r="A417" s="1"/>
      <c r="D417" s="2"/>
      <c r="E417" s="3"/>
      <c r="F417" s="3"/>
    </row>
    <row r="418" spans="1:6" x14ac:dyDescent="0.3">
      <c r="A418" s="1"/>
      <c r="D418" s="2"/>
      <c r="E418" s="3"/>
      <c r="F418" s="3"/>
    </row>
    <row r="419" spans="1:6" x14ac:dyDescent="0.3">
      <c r="A419" s="1"/>
      <c r="D419" s="2"/>
      <c r="E419" s="3"/>
      <c r="F419" s="3"/>
    </row>
    <row r="420" spans="1:6" x14ac:dyDescent="0.3">
      <c r="A420" s="1"/>
      <c r="D420" s="2"/>
      <c r="E420" s="3"/>
      <c r="F420" s="3"/>
    </row>
    <row r="421" spans="1:6" x14ac:dyDescent="0.3">
      <c r="A421" s="1"/>
      <c r="D421" s="2"/>
      <c r="E421" s="3"/>
      <c r="F421" s="3"/>
    </row>
    <row r="422" spans="1:6" x14ac:dyDescent="0.3">
      <c r="A422" s="1"/>
      <c r="D422" s="2"/>
      <c r="E422" s="3"/>
      <c r="F422" s="3"/>
    </row>
    <row r="423" spans="1:6" x14ac:dyDescent="0.3">
      <c r="A423" s="1"/>
      <c r="D423" s="2"/>
      <c r="E423" s="3"/>
      <c r="F423" s="3"/>
    </row>
    <row r="424" spans="1:6" x14ac:dyDescent="0.3">
      <c r="A424" s="1"/>
      <c r="D424" s="2"/>
      <c r="E424" s="3"/>
      <c r="F424" s="3"/>
    </row>
    <row r="425" spans="1:6" x14ac:dyDescent="0.3">
      <c r="A425" s="1"/>
      <c r="D425" s="2"/>
      <c r="E425" s="3"/>
      <c r="F425" s="3"/>
    </row>
    <row r="426" spans="1:6" x14ac:dyDescent="0.3">
      <c r="A426" s="1"/>
      <c r="D426" s="2"/>
      <c r="E426" s="3"/>
      <c r="F426" s="3"/>
    </row>
    <row r="427" spans="1:6" x14ac:dyDescent="0.3">
      <c r="A427" s="1"/>
      <c r="D427" s="2"/>
      <c r="E427" s="3"/>
      <c r="F427" s="3"/>
    </row>
    <row r="428" spans="1:6" x14ac:dyDescent="0.3">
      <c r="A428" s="1"/>
      <c r="D428" s="2"/>
      <c r="E428" s="3"/>
      <c r="F428" s="3"/>
    </row>
    <row r="429" spans="1:6" x14ac:dyDescent="0.3">
      <c r="A429" s="1"/>
      <c r="D429" s="2"/>
      <c r="E429" s="3"/>
      <c r="F429" s="3"/>
    </row>
    <row r="430" spans="1:6" x14ac:dyDescent="0.3">
      <c r="A430" s="1"/>
      <c r="D430" s="2"/>
      <c r="E430" s="3"/>
      <c r="F430" s="3"/>
    </row>
    <row r="431" spans="1:6" x14ac:dyDescent="0.3">
      <c r="A431" s="1"/>
      <c r="D431" s="2"/>
      <c r="E431" s="3"/>
      <c r="F431" s="3"/>
    </row>
    <row r="432" spans="1:6" x14ac:dyDescent="0.3">
      <c r="A432" s="1"/>
      <c r="D432" s="2"/>
      <c r="E432" s="3"/>
      <c r="F432" s="3"/>
    </row>
    <row r="433" spans="1:6" x14ac:dyDescent="0.3">
      <c r="A433" s="1"/>
      <c r="D433" s="2"/>
      <c r="E433" s="3"/>
      <c r="F433" s="3"/>
    </row>
    <row r="434" spans="1:6" x14ac:dyDescent="0.3">
      <c r="A434" s="1"/>
      <c r="D434" s="2"/>
      <c r="E434" s="3"/>
      <c r="F434" s="3"/>
    </row>
    <row r="435" spans="1:6" x14ac:dyDescent="0.3">
      <c r="A435" s="1"/>
      <c r="D435" s="2"/>
      <c r="E435" s="3"/>
      <c r="F435" s="3"/>
    </row>
    <row r="436" spans="1:6" x14ac:dyDescent="0.3">
      <c r="A436" s="1"/>
      <c r="D436" s="2"/>
      <c r="E436" s="3"/>
      <c r="F436" s="3"/>
    </row>
    <row r="437" spans="1:6" x14ac:dyDescent="0.3">
      <c r="A437" s="1"/>
      <c r="D437" s="2"/>
      <c r="E437" s="3"/>
      <c r="F437" s="3"/>
    </row>
    <row r="438" spans="1:6" x14ac:dyDescent="0.3">
      <c r="A438" s="1"/>
      <c r="D438" s="2"/>
      <c r="E438" s="3"/>
      <c r="F438" s="3"/>
    </row>
    <row r="439" spans="1:6" x14ac:dyDescent="0.3">
      <c r="A439" s="1"/>
      <c r="D439" s="2"/>
      <c r="E439" s="3"/>
      <c r="F439" s="3"/>
    </row>
    <row r="440" spans="1:6" x14ac:dyDescent="0.3">
      <c r="A440" s="1"/>
      <c r="D440" s="2"/>
      <c r="E440" s="3"/>
      <c r="F440" s="3"/>
    </row>
    <row r="441" spans="1:6" x14ac:dyDescent="0.3">
      <c r="A441" s="1"/>
      <c r="D441" s="2"/>
      <c r="E441" s="3"/>
      <c r="F441" s="3"/>
    </row>
    <row r="442" spans="1:6" x14ac:dyDescent="0.3">
      <c r="A442" s="1"/>
      <c r="D442" s="2"/>
      <c r="E442" s="3"/>
      <c r="F442" s="3"/>
    </row>
    <row r="443" spans="1:6" x14ac:dyDescent="0.3">
      <c r="A443" s="1"/>
      <c r="D443" s="2"/>
      <c r="E443" s="3"/>
      <c r="F443" s="3"/>
    </row>
    <row r="444" spans="1:6" x14ac:dyDescent="0.3">
      <c r="A444" s="1"/>
      <c r="D444" s="2"/>
      <c r="E444" s="3"/>
      <c r="F44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K19"/>
  <sheetViews>
    <sheetView showGridLines="0" topLeftCell="C1" zoomScale="99" zoomScaleNormal="99" workbookViewId="0">
      <selection activeCell="D26" sqref="D26"/>
    </sheetView>
  </sheetViews>
  <sheetFormatPr defaultRowHeight="14.4" x14ac:dyDescent="0.3"/>
  <cols>
    <col min="2" max="2" width="14.88671875" customWidth="1"/>
    <col min="3" max="4" width="16" style="2" customWidth="1"/>
    <col min="5" max="5" width="14.44140625" style="2" customWidth="1"/>
    <col min="7" max="7" width="5.33203125" style="2" customWidth="1"/>
    <col min="8" max="8" width="16" customWidth="1"/>
    <col min="9" max="9" width="14.44140625" style="2" customWidth="1"/>
    <col min="10" max="10" width="13" customWidth="1"/>
    <col min="11" max="11" width="17" customWidth="1"/>
  </cols>
  <sheetData>
    <row r="2" spans="2:11" ht="34.200000000000003" customHeight="1" x14ac:dyDescent="0.3"/>
    <row r="4" spans="2:11" x14ac:dyDescent="0.3">
      <c r="B4" s="33" t="s">
        <v>22</v>
      </c>
      <c r="C4" s="34"/>
      <c r="D4" s="34"/>
      <c r="E4" s="34">
        <v>2021</v>
      </c>
      <c r="G4" s="52" t="s">
        <v>23</v>
      </c>
      <c r="J4" s="51">
        <f ca="1">TODAY()</f>
        <v>44493</v>
      </c>
    </row>
    <row r="6" spans="2:11" x14ac:dyDescent="0.3">
      <c r="B6" s="46" t="s">
        <v>18</v>
      </c>
      <c r="C6" s="47" t="s">
        <v>19</v>
      </c>
      <c r="D6" s="47" t="s">
        <v>50</v>
      </c>
      <c r="E6" s="47" t="s">
        <v>49</v>
      </c>
      <c r="G6" s="47" t="s">
        <v>25</v>
      </c>
      <c r="H6" s="47" t="s">
        <v>17</v>
      </c>
      <c r="I6" s="47" t="s">
        <v>19</v>
      </c>
      <c r="J6" s="47" t="s">
        <v>52</v>
      </c>
      <c r="K6" s="46" t="s">
        <v>24</v>
      </c>
    </row>
    <row r="7" spans="2:11" x14ac:dyDescent="0.3">
      <c r="B7" s="48" t="s">
        <v>26</v>
      </c>
      <c r="C7" s="49">
        <f>SUMIFS(TRANSAKSI!$G$5:$G$89954,TRANSAKSI!$L$5:$L$89954,REKAPITULASI!B7,TRANSAKSI!$M$5:$M$89954,REKAPITULASI!$E$4)</f>
        <v>0</v>
      </c>
      <c r="D7" s="50">
        <f>SUMIFS(TRANSAKSI!$I$5:$I$89954,TRANSAKSI!$L$5:$L$89954,REKAPITULASI!$B7,TRANSAKSI!$M$5:$M$89954,REKAPITULASI!$E$4)</f>
        <v>0</v>
      </c>
      <c r="E7" s="50">
        <f>SUMIFS(TRANSAKSI!$H$5:$H$89954,TRANSAKSI!$L$5:$L$89954,REKAPITULASI!$B7,TRANSAKSI!$M$5:$M$89954,REKAPITULASI!$E$4)</f>
        <v>0</v>
      </c>
      <c r="G7" s="56">
        <v>1</v>
      </c>
      <c r="H7" s="57">
        <f ca="1">J4-6</f>
        <v>44487</v>
      </c>
      <c r="I7" s="56">
        <f ca="1">SUMIF(TRANSAKSI!$K$5:$K$89954,REKAPITULASI!H7,TRANSAKSI!$G$5:$G$89954)</f>
        <v>0</v>
      </c>
      <c r="J7" s="58">
        <f ca="1">SUMIF(TRANSAKSI!$K$5:$K$89954,REKAPITULASI!H7,TRANSAKSI!$J$5:$J$89954)</f>
        <v>0</v>
      </c>
      <c r="K7" s="58">
        <f ca="1">SUMIF(TRANSAKSI!$K$5:$K$89954,REKAPITULASI!H7,TRANSAKSI!$H$5:$H$89954)</f>
        <v>0</v>
      </c>
    </row>
    <row r="8" spans="2:11" x14ac:dyDescent="0.3">
      <c r="B8" s="48" t="s">
        <v>27</v>
      </c>
      <c r="C8" s="49">
        <f>SUMIFS(TRANSAKSI!$G$5:$G$89954,TRANSAKSI!$L$5:$L$89954,REKAPITULASI!B8,TRANSAKSI!$M$5:$M$89954,REKAPITULASI!$E$4)</f>
        <v>0</v>
      </c>
      <c r="D8" s="50">
        <f>SUMIFS(TRANSAKSI!$I$5:$I$89954,TRANSAKSI!$L$5:$L$89954,REKAPITULASI!$B8,TRANSAKSI!$M$5:$M$89954,REKAPITULASI!$E$4)</f>
        <v>0</v>
      </c>
      <c r="E8" s="50">
        <f>SUMIFS(TRANSAKSI!$H$5:$H$89954,TRANSAKSI!$L$5:$L$89954,REKAPITULASI!B8,TRANSAKSI!$M$5:$M$89954,REKAPITULASI!$E$4)</f>
        <v>0</v>
      </c>
      <c r="G8" s="56">
        <v>2</v>
      </c>
      <c r="H8" s="57">
        <f ca="1">H7+1</f>
        <v>44488</v>
      </c>
      <c r="I8" s="56">
        <f ca="1">SUMIF(TRANSAKSI!$K$5:$K$89954,REKAPITULASI!H8,TRANSAKSI!$G$5:$G$89954)</f>
        <v>0</v>
      </c>
      <c r="J8" s="58">
        <f ca="1">SUMIF(TRANSAKSI!$K$5:$K$89954,REKAPITULASI!H8,TRANSAKSI!$J$5:$J$89954)</f>
        <v>0</v>
      </c>
      <c r="K8" s="58">
        <f ca="1">SUMIF(TRANSAKSI!$K$5:$K$89954,REKAPITULASI!H8,TRANSAKSI!$H$5:$H$89954)</f>
        <v>0</v>
      </c>
    </row>
    <row r="9" spans="2:11" x14ac:dyDescent="0.3">
      <c r="B9" s="48" t="s">
        <v>28</v>
      </c>
      <c r="C9" s="49">
        <f>SUMIFS(TRANSAKSI!$G$5:$G$89954,TRANSAKSI!$L$5:$L$89954,REKAPITULASI!B9,TRANSAKSI!$M$5:$M$89954,REKAPITULASI!$E$4)</f>
        <v>0</v>
      </c>
      <c r="D9" s="50">
        <f>SUMIFS(TRANSAKSI!$I$5:$I$89954,TRANSAKSI!$L$5:$L$89954,REKAPITULASI!$B9,TRANSAKSI!$M$5:$M$89954,REKAPITULASI!$E$4)</f>
        <v>0</v>
      </c>
      <c r="E9" s="50">
        <f>SUMIFS(TRANSAKSI!$H$5:$H$89954,TRANSAKSI!$L$5:$L$89954,REKAPITULASI!B9,TRANSAKSI!$M$5:$M$89954,REKAPITULASI!$E$4)</f>
        <v>0</v>
      </c>
      <c r="G9" s="56">
        <v>3</v>
      </c>
      <c r="H9" s="57">
        <f t="shared" ref="H9:H13" ca="1" si="0">H8+1</f>
        <v>44489</v>
      </c>
      <c r="I9" s="56">
        <f ca="1">SUMIF(TRANSAKSI!$K$5:$K$89954,REKAPITULASI!H9,TRANSAKSI!$G$5:$G$89954)</f>
        <v>0</v>
      </c>
      <c r="J9" s="58">
        <f ca="1">SUMIF(TRANSAKSI!$K$5:$K$89954,REKAPITULASI!H9,TRANSAKSI!$J$5:$J$89954)</f>
        <v>0</v>
      </c>
      <c r="K9" s="58">
        <f ca="1">SUMIF(TRANSAKSI!$K$5:$K$89954,REKAPITULASI!H9,TRANSAKSI!$H$5:$H$89954)</f>
        <v>0</v>
      </c>
    </row>
    <row r="10" spans="2:11" x14ac:dyDescent="0.3">
      <c r="B10" s="48" t="s">
        <v>29</v>
      </c>
      <c r="C10" s="49">
        <f>SUMIFS(TRANSAKSI!$G$5:$G$89954,TRANSAKSI!$L$5:$L$89954,REKAPITULASI!B10,TRANSAKSI!$M$5:$M$89954,REKAPITULASI!$E$4)</f>
        <v>0</v>
      </c>
      <c r="D10" s="50">
        <f>SUMIFS(TRANSAKSI!$I$5:$I$89954,TRANSAKSI!$L$5:$L$89954,REKAPITULASI!$B10,TRANSAKSI!$M$5:$M$89954,REKAPITULASI!$E$4)</f>
        <v>0</v>
      </c>
      <c r="E10" s="50">
        <f>SUMIFS(TRANSAKSI!$H$5:$H$89954,TRANSAKSI!$L$5:$L$89954,REKAPITULASI!B10,TRANSAKSI!$M$5:$M$89954,REKAPITULASI!$E$4)</f>
        <v>0</v>
      </c>
      <c r="G10" s="56">
        <v>4</v>
      </c>
      <c r="H10" s="57">
        <f t="shared" ca="1" si="0"/>
        <v>44490</v>
      </c>
      <c r="I10" s="56">
        <f ca="1">SUMIF(TRANSAKSI!$K$5:$K$89954,REKAPITULASI!H10,TRANSAKSI!$G$5:$G$89954)</f>
        <v>0</v>
      </c>
      <c r="J10" s="58">
        <f ca="1">SUMIF(TRANSAKSI!$K$5:$K$89954,REKAPITULASI!H10,TRANSAKSI!$J$5:$J$89954)</f>
        <v>0</v>
      </c>
      <c r="K10" s="58">
        <f ca="1">SUMIF(TRANSAKSI!$K$5:$K$89954,REKAPITULASI!H10,TRANSAKSI!$H$5:$H$89954)</f>
        <v>0</v>
      </c>
    </row>
    <row r="11" spans="2:11" x14ac:dyDescent="0.3">
      <c r="B11" s="48" t="s">
        <v>21</v>
      </c>
      <c r="C11" s="49">
        <f>SUMIFS(TRANSAKSI!$G$5:$G$89954,TRANSAKSI!$L$5:$L$89954,REKAPITULASI!B11,TRANSAKSI!$M$5:$M$89954,REKAPITULASI!$E$4)</f>
        <v>0</v>
      </c>
      <c r="D11" s="50">
        <f>SUMIFS(TRANSAKSI!$I$5:$I$89954,TRANSAKSI!$L$5:$L$89954,REKAPITULASI!$B11,TRANSAKSI!$M$5:$M$89954,REKAPITULASI!$E$4)</f>
        <v>0</v>
      </c>
      <c r="E11" s="50">
        <f>SUMIFS(TRANSAKSI!$H$5:$H$89954,TRANSAKSI!$L$5:$L$89954,REKAPITULASI!B11,TRANSAKSI!$M$5:$M$89954,REKAPITULASI!$E$4)</f>
        <v>0</v>
      </c>
      <c r="G11" s="56">
        <v>5</v>
      </c>
      <c r="H11" s="57">
        <f t="shared" ca="1" si="0"/>
        <v>44491</v>
      </c>
      <c r="I11" s="56">
        <f ca="1">SUMIF(TRANSAKSI!$K$5:$K$89954,REKAPITULASI!H11,TRANSAKSI!$G$5:$G$89954)</f>
        <v>0</v>
      </c>
      <c r="J11" s="58">
        <f ca="1">SUMIF(TRANSAKSI!$K$5:$K$89954,REKAPITULASI!H11,TRANSAKSI!$J$5:$J$89954)</f>
        <v>0</v>
      </c>
      <c r="K11" s="58">
        <f ca="1">SUMIF(TRANSAKSI!$K$5:$K$89954,REKAPITULASI!H11,TRANSAKSI!$H$5:$H$89954)</f>
        <v>0</v>
      </c>
    </row>
    <row r="12" spans="2:11" x14ac:dyDescent="0.3">
      <c r="B12" s="48" t="s">
        <v>30</v>
      </c>
      <c r="C12" s="49">
        <f>SUMIFS(TRANSAKSI!$G$5:$G$89954,TRANSAKSI!$L$5:$L$89954,REKAPITULASI!B12,TRANSAKSI!$M$5:$M$89954,REKAPITULASI!$E$4)</f>
        <v>0</v>
      </c>
      <c r="D12" s="50">
        <f>SUMIFS(TRANSAKSI!$I$5:$I$89954,TRANSAKSI!$L$5:$L$89954,REKAPITULASI!$B12,TRANSAKSI!$M$5:$M$89954,REKAPITULASI!$E$4)</f>
        <v>0</v>
      </c>
      <c r="E12" s="50">
        <f>SUMIFS(TRANSAKSI!$H$5:$H$89954,TRANSAKSI!$L$5:$L$89954,REKAPITULASI!B12,TRANSAKSI!$M$5:$M$89954,REKAPITULASI!$E$4)</f>
        <v>0</v>
      </c>
      <c r="G12" s="56">
        <v>6</v>
      </c>
      <c r="H12" s="57">
        <f t="shared" ca="1" si="0"/>
        <v>44492</v>
      </c>
      <c r="I12" s="56">
        <f ca="1">SUMIF(TRANSAKSI!$K$5:$K$89954,REKAPITULASI!H12,TRANSAKSI!$G$5:$G$89954)</f>
        <v>8</v>
      </c>
      <c r="J12" s="58">
        <f ca="1">SUMIF(TRANSAKSI!$K$5:$K$89954,REKAPITULASI!H12,TRANSAKSI!$J$5:$J$89954)</f>
        <v>24000</v>
      </c>
      <c r="K12" s="58">
        <f ca="1">SUMIF(TRANSAKSI!$K$5:$K$89954,REKAPITULASI!H12,TRANSAKSI!$H$5:$H$89954)</f>
        <v>300000</v>
      </c>
    </row>
    <row r="13" spans="2:11" x14ac:dyDescent="0.3">
      <c r="B13" s="48" t="s">
        <v>31</v>
      </c>
      <c r="C13" s="49">
        <f>SUMIFS(TRANSAKSI!$G$5:$G$89954,TRANSAKSI!$L$5:$L$89954,REKAPITULASI!B13,TRANSAKSI!$M$5:$M$89954,REKAPITULASI!$E$4)</f>
        <v>0</v>
      </c>
      <c r="D13" s="50">
        <f>SUMIFS(TRANSAKSI!$I$5:$I$89954,TRANSAKSI!$L$5:$L$89954,REKAPITULASI!$B13,TRANSAKSI!$M$5:$M$89954,REKAPITULASI!$E$4)</f>
        <v>0</v>
      </c>
      <c r="E13" s="50">
        <f>SUMIFS(TRANSAKSI!$H$5:$H$89954,TRANSAKSI!$L$5:$L$89954,REKAPITULASI!B13,TRANSAKSI!$M$5:$M$89954,REKAPITULASI!$E$4)</f>
        <v>0</v>
      </c>
      <c r="G13" s="56">
        <v>7</v>
      </c>
      <c r="H13" s="57">
        <f t="shared" ca="1" si="0"/>
        <v>44493</v>
      </c>
      <c r="I13" s="56">
        <f ca="1">SUMIF(TRANSAKSI!$K$5:$K$89954,REKAPITULASI!H13,TRANSAKSI!$G$5:$G$89954)</f>
        <v>16</v>
      </c>
      <c r="J13" s="58">
        <f ca="1">SUMIF(TRANSAKSI!$K$5:$K$89954,REKAPITULASI!H13,TRANSAKSI!$J$5:$J$89954)</f>
        <v>37000</v>
      </c>
      <c r="K13" s="58">
        <f ca="1">SUMIF(TRANSAKSI!$K$5:$K$89954,REKAPITULASI!H13,TRANSAKSI!$H$5:$H$89954)</f>
        <v>976000</v>
      </c>
    </row>
    <row r="14" spans="2:11" x14ac:dyDescent="0.3">
      <c r="B14" s="48" t="s">
        <v>48</v>
      </c>
      <c r="C14" s="49">
        <f>SUMIFS(TRANSAKSI!$G$5:$G$89954,TRANSAKSI!$L$5:$L$89954,REKAPITULASI!B14,TRANSAKSI!$M$5:$M$89954,REKAPITULASI!$E$4)</f>
        <v>0</v>
      </c>
      <c r="D14" s="50">
        <f>SUMIFS(TRANSAKSI!$I$5:$I$89954,TRANSAKSI!$L$5:$L$89954,REKAPITULASI!$B14,TRANSAKSI!$M$5:$M$89954,REKAPITULASI!$E$4)</f>
        <v>0</v>
      </c>
      <c r="E14" s="50">
        <f>SUMIFS(TRANSAKSI!$H$5:$H$89954,TRANSAKSI!$L$5:$L$89954,REKAPITULASI!B14,TRANSAKSI!$M$5:$M$89954,REKAPITULASI!$E$4)</f>
        <v>0</v>
      </c>
      <c r="J14" s="78"/>
    </row>
    <row r="15" spans="2:11" x14ac:dyDescent="0.3">
      <c r="B15" s="48" t="s">
        <v>32</v>
      </c>
      <c r="C15" s="49">
        <f>SUMIFS(TRANSAKSI!$G$5:$G$89954,TRANSAKSI!$L$5:$L$89954,REKAPITULASI!B15,TRANSAKSI!$M$5:$M$89954,REKAPITULASI!$E$4)</f>
        <v>0</v>
      </c>
      <c r="D15" s="50">
        <f>SUMIFS(TRANSAKSI!$I$5:$I$89954,TRANSAKSI!$L$5:$L$89954,REKAPITULASI!$B15,TRANSAKSI!$M$5:$M$89954,REKAPITULASI!$E$4)</f>
        <v>0</v>
      </c>
      <c r="E15" s="50">
        <f>SUMIFS(TRANSAKSI!$H$5:$H$89954,TRANSAKSI!$L$5:$L$89954,REKAPITULASI!B15,TRANSAKSI!$M$5:$M$89954,REKAPITULASI!$E$4)</f>
        <v>0</v>
      </c>
      <c r="H15" t="s">
        <v>35</v>
      </c>
      <c r="I15" s="2">
        <f ca="1">SUM(I7:I13)</f>
        <v>24</v>
      </c>
      <c r="J15" s="53">
        <f ca="1">SUM(J7:J13)</f>
        <v>61000</v>
      </c>
      <c r="K15" s="53">
        <f ca="1">SUM(K7:K13)</f>
        <v>1276000</v>
      </c>
    </row>
    <row r="16" spans="2:11" x14ac:dyDescent="0.3">
      <c r="B16" s="48" t="s">
        <v>47</v>
      </c>
      <c r="C16" s="49">
        <f>SUMIFS(TRANSAKSI!$G$5:$G$89954,TRANSAKSI!$L$5:$L$89954,REKAPITULASI!B16,TRANSAKSI!$M$5:$M$89954,REKAPITULASI!$E$4)</f>
        <v>24</v>
      </c>
      <c r="D16" s="50">
        <f>SUMIFS(TRANSAKSI!$J$5:$J$89954,TRANSAKSI!$L$5:$L$89954,REKAPITULASI!$B16,TRANSAKSI!$M$5:$M$89954,REKAPITULASI!$E$4)</f>
        <v>61000</v>
      </c>
      <c r="E16" s="50">
        <f>SUMIFS(TRANSAKSI!$H$5:$H$89954,TRANSAKSI!$L$5:$L$89954,REKAPITULASI!B16,TRANSAKSI!$M$5:$M$89954,REKAPITULASI!$E$4)</f>
        <v>1276000</v>
      </c>
    </row>
    <row r="17" spans="2:5" x14ac:dyDescent="0.3">
      <c r="B17" s="48" t="s">
        <v>33</v>
      </c>
      <c r="C17" s="49">
        <f>SUMIFS(TRANSAKSI!$G$5:$G$89954,TRANSAKSI!$L$5:$L$89954,REKAPITULASI!B17,TRANSAKSI!$M$5:$M$89954,REKAPITULASI!$E$4)</f>
        <v>0</v>
      </c>
      <c r="D17" s="50">
        <f>SUMIFS(TRANSAKSI!$I$5:$I$89954,TRANSAKSI!$L$5:$L$89954,REKAPITULASI!$B17,TRANSAKSI!$M$5:$M$89954,REKAPITULASI!$E$4)</f>
        <v>0</v>
      </c>
      <c r="E17" s="50">
        <f>SUMIFS(TRANSAKSI!$H$5:$H$89954,TRANSAKSI!$L$5:$L$89954,REKAPITULASI!B17,TRANSAKSI!$M$5:$M$89954,REKAPITULASI!$E$4)</f>
        <v>0</v>
      </c>
    </row>
    <row r="18" spans="2:5" x14ac:dyDescent="0.3">
      <c r="B18" s="48" t="s">
        <v>34</v>
      </c>
      <c r="C18" s="49">
        <f>SUMIFS(TRANSAKSI!$G$5:$G$89954,TRANSAKSI!$L$5:$L$89954,REKAPITULASI!B18,TRANSAKSI!$M$5:$M$89954,REKAPITULASI!$E$4)</f>
        <v>0</v>
      </c>
      <c r="D18" s="50">
        <f>SUMIFS(TRANSAKSI!$I$5:$I$89954,TRANSAKSI!$L$5:$L$89954,REKAPITULASI!$B18,TRANSAKSI!$M$5:$M$89954,REKAPITULASI!$E$4)</f>
        <v>0</v>
      </c>
      <c r="E18" s="50">
        <f>SUMIFS(TRANSAKSI!$H$5:$H$89954,TRANSAKSI!$L$5:$L$89954,REKAPITULASI!B18,TRANSAKSI!$M$5:$M$89954,REKAPITULASI!$E$4)</f>
        <v>0</v>
      </c>
    </row>
    <row r="19" spans="2:5" x14ac:dyDescent="0.3">
      <c r="B19" s="48" t="s">
        <v>14</v>
      </c>
      <c r="C19" s="90">
        <f>SUM(C7:C18)</f>
        <v>24</v>
      </c>
      <c r="D19" s="50">
        <f t="shared" ref="D19" si="1">SUM(D7:D18)</f>
        <v>61000</v>
      </c>
      <c r="E19" s="50">
        <f>SUM(E7:E18)</f>
        <v>1276000</v>
      </c>
    </row>
  </sheetData>
  <phoneticPr fontId="1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MENU</vt:lpstr>
      <vt:lpstr>DATABARANG</vt:lpstr>
      <vt:lpstr>DATAKONTER</vt:lpstr>
      <vt:lpstr>Cetak Barcode</vt:lpstr>
      <vt:lpstr>Struk</vt:lpstr>
      <vt:lpstr>TRANSAKSI</vt:lpstr>
      <vt:lpstr>CARIBARANG</vt:lpstr>
      <vt:lpstr>REKAPITULASI</vt:lpstr>
      <vt:lpstr>BatasBarcode</vt:lpstr>
      <vt:lpstr>CARIBARANG!Criteria</vt:lpstr>
      <vt:lpstr>CARIBARANG!Extract</vt:lpstr>
      <vt:lpstr>KODE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FARIDSATRIA</cp:lastModifiedBy>
  <cp:lastPrinted>2021-10-24T03:42:48Z</cp:lastPrinted>
  <dcterms:created xsi:type="dcterms:W3CDTF">2021-04-14T11:12:43Z</dcterms:created>
  <dcterms:modified xsi:type="dcterms:W3CDTF">2021-10-24T03:47:56Z</dcterms:modified>
</cp:coreProperties>
</file>