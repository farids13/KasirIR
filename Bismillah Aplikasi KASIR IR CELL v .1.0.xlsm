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File titip\IR cell\kasir\CODING DAN TEMPLATE APLIKASI KASIR BARCODE\CODING DAN TEMPLATE APLIKASI KASIR BARCODE\"/>
    </mc:Choice>
  </mc:AlternateContent>
  <xr:revisionPtr revIDLastSave="0" documentId="13_ncr:1_{C6F93D4D-999F-42EE-A241-ECCB0DF1DF8F}" xr6:coauthVersionLast="47" xr6:coauthVersionMax="47" xr10:uidLastSave="{00000000-0000-0000-0000-000000000000}"/>
  <bookViews>
    <workbookView xWindow="-120" yWindow="-120" windowWidth="21840" windowHeight="13290" activeTab="1" xr2:uid="{00000000-000D-0000-FFFF-FFFF00000000}"/>
  </bookViews>
  <sheets>
    <sheet name="MENU" sheetId="1" r:id="rId1"/>
    <sheet name="DATABARANG" sheetId="2" r:id="rId2"/>
    <sheet name="Struk" sheetId="3" r:id="rId3"/>
    <sheet name="TRANSAKSI" sheetId="4" r:id="rId4"/>
    <sheet name="CARIBARANG" sheetId="5" r:id="rId5"/>
    <sheet name="REKAPITULASI" sheetId="6" r:id="rId6"/>
  </sheets>
  <definedNames>
    <definedName name="_xlnm._FilterDatabase" localSheetId="1" hidden="1">DATABARANG!$A$3:$G$8</definedName>
    <definedName name="_xlnm._FilterDatabase" localSheetId="3" hidden="1">TRANSAKSI!$A$4:$J$23</definedName>
    <definedName name="_xlnm.Criteria" localSheetId="4">CARIBARANG!$H$1:$H$2</definedName>
    <definedName name="_xlnm.Criteria" localSheetId="3">TRANSAKSI!$O$4:$P$5</definedName>
    <definedName name="DATATRANSAKSI">OFFSET(MENU!$D$8,0,0,COUNTA(MENU!$D$8:$D$9000),10)</definedName>
    <definedName name="_xlnm.Extract" localSheetId="4">CARIBARANG!$A$1:$F$1</definedName>
    <definedName name="_xlnm.Extract" localSheetId="3">TRANSAKSI!$R$4:$AA$4</definedName>
    <definedName name="HAPUSTRANSAKSI">OFFSET(MENU!$D$8,0,0,COUNTA(MENU!$D$8:$D$9000),8)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3" l="1"/>
  <c r="E24" i="3" s="1"/>
  <c r="B24" i="3"/>
  <c r="C24" i="3"/>
  <c r="D24" i="3"/>
  <c r="A25" i="3"/>
  <c r="E25" i="3" s="1"/>
  <c r="B25" i="3"/>
  <c r="C25" i="3"/>
  <c r="D25" i="3"/>
  <c r="A26" i="3"/>
  <c r="E26" i="3" s="1"/>
  <c r="B26" i="3"/>
  <c r="C26" i="3"/>
  <c r="D26" i="3"/>
  <c r="A27" i="3"/>
  <c r="E27" i="3" s="1"/>
  <c r="B27" i="3"/>
  <c r="C27" i="3"/>
  <c r="D27" i="3"/>
  <c r="A28" i="3"/>
  <c r="E28" i="3" s="1"/>
  <c r="B28" i="3"/>
  <c r="C28" i="3"/>
  <c r="D28" i="3"/>
  <c r="A29" i="3"/>
  <c r="E29" i="3" s="1"/>
  <c r="B29" i="3"/>
  <c r="C29" i="3"/>
  <c r="D29" i="3"/>
  <c r="A30" i="3"/>
  <c r="E30" i="3" s="1"/>
  <c r="B30" i="3"/>
  <c r="C30" i="3"/>
  <c r="D30" i="3"/>
  <c r="A31" i="3"/>
  <c r="E31" i="3" s="1"/>
  <c r="B31" i="3"/>
  <c r="C31" i="3"/>
  <c r="D31" i="3"/>
  <c r="A32" i="3"/>
  <c r="E32" i="3" s="1"/>
  <c r="B32" i="3"/>
  <c r="C32" i="3"/>
  <c r="D32" i="3"/>
  <c r="A33" i="3"/>
  <c r="E33" i="3" s="1"/>
  <c r="B33" i="3"/>
  <c r="C33" i="3"/>
  <c r="D33" i="3"/>
  <c r="A34" i="3"/>
  <c r="E34" i="3" s="1"/>
  <c r="B34" i="3"/>
  <c r="C34" i="3"/>
  <c r="D34" i="3"/>
  <c r="A35" i="3"/>
  <c r="E35" i="3" s="1"/>
  <c r="B35" i="3"/>
  <c r="C35" i="3"/>
  <c r="D35" i="3"/>
  <c r="A36" i="3"/>
  <c r="E36" i="3" s="1"/>
  <c r="B36" i="3"/>
  <c r="C36" i="3"/>
  <c r="D36" i="3"/>
  <c r="A37" i="3"/>
  <c r="E37" i="3" s="1"/>
  <c r="B37" i="3"/>
  <c r="C37" i="3"/>
  <c r="D37" i="3"/>
  <c r="A38" i="3"/>
  <c r="E38" i="3" s="1"/>
  <c r="B38" i="3"/>
  <c r="C38" i="3"/>
  <c r="D38" i="3"/>
  <c r="A39" i="3"/>
  <c r="E39" i="3" s="1"/>
  <c r="B39" i="3"/>
  <c r="C39" i="3"/>
  <c r="D39" i="3"/>
  <c r="A40" i="3"/>
  <c r="E40" i="3" s="1"/>
  <c r="B40" i="3"/>
  <c r="C40" i="3"/>
  <c r="D40" i="3"/>
  <c r="A41" i="3"/>
  <c r="E41" i="3" s="1"/>
  <c r="B41" i="3"/>
  <c r="C41" i="3"/>
  <c r="D41" i="3"/>
  <c r="L6" i="4" l="1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5" i="4"/>
  <c r="I4" i="6"/>
  <c r="G7" i="6" s="1"/>
  <c r="H7" i="6" s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5" i="4"/>
  <c r="L8" i="1"/>
  <c r="M8" i="1" s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10" i="3"/>
  <c r="C10" i="3"/>
  <c r="B10" i="3"/>
  <c r="L9" i="1"/>
  <c r="M9" i="1" s="1"/>
  <c r="L10" i="1"/>
  <c r="M10" i="1" s="1"/>
  <c r="L11" i="1"/>
  <c r="M11" i="1" s="1"/>
  <c r="L12" i="1"/>
  <c r="M12" i="1" s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 s="1"/>
  <c r="L30" i="1"/>
  <c r="M30" i="1"/>
  <c r="L31" i="1"/>
  <c r="M31" i="1"/>
  <c r="L32" i="1"/>
  <c r="M32" i="1"/>
  <c r="L33" i="1"/>
  <c r="M33" i="1"/>
  <c r="L34" i="1"/>
  <c r="M34" i="1"/>
  <c r="L35" i="1"/>
  <c r="M35" i="1"/>
  <c r="D3" i="1"/>
  <c r="C7" i="6" l="1"/>
  <c r="D7" i="6"/>
  <c r="D8" i="6"/>
  <c r="C11" i="6"/>
  <c r="C12" i="6"/>
  <c r="D15" i="6"/>
  <c r="C15" i="6"/>
  <c r="D11" i="6"/>
  <c r="C14" i="6"/>
  <c r="C10" i="6"/>
  <c r="D18" i="6"/>
  <c r="D14" i="6"/>
  <c r="C17" i="6"/>
  <c r="C13" i="6"/>
  <c r="C9" i="6"/>
  <c r="D17" i="6"/>
  <c r="D13" i="6"/>
  <c r="D9" i="6"/>
  <c r="C18" i="6"/>
  <c r="D10" i="6"/>
  <c r="C16" i="6"/>
  <c r="C8" i="6"/>
  <c r="D16" i="6"/>
  <c r="D12" i="6"/>
  <c r="I7" i="6"/>
  <c r="G8" i="6"/>
  <c r="I8" i="6" s="1"/>
  <c r="D5" i="3"/>
  <c r="F3" i="1"/>
  <c r="B7" i="3"/>
  <c r="A11" i="3"/>
  <c r="E11" i="3" s="1"/>
  <c r="A12" i="3"/>
  <c r="E12" i="3" s="1"/>
  <c r="A13" i="3"/>
  <c r="E13" i="3" s="1"/>
  <c r="A14" i="3"/>
  <c r="E14" i="3" s="1"/>
  <c r="A15" i="3"/>
  <c r="E15" i="3" s="1"/>
  <c r="A16" i="3"/>
  <c r="E16" i="3" s="1"/>
  <c r="A17" i="3"/>
  <c r="E17" i="3" s="1"/>
  <c r="A18" i="3"/>
  <c r="E18" i="3" s="1"/>
  <c r="A19" i="3"/>
  <c r="E19" i="3" s="1"/>
  <c r="A20" i="3"/>
  <c r="E20" i="3" s="1"/>
  <c r="A21" i="3"/>
  <c r="E21" i="3" s="1"/>
  <c r="A22" i="3"/>
  <c r="E22" i="3" s="1"/>
  <c r="A23" i="3"/>
  <c r="E23" i="3" s="1"/>
  <c r="A10" i="3"/>
  <c r="A27" i="1"/>
  <c r="A28" i="1" s="1"/>
  <c r="D19" i="6" l="1"/>
  <c r="C19" i="6"/>
  <c r="G9" i="6"/>
  <c r="I9" i="6" s="1"/>
  <c r="H8" i="6"/>
  <c r="E10" i="3"/>
  <c r="G10" i="6" l="1"/>
  <c r="I10" i="6" s="1"/>
  <c r="H9" i="6"/>
  <c r="B5" i="3"/>
  <c r="G11" i="6" l="1"/>
  <c r="I11" i="6" s="1"/>
  <c r="H10" i="6"/>
  <c r="B6" i="3"/>
  <c r="G12" i="6" l="1"/>
  <c r="I12" i="6" s="1"/>
  <c r="H11" i="6"/>
  <c r="E3" i="1"/>
  <c r="G3" i="1" s="1"/>
  <c r="D6" i="3" l="1"/>
  <c r="D7" i="3" s="1"/>
  <c r="G13" i="6"/>
  <c r="H12" i="6"/>
  <c r="M3" i="1" l="1"/>
  <c r="H13" i="6"/>
  <c r="H15" i="6" s="1"/>
  <c r="I13" i="6"/>
  <c r="I15" i="6" s="1"/>
</calcChain>
</file>

<file path=xl/sharedStrings.xml><?xml version="1.0" encoding="utf-8"?>
<sst xmlns="http://schemas.openxmlformats.org/spreadsheetml/2006/main" count="162" uniqueCount="69">
  <si>
    <t>Scan Barang</t>
  </si>
  <si>
    <t>Kode Barang</t>
  </si>
  <si>
    <t>Nama Barang</t>
  </si>
  <si>
    <t>Harga Satuan</t>
  </si>
  <si>
    <t>Qty</t>
  </si>
  <si>
    <t>Stok</t>
  </si>
  <si>
    <t>Total Harga</t>
  </si>
  <si>
    <t>8999999556327</t>
  </si>
  <si>
    <t>Sariwangi The Celup Asli 30 PC</t>
  </si>
  <si>
    <t>8998667401051</t>
  </si>
  <si>
    <t>Minyak Kayu Putih Konicare</t>
  </si>
  <si>
    <t>Harga Beli</t>
  </si>
  <si>
    <t>Harga Jual</t>
  </si>
  <si>
    <t>Satuan</t>
  </si>
  <si>
    <t>Buah</t>
  </si>
  <si>
    <t>Diskon %</t>
  </si>
  <si>
    <t>Diskon Rp</t>
  </si>
  <si>
    <t>Total Barang :</t>
  </si>
  <si>
    <t>Total Harga :</t>
  </si>
  <si>
    <t>Total Diskon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</si>
  <si>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</si>
  <si>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</si>
  <si>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</si>
  <si>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</si>
  <si>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</si>
  <si>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</si>
  <si>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</si>
  <si>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</si>
  <si>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</si>
  <si>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</si>
  <si>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</si>
  <si>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</si>
  <si>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</si>
  <si>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</si>
  <si>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</si>
  <si>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</si>
  <si>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</si>
  <si>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</si>
  <si>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</si>
  <si>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</si>
  <si>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</si>
  <si>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</si>
  <si>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</si>
  <si>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Agu</t>
  </si>
  <si>
    <t>Sep</t>
  </si>
  <si>
    <t>Okt</t>
  </si>
  <si>
    <t>Nov</t>
  </si>
  <si>
    <t>Des</t>
  </si>
  <si>
    <t>Total Penjualan</t>
  </si>
  <si>
    <t>Pcs</t>
  </si>
  <si>
    <t>Kotak Pensil</t>
  </si>
  <si>
    <t>Kg</t>
  </si>
  <si>
    <t>23634647455245</t>
  </si>
  <si>
    <t>8994096216419</t>
  </si>
  <si>
    <t>Meises Mix 90g</t>
  </si>
  <si>
    <t>8851019210117</t>
  </si>
  <si>
    <t>Glico Pocky Coklat 45 gr</t>
  </si>
  <si>
    <t>8996001440124</t>
  </si>
  <si>
    <t>Energen Susu Vanila</t>
  </si>
  <si>
    <t>8992933652215</t>
  </si>
  <si>
    <t>La Pasta Spicy Barbeque</t>
  </si>
  <si>
    <t>8992222054980</t>
  </si>
  <si>
    <t>Gatsby Stayling Pomade</t>
  </si>
  <si>
    <t>*GLI*</t>
  </si>
  <si>
    <t>8</t>
  </si>
  <si>
    <t>IR CELL</t>
  </si>
  <si>
    <t>Jl. KUSUMA BANGSA NO 31 (BONG MERENG) KEC, BURNEH KAB,BANGKALAN</t>
  </si>
  <si>
    <t>6987125632788</t>
  </si>
  <si>
    <t>Tang Ampere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</si>
</sst>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</numFmts>
  <fonts count="19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10"/>
      <color theme="7" tint="-0.499984740745262"/>
      <name val="Roboto Condensed"/>
    </font>
    <font>
      <b/>
      <sz val="11"/>
      <color theme="7" tint="-0.499984740745262"/>
      <name val="Roboto Condensed"/>
    </font>
    <font>
      <b/>
      <sz val="12"/>
      <color theme="7" tint="-0.499984740745262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b/>
      <sz val="12"/>
      <color theme="0"/>
      <name val="Roboto Condensed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</fonts>
  <fills count="6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3D487F"/>
        <bgColor indexed="64"/>
      </patternFill>
    </fill>
  </fills>
  <borders count="29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thick">
        <color theme="7" tint="-0.499984740745262"/>
      </bottom>
      <diagonal/>
    </border>
    <border>
      <left/>
      <right/>
      <top style="double">
        <color theme="7" tint="-0.24994659260841701"/>
      </top>
      <bottom/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medium">
        <color theme="7" tint="-0.24994659260841701"/>
      </left>
      <right/>
      <top style="medium">
        <color theme="7" tint="-0.24994659260841701"/>
      </top>
      <bottom style="medium">
        <color theme="7" tint="-0.24994659260841701"/>
      </bottom>
      <diagonal/>
    </border>
    <border>
      <left/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2" fillId="0" borderId="0" xfId="0" applyNumberFormat="1" applyFont="1" applyFill="1"/>
    <xf numFmtId="0" fontId="2" fillId="0" borderId="0" xfId="0" applyFont="1" applyFill="1"/>
    <xf numFmtId="164" fontId="2" fillId="0" borderId="0" xfId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164" fontId="4" fillId="2" borderId="0" xfId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9" fontId="4" fillId="2" borderId="0" xfId="2" applyFont="1" applyFill="1" applyAlignment="1">
      <alignment horizontal="center" vertic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164" fontId="2" fillId="0" borderId="0" xfId="1" applyFont="1" applyFill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49" fontId="5" fillId="0" borderId="6" xfId="0" applyNumberFormat="1" applyFont="1" applyFill="1" applyBorder="1"/>
    <xf numFmtId="0" fontId="5" fillId="0" borderId="6" xfId="0" applyFont="1" applyFill="1" applyBorder="1"/>
    <xf numFmtId="164" fontId="5" fillId="0" borderId="6" xfId="1" applyFont="1" applyFill="1" applyBorder="1"/>
    <xf numFmtId="0" fontId="8" fillId="0" borderId="0" xfId="0" applyFont="1"/>
    <xf numFmtId="0" fontId="11" fillId="0" borderId="0" xfId="0" applyFont="1"/>
    <xf numFmtId="0" fontId="12" fillId="0" borderId="0" xfId="0" applyFont="1"/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66" fontId="8" fillId="0" borderId="17" xfId="0" applyNumberFormat="1" applyFont="1" applyBorder="1" applyAlignment="1">
      <alignment horizontal="right" vertical="center"/>
    </xf>
    <xf numFmtId="166" fontId="8" fillId="0" borderId="0" xfId="0" applyNumberFormat="1" applyFont="1" applyBorder="1" applyAlignment="1">
      <alignment horizontal="right" vertical="center"/>
    </xf>
    <xf numFmtId="166" fontId="8" fillId="0" borderId="22" xfId="0" applyNumberFormat="1" applyFont="1" applyBorder="1" applyAlignment="1">
      <alignment horizontal="right" vertical="center"/>
    </xf>
    <xf numFmtId="0" fontId="8" fillId="0" borderId="16" xfId="0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21" xfId="0" applyFont="1" applyBorder="1" applyAlignment="1">
      <alignment horizontal="right"/>
    </xf>
    <xf numFmtId="166" fontId="8" fillId="0" borderId="17" xfId="0" applyNumberFormat="1" applyFont="1" applyBorder="1" applyAlignment="1">
      <alignment horizontal="left"/>
    </xf>
    <xf numFmtId="14" fontId="8" fillId="0" borderId="22" xfId="0" applyNumberFormat="1" applyFont="1" applyBorder="1" applyAlignment="1">
      <alignment horizontal="left"/>
    </xf>
    <xf numFmtId="166" fontId="8" fillId="0" borderId="0" xfId="0" applyNumberFormat="1" applyFont="1" applyBorder="1" applyAlignment="1">
      <alignment horizontal="left"/>
    </xf>
    <xf numFmtId="166" fontId="6" fillId="0" borderId="5" xfId="1" applyNumberFormat="1" applyFont="1" applyFill="1" applyBorder="1" applyAlignment="1">
      <alignment horizontal="left" vertical="center"/>
    </xf>
    <xf numFmtId="0" fontId="10" fillId="0" borderId="24" xfId="0" applyFont="1" applyBorder="1" applyAlignment="1">
      <alignment horizontal="center" vertical="center"/>
    </xf>
    <xf numFmtId="166" fontId="10" fillId="0" borderId="24" xfId="0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49" fontId="13" fillId="4" borderId="0" xfId="0" applyNumberFormat="1" applyFont="1" applyFill="1"/>
    <xf numFmtId="0" fontId="13" fillId="4" borderId="0" xfId="0" applyFont="1" applyFill="1"/>
    <xf numFmtId="0" fontId="13" fillId="4" borderId="0" xfId="0" applyFont="1" applyFill="1" applyAlignment="1">
      <alignment horizontal="center" vertical="center"/>
    </xf>
    <xf numFmtId="165" fontId="13" fillId="4" borderId="0" xfId="0" applyNumberFormat="1" applyFont="1" applyFill="1" applyAlignment="1">
      <alignment horizontal="center" vertical="center"/>
    </xf>
    <xf numFmtId="14" fontId="2" fillId="2" borderId="1" xfId="0" applyNumberFormat="1" applyFont="1" applyFill="1" applyBorder="1" applyAlignment="1">
      <alignment horizontal="left" vertical="center"/>
    </xf>
    <xf numFmtId="49" fontId="7" fillId="3" borderId="26" xfId="0" applyNumberFormat="1" applyFont="1" applyFill="1" applyBorder="1" applyAlignment="1">
      <alignment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64" fontId="3" fillId="0" borderId="6" xfId="1" applyFont="1" applyFill="1" applyBorder="1"/>
    <xf numFmtId="1" fontId="6" fillId="0" borderId="5" xfId="0" applyNumberFormat="1" applyFont="1" applyFill="1" applyBorder="1" applyAlignment="1">
      <alignment horizontal="left" vertical="center"/>
    </xf>
    <xf numFmtId="166" fontId="6" fillId="0" borderId="5" xfId="0" applyNumberFormat="1" applyFont="1" applyFill="1" applyBorder="1" applyAlignment="1">
      <alignment horizontal="left" vertical="center"/>
    </xf>
    <xf numFmtId="0" fontId="2" fillId="0" borderId="6" xfId="0" applyFont="1" applyFill="1" applyBorder="1"/>
    <xf numFmtId="1" fontId="3" fillId="0" borderId="0" xfId="1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left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9" fontId="5" fillId="0" borderId="6" xfId="2" applyFont="1" applyFill="1" applyBorder="1" applyAlignment="1">
      <alignment horizontal="center" vertical="center"/>
    </xf>
    <xf numFmtId="165" fontId="6" fillId="0" borderId="5" xfId="2" applyNumberFormat="1" applyFont="1" applyFill="1" applyBorder="1" applyAlignment="1">
      <alignment horizontal="center" vertical="center"/>
    </xf>
    <xf numFmtId="9" fontId="2" fillId="0" borderId="0" xfId="2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49" fontId="14" fillId="4" borderId="25" xfId="0" applyNumberFormat="1" applyFont="1" applyFill="1" applyBorder="1" applyAlignment="1">
      <alignment vertical="center"/>
    </xf>
    <xf numFmtId="9" fontId="3" fillId="0" borderId="0" xfId="2" applyFont="1" applyFill="1" applyAlignment="1">
      <alignment horizontal="center" vertical="center"/>
    </xf>
    <xf numFmtId="14" fontId="4" fillId="2" borderId="0" xfId="0" applyNumberFormat="1" applyFont="1" applyFill="1" applyAlignment="1">
      <alignment vertical="center"/>
    </xf>
    <xf numFmtId="14" fontId="0" fillId="0" borderId="0" xfId="0" applyNumberFormat="1"/>
    <xf numFmtId="165" fontId="4" fillId="2" borderId="0" xfId="0" applyNumberFormat="1" applyFont="1" applyFill="1" applyAlignment="1">
      <alignment vertical="center"/>
    </xf>
    <xf numFmtId="165" fontId="0" fillId="0" borderId="0" xfId="0" applyNumberFormat="1"/>
    <xf numFmtId="0" fontId="13" fillId="2" borderId="0" xfId="0" applyFont="1" applyFill="1"/>
    <xf numFmtId="0" fontId="13" fillId="2" borderId="0" xfId="0" applyFont="1" applyFill="1" applyAlignment="1">
      <alignment horizontal="center" vertical="center"/>
    </xf>
    <xf numFmtId="0" fontId="0" fillId="0" borderId="27" xfId="0" applyBorder="1"/>
    <xf numFmtId="0" fontId="0" fillId="0" borderId="27" xfId="0" applyBorder="1" applyAlignment="1">
      <alignment horizontal="center" vertical="center"/>
    </xf>
    <xf numFmtId="164" fontId="0" fillId="0" borderId="27" xfId="1" applyFont="1" applyBorder="1" applyAlignment="1">
      <alignment horizontal="center" vertical="center"/>
    </xf>
    <xf numFmtId="14" fontId="13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164" fontId="0" fillId="0" borderId="0" xfId="1" applyFont="1"/>
    <xf numFmtId="49" fontId="4" fillId="2" borderId="0" xfId="0" applyNumberFormat="1" applyFont="1" applyFill="1" applyAlignment="1"/>
    <xf numFmtId="9" fontId="4" fillId="2" borderId="0" xfId="2" applyFont="1" applyFill="1" applyAlignment="1"/>
    <xf numFmtId="0" fontId="0" fillId="0" borderId="0" xfId="0" applyAlignment="1"/>
    <xf numFmtId="9" fontId="0" fillId="0" borderId="0" xfId="2" applyFont="1" applyAlignment="1"/>
    <xf numFmtId="0" fontId="16" fillId="4" borderId="0" xfId="0" applyFont="1" applyFill="1" applyAlignment="1">
      <alignment vertical="center"/>
    </xf>
    <xf numFmtId="0" fontId="0" fillId="0" borderId="28" xfId="0" applyBorder="1" applyAlignment="1">
      <alignment horizontal="center" vertical="center"/>
    </xf>
    <xf numFmtId="16" fontId="0" fillId="0" borderId="28" xfId="0" applyNumberFormat="1" applyBorder="1" applyAlignment="1">
      <alignment horizontal="center" vertical="center"/>
    </xf>
    <xf numFmtId="164" fontId="0" fillId="0" borderId="28" xfId="1" applyFont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0" fontId="5" fillId="0" borderId="6" xfId="0" applyFont="1" applyFill="1" applyBorder="1" applyAlignment="1">
      <alignment horizontal="left" vertical="center"/>
    </xf>
    <xf numFmtId="166" fontId="6" fillId="0" borderId="5" xfId="1" applyNumberFormat="1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166" fontId="8" fillId="0" borderId="17" xfId="0" applyNumberFormat="1" applyFont="1" applyBorder="1" applyAlignment="1">
      <alignment horizontal="left" vertical="center"/>
    </xf>
    <xf numFmtId="166" fontId="8" fillId="0" borderId="18" xfId="0" applyNumberFormat="1" applyFont="1" applyBorder="1" applyAlignment="1">
      <alignment horizontal="left" vertical="center"/>
    </xf>
    <xf numFmtId="166" fontId="8" fillId="0" borderId="0" xfId="0" applyNumberFormat="1" applyFont="1" applyBorder="1" applyAlignment="1">
      <alignment horizontal="left" vertical="center"/>
    </xf>
    <xf numFmtId="166" fontId="8" fillId="0" borderId="20" xfId="0" applyNumberFormat="1" applyFont="1" applyBorder="1" applyAlignment="1">
      <alignment horizontal="left" vertical="center"/>
    </xf>
    <xf numFmtId="166" fontId="8" fillId="0" borderId="22" xfId="0" applyNumberFormat="1" applyFont="1" applyBorder="1" applyAlignment="1">
      <alignment horizontal="left" vertical="center"/>
    </xf>
    <xf numFmtId="166" fontId="8" fillId="0" borderId="23" xfId="0" applyNumberFormat="1" applyFont="1" applyBorder="1" applyAlignment="1">
      <alignment horizontal="left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2" fillId="5" borderId="0" xfId="0" applyFont="1" applyFill="1"/>
  </cellXfs>
  <cellStyles count="3">
    <cellStyle name="Currency [0]" xfId="1" builtinId="7"/>
    <cellStyle name="Normal" xfId="0" builtinId="0"/>
    <cellStyle name="Percent" xfId="2" builtinId="5"/>
  </cellStyles>
  <dxfs count="3">
    <dxf>
      <border>
        <bottom style="thin">
          <color theme="0" tint="-0.499984740745262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0" defaultTableStyle="TableStyleMedium2" defaultPivotStyle="PivotStyleLight16"/>
  <colors>
    <mruColors>
      <color rgb="FF3D487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12700" cap="flat" cmpd="sng" algn="ctr">
          <a:noFill/>
          <a:prstDash val="solid"/>
          <a:miter lim="800000"/>
        </a:ln>
        <a:effectLst/>
        <a:sp3d/>
      </c:spPr>
    </c:sideWall>
    <c:backWall>
      <c:thickness val="0"/>
      <c:spPr>
        <a:noFill/>
        <a:ln w="12700" cap="flat" cmpd="sng" algn="ctr">
          <a:noFill/>
          <a:prstDash val="solid"/>
          <a:miter lim="800000"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2C-47D0-9130-9C32F44A16A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93592672"/>
        <c:axId val="93589344"/>
        <c:axId val="0"/>
      </c:bar3DChart>
      <c:catAx>
        <c:axId val="9359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93589344"/>
        <c:crosses val="autoZero"/>
        <c:auto val="1"/>
        <c:lblAlgn val="ctr"/>
        <c:lblOffset val="100"/>
        <c:noMultiLvlLbl val="0"/>
      </c:catAx>
      <c:valAx>
        <c:axId val="9358934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359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REKAPITULASI!$D$6</c:f>
              <c:strCache>
                <c:ptCount val="1"/>
                <c:pt idx="0">
                  <c:v>Total Harga</c:v>
                </c:pt>
              </c:strCache>
            </c:strRef>
          </c:tx>
          <c:spPr>
            <a:solidFill>
              <a:srgbClr val="FFCC66"/>
            </a:solidFill>
            <a:ln>
              <a:noFill/>
            </a:ln>
            <a:effectLst/>
            <a:sp3d/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REKAPITULASI!$D$7:$D$18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D-4837-A7F0-DBE15E5B3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4492960"/>
        <c:axId val="174488384"/>
        <c:axId val="0"/>
      </c:bar3DChart>
      <c:catAx>
        <c:axId val="17449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74488384"/>
        <c:crosses val="autoZero"/>
        <c:auto val="1"/>
        <c:lblAlgn val="ctr"/>
        <c:lblOffset val="100"/>
        <c:noMultiLvlLbl val="0"/>
      </c:catAx>
      <c:valAx>
        <c:axId val="17448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744929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REKAPITULASI!$G$7:$G$13</c:f>
              <c:numCache>
                <c:formatCode>d\-mmm</c:formatCode>
                <c:ptCount val="7"/>
                <c:pt idx="0">
                  <c:v>44463</c:v>
                </c:pt>
                <c:pt idx="1">
                  <c:v>44464</c:v>
                </c:pt>
                <c:pt idx="2">
                  <c:v>44465</c:v>
                </c:pt>
                <c:pt idx="3">
                  <c:v>44466</c:v>
                </c:pt>
                <c:pt idx="4">
                  <c:v>44467</c:v>
                </c:pt>
                <c:pt idx="5">
                  <c:v>44468</c:v>
                </c:pt>
                <c:pt idx="6">
                  <c:v>44469</c:v>
                </c:pt>
              </c:numCache>
            </c:numRef>
          </c:cat>
          <c:val>
            <c:numRef>
              <c:f>REKAPITULASI!$H$7:$H$13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7-4FA4-B6DA-F94A3BE0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284192"/>
        <c:axId val="200282944"/>
      </c:lineChart>
      <c:dateAx>
        <c:axId val="200284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0282944"/>
        <c:crosses val="autoZero"/>
        <c:auto val="1"/>
        <c:lblOffset val="100"/>
        <c:baseTimeUnit val="days"/>
      </c:dateAx>
      <c:valAx>
        <c:axId val="20028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028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png"/><Relationship Id="rId29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svg"/><Relationship Id="rId28" Type="http://schemas.openxmlformats.org/officeDocument/2006/relationships/chart" Target="../charts/chart2.xml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13697</xdr:colOff>
      <xdr:row>0</xdr:row>
      <xdr:rowOff>1393</xdr:rowOff>
    </xdr:from>
    <xdr:to>
      <xdr:col>20</xdr:col>
      <xdr:colOff>4172</xdr:colOff>
      <xdr:row>9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988851" y="1393"/>
          <a:ext cx="3650644" cy="1860799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14</xdr:col>
      <xdr:colOff>135675</xdr:colOff>
      <xdr:row>1</xdr:row>
      <xdr:rowOff>30900</xdr:rowOff>
    </xdr:from>
    <xdr:to>
      <xdr:col>14</xdr:col>
      <xdr:colOff>409575</xdr:colOff>
      <xdr:row>2</xdr:row>
      <xdr:rowOff>104775</xdr:rowOff>
    </xdr:to>
    <xdr:pic>
      <xdr:nvPicPr>
        <xdr:cNvPr id="27" name="Graphic 26" descr="Bar graph with upward trend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108475" y="230925"/>
          <a:ext cx="273900" cy="273900"/>
        </a:xfrm>
        <a:prstGeom prst="rect">
          <a:avLst/>
        </a:prstGeom>
      </xdr:spPr>
    </xdr:pic>
    <xdr:clientData/>
  </xdr:twoCellAnchor>
  <xdr:twoCellAnchor editAs="absolute">
    <xdr:from>
      <xdr:col>12</xdr:col>
      <xdr:colOff>104778</xdr:colOff>
      <xdr:row>4</xdr:row>
      <xdr:rowOff>4762</xdr:rowOff>
    </xdr:from>
    <xdr:to>
      <xdr:col>14</xdr:col>
      <xdr:colOff>224619</xdr:colOff>
      <xdr:row>5</xdr:row>
      <xdr:rowOff>23812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9858378" y="814387"/>
          <a:ext cx="1339041" cy="304800"/>
          <a:chOff x="3803431" y="4953657"/>
          <a:chExt cx="1335574" cy="342900"/>
        </a:xfrm>
        <a:effectLst/>
      </xdr:grpSpPr>
      <xdr:sp macro="[0]!CETAKSTRU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3803431" y="4953657"/>
            <a:ext cx="952500" cy="342900"/>
          </a:xfrm>
          <a:prstGeom prst="rect">
            <a:avLst/>
          </a:prstGeom>
          <a:solidFill>
            <a:schemeClr val="accent4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CETAKSTRUK">
        <xdr:nvPicPr>
          <xdr:cNvPr id="38" name="Graphic 37" descr="Printer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58915" y="4985493"/>
            <a:ext cx="266902" cy="266902"/>
          </a:xfrm>
          <a:prstGeom prst="rect">
            <a:avLst/>
          </a:prstGeom>
        </xdr:spPr>
      </xdr:pic>
      <xdr:sp macro="[0]!CETAKSTRUK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4184431" y="4970326"/>
            <a:ext cx="954574" cy="309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bg1"/>
                </a:solidFill>
              </a:rPr>
              <a:t>Cetak / finis</a:t>
            </a:r>
            <a:endParaRPr lang="id-ID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10</xdr:col>
      <xdr:colOff>235579</xdr:colOff>
      <xdr:row>4</xdr:row>
      <xdr:rowOff>4762</xdr:rowOff>
    </xdr:from>
    <xdr:to>
      <xdr:col>11</xdr:col>
      <xdr:colOff>621670</xdr:colOff>
      <xdr:row>5</xdr:row>
      <xdr:rowOff>23812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8731879" y="814387"/>
          <a:ext cx="948066" cy="304800"/>
          <a:chOff x="8048625" y="838200"/>
          <a:chExt cx="967116" cy="342900"/>
        </a:xfrm>
        <a:effectLst/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8048625" y="838200"/>
            <a:ext cx="967116" cy="342900"/>
            <a:chOff x="3803431" y="4953657"/>
            <a:chExt cx="967116" cy="342900"/>
          </a:xfrm>
        </xdr:grpSpPr>
        <xdr:sp macro="[0]!HapusBarang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Barang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4165381" y="4959611"/>
              <a:ext cx="605166" cy="3152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id-ID" sz="1200" b="1">
                  <a:solidFill>
                    <a:schemeClr val="bg1"/>
                  </a:solidFill>
                </a:rPr>
                <a:t>Delete</a:t>
              </a:r>
            </a:p>
          </xdr:txBody>
        </xdr:sp>
      </xdr:grpSp>
      <xdr:pic macro="[0]!HapusBarang">
        <xdr:nvPicPr>
          <xdr:cNvPr id="47" name="Graphic 46" descr="Eraser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061081" y="841131"/>
            <a:ext cx="313980" cy="313592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158750</xdr:colOff>
      <xdr:row>3</xdr:row>
      <xdr:rowOff>161925</xdr:rowOff>
    </xdr:from>
    <xdr:to>
      <xdr:col>3</xdr:col>
      <xdr:colOff>939800</xdr:colOff>
      <xdr:row>5</xdr:row>
      <xdr:rowOff>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2273300" y="790575"/>
          <a:ext cx="952500" cy="304800"/>
          <a:chOff x="7000875" y="828675"/>
          <a:chExt cx="952500" cy="342900"/>
        </a:xfrm>
        <a:effectLst/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7000875" y="828675"/>
            <a:ext cx="952500" cy="342900"/>
            <a:chOff x="3803431" y="4953657"/>
            <a:chExt cx="952500" cy="342900"/>
          </a:xfrm>
        </xdr:grpSpPr>
        <xdr:sp macro="[0]!PanggilCariBarang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263806" y="4970326"/>
              <a:ext cx="434543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</a:rPr>
                <a:t>Cari</a:t>
              </a:r>
              <a:endParaRPr lang="id-ID" sz="1200" b="1">
                <a:solidFill>
                  <a:schemeClr val="bg1"/>
                </a:solidFill>
              </a:endParaRPr>
            </a:p>
          </xdr:txBody>
        </xdr:sp>
      </xdr:grpSp>
      <xdr:pic macro="[0]!PanggilCariBarang">
        <xdr:nvPicPr>
          <xdr:cNvPr id="52" name="Graphic 51" descr="Magnifying glass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048500" y="857250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809625</xdr:colOff>
      <xdr:row>4</xdr:row>
      <xdr:rowOff>9525</xdr:rowOff>
    </xdr:from>
    <xdr:to>
      <xdr:col>10</xdr:col>
      <xdr:colOff>57150</xdr:colOff>
      <xdr:row>5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7600950" y="819150"/>
          <a:ext cx="952500" cy="295275"/>
          <a:chOff x="3581400" y="2828925"/>
          <a:chExt cx="952500" cy="342900"/>
        </a:xfrm>
        <a:effectLst/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3581400" y="2828925"/>
            <a:ext cx="952500" cy="342900"/>
            <a:chOff x="3803431" y="4953657"/>
            <a:chExt cx="952500" cy="342900"/>
          </a:xfrm>
        </xdr:grpSpPr>
        <xdr:sp macro="[0]!TransaksiBaru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ransaksiBaru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 txBox="1"/>
          </xdr:nvSpPr>
          <xdr:spPr>
            <a:xfrm>
              <a:off x="4217561" y="4958573"/>
              <a:ext cx="478144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</a:rPr>
                <a:t>New</a:t>
              </a:r>
              <a:endParaRPr lang="id-ID" sz="1200" b="1">
                <a:solidFill>
                  <a:schemeClr val="bg1"/>
                </a:solidFill>
              </a:endParaRPr>
            </a:p>
          </xdr:txBody>
        </xdr:sp>
      </xdr:grpSp>
      <xdr:pic macro="[0]!TransaksiBaru">
        <xdr:nvPicPr>
          <xdr:cNvPr id="4" name="Graphic 3" descr="Shopping baske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657600" y="2886075"/>
            <a:ext cx="219075" cy="219075"/>
          </a:xfrm>
          <a:prstGeom prst="rect">
            <a:avLst/>
          </a:prstGeom>
        </xdr:spPr>
      </xdr:pic>
    </xdr:grpSp>
    <xdr:clientData/>
  </xdr:twoCellAnchor>
  <xdr:oneCellAnchor>
    <xdr:from>
      <xdr:col>14</xdr:col>
      <xdr:colOff>400050</xdr:colOff>
      <xdr:row>1</xdr:row>
      <xdr:rowOff>28575</xdr:rowOff>
    </xdr:from>
    <xdr:ext cx="2527295" cy="26148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372850" y="228600"/>
          <a:ext cx="2527295" cy="2614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GRAFIK JUMLAH BARANG TERJUAL BULANAN</a:t>
          </a:r>
          <a:endParaRPr lang="id-ID" sz="1000" b="1">
            <a:solidFill>
              <a:schemeClr val="accent4">
                <a:lumMod val="20000"/>
                <a:lumOff val="8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 editAs="absolute">
    <xdr:from>
      <xdr:col>14</xdr:col>
      <xdr:colOff>19049</xdr:colOff>
      <xdr:row>9</xdr:row>
      <xdr:rowOff>19050</xdr:rowOff>
    </xdr:from>
    <xdr:to>
      <xdr:col>20</xdr:col>
      <xdr:colOff>9524</xdr:colOff>
      <xdr:row>18</xdr:row>
      <xdr:rowOff>9525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0978150" y="1891943"/>
          <a:ext cx="3650644" cy="1724239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14</xdr:col>
      <xdr:colOff>95250</xdr:colOff>
      <xdr:row>9</xdr:row>
      <xdr:rowOff>85725</xdr:rowOff>
    </xdr:from>
    <xdr:to>
      <xdr:col>14</xdr:col>
      <xdr:colOff>390525</xdr:colOff>
      <xdr:row>11</xdr:row>
      <xdr:rowOff>0</xdr:rowOff>
    </xdr:to>
    <xdr:pic>
      <xdr:nvPicPr>
        <xdr:cNvPr id="60" name="Graphic 59" descr="Pie chart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068050" y="1943100"/>
          <a:ext cx="295275" cy="295275"/>
        </a:xfrm>
        <a:prstGeom prst="rect">
          <a:avLst/>
        </a:prstGeom>
      </xdr:spPr>
    </xdr:pic>
    <xdr:clientData/>
  </xdr:twoCellAnchor>
  <xdr:oneCellAnchor>
    <xdr:from>
      <xdr:col>14</xdr:col>
      <xdr:colOff>333375</xdr:colOff>
      <xdr:row>9</xdr:row>
      <xdr:rowOff>85725</xdr:rowOff>
    </xdr:from>
    <xdr:ext cx="3381951" cy="261482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11306175" y="1943100"/>
          <a:ext cx="3381951" cy="2614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GRAFIK PENDAPATAN</a:t>
          </a:r>
          <a:r>
            <a:rPr lang="en-US" sz="1000" b="1" baseline="0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PENJUALAN BULANAN (RATUSAN RIBU)</a:t>
          </a:r>
          <a:endParaRPr lang="id-ID" sz="1000" b="1">
            <a:solidFill>
              <a:schemeClr val="accent4">
                <a:lumMod val="20000"/>
                <a:lumOff val="8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 editAs="absolute">
    <xdr:from>
      <xdr:col>14</xdr:col>
      <xdr:colOff>19049</xdr:colOff>
      <xdr:row>18</xdr:row>
      <xdr:rowOff>76200</xdr:rowOff>
    </xdr:from>
    <xdr:to>
      <xdr:col>20</xdr:col>
      <xdr:colOff>9524</xdr:colOff>
      <xdr:row>27</xdr:row>
      <xdr:rowOff>57150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10991849" y="3648075"/>
          <a:ext cx="3648075" cy="170497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14</xdr:col>
      <xdr:colOff>97575</xdr:colOff>
      <xdr:row>18</xdr:row>
      <xdr:rowOff>145200</xdr:rowOff>
    </xdr:from>
    <xdr:to>
      <xdr:col>14</xdr:col>
      <xdr:colOff>371475</xdr:colOff>
      <xdr:row>20</xdr:row>
      <xdr:rowOff>38100</xdr:rowOff>
    </xdr:to>
    <xdr:pic>
      <xdr:nvPicPr>
        <xdr:cNvPr id="65" name="Graphic 64" descr="Bar graph with upward trend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070375" y="3717075"/>
          <a:ext cx="273900" cy="273900"/>
        </a:xfrm>
        <a:prstGeom prst="rect">
          <a:avLst/>
        </a:prstGeom>
      </xdr:spPr>
    </xdr:pic>
    <xdr:clientData/>
  </xdr:twoCellAnchor>
  <xdr:oneCellAnchor>
    <xdr:from>
      <xdr:col>14</xdr:col>
      <xdr:colOff>342900</xdr:colOff>
      <xdr:row>18</xdr:row>
      <xdr:rowOff>133350</xdr:rowOff>
    </xdr:from>
    <xdr:ext cx="1830566" cy="261482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11315700" y="3705225"/>
          <a:ext cx="1830566" cy="2614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GRAFIK PENJUALAN MINGGUAN</a:t>
          </a:r>
          <a:endParaRPr lang="id-ID" sz="1000" b="1">
            <a:solidFill>
              <a:schemeClr val="accent4">
                <a:lumMod val="20000"/>
                <a:lumOff val="8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 editAs="absolute">
    <xdr:from>
      <xdr:col>14</xdr:col>
      <xdr:colOff>9523</xdr:colOff>
      <xdr:row>27</xdr:row>
      <xdr:rowOff>133351</xdr:rowOff>
    </xdr:from>
    <xdr:to>
      <xdr:col>20</xdr:col>
      <xdr:colOff>9524</xdr:colOff>
      <xdr:row>33</xdr:row>
      <xdr:rowOff>38100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2544423" y="5429251"/>
          <a:ext cx="4171951" cy="1057274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14</xdr:col>
      <xdr:colOff>142875</xdr:colOff>
      <xdr:row>28</xdr:row>
      <xdr:rowOff>97575</xdr:rowOff>
    </xdr:from>
    <xdr:to>
      <xdr:col>16</xdr:col>
      <xdr:colOff>523875</xdr:colOff>
      <xdr:row>32</xdr:row>
      <xdr:rowOff>9525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1115675" y="5583975"/>
          <a:ext cx="1600200" cy="673950"/>
          <a:chOff x="11106150" y="5498250"/>
          <a:chExt cx="1600200" cy="673950"/>
        </a:xfrm>
      </xdr:grpSpPr>
      <xdr:pic>
        <xdr:nvPicPr>
          <xdr:cNvPr id="28" name="Graphic 27" descr="Money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REKAPITULASI!D19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11106150" y="5857875"/>
            <a:ext cx="1600200" cy="314325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52A0F1A6-DAD9-4C65-8DE4-BA58765DD642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Roboto Condensed"/>
                <a:cs typeface="Calibri"/>
              </a:rPr>
              <a:t> Rp140.000 </a:t>
            </a:fld>
            <a:endParaRPr lang="en-US" b="1">
              <a:solidFill>
                <a:schemeClr val="tx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11344275" y="5505450"/>
            <a:ext cx="1171603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17</xdr:col>
      <xdr:colOff>76199</xdr:colOff>
      <xdr:row>28</xdr:row>
      <xdr:rowOff>95250</xdr:rowOff>
    </xdr:from>
    <xdr:to>
      <xdr:col>19</xdr:col>
      <xdr:colOff>511859</xdr:colOff>
      <xdr:row>32</xdr:row>
      <xdr:rowOff>7200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12877799" y="5581650"/>
          <a:ext cx="1654860" cy="673950"/>
          <a:chOff x="12925424" y="5524500"/>
          <a:chExt cx="1654860" cy="673950"/>
        </a:xfrm>
      </xdr:grpSpPr>
      <xdr:pic>
        <xdr:nvPicPr>
          <xdr:cNvPr id="69" name="Graphic 68" descr="Money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REKAPITULASI!I15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12925424" y="5884125"/>
            <a:ext cx="1590675" cy="314325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4540D2FB-A387-4D04-9A0B-03E888381763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Roboto Condensed" panose="02000000000000000000" pitchFamily="2" charset="0"/>
                <a:cs typeface="Calibri"/>
              </a:rPr>
              <a:t> Rp140.000 </a:t>
            </a:fld>
            <a:endParaRPr lang="en-US" sz="1200" b="1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 txBox="1"/>
        </xdr:nvSpPr>
        <xdr:spPr>
          <a:xfrm>
            <a:off x="13163550" y="5531700"/>
            <a:ext cx="1416734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76200</xdr:colOff>
      <xdr:row>9</xdr:row>
      <xdr:rowOff>28575</xdr:rowOff>
    </xdr:from>
    <xdr:to>
      <xdr:col>1</xdr:col>
      <xdr:colOff>981075</xdr:colOff>
      <xdr:row>11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67CC139-BFFB-4A1A-A1C9-DE6B1AAE44E5}"/>
            </a:ext>
          </a:extLst>
        </xdr:cNvPr>
        <xdr:cNvGrpSpPr/>
      </xdr:nvGrpSpPr>
      <xdr:grpSpPr>
        <a:xfrm>
          <a:off x="76200" y="1885950"/>
          <a:ext cx="1962150" cy="400050"/>
          <a:chOff x="76200" y="1885950"/>
          <a:chExt cx="1962150" cy="400050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76200" y="1885950"/>
            <a:ext cx="1962150" cy="400050"/>
            <a:chOff x="76200" y="1714500"/>
            <a:chExt cx="2114550" cy="342900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714500"/>
              <a:ext cx="2114550" cy="342900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 macro="[0]!BukaBarang">
          <xdr:nvPicPr>
            <xdr:cNvPr id="6" name="Graphic 5" descr="Shopping cart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71450" y="1752600"/>
              <a:ext cx="273900" cy="245325"/>
            </a:xfrm>
            <a:prstGeom prst="rect">
              <a:avLst/>
            </a:prstGeom>
          </xdr:spPr>
        </xdr:pic>
      </xdr:grpSp>
      <xdr:sp macro="[0]!BukaBarang" textlink="">
        <xdr:nvSpPr>
          <xdr:cNvPr id="8" name="TextBox 7">
            <a:extLst>
              <a:ext uri="{FF2B5EF4-FFF2-40B4-BE49-F238E27FC236}">
                <a16:creationId xmlns:a16="http://schemas.microsoft.com/office/drawing/2014/main" id="{5EBF6B0E-3A16-439A-9E89-E0E60CDE9FDD}"/>
              </a:ext>
            </a:extLst>
          </xdr:cNvPr>
          <xdr:cNvSpPr txBox="1"/>
        </xdr:nvSpPr>
        <xdr:spPr>
          <a:xfrm>
            <a:off x="647700" y="1943100"/>
            <a:ext cx="921278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Data Barang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12</xdr:row>
      <xdr:rowOff>114300</xdr:rowOff>
    </xdr:from>
    <xdr:to>
      <xdr:col>1</xdr:col>
      <xdr:colOff>981075</xdr:colOff>
      <xdr:row>14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A7672B9-1D30-4568-A0CA-1FA5BE96F1E9}"/>
            </a:ext>
          </a:extLst>
        </xdr:cNvPr>
        <xdr:cNvGrpSpPr/>
      </xdr:nvGrpSpPr>
      <xdr:grpSpPr>
        <a:xfrm>
          <a:off x="76200" y="2543175"/>
          <a:ext cx="1962150" cy="400050"/>
          <a:chOff x="76200" y="2543175"/>
          <a:chExt cx="1962150" cy="400050"/>
        </a:xfrm>
      </xdr:grpSpPr>
      <xdr:sp macro="[0]!LaporanPenjualan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6200" y="2543175"/>
            <a:ext cx="1962150" cy="400050"/>
          </a:xfrm>
          <a:prstGeom prst="rect">
            <a:avLst/>
          </a:prstGeom>
          <a:solidFill>
            <a:schemeClr val="accent4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LaporanPenjualan">
        <xdr:nvPicPr>
          <xdr:cNvPr id="9" name="Graphic 8" descr="Upward trend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69050" y="2588400"/>
            <a:ext cx="273900" cy="273900"/>
          </a:xfrm>
          <a:prstGeom prst="rect">
            <a:avLst/>
          </a:prstGeom>
        </xdr:spPr>
      </xdr:pic>
      <xdr:sp macro="[0]!LaporanPenjualan" textlink="">
        <xdr:nvSpPr>
          <xdr:cNvPr id="57" name="TextBox 56">
            <a:extLst>
              <a:ext uri="{FF2B5EF4-FFF2-40B4-BE49-F238E27FC236}">
                <a16:creationId xmlns:a16="http://schemas.microsoft.com/office/drawing/2014/main" id="{84399E7B-44D1-47F4-84E5-E95214609A70}"/>
              </a:ext>
            </a:extLst>
          </xdr:cNvPr>
          <xdr:cNvSpPr txBox="1"/>
        </xdr:nvSpPr>
        <xdr:spPr>
          <a:xfrm>
            <a:off x="666750" y="2600325"/>
            <a:ext cx="1303242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Laporan Penjualan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16</xdr:row>
      <xdr:rowOff>9525</xdr:rowOff>
    </xdr:from>
    <xdr:to>
      <xdr:col>1</xdr:col>
      <xdr:colOff>981075</xdr:colOff>
      <xdr:row>18</xdr:row>
      <xdr:rowOff>28575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CF02914E-9A82-45CB-B8DE-609C290575D6}"/>
            </a:ext>
          </a:extLst>
        </xdr:cNvPr>
        <xdr:cNvGrpSpPr/>
      </xdr:nvGrpSpPr>
      <xdr:grpSpPr>
        <a:xfrm>
          <a:off x="76200" y="3200400"/>
          <a:ext cx="1962150" cy="400050"/>
          <a:chOff x="76200" y="3200400"/>
          <a:chExt cx="1962150" cy="400050"/>
        </a:xfrm>
      </xdr:grpSpPr>
      <xdr:sp macro="[0]!SimpanFil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6200" y="3200400"/>
            <a:ext cx="1962150" cy="400050"/>
          </a:xfrm>
          <a:prstGeom prst="rect">
            <a:avLst/>
          </a:prstGeom>
          <a:solidFill>
            <a:schemeClr val="accent4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SimpanFile">
        <xdr:nvPicPr>
          <xdr:cNvPr id="11" name="Graphic 10" descr="Disk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57125" y="3262275"/>
            <a:ext cx="273900" cy="273900"/>
          </a:xfrm>
          <a:prstGeom prst="rect">
            <a:avLst/>
          </a:prstGeom>
        </xdr:spPr>
      </xdr:pic>
      <xdr:sp macro="[0]!SimpanFile" textlink="">
        <xdr:nvSpPr>
          <xdr:cNvPr id="62" name="TextBox 61">
            <a:extLst>
              <a:ext uri="{FF2B5EF4-FFF2-40B4-BE49-F238E27FC236}">
                <a16:creationId xmlns:a16="http://schemas.microsoft.com/office/drawing/2014/main" id="{BDC7D30D-F6DB-438F-8A03-E23378BE293D}"/>
              </a:ext>
            </a:extLst>
          </xdr:cNvPr>
          <xdr:cNvSpPr txBox="1"/>
        </xdr:nvSpPr>
        <xdr:spPr>
          <a:xfrm>
            <a:off x="657225" y="3257550"/>
            <a:ext cx="1303242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Simpan Data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19</xdr:row>
      <xdr:rowOff>95250</xdr:rowOff>
    </xdr:from>
    <xdr:to>
      <xdr:col>1</xdr:col>
      <xdr:colOff>981075</xdr:colOff>
      <xdr:row>21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431E0A8D-A6DA-4E6F-9B3E-D60CF604CC24}"/>
            </a:ext>
          </a:extLst>
        </xdr:cNvPr>
        <xdr:cNvGrpSpPr/>
      </xdr:nvGrpSpPr>
      <xdr:grpSpPr>
        <a:xfrm>
          <a:off x="76200" y="3857625"/>
          <a:ext cx="1962150" cy="400050"/>
          <a:chOff x="76200" y="3857625"/>
          <a:chExt cx="1962150" cy="40005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6200" y="3857625"/>
            <a:ext cx="1962150" cy="400050"/>
          </a:xfrm>
          <a:prstGeom prst="rect">
            <a:avLst/>
          </a:prstGeom>
          <a:solidFill>
            <a:schemeClr val="accent4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3" name="Graphic 12" descr="Power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54725" y="3926625"/>
            <a:ext cx="273900" cy="273900"/>
          </a:xfrm>
          <a:prstGeom prst="rect">
            <a:avLst/>
          </a:prstGeom>
        </xdr:spPr>
      </xdr:pic>
      <xdr:sp macro="[0]!Keluar" textlink="">
        <xdr:nvSpPr>
          <xdr:cNvPr id="72" name="TextBox 71">
            <a:extLst>
              <a:ext uri="{FF2B5EF4-FFF2-40B4-BE49-F238E27FC236}">
                <a16:creationId xmlns:a16="http://schemas.microsoft.com/office/drawing/2014/main" id="{9AA80DD5-97FF-41F9-AAF5-A6F382B18034}"/>
              </a:ext>
            </a:extLst>
          </xdr:cNvPr>
          <xdr:cNvSpPr txBox="1"/>
        </xdr:nvSpPr>
        <xdr:spPr>
          <a:xfrm>
            <a:off x="666750" y="3895725"/>
            <a:ext cx="1303242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Keluar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441269</xdr:colOff>
      <xdr:row>2</xdr:row>
      <xdr:rowOff>13769</xdr:rowOff>
    </xdr:from>
    <xdr:to>
      <xdr:col>1</xdr:col>
      <xdr:colOff>495300</xdr:colOff>
      <xdr:row>7</xdr:row>
      <xdr:rowOff>143236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441269" y="410009"/>
          <a:ext cx="1143691" cy="1196267"/>
        </a:xfrm>
        <a:prstGeom prst="roundRect">
          <a:avLst>
            <a:gd name="adj" fmla="val 23615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14</xdr:col>
      <xdr:colOff>192641</xdr:colOff>
      <xdr:row>2</xdr:row>
      <xdr:rowOff>21405</xdr:rowOff>
    </xdr:from>
    <xdr:to>
      <xdr:col>19</xdr:col>
      <xdr:colOff>428089</xdr:colOff>
      <xdr:row>8</xdr:row>
      <xdr:rowOff>53511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3DD8CFC-1091-4A74-8732-87F218B43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14</xdr:col>
      <xdr:colOff>123701</xdr:colOff>
      <xdr:row>10</xdr:row>
      <xdr:rowOff>173181</xdr:rowOff>
    </xdr:from>
    <xdr:to>
      <xdr:col>19</xdr:col>
      <xdr:colOff>470064</xdr:colOff>
      <xdr:row>18</xdr:row>
      <xdr:rowOff>24740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D9CD0A9B-EFEC-45AD-A86E-E6612D1EE9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14</xdr:col>
      <xdr:colOff>93765</xdr:colOff>
      <xdr:row>20</xdr:row>
      <xdr:rowOff>86591</xdr:rowOff>
    </xdr:from>
    <xdr:to>
      <xdr:col>19</xdr:col>
      <xdr:colOff>494805</xdr:colOff>
      <xdr:row>26</xdr:row>
      <xdr:rowOff>185551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C5318C0A-5831-46DB-878F-5678441167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19"/>
  <sheetViews>
    <sheetView showGridLines="0" zoomScaleNormal="100" workbookViewId="0">
      <selection activeCell="F5" sqref="F5"/>
    </sheetView>
  </sheetViews>
  <sheetFormatPr defaultColWidth="9.140625" defaultRowHeight="15" x14ac:dyDescent="0.3"/>
  <cols>
    <col min="1" max="2" width="15.85546875" style="17" customWidth="1"/>
    <col min="3" max="3" width="2.5703125" style="5" customWidth="1"/>
    <col min="4" max="4" width="15.28515625" style="9" customWidth="1"/>
    <col min="5" max="5" width="14" style="70" customWidth="1"/>
    <col min="6" max="6" width="28" style="10" customWidth="1"/>
    <col min="7" max="7" width="10.28515625" style="11" customWidth="1"/>
    <col min="8" max="8" width="13.85546875" style="71" customWidth="1"/>
    <col min="9" max="9" width="5.85546875" style="77" customWidth="1"/>
    <col min="10" max="10" width="5.85546875" style="68" customWidth="1"/>
    <col min="11" max="11" width="8.42578125" style="68" customWidth="1"/>
    <col min="12" max="12" width="10.42578125" style="5" customWidth="1"/>
    <col min="13" max="13" width="15.85546875" style="5" customWidth="1"/>
    <col min="14" max="14" width="2.42578125" style="5" customWidth="1"/>
    <col min="15" max="16384" width="9.140625" style="5"/>
  </cols>
  <sheetData>
    <row r="1" spans="1:13" ht="15.75" thickBot="1" x14ac:dyDescent="0.35">
      <c r="A1" s="118"/>
      <c r="B1" s="118"/>
      <c r="D1" s="4"/>
      <c r="E1" s="4"/>
      <c r="F1" s="4"/>
      <c r="G1" s="4"/>
      <c r="H1" s="4"/>
      <c r="I1" s="73"/>
      <c r="J1" s="4"/>
      <c r="K1" s="61"/>
      <c r="L1" s="61"/>
      <c r="M1" s="61"/>
    </row>
    <row r="2" spans="1:13" ht="15.75" thickTop="1" x14ac:dyDescent="0.3">
      <c r="A2" s="118"/>
      <c r="B2" s="118"/>
      <c r="D2" s="25" t="s">
        <v>17</v>
      </c>
      <c r="E2" s="26" t="s">
        <v>18</v>
      </c>
      <c r="F2" s="27" t="s">
        <v>19</v>
      </c>
      <c r="G2" s="103" t="s">
        <v>20</v>
      </c>
      <c r="H2" s="103"/>
      <c r="I2" s="74"/>
      <c r="J2" s="27" t="s">
        <v>21</v>
      </c>
      <c r="K2" s="64"/>
      <c r="L2" s="67"/>
      <c r="M2" s="27" t="s">
        <v>22</v>
      </c>
    </row>
    <row r="3" spans="1:13" ht="18" customHeight="1" thickBot="1" x14ac:dyDescent="0.35">
      <c r="A3" s="118"/>
      <c r="B3" s="118"/>
      <c r="D3" s="65">
        <f>SUM($J$8:$J$90)</f>
        <v>0</v>
      </c>
      <c r="E3" s="66">
        <f>SUM($M$8:$M$90)</f>
        <v>0</v>
      </c>
      <c r="F3" s="47">
        <f>SUM($L$8:$L$90)</f>
        <v>0</v>
      </c>
      <c r="G3" s="104">
        <f>E3-F3</f>
        <v>0</v>
      </c>
      <c r="H3" s="104"/>
      <c r="I3" s="75"/>
      <c r="J3" s="104"/>
      <c r="K3" s="104"/>
      <c r="L3" s="104"/>
      <c r="M3" s="47">
        <f>J3-G3</f>
        <v>0</v>
      </c>
    </row>
    <row r="4" spans="1:13" ht="14.25" customHeight="1" thickTop="1" thickBot="1" x14ac:dyDescent="0.35">
      <c r="A4" s="118"/>
      <c r="B4" s="118"/>
      <c r="D4" s="61"/>
      <c r="E4" s="62"/>
      <c r="F4" s="60"/>
      <c r="G4" s="63"/>
      <c r="H4" s="18"/>
      <c r="I4" s="19"/>
      <c r="J4" s="60"/>
      <c r="K4" s="60"/>
    </row>
    <row r="5" spans="1:13" ht="22.5" customHeight="1" thickBot="1" x14ac:dyDescent="0.35">
      <c r="A5" s="118"/>
      <c r="B5" s="118"/>
      <c r="E5" s="78" t="s">
        <v>0</v>
      </c>
      <c r="F5" s="59"/>
      <c r="G5" s="18"/>
      <c r="H5" s="18"/>
      <c r="I5" s="19"/>
      <c r="J5" s="20"/>
      <c r="K5" s="20"/>
    </row>
    <row r="6" spans="1:13" x14ac:dyDescent="0.3">
      <c r="A6" s="118"/>
      <c r="B6" s="118"/>
      <c r="D6" s="4"/>
      <c r="E6" s="5"/>
      <c r="F6" s="6"/>
      <c r="G6" s="7"/>
      <c r="H6" s="8"/>
      <c r="I6" s="76"/>
      <c r="J6" s="6"/>
      <c r="K6" s="6"/>
    </row>
    <row r="7" spans="1:13" x14ac:dyDescent="0.3">
      <c r="D7" s="12" t="s">
        <v>1</v>
      </c>
      <c r="E7" s="12" t="s">
        <v>28</v>
      </c>
      <c r="F7" s="12" t="s">
        <v>2</v>
      </c>
      <c r="G7" s="72" t="s">
        <v>13</v>
      </c>
      <c r="H7" s="12" t="s">
        <v>3</v>
      </c>
      <c r="I7" s="72" t="s">
        <v>5</v>
      </c>
      <c r="J7" s="72" t="s">
        <v>4</v>
      </c>
      <c r="K7" s="12" t="s">
        <v>15</v>
      </c>
      <c r="L7" s="12" t="s">
        <v>16</v>
      </c>
      <c r="M7" s="12" t="s">
        <v>6</v>
      </c>
    </row>
    <row r="8" spans="1:13" x14ac:dyDescent="0.3">
      <c r="E8" s="69"/>
      <c r="K8" s="79"/>
      <c r="L8" s="10" t="str">
        <f>IF(D8="","",K8*H8*J8)</f>
        <v/>
      </c>
      <c r="M8" s="10" t="str">
        <f>IF(D8="","",IF(AND(G8="",L8=""),H8*J8,H8*J8-L8))</f>
        <v/>
      </c>
    </row>
    <row r="9" spans="1:13" x14ac:dyDescent="0.3">
      <c r="E9" s="69"/>
      <c r="K9" s="79"/>
      <c r="L9" s="10" t="str">
        <f t="shared" ref="L9:L35" si="0">IF(D9="","",K9*H9*J9)</f>
        <v/>
      </c>
      <c r="M9" s="10" t="str">
        <f t="shared" ref="M9:M35" si="1">IF(D9="","",IF(AND(G9="",L9=""),H9*J9,H9*J9-L9))</f>
        <v/>
      </c>
    </row>
    <row r="10" spans="1:13" x14ac:dyDescent="0.3">
      <c r="E10" s="69"/>
      <c r="K10" s="79"/>
      <c r="L10" s="10" t="str">
        <f t="shared" si="0"/>
        <v/>
      </c>
      <c r="M10" s="10" t="str">
        <f t="shared" si="1"/>
        <v/>
      </c>
    </row>
    <row r="11" spans="1:13" x14ac:dyDescent="0.3">
      <c r="E11" s="69"/>
      <c r="K11" s="79"/>
      <c r="L11" s="10" t="str">
        <f t="shared" si="0"/>
        <v/>
      </c>
      <c r="M11" s="10" t="str">
        <f t="shared" si="1"/>
        <v/>
      </c>
    </row>
    <row r="12" spans="1:13" x14ac:dyDescent="0.3">
      <c r="E12" s="69"/>
      <c r="K12" s="79"/>
      <c r="L12" s="10" t="str">
        <f t="shared" si="0"/>
        <v/>
      </c>
      <c r="M12" s="10" t="str">
        <f t="shared" si="1"/>
        <v/>
      </c>
    </row>
    <row r="13" spans="1:13" x14ac:dyDescent="0.3">
      <c r="K13" s="79"/>
      <c r="L13" s="10" t="str">
        <f t="shared" si="0"/>
        <v/>
      </c>
      <c r="M13" s="10" t="str">
        <f t="shared" si="1"/>
        <v/>
      </c>
    </row>
    <row r="14" spans="1:13" x14ac:dyDescent="0.3">
      <c r="K14" s="79"/>
      <c r="L14" s="10" t="str">
        <f t="shared" si="0"/>
        <v/>
      </c>
      <c r="M14" s="10" t="str">
        <f t="shared" si="1"/>
        <v/>
      </c>
    </row>
    <row r="15" spans="1:13" x14ac:dyDescent="0.3">
      <c r="K15" s="79"/>
      <c r="L15" s="10" t="str">
        <f t="shared" si="0"/>
        <v/>
      </c>
      <c r="M15" s="10" t="str">
        <f t="shared" si="1"/>
        <v/>
      </c>
    </row>
    <row r="16" spans="1:13" x14ac:dyDescent="0.3">
      <c r="K16" s="79"/>
      <c r="L16" s="10" t="str">
        <f t="shared" si="0"/>
        <v/>
      </c>
      <c r="M16" s="10" t="str">
        <f t="shared" si="1"/>
        <v/>
      </c>
    </row>
    <row r="17" spans="1:13" x14ac:dyDescent="0.3">
      <c r="K17" s="79"/>
      <c r="L17" s="10" t="str">
        <f t="shared" si="0"/>
        <v/>
      </c>
      <c r="M17" s="10" t="str">
        <f t="shared" si="1"/>
        <v/>
      </c>
    </row>
    <row r="18" spans="1:13" x14ac:dyDescent="0.3">
      <c r="K18" s="79"/>
      <c r="L18" s="10" t="str">
        <f t="shared" si="0"/>
        <v/>
      </c>
      <c r="M18" s="10" t="str">
        <f t="shared" si="1"/>
        <v/>
      </c>
    </row>
    <row r="19" spans="1:13" x14ac:dyDescent="0.3">
      <c r="K19" s="79"/>
      <c r="L19" s="10" t="str">
        <f t="shared" si="0"/>
        <v/>
      </c>
      <c r="M19" s="10" t="str">
        <f t="shared" si="1"/>
        <v/>
      </c>
    </row>
    <row r="20" spans="1:13" x14ac:dyDescent="0.3">
      <c r="K20" s="79"/>
      <c r="L20" s="10" t="str">
        <f t="shared" si="0"/>
        <v/>
      </c>
      <c r="M20" s="10" t="str">
        <f t="shared" si="1"/>
        <v/>
      </c>
    </row>
    <row r="21" spans="1:13" x14ac:dyDescent="0.3">
      <c r="K21" s="79"/>
      <c r="L21" s="10" t="str">
        <f t="shared" si="0"/>
        <v/>
      </c>
      <c r="M21" s="10" t="str">
        <f t="shared" si="1"/>
        <v/>
      </c>
    </row>
    <row r="22" spans="1:13" x14ac:dyDescent="0.3">
      <c r="K22" s="79"/>
      <c r="L22" s="10" t="str">
        <f t="shared" si="0"/>
        <v/>
      </c>
      <c r="M22" s="10" t="str">
        <f t="shared" si="1"/>
        <v/>
      </c>
    </row>
    <row r="23" spans="1:13" x14ac:dyDescent="0.3">
      <c r="K23" s="79"/>
      <c r="L23" s="10" t="str">
        <f t="shared" si="0"/>
        <v/>
      </c>
      <c r="M23" s="10" t="str">
        <f t="shared" si="1"/>
        <v/>
      </c>
    </row>
    <row r="24" spans="1:13" x14ac:dyDescent="0.3">
      <c r="K24" s="79"/>
      <c r="L24" s="10" t="str">
        <f t="shared" si="0"/>
        <v/>
      </c>
      <c r="M24" s="10" t="str">
        <f t="shared" si="1"/>
        <v/>
      </c>
    </row>
    <row r="25" spans="1:13" ht="15.75" customHeight="1" thickBot="1" x14ac:dyDescent="0.35">
      <c r="A25" s="105" t="s">
        <v>23</v>
      </c>
      <c r="B25" s="105"/>
      <c r="K25" s="79"/>
      <c r="L25" s="10" t="str">
        <f t="shared" si="0"/>
        <v/>
      </c>
      <c r="M25" s="10" t="str">
        <f t="shared" si="1"/>
        <v/>
      </c>
    </row>
    <row r="26" spans="1:13" x14ac:dyDescent="0.3">
      <c r="A26" s="52"/>
      <c r="B26" s="51"/>
      <c r="K26" s="79"/>
      <c r="L26" s="10" t="str">
        <f t="shared" si="0"/>
        <v/>
      </c>
      <c r="M26" s="10" t="str">
        <f t="shared" si="1"/>
        <v/>
      </c>
    </row>
    <row r="27" spans="1:13" x14ac:dyDescent="0.3">
      <c r="A27" s="53">
        <f>IFERROR(INDEX($D$8:$D$43,$A$26),"")</f>
        <v>0</v>
      </c>
      <c r="B27" s="50"/>
      <c r="K27" s="79"/>
      <c r="L27" s="10" t="str">
        <f t="shared" si="0"/>
        <v/>
      </c>
      <c r="M27" s="10" t="str">
        <f t="shared" si="1"/>
        <v/>
      </c>
    </row>
    <row r="28" spans="1:13" x14ac:dyDescent="0.3">
      <c r="A28" s="53" t="str">
        <f>IFERROR(VLOOKUP($A$27,$D$8:$M$46,7,0),"")</f>
        <v/>
      </c>
      <c r="B28" s="50"/>
      <c r="K28" s="79"/>
      <c r="L28" s="10" t="str">
        <f t="shared" si="0"/>
        <v/>
      </c>
      <c r="M28" s="10" t="str">
        <f t="shared" si="1"/>
        <v/>
      </c>
    </row>
    <row r="29" spans="1:13" x14ac:dyDescent="0.3">
      <c r="A29" s="101"/>
      <c r="B29" s="102"/>
      <c r="C29" s="5" t="s">
        <v>49</v>
      </c>
      <c r="K29" s="79"/>
      <c r="L29" s="10" t="str">
        <f t="shared" si="0"/>
        <v/>
      </c>
      <c r="M29" s="10" t="str">
        <f t="shared" si="1"/>
        <v/>
      </c>
    </row>
    <row r="30" spans="1:13" x14ac:dyDescent="0.3">
      <c r="A30" s="21"/>
      <c r="B30" s="22"/>
      <c r="K30" s="79"/>
      <c r="L30" s="10" t="str">
        <f t="shared" si="0"/>
        <v/>
      </c>
      <c r="M30" s="10" t="str">
        <f t="shared" si="1"/>
        <v/>
      </c>
    </row>
    <row r="31" spans="1:13" x14ac:dyDescent="0.3">
      <c r="A31" s="58"/>
      <c r="B31" s="22"/>
      <c r="K31" s="79"/>
      <c r="L31" s="10" t="str">
        <f t="shared" si="0"/>
        <v/>
      </c>
      <c r="M31" s="10" t="str">
        <f t="shared" si="1"/>
        <v/>
      </c>
    </row>
    <row r="32" spans="1:13" x14ac:dyDescent="0.3">
      <c r="A32" s="21"/>
      <c r="B32" s="22"/>
      <c r="K32" s="79"/>
      <c r="L32" s="10" t="str">
        <f t="shared" si="0"/>
        <v/>
      </c>
      <c r="M32" s="10" t="str">
        <f t="shared" si="1"/>
        <v/>
      </c>
    </row>
    <row r="33" spans="1:13" ht="15.75" thickBot="1" x14ac:dyDescent="0.35">
      <c r="A33" s="23"/>
      <c r="B33" s="24"/>
      <c r="K33" s="79"/>
      <c r="L33" s="10" t="str">
        <f t="shared" si="0"/>
        <v/>
      </c>
      <c r="M33" s="10" t="str">
        <f t="shared" si="1"/>
        <v/>
      </c>
    </row>
    <row r="34" spans="1:13" x14ac:dyDescent="0.3">
      <c r="K34" s="79"/>
      <c r="L34" s="10" t="str">
        <f t="shared" si="0"/>
        <v/>
      </c>
      <c r="M34" s="10" t="str">
        <f t="shared" si="1"/>
        <v/>
      </c>
    </row>
    <row r="35" spans="1:13" x14ac:dyDescent="0.3">
      <c r="K35" s="79"/>
      <c r="L35" s="10" t="str">
        <f t="shared" si="0"/>
        <v/>
      </c>
      <c r="M35" s="10" t="str">
        <f t="shared" si="1"/>
        <v/>
      </c>
    </row>
    <row r="36" spans="1:13" x14ac:dyDescent="0.3">
      <c r="K36" s="79"/>
    </row>
    <row r="37" spans="1:13" x14ac:dyDescent="0.3">
      <c r="K37" s="79"/>
    </row>
    <row r="38" spans="1:13" x14ac:dyDescent="0.3">
      <c r="K38" s="79"/>
    </row>
    <row r="39" spans="1:13" x14ac:dyDescent="0.3">
      <c r="K39" s="79"/>
    </row>
    <row r="40" spans="1:13" x14ac:dyDescent="0.3">
      <c r="K40" s="79"/>
    </row>
    <row r="41" spans="1:13" x14ac:dyDescent="0.3">
      <c r="K41" s="79"/>
    </row>
    <row r="42" spans="1:13" x14ac:dyDescent="0.3">
      <c r="K42" s="79"/>
    </row>
    <row r="43" spans="1:13" x14ac:dyDescent="0.3">
      <c r="K43" s="79"/>
    </row>
    <row r="44" spans="1:13" x14ac:dyDescent="0.3">
      <c r="K44" s="79"/>
    </row>
    <row r="45" spans="1:13" x14ac:dyDescent="0.3">
      <c r="K45" s="79"/>
    </row>
    <row r="46" spans="1:13" x14ac:dyDescent="0.3">
      <c r="K46" s="79"/>
    </row>
    <row r="47" spans="1:13" x14ac:dyDescent="0.3">
      <c r="K47" s="79"/>
    </row>
    <row r="48" spans="1:13" x14ac:dyDescent="0.3">
      <c r="K48" s="79"/>
    </row>
    <row r="49" spans="11:11" x14ac:dyDescent="0.3">
      <c r="K49" s="79"/>
    </row>
    <row r="50" spans="11:11" x14ac:dyDescent="0.3">
      <c r="K50" s="79"/>
    </row>
    <row r="51" spans="11:11" x14ac:dyDescent="0.3">
      <c r="K51" s="79"/>
    </row>
    <row r="52" spans="11:11" x14ac:dyDescent="0.3">
      <c r="K52" s="79"/>
    </row>
    <row r="53" spans="11:11" x14ac:dyDescent="0.3">
      <c r="K53" s="79"/>
    </row>
    <row r="54" spans="11:11" x14ac:dyDescent="0.3">
      <c r="K54" s="79"/>
    </row>
    <row r="55" spans="11:11" x14ac:dyDescent="0.3">
      <c r="K55" s="79"/>
    </row>
    <row r="56" spans="11:11" x14ac:dyDescent="0.3">
      <c r="K56" s="79"/>
    </row>
    <row r="57" spans="11:11" x14ac:dyDescent="0.3">
      <c r="K57" s="79"/>
    </row>
    <row r="58" spans="11:11" x14ac:dyDescent="0.3">
      <c r="K58" s="79"/>
    </row>
    <row r="59" spans="11:11" x14ac:dyDescent="0.3">
      <c r="K59" s="79"/>
    </row>
    <row r="60" spans="11:11" x14ac:dyDescent="0.3">
      <c r="K60" s="79"/>
    </row>
    <row r="61" spans="11:11" x14ac:dyDescent="0.3">
      <c r="K61" s="79"/>
    </row>
    <row r="62" spans="11:11" x14ac:dyDescent="0.3">
      <c r="K62" s="79"/>
    </row>
    <row r="63" spans="11:11" x14ac:dyDescent="0.3">
      <c r="K63" s="79"/>
    </row>
    <row r="64" spans="11:11" x14ac:dyDescent="0.3">
      <c r="K64" s="79"/>
    </row>
    <row r="65" spans="11:11" x14ac:dyDescent="0.3">
      <c r="K65" s="79"/>
    </row>
    <row r="66" spans="11:11" x14ac:dyDescent="0.3">
      <c r="K66" s="79"/>
    </row>
    <row r="67" spans="11:11" x14ac:dyDescent="0.3">
      <c r="K67" s="79"/>
    </row>
    <row r="68" spans="11:11" x14ac:dyDescent="0.3">
      <c r="K68" s="79"/>
    </row>
    <row r="69" spans="11:11" x14ac:dyDescent="0.3">
      <c r="K69" s="79"/>
    </row>
    <row r="70" spans="11:11" x14ac:dyDescent="0.3">
      <c r="K70" s="79"/>
    </row>
    <row r="71" spans="11:11" x14ac:dyDescent="0.3">
      <c r="K71" s="79"/>
    </row>
    <row r="72" spans="11:11" x14ac:dyDescent="0.3">
      <c r="K72" s="79"/>
    </row>
    <row r="73" spans="11:11" x14ac:dyDescent="0.3">
      <c r="K73" s="79"/>
    </row>
    <row r="74" spans="11:11" x14ac:dyDescent="0.3">
      <c r="K74" s="79"/>
    </row>
    <row r="75" spans="11:11" x14ac:dyDescent="0.3">
      <c r="K75" s="79"/>
    </row>
    <row r="76" spans="11:11" x14ac:dyDescent="0.3">
      <c r="K76" s="79"/>
    </row>
    <row r="77" spans="11:11" x14ac:dyDescent="0.3">
      <c r="K77" s="79"/>
    </row>
    <row r="78" spans="11:11" x14ac:dyDescent="0.3">
      <c r="K78" s="79"/>
    </row>
    <row r="79" spans="11:11" x14ac:dyDescent="0.3">
      <c r="K79" s="79"/>
    </row>
    <row r="80" spans="11:11" x14ac:dyDescent="0.3">
      <c r="K80" s="79"/>
    </row>
    <row r="81" spans="11:11" x14ac:dyDescent="0.3">
      <c r="K81" s="79"/>
    </row>
    <row r="82" spans="11:11" x14ac:dyDescent="0.3">
      <c r="K82" s="79"/>
    </row>
    <row r="83" spans="11:11" x14ac:dyDescent="0.3">
      <c r="K83" s="79"/>
    </row>
    <row r="84" spans="11:11" x14ac:dyDescent="0.3">
      <c r="K84" s="79"/>
    </row>
    <row r="85" spans="11:11" x14ac:dyDescent="0.3">
      <c r="K85" s="79"/>
    </row>
    <row r="86" spans="11:11" x14ac:dyDescent="0.3">
      <c r="K86" s="79"/>
    </row>
    <row r="87" spans="11:11" x14ac:dyDescent="0.3">
      <c r="K87" s="79"/>
    </row>
    <row r="88" spans="11:11" x14ac:dyDescent="0.3">
      <c r="K88" s="79"/>
    </row>
    <row r="89" spans="11:11" x14ac:dyDescent="0.3">
      <c r="K89" s="79"/>
    </row>
    <row r="90" spans="11:11" x14ac:dyDescent="0.3">
      <c r="K90" s="79"/>
    </row>
    <row r="91" spans="11:11" x14ac:dyDescent="0.3">
      <c r="K91" s="79"/>
    </row>
    <row r="92" spans="11:11" x14ac:dyDescent="0.3">
      <c r="K92" s="79"/>
    </row>
    <row r="93" spans="11:11" x14ac:dyDescent="0.3">
      <c r="K93" s="79"/>
    </row>
    <row r="94" spans="11:11" x14ac:dyDescent="0.3">
      <c r="K94" s="79"/>
    </row>
    <row r="95" spans="11:11" x14ac:dyDescent="0.3">
      <c r="K95" s="79"/>
    </row>
    <row r="96" spans="11:11" x14ac:dyDescent="0.3">
      <c r="K96" s="79"/>
    </row>
    <row r="97" spans="11:11" x14ac:dyDescent="0.3">
      <c r="K97" s="79"/>
    </row>
    <row r="98" spans="11:11" x14ac:dyDescent="0.3">
      <c r="K98" s="79"/>
    </row>
    <row r="99" spans="11:11" x14ac:dyDescent="0.3">
      <c r="K99" s="79"/>
    </row>
    <row r="100" spans="11:11" x14ac:dyDescent="0.3">
      <c r="K100" s="79"/>
    </row>
    <row r="101" spans="11:11" x14ac:dyDescent="0.3">
      <c r="K101" s="79"/>
    </row>
    <row r="102" spans="11:11" x14ac:dyDescent="0.3">
      <c r="K102" s="79"/>
    </row>
    <row r="103" spans="11:11" x14ac:dyDescent="0.3">
      <c r="K103" s="79"/>
    </row>
    <row r="104" spans="11:11" x14ac:dyDescent="0.3">
      <c r="K104" s="79"/>
    </row>
    <row r="105" spans="11:11" x14ac:dyDescent="0.3">
      <c r="K105" s="79"/>
    </row>
    <row r="106" spans="11:11" x14ac:dyDescent="0.3">
      <c r="K106" s="79"/>
    </row>
    <row r="107" spans="11:11" x14ac:dyDescent="0.3">
      <c r="K107" s="79"/>
    </row>
    <row r="108" spans="11:11" x14ac:dyDescent="0.3">
      <c r="K108" s="79"/>
    </row>
    <row r="109" spans="11:11" x14ac:dyDescent="0.3">
      <c r="K109" s="79"/>
    </row>
    <row r="110" spans="11:11" x14ac:dyDescent="0.3">
      <c r="K110" s="79"/>
    </row>
    <row r="111" spans="11:11" x14ac:dyDescent="0.3">
      <c r="K111" s="79"/>
    </row>
    <row r="112" spans="11:11" x14ac:dyDescent="0.3">
      <c r="K112" s="79"/>
    </row>
    <row r="113" spans="11:11" x14ac:dyDescent="0.3">
      <c r="K113" s="79"/>
    </row>
    <row r="114" spans="11:11" x14ac:dyDescent="0.3">
      <c r="K114" s="79"/>
    </row>
    <row r="115" spans="11:11" x14ac:dyDescent="0.3">
      <c r="K115" s="79"/>
    </row>
    <row r="116" spans="11:11" x14ac:dyDescent="0.3">
      <c r="K116" s="79"/>
    </row>
    <row r="117" spans="11:11" x14ac:dyDescent="0.3">
      <c r="K117" s="79"/>
    </row>
    <row r="118" spans="11:11" x14ac:dyDescent="0.3">
      <c r="K118" s="79"/>
    </row>
    <row r="119" spans="11:11" x14ac:dyDescent="0.3">
      <c r="K119" s="79"/>
    </row>
    <row r="120" spans="11:11" x14ac:dyDescent="0.3">
      <c r="K120" s="79"/>
    </row>
    <row r="121" spans="11:11" x14ac:dyDescent="0.3">
      <c r="K121" s="79"/>
    </row>
    <row r="122" spans="11:11" x14ac:dyDescent="0.3">
      <c r="K122" s="79"/>
    </row>
    <row r="123" spans="11:11" x14ac:dyDescent="0.3">
      <c r="K123" s="79"/>
    </row>
    <row r="124" spans="11:11" x14ac:dyDescent="0.3">
      <c r="K124" s="79"/>
    </row>
    <row r="125" spans="11:11" x14ac:dyDescent="0.3">
      <c r="K125" s="79"/>
    </row>
    <row r="126" spans="11:11" x14ac:dyDescent="0.3">
      <c r="K126" s="79"/>
    </row>
    <row r="127" spans="11:11" x14ac:dyDescent="0.3">
      <c r="K127" s="79"/>
    </row>
    <row r="128" spans="11:11" x14ac:dyDescent="0.3">
      <c r="K128" s="79"/>
    </row>
    <row r="129" spans="11:11" x14ac:dyDescent="0.3">
      <c r="K129" s="79"/>
    </row>
    <row r="130" spans="11:11" x14ac:dyDescent="0.3">
      <c r="K130" s="79"/>
    </row>
    <row r="131" spans="11:11" x14ac:dyDescent="0.3">
      <c r="K131" s="79"/>
    </row>
    <row r="132" spans="11:11" x14ac:dyDescent="0.3">
      <c r="K132" s="79"/>
    </row>
    <row r="133" spans="11:11" x14ac:dyDescent="0.3">
      <c r="K133" s="79"/>
    </row>
    <row r="134" spans="11:11" x14ac:dyDescent="0.3">
      <c r="K134" s="79"/>
    </row>
    <row r="135" spans="11:11" x14ac:dyDescent="0.3">
      <c r="K135" s="79"/>
    </row>
    <row r="136" spans="11:11" x14ac:dyDescent="0.3">
      <c r="K136" s="79"/>
    </row>
    <row r="137" spans="11:11" x14ac:dyDescent="0.3">
      <c r="K137" s="79"/>
    </row>
    <row r="138" spans="11:11" x14ac:dyDescent="0.3">
      <c r="K138" s="79"/>
    </row>
    <row r="139" spans="11:11" x14ac:dyDescent="0.3">
      <c r="K139" s="79"/>
    </row>
    <row r="140" spans="11:11" x14ac:dyDescent="0.3">
      <c r="K140" s="79"/>
    </row>
    <row r="141" spans="11:11" x14ac:dyDescent="0.3">
      <c r="K141" s="79"/>
    </row>
    <row r="142" spans="11:11" x14ac:dyDescent="0.3">
      <c r="K142" s="79"/>
    </row>
    <row r="143" spans="11:11" x14ac:dyDescent="0.3">
      <c r="K143" s="79"/>
    </row>
    <row r="144" spans="11:11" x14ac:dyDescent="0.3">
      <c r="K144" s="79"/>
    </row>
    <row r="145" spans="11:11" x14ac:dyDescent="0.3">
      <c r="K145" s="79"/>
    </row>
    <row r="146" spans="11:11" x14ac:dyDescent="0.3">
      <c r="K146" s="79"/>
    </row>
    <row r="147" spans="11:11" x14ac:dyDescent="0.3">
      <c r="K147" s="79"/>
    </row>
    <row r="148" spans="11:11" x14ac:dyDescent="0.3">
      <c r="K148" s="79"/>
    </row>
    <row r="149" spans="11:11" x14ac:dyDescent="0.3">
      <c r="K149" s="79"/>
    </row>
    <row r="150" spans="11:11" x14ac:dyDescent="0.3">
      <c r="K150" s="79"/>
    </row>
    <row r="151" spans="11:11" x14ac:dyDescent="0.3">
      <c r="K151" s="79"/>
    </row>
    <row r="152" spans="11:11" x14ac:dyDescent="0.3">
      <c r="K152" s="79"/>
    </row>
    <row r="153" spans="11:11" x14ac:dyDescent="0.3">
      <c r="K153" s="79"/>
    </row>
    <row r="154" spans="11:11" x14ac:dyDescent="0.3">
      <c r="K154" s="79"/>
    </row>
    <row r="155" spans="11:11" x14ac:dyDescent="0.3">
      <c r="K155" s="79"/>
    </row>
    <row r="156" spans="11:11" x14ac:dyDescent="0.3">
      <c r="K156" s="79"/>
    </row>
    <row r="157" spans="11:11" x14ac:dyDescent="0.3">
      <c r="K157" s="79"/>
    </row>
    <row r="158" spans="11:11" x14ac:dyDescent="0.3">
      <c r="K158" s="79"/>
    </row>
    <row r="159" spans="11:11" x14ac:dyDescent="0.3">
      <c r="K159" s="79"/>
    </row>
    <row r="160" spans="11:11" x14ac:dyDescent="0.3">
      <c r="K160" s="79"/>
    </row>
    <row r="161" spans="11:11" x14ac:dyDescent="0.3">
      <c r="K161" s="79"/>
    </row>
    <row r="162" spans="11:11" x14ac:dyDescent="0.3">
      <c r="K162" s="79"/>
    </row>
    <row r="163" spans="11:11" x14ac:dyDescent="0.3">
      <c r="K163" s="79"/>
    </row>
    <row r="164" spans="11:11" x14ac:dyDescent="0.3">
      <c r="K164" s="79"/>
    </row>
    <row r="165" spans="11:11" x14ac:dyDescent="0.3">
      <c r="K165" s="79"/>
    </row>
    <row r="166" spans="11:11" x14ac:dyDescent="0.3">
      <c r="K166" s="79"/>
    </row>
    <row r="167" spans="11:11" x14ac:dyDescent="0.3">
      <c r="K167" s="79"/>
    </row>
    <row r="168" spans="11:11" x14ac:dyDescent="0.3">
      <c r="K168" s="79"/>
    </row>
    <row r="169" spans="11:11" x14ac:dyDescent="0.3">
      <c r="K169" s="79"/>
    </row>
    <row r="170" spans="11:11" x14ac:dyDescent="0.3">
      <c r="K170" s="79"/>
    </row>
    <row r="171" spans="11:11" x14ac:dyDescent="0.3">
      <c r="K171" s="79"/>
    </row>
    <row r="172" spans="11:11" x14ac:dyDescent="0.3">
      <c r="K172" s="79"/>
    </row>
    <row r="173" spans="11:11" x14ac:dyDescent="0.3">
      <c r="K173" s="79"/>
    </row>
    <row r="174" spans="11:11" x14ac:dyDescent="0.3">
      <c r="K174" s="79"/>
    </row>
    <row r="175" spans="11:11" x14ac:dyDescent="0.3">
      <c r="K175" s="79"/>
    </row>
    <row r="176" spans="11:11" x14ac:dyDescent="0.3">
      <c r="K176" s="79"/>
    </row>
    <row r="177" spans="11:11" x14ac:dyDescent="0.3">
      <c r="K177" s="79"/>
    </row>
    <row r="178" spans="11:11" x14ac:dyDescent="0.3">
      <c r="K178" s="79"/>
    </row>
    <row r="179" spans="11:11" x14ac:dyDescent="0.3">
      <c r="K179" s="79"/>
    </row>
    <row r="180" spans="11:11" x14ac:dyDescent="0.3">
      <c r="K180" s="79"/>
    </row>
    <row r="181" spans="11:11" x14ac:dyDescent="0.3">
      <c r="K181" s="79"/>
    </row>
    <row r="182" spans="11:11" x14ac:dyDescent="0.3">
      <c r="K182" s="79"/>
    </row>
    <row r="183" spans="11:11" x14ac:dyDescent="0.3">
      <c r="K183" s="79"/>
    </row>
    <row r="184" spans="11:11" x14ac:dyDescent="0.3">
      <c r="K184" s="79"/>
    </row>
    <row r="185" spans="11:11" x14ac:dyDescent="0.3">
      <c r="K185" s="79"/>
    </row>
    <row r="186" spans="11:11" x14ac:dyDescent="0.3">
      <c r="K186" s="79"/>
    </row>
    <row r="187" spans="11:11" x14ac:dyDescent="0.3">
      <c r="K187" s="79"/>
    </row>
    <row r="188" spans="11:11" x14ac:dyDescent="0.3">
      <c r="K188" s="79"/>
    </row>
    <row r="189" spans="11:11" x14ac:dyDescent="0.3">
      <c r="K189" s="79"/>
    </row>
    <row r="190" spans="11:11" x14ac:dyDescent="0.3">
      <c r="K190" s="79"/>
    </row>
    <row r="191" spans="11:11" x14ac:dyDescent="0.3">
      <c r="K191" s="79"/>
    </row>
    <row r="192" spans="11:11" x14ac:dyDescent="0.3">
      <c r="K192" s="79"/>
    </row>
    <row r="193" spans="11:11" x14ac:dyDescent="0.3">
      <c r="K193" s="79"/>
    </row>
    <row r="194" spans="11:11" x14ac:dyDescent="0.3">
      <c r="K194" s="79"/>
    </row>
    <row r="195" spans="11:11" x14ac:dyDescent="0.3">
      <c r="K195" s="79"/>
    </row>
    <row r="196" spans="11:11" x14ac:dyDescent="0.3">
      <c r="K196" s="79"/>
    </row>
    <row r="197" spans="11:11" x14ac:dyDescent="0.3">
      <c r="K197" s="79"/>
    </row>
    <row r="198" spans="11:11" x14ac:dyDescent="0.3">
      <c r="K198" s="79"/>
    </row>
    <row r="199" spans="11:11" x14ac:dyDescent="0.3">
      <c r="K199" s="79"/>
    </row>
    <row r="200" spans="11:11" x14ac:dyDescent="0.3">
      <c r="K200" s="79"/>
    </row>
    <row r="201" spans="11:11" x14ac:dyDescent="0.3">
      <c r="K201" s="79"/>
    </row>
    <row r="202" spans="11:11" x14ac:dyDescent="0.3">
      <c r="K202" s="79"/>
    </row>
    <row r="203" spans="11:11" x14ac:dyDescent="0.3">
      <c r="K203" s="79"/>
    </row>
    <row r="204" spans="11:11" x14ac:dyDescent="0.3">
      <c r="K204" s="79"/>
    </row>
    <row r="205" spans="11:11" x14ac:dyDescent="0.3">
      <c r="K205" s="79"/>
    </row>
    <row r="206" spans="11:11" x14ac:dyDescent="0.3">
      <c r="K206" s="79"/>
    </row>
    <row r="207" spans="11:11" x14ac:dyDescent="0.3">
      <c r="K207" s="79"/>
    </row>
    <row r="208" spans="11:11" x14ac:dyDescent="0.3">
      <c r="K208" s="79"/>
    </row>
    <row r="209" spans="11:11" x14ac:dyDescent="0.3">
      <c r="K209" s="79"/>
    </row>
    <row r="210" spans="11:11" x14ac:dyDescent="0.3">
      <c r="K210" s="79"/>
    </row>
    <row r="211" spans="11:11" x14ac:dyDescent="0.3">
      <c r="K211" s="79"/>
    </row>
    <row r="212" spans="11:11" x14ac:dyDescent="0.3">
      <c r="K212" s="79"/>
    </row>
    <row r="213" spans="11:11" x14ac:dyDescent="0.3">
      <c r="K213" s="79"/>
    </row>
    <row r="214" spans="11:11" x14ac:dyDescent="0.3">
      <c r="K214" s="79"/>
    </row>
    <row r="215" spans="11:11" x14ac:dyDescent="0.3">
      <c r="K215" s="79"/>
    </row>
    <row r="216" spans="11:11" x14ac:dyDescent="0.3">
      <c r="K216" s="79"/>
    </row>
    <row r="217" spans="11:11" x14ac:dyDescent="0.3">
      <c r="K217" s="79"/>
    </row>
    <row r="218" spans="11:11" x14ac:dyDescent="0.3">
      <c r="K218" s="79"/>
    </row>
    <row r="219" spans="11:11" x14ac:dyDescent="0.3">
      <c r="K219" s="79"/>
    </row>
  </sheetData>
  <sortState xmlns:xlrd2="http://schemas.microsoft.com/office/spreadsheetml/2017/richdata2" ref="D9:K228">
    <sortCondition ref="D8"/>
  </sortState>
  <mergeCells count="5">
    <mergeCell ref="A29:B29"/>
    <mergeCell ref="G2:H2"/>
    <mergeCell ref="G3:H3"/>
    <mergeCell ref="A25:B25"/>
    <mergeCell ref="J3:L3"/>
  </mergeCells>
  <conditionalFormatting sqref="D8:M9000">
    <cfRule type="expression" dxfId="2" priority="2">
      <formula>$D8&lt;&gt;""</formula>
    </cfRule>
  </conditionalFormatting>
  <conditionalFormatting sqref="K36:K1000">
    <cfRule type="expression" dxfId="1" priority="1">
      <formula>$D36&lt;&gt;""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G4"/>
  <sheetViews>
    <sheetView showGridLines="0" tabSelected="1" workbookViewId="0">
      <selection activeCell="B4" sqref="B4"/>
    </sheetView>
  </sheetViews>
  <sheetFormatPr defaultRowHeight="15" x14ac:dyDescent="0.25"/>
  <cols>
    <col min="2" max="2" width="16.85546875" style="1" customWidth="1"/>
    <col min="3" max="3" width="28.28515625" bestFit="1" customWidth="1"/>
    <col min="4" max="4" width="10.42578125" customWidth="1"/>
    <col min="5" max="5" width="9.140625" style="2" customWidth="1"/>
    <col min="6" max="6" width="12.28515625" style="3" customWidth="1"/>
    <col min="7" max="7" width="12.7109375" style="3" customWidth="1"/>
  </cols>
  <sheetData>
    <row r="3" spans="2:7" s="55" customFormat="1" x14ac:dyDescent="0.25">
      <c r="B3" s="54" t="s">
        <v>1</v>
      </c>
      <c r="C3" s="55" t="s">
        <v>2</v>
      </c>
      <c r="D3" s="55" t="s">
        <v>13</v>
      </c>
      <c r="E3" s="56" t="s">
        <v>5</v>
      </c>
      <c r="F3" s="57" t="s">
        <v>11</v>
      </c>
      <c r="G3" s="57" t="s">
        <v>12</v>
      </c>
    </row>
    <row r="4" spans="2:7" x14ac:dyDescent="0.25">
      <c r="B4" s="1" t="s">
        <v>67</v>
      </c>
      <c r="C4" t="s">
        <v>68</v>
      </c>
      <c r="D4" t="s">
        <v>49</v>
      </c>
      <c r="E4" s="2">
        <v>3</v>
      </c>
      <c r="F4" s="3">
        <v>60000</v>
      </c>
      <c r="G4" s="3">
        <v>70000</v>
      </c>
    </row>
  </sheetData>
  <sortState xmlns:xlrd2="http://schemas.microsoft.com/office/spreadsheetml/2017/richdata2" ref="B4:G23">
    <sortCondition ref="B3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workbookViewId="0">
      <selection activeCell="E36" sqref="E36"/>
    </sheetView>
  </sheetViews>
  <sheetFormatPr defaultColWidth="9" defaultRowHeight="13.5" x14ac:dyDescent="0.25"/>
  <cols>
    <col min="1" max="1" width="12.140625" style="28" bestFit="1" customWidth="1"/>
    <col min="2" max="2" width="23.7109375" style="28" customWidth="1"/>
    <col min="3" max="3" width="10" style="34" customWidth="1"/>
    <col min="4" max="4" width="4" style="31" customWidth="1"/>
    <col min="5" max="5" width="12.42578125" style="34" customWidth="1"/>
    <col min="6" max="16384" width="9" style="28"/>
  </cols>
  <sheetData>
    <row r="1" spans="1:5" ht="14.25" thickBot="1" x14ac:dyDescent="0.3"/>
    <row r="2" spans="1:5" ht="39" x14ac:dyDescent="0.25">
      <c r="A2" s="115" t="s">
        <v>65</v>
      </c>
      <c r="B2" s="116"/>
      <c r="C2" s="116"/>
      <c r="D2" s="116"/>
      <c r="E2" s="117"/>
    </row>
    <row r="3" spans="1:5" ht="15.75" thickBot="1" x14ac:dyDescent="0.3">
      <c r="A3" s="112" t="s">
        <v>66</v>
      </c>
      <c r="B3" s="113"/>
      <c r="C3" s="113"/>
      <c r="D3" s="113"/>
      <c r="E3" s="114"/>
    </row>
    <row r="4" spans="1:5" ht="17.25" x14ac:dyDescent="0.25">
      <c r="A4" s="37"/>
      <c r="B4" s="37"/>
      <c r="C4" s="37"/>
      <c r="D4" s="37"/>
      <c r="E4" s="37"/>
    </row>
    <row r="5" spans="1:5" x14ac:dyDescent="0.25">
      <c r="A5" s="41" t="s">
        <v>18</v>
      </c>
      <c r="B5" s="44">
        <f>SUM($E$10:$E$1100)</f>
        <v>0</v>
      </c>
      <c r="C5" s="38" t="s">
        <v>26</v>
      </c>
      <c r="D5" s="106">
        <f>SUM(MENU!$L$8:$L$900)</f>
        <v>0</v>
      </c>
      <c r="E5" s="107"/>
    </row>
    <row r="6" spans="1:5" x14ac:dyDescent="0.25">
      <c r="A6" s="42" t="s">
        <v>20</v>
      </c>
      <c r="B6" s="46">
        <f>B5-D5</f>
        <v>0</v>
      </c>
      <c r="C6" s="39" t="s">
        <v>21</v>
      </c>
      <c r="D6" s="108">
        <f>MENU!$J$3</f>
        <v>0</v>
      </c>
      <c r="E6" s="109"/>
    </row>
    <row r="7" spans="1:5" x14ac:dyDescent="0.25">
      <c r="A7" s="43" t="s">
        <v>27</v>
      </c>
      <c r="B7" s="45">
        <f ca="1">TODAY()</f>
        <v>44469</v>
      </c>
      <c r="C7" s="40" t="s">
        <v>22</v>
      </c>
      <c r="D7" s="110">
        <f>D6-B6</f>
        <v>0</v>
      </c>
      <c r="E7" s="111"/>
    </row>
    <row r="9" spans="1:5" ht="14.25" thickBot="1" x14ac:dyDescent="0.3">
      <c r="A9" s="48" t="s">
        <v>1</v>
      </c>
      <c r="B9" s="48" t="s">
        <v>2</v>
      </c>
      <c r="C9" s="49" t="s">
        <v>24</v>
      </c>
      <c r="D9" s="48" t="s">
        <v>4</v>
      </c>
      <c r="E9" s="49" t="s">
        <v>25</v>
      </c>
    </row>
    <row r="10" spans="1:5" ht="14.25" thickTop="1" x14ac:dyDescent="0.25">
      <c r="A10" s="30" t="str">
        <f>IF(MENU!D8="","",MENU!D8)</f>
        <v/>
      </c>
      <c r="B10" s="30" t="str">
        <f>IF(MENU!F8="","",MENU!F8)</f>
        <v/>
      </c>
      <c r="C10" s="35" t="str">
        <f>IF(MENU!H8="","",MENU!H8)</f>
        <v/>
      </c>
      <c r="D10" s="32" t="str">
        <f>IF(MENU!J8="","",MENU!J8)</f>
        <v/>
      </c>
      <c r="E10" s="35" t="str">
        <f>IF(A10="","",C10*D10)</f>
        <v/>
      </c>
    </row>
    <row r="11" spans="1:5" x14ac:dyDescent="0.25">
      <c r="A11" s="30" t="str">
        <f>IF(MENU!D9="","",MENU!D9)</f>
        <v/>
      </c>
      <c r="B11" s="30" t="str">
        <f>IF(MENU!F9="","",MENU!F9)</f>
        <v/>
      </c>
      <c r="C11" s="35" t="str">
        <f>IF(MENU!H9="","",MENU!H9)</f>
        <v/>
      </c>
      <c r="D11" s="32" t="str">
        <f>IF(MENU!J9="","",MENU!J9)</f>
        <v/>
      </c>
      <c r="E11" s="35" t="str">
        <f t="shared" ref="E11:E23" si="0">IF(A11="","",C11*D11)</f>
        <v/>
      </c>
    </row>
    <row r="12" spans="1:5" x14ac:dyDescent="0.25">
      <c r="A12" s="30" t="str">
        <f>IF(MENU!D10="","",MENU!D10)</f>
        <v/>
      </c>
      <c r="B12" s="30" t="str">
        <f>IF(MENU!F10="","",MENU!F10)</f>
        <v/>
      </c>
      <c r="C12" s="35" t="str">
        <f>IF(MENU!H10="","",MENU!H10)</f>
        <v/>
      </c>
      <c r="D12" s="32" t="str">
        <f>IF(MENU!J10="","",MENU!J10)</f>
        <v/>
      </c>
      <c r="E12" s="35" t="str">
        <f t="shared" si="0"/>
        <v/>
      </c>
    </row>
    <row r="13" spans="1:5" x14ac:dyDescent="0.25">
      <c r="A13" s="30" t="str">
        <f>IF(MENU!D11="","",MENU!D11)</f>
        <v/>
      </c>
      <c r="B13" s="30" t="str">
        <f>IF(MENU!F11="","",MENU!F11)</f>
        <v/>
      </c>
      <c r="C13" s="35" t="str">
        <f>IF(MENU!H11="","",MENU!H11)</f>
        <v/>
      </c>
      <c r="D13" s="32" t="str">
        <f>IF(MENU!J11="","",MENU!J11)</f>
        <v/>
      </c>
      <c r="E13" s="35" t="str">
        <f t="shared" si="0"/>
        <v/>
      </c>
    </row>
    <row r="14" spans="1:5" x14ac:dyDescent="0.25">
      <c r="A14" s="30" t="str">
        <f>IF(MENU!D12="","",MENU!D12)</f>
        <v/>
      </c>
      <c r="B14" s="30" t="str">
        <f>IF(MENU!F12="","",MENU!F12)</f>
        <v/>
      </c>
      <c r="C14" s="35" t="str">
        <f>IF(MENU!H12="","",MENU!H12)</f>
        <v/>
      </c>
      <c r="D14" s="32" t="str">
        <f>IF(MENU!J12="","",MENU!J12)</f>
        <v/>
      </c>
      <c r="E14" s="35" t="str">
        <f t="shared" si="0"/>
        <v/>
      </c>
    </row>
    <row r="15" spans="1:5" x14ac:dyDescent="0.25">
      <c r="A15" s="30" t="str">
        <f>IF(MENU!D13="","",MENU!D13)</f>
        <v/>
      </c>
      <c r="B15" s="30" t="str">
        <f>IF(MENU!F13="","",MENU!F13)</f>
        <v/>
      </c>
      <c r="C15" s="35" t="str">
        <f>IF(MENU!H13="","",MENU!H13)</f>
        <v/>
      </c>
      <c r="D15" s="32" t="str">
        <f>IF(MENU!J13="","",MENU!J13)</f>
        <v/>
      </c>
      <c r="E15" s="35" t="str">
        <f t="shared" si="0"/>
        <v/>
      </c>
    </row>
    <row r="16" spans="1:5" x14ac:dyDescent="0.25">
      <c r="A16" s="30" t="str">
        <f>IF(MENU!D14="","",MENU!D14)</f>
        <v/>
      </c>
      <c r="B16" s="30" t="str">
        <f>IF(MENU!F14="","",MENU!F14)</f>
        <v/>
      </c>
      <c r="C16" s="35" t="str">
        <f>IF(MENU!H14="","",MENU!H14)</f>
        <v/>
      </c>
      <c r="D16" s="32" t="str">
        <f>IF(MENU!J14="","",MENU!J14)</f>
        <v/>
      </c>
      <c r="E16" s="35" t="str">
        <f t="shared" si="0"/>
        <v/>
      </c>
    </row>
    <row r="17" spans="1:5" x14ac:dyDescent="0.25">
      <c r="A17" s="30" t="str">
        <f>IF(MENU!D15="","",MENU!D15)</f>
        <v/>
      </c>
      <c r="B17" s="30" t="str">
        <f>IF(MENU!F15="","",MENU!F15)</f>
        <v/>
      </c>
      <c r="C17" s="35" t="str">
        <f>IF(MENU!H15="","",MENU!H15)</f>
        <v/>
      </c>
      <c r="D17" s="32" t="str">
        <f>IF(MENU!J15="","",MENU!J15)</f>
        <v/>
      </c>
      <c r="E17" s="35" t="str">
        <f t="shared" si="0"/>
        <v/>
      </c>
    </row>
    <row r="18" spans="1:5" x14ac:dyDescent="0.25">
      <c r="A18" s="30" t="str">
        <f>IF(MENU!D16="","",MENU!D16)</f>
        <v/>
      </c>
      <c r="B18" s="30" t="str">
        <f>IF(MENU!F16="","",MENU!F16)</f>
        <v/>
      </c>
      <c r="C18" s="35" t="str">
        <f>IF(MENU!H16="","",MENU!H16)</f>
        <v/>
      </c>
      <c r="D18" s="32" t="str">
        <f>IF(MENU!J16="","",MENU!J16)</f>
        <v/>
      </c>
      <c r="E18" s="35" t="str">
        <f t="shared" si="0"/>
        <v/>
      </c>
    </row>
    <row r="19" spans="1:5" x14ac:dyDescent="0.25">
      <c r="A19" s="30" t="str">
        <f>IF(MENU!D17="","",MENU!D17)</f>
        <v/>
      </c>
      <c r="B19" s="30" t="str">
        <f>IF(MENU!F17="","",MENU!F17)</f>
        <v/>
      </c>
      <c r="C19" s="35" t="str">
        <f>IF(MENU!H17="","",MENU!H17)</f>
        <v/>
      </c>
      <c r="D19" s="32" t="str">
        <f>IF(MENU!J17="","",MENU!J17)</f>
        <v/>
      </c>
      <c r="E19" s="35" t="str">
        <f t="shared" si="0"/>
        <v/>
      </c>
    </row>
    <row r="20" spans="1:5" x14ac:dyDescent="0.25">
      <c r="A20" s="30" t="str">
        <f>IF(MENU!D18="","",MENU!D18)</f>
        <v/>
      </c>
      <c r="B20" s="30" t="str">
        <f>IF(MENU!F18="","",MENU!F18)</f>
        <v/>
      </c>
      <c r="C20" s="35" t="str">
        <f>IF(MENU!H18="","",MENU!H18)</f>
        <v/>
      </c>
      <c r="D20" s="32" t="str">
        <f>IF(MENU!J18="","",MENU!J18)</f>
        <v/>
      </c>
      <c r="E20" s="35" t="str">
        <f t="shared" si="0"/>
        <v/>
      </c>
    </row>
    <row r="21" spans="1:5" x14ac:dyDescent="0.25">
      <c r="A21" s="30" t="str">
        <f>IF(MENU!D19="","",MENU!D19)</f>
        <v/>
      </c>
      <c r="B21" s="30" t="str">
        <f>IF(MENU!F19="","",MENU!F19)</f>
        <v/>
      </c>
      <c r="C21" s="35" t="str">
        <f>IF(MENU!H19="","",MENU!H19)</f>
        <v/>
      </c>
      <c r="D21" s="32" t="str">
        <f>IF(MENU!J19="","",MENU!J19)</f>
        <v/>
      </c>
      <c r="E21" s="35" t="str">
        <f t="shared" si="0"/>
        <v/>
      </c>
    </row>
    <row r="22" spans="1:5" x14ac:dyDescent="0.25">
      <c r="A22" s="30" t="str">
        <f>IF(MENU!D20="","",MENU!D20)</f>
        <v/>
      </c>
      <c r="B22" s="30" t="str">
        <f>IF(MENU!F20="","",MENU!F20)</f>
        <v/>
      </c>
      <c r="C22" s="35" t="str">
        <f>IF(MENU!H20="","",MENU!H20)</f>
        <v/>
      </c>
      <c r="D22" s="32" t="str">
        <f>IF(MENU!J20="","",MENU!J20)</f>
        <v/>
      </c>
      <c r="E22" s="35" t="str">
        <f t="shared" si="0"/>
        <v/>
      </c>
    </row>
    <row r="23" spans="1:5" x14ac:dyDescent="0.25">
      <c r="A23" s="30" t="str">
        <f>IF(MENU!D21="","",MENU!D21)</f>
        <v/>
      </c>
      <c r="B23" s="30" t="str">
        <f>IF(MENU!F21="","",MENU!F21)</f>
        <v/>
      </c>
      <c r="C23" s="35" t="str">
        <f>IF(MENU!H21="","",MENU!H21)</f>
        <v/>
      </c>
      <c r="D23" s="32" t="str">
        <f>IF(MENU!J21="","",MENU!J21)</f>
        <v/>
      </c>
      <c r="E23" s="35" t="str">
        <f t="shared" si="0"/>
        <v/>
      </c>
    </row>
    <row r="24" spans="1:5" x14ac:dyDescent="0.25">
      <c r="A24" s="30" t="str">
        <f>IF(MENU!D22="","",MENU!D22)</f>
        <v/>
      </c>
      <c r="B24" s="30" t="str">
        <f>IF(MENU!F22="","",MENU!F22)</f>
        <v/>
      </c>
      <c r="C24" s="35" t="str">
        <f>IF(MENU!H22="","",MENU!H22)</f>
        <v/>
      </c>
      <c r="D24" s="32" t="str">
        <f>IF(MENU!J22="","",MENU!J22)</f>
        <v/>
      </c>
      <c r="E24" s="35" t="str">
        <f t="shared" ref="E24:E41" si="1">IF(A24="","",C24*D24)</f>
        <v/>
      </c>
    </row>
    <row r="25" spans="1:5" x14ac:dyDescent="0.25">
      <c r="A25" s="30" t="str">
        <f>IF(MENU!D23="","",MENU!D23)</f>
        <v/>
      </c>
      <c r="B25" s="30" t="str">
        <f>IF(MENU!F23="","",MENU!F23)</f>
        <v/>
      </c>
      <c r="C25" s="35" t="str">
        <f>IF(MENU!H23="","",MENU!H23)</f>
        <v/>
      </c>
      <c r="D25" s="32" t="str">
        <f>IF(MENU!J23="","",MENU!J23)</f>
        <v/>
      </c>
      <c r="E25" s="35" t="str">
        <f t="shared" si="1"/>
        <v/>
      </c>
    </row>
    <row r="26" spans="1:5" x14ac:dyDescent="0.25">
      <c r="A26" s="30" t="str">
        <f>IF(MENU!D24="","",MENU!D24)</f>
        <v/>
      </c>
      <c r="B26" s="30" t="str">
        <f>IF(MENU!F24="","",MENU!F24)</f>
        <v/>
      </c>
      <c r="C26" s="35" t="str">
        <f>IF(MENU!H24="","",MENU!H24)</f>
        <v/>
      </c>
      <c r="D26" s="32" t="str">
        <f>IF(MENU!J24="","",MENU!J24)</f>
        <v/>
      </c>
      <c r="E26" s="35" t="str">
        <f t="shared" si="1"/>
        <v/>
      </c>
    </row>
    <row r="27" spans="1:5" x14ac:dyDescent="0.25">
      <c r="A27" s="30" t="str">
        <f>IF(MENU!D25="","",MENU!D25)</f>
        <v/>
      </c>
      <c r="B27" s="30" t="str">
        <f>IF(MENU!F25="","",MENU!F25)</f>
        <v/>
      </c>
      <c r="C27" s="35" t="str">
        <f>IF(MENU!H25="","",MENU!H25)</f>
        <v/>
      </c>
      <c r="D27" s="32" t="str">
        <f>IF(MENU!J25="","",MENU!J25)</f>
        <v/>
      </c>
      <c r="E27" s="35" t="str">
        <f t="shared" si="1"/>
        <v/>
      </c>
    </row>
    <row r="28" spans="1:5" x14ac:dyDescent="0.25">
      <c r="A28" s="30" t="str">
        <f>IF(MENU!D26="","",MENU!D26)</f>
        <v/>
      </c>
      <c r="B28" s="30" t="str">
        <f>IF(MENU!F26="","",MENU!F26)</f>
        <v/>
      </c>
      <c r="C28" s="35" t="str">
        <f>IF(MENU!H26="","",MENU!H26)</f>
        <v/>
      </c>
      <c r="D28" s="32" t="str">
        <f>IF(MENU!J26="","",MENU!J26)</f>
        <v/>
      </c>
      <c r="E28" s="35" t="str">
        <f t="shared" si="1"/>
        <v/>
      </c>
    </row>
    <row r="29" spans="1:5" x14ac:dyDescent="0.25">
      <c r="A29" s="30" t="str">
        <f>IF(MENU!D27="","",MENU!D27)</f>
        <v/>
      </c>
      <c r="B29" s="30" t="str">
        <f>IF(MENU!F27="","",MENU!F27)</f>
        <v/>
      </c>
      <c r="C29" s="35" t="str">
        <f>IF(MENU!H27="","",MENU!H27)</f>
        <v/>
      </c>
      <c r="D29" s="32" t="str">
        <f>IF(MENU!J27="","",MENU!J27)</f>
        <v/>
      </c>
      <c r="E29" s="35" t="str">
        <f t="shared" si="1"/>
        <v/>
      </c>
    </row>
    <row r="30" spans="1:5" x14ac:dyDescent="0.25">
      <c r="A30" s="30" t="str">
        <f>IF(MENU!D28="","",MENU!D28)</f>
        <v/>
      </c>
      <c r="B30" s="30" t="str">
        <f>IF(MENU!F28="","",MENU!F28)</f>
        <v/>
      </c>
      <c r="C30" s="35" t="str">
        <f>IF(MENU!H28="","",MENU!H28)</f>
        <v/>
      </c>
      <c r="D30" s="32" t="str">
        <f>IF(MENU!J28="","",MENU!J28)</f>
        <v/>
      </c>
      <c r="E30" s="35" t="str">
        <f t="shared" si="1"/>
        <v/>
      </c>
    </row>
    <row r="31" spans="1:5" x14ac:dyDescent="0.25">
      <c r="A31" s="30" t="str">
        <f>IF(MENU!D29="","",MENU!D29)</f>
        <v/>
      </c>
      <c r="B31" s="30" t="str">
        <f>IF(MENU!F29="","",MENU!F29)</f>
        <v/>
      </c>
      <c r="C31" s="35" t="str">
        <f>IF(MENU!H29="","",MENU!H29)</f>
        <v/>
      </c>
      <c r="D31" s="32" t="str">
        <f>IF(MENU!J29="","",MENU!J29)</f>
        <v/>
      </c>
      <c r="E31" s="35" t="str">
        <f t="shared" si="1"/>
        <v/>
      </c>
    </row>
    <row r="32" spans="1:5" x14ac:dyDescent="0.25">
      <c r="A32" s="30" t="str">
        <f>IF(MENU!D30="","",MENU!D30)</f>
        <v/>
      </c>
      <c r="B32" s="30" t="str">
        <f>IF(MENU!F30="","",MENU!F30)</f>
        <v/>
      </c>
      <c r="C32" s="35" t="str">
        <f>IF(MENU!H30="","",MENU!H30)</f>
        <v/>
      </c>
      <c r="D32" s="32" t="str">
        <f>IF(MENU!J30="","",MENU!J30)</f>
        <v/>
      </c>
      <c r="E32" s="35" t="str">
        <f t="shared" si="1"/>
        <v/>
      </c>
    </row>
    <row r="33" spans="1:5" x14ac:dyDescent="0.25">
      <c r="A33" s="30" t="str">
        <f>IF(MENU!D31="","",MENU!D31)</f>
        <v/>
      </c>
      <c r="B33" s="30" t="str">
        <f>IF(MENU!F31="","",MENU!F31)</f>
        <v/>
      </c>
      <c r="C33" s="35" t="str">
        <f>IF(MENU!H31="","",MENU!H31)</f>
        <v/>
      </c>
      <c r="D33" s="32" t="str">
        <f>IF(MENU!J31="","",MENU!J31)</f>
        <v/>
      </c>
      <c r="E33" s="35" t="str">
        <f t="shared" si="1"/>
        <v/>
      </c>
    </row>
    <row r="34" spans="1:5" x14ac:dyDescent="0.25">
      <c r="A34" s="30" t="str">
        <f>IF(MENU!D32="","",MENU!D32)</f>
        <v/>
      </c>
      <c r="B34" s="30" t="str">
        <f>IF(MENU!F32="","",MENU!F32)</f>
        <v/>
      </c>
      <c r="C34" s="35" t="str">
        <f>IF(MENU!H32="","",MENU!H32)</f>
        <v/>
      </c>
      <c r="D34" s="32" t="str">
        <f>IF(MENU!J32="","",MENU!J32)</f>
        <v/>
      </c>
      <c r="E34" s="35" t="str">
        <f t="shared" si="1"/>
        <v/>
      </c>
    </row>
    <row r="35" spans="1:5" x14ac:dyDescent="0.25">
      <c r="A35" s="30" t="str">
        <f>IF(MENU!D33="","",MENU!D33)</f>
        <v/>
      </c>
      <c r="B35" s="30" t="str">
        <f>IF(MENU!F33="","",MENU!F33)</f>
        <v/>
      </c>
      <c r="C35" s="35" t="str">
        <f>IF(MENU!H33="","",MENU!H33)</f>
        <v/>
      </c>
      <c r="D35" s="32" t="str">
        <f>IF(MENU!J33="","",MENU!J33)</f>
        <v/>
      </c>
      <c r="E35" s="35" t="str">
        <f t="shared" si="1"/>
        <v/>
      </c>
    </row>
    <row r="36" spans="1:5" x14ac:dyDescent="0.25">
      <c r="A36" s="30" t="str">
        <f>IF(MENU!D34="","",MENU!D34)</f>
        <v/>
      </c>
      <c r="B36" s="30" t="str">
        <f>IF(MENU!F34="","",MENU!F34)</f>
        <v/>
      </c>
      <c r="C36" s="35" t="str">
        <f>IF(MENU!H34="","",MENU!H34)</f>
        <v/>
      </c>
      <c r="D36" s="32" t="str">
        <f>IF(MENU!J34="","",MENU!J34)</f>
        <v/>
      </c>
      <c r="E36" s="35" t="str">
        <f t="shared" si="1"/>
        <v/>
      </c>
    </row>
    <row r="37" spans="1:5" x14ac:dyDescent="0.25">
      <c r="A37" s="30" t="str">
        <f>IF(MENU!D35="","",MENU!D35)</f>
        <v/>
      </c>
      <c r="B37" s="30" t="str">
        <f>IF(MENU!F35="","",MENU!F35)</f>
        <v/>
      </c>
      <c r="C37" s="35" t="str">
        <f>IF(MENU!H35="","",MENU!H35)</f>
        <v/>
      </c>
      <c r="D37" s="32" t="str">
        <f>IF(MENU!J35="","",MENU!J35)</f>
        <v/>
      </c>
      <c r="E37" s="35" t="str">
        <f t="shared" si="1"/>
        <v/>
      </c>
    </row>
    <row r="38" spans="1:5" x14ac:dyDescent="0.25">
      <c r="A38" s="30" t="str">
        <f>IF(MENU!D36="","",MENU!D36)</f>
        <v/>
      </c>
      <c r="B38" s="30" t="str">
        <f>IF(MENU!F36="","",MENU!F36)</f>
        <v/>
      </c>
      <c r="C38" s="35" t="str">
        <f>IF(MENU!H36="","",MENU!H36)</f>
        <v/>
      </c>
      <c r="D38" s="32" t="str">
        <f>IF(MENU!J36="","",MENU!J36)</f>
        <v/>
      </c>
      <c r="E38" s="35" t="str">
        <f t="shared" si="1"/>
        <v/>
      </c>
    </row>
    <row r="39" spans="1:5" x14ac:dyDescent="0.25">
      <c r="A39" s="30" t="str">
        <f>IF(MENU!D37="","",MENU!D37)</f>
        <v/>
      </c>
      <c r="B39" s="30" t="str">
        <f>IF(MENU!F37="","",MENU!F37)</f>
        <v/>
      </c>
      <c r="C39" s="35" t="str">
        <f>IF(MENU!H37="","",MENU!H37)</f>
        <v/>
      </c>
      <c r="D39" s="32" t="str">
        <f>IF(MENU!J37="","",MENU!J37)</f>
        <v/>
      </c>
      <c r="E39" s="35" t="str">
        <f t="shared" si="1"/>
        <v/>
      </c>
    </row>
    <row r="40" spans="1:5" x14ac:dyDescent="0.25">
      <c r="A40" s="30" t="str">
        <f>IF(MENU!D38="","",MENU!D38)</f>
        <v/>
      </c>
      <c r="B40" s="30" t="str">
        <f>IF(MENU!F38="","",MENU!F38)</f>
        <v/>
      </c>
      <c r="C40" s="35" t="str">
        <f>IF(MENU!H38="","",MENU!H38)</f>
        <v/>
      </c>
      <c r="D40" s="32" t="str">
        <f>IF(MENU!J38="","",MENU!J38)</f>
        <v/>
      </c>
      <c r="E40" s="35" t="str">
        <f t="shared" si="1"/>
        <v/>
      </c>
    </row>
    <row r="41" spans="1:5" x14ac:dyDescent="0.25">
      <c r="A41" s="30" t="str">
        <f>IF(MENU!D39="","",MENU!D39)</f>
        <v/>
      </c>
      <c r="B41" s="30" t="str">
        <f>IF(MENU!F39="","",MENU!F39)</f>
        <v/>
      </c>
      <c r="C41" s="35" t="str">
        <f>IF(MENU!H39="","",MENU!H39)</f>
        <v/>
      </c>
      <c r="D41" s="32" t="str">
        <f>IF(MENU!J39="","",MENU!J39)</f>
        <v/>
      </c>
      <c r="E41" s="35" t="str">
        <f t="shared" si="1"/>
        <v/>
      </c>
    </row>
    <row r="42" spans="1:5" x14ac:dyDescent="0.25">
      <c r="A42" s="30"/>
      <c r="B42" s="30"/>
      <c r="C42" s="35"/>
      <c r="D42" s="32"/>
      <c r="E42" s="35"/>
    </row>
    <row r="43" spans="1:5" x14ac:dyDescent="0.25">
      <c r="A43" s="30"/>
      <c r="B43" s="30"/>
      <c r="C43" s="35"/>
      <c r="D43" s="32"/>
      <c r="E43" s="35"/>
    </row>
    <row r="44" spans="1:5" x14ac:dyDescent="0.25">
      <c r="A44" s="30"/>
      <c r="B44" s="30"/>
      <c r="C44" s="35"/>
      <c r="D44" s="32"/>
      <c r="E44" s="35"/>
    </row>
    <row r="45" spans="1:5" x14ac:dyDescent="0.25">
      <c r="A45" s="30"/>
      <c r="B45" s="30"/>
      <c r="C45" s="35"/>
      <c r="D45" s="32"/>
      <c r="E45" s="35"/>
    </row>
    <row r="46" spans="1:5" x14ac:dyDescent="0.25">
      <c r="A46" s="30"/>
      <c r="B46" s="30"/>
      <c r="C46" s="35"/>
      <c r="D46" s="32"/>
      <c r="E46" s="35"/>
    </row>
    <row r="47" spans="1:5" x14ac:dyDescent="0.25">
      <c r="A47" s="30"/>
      <c r="B47" s="30"/>
      <c r="C47" s="35"/>
      <c r="D47" s="32"/>
      <c r="E47" s="35"/>
    </row>
    <row r="48" spans="1:5" x14ac:dyDescent="0.25">
      <c r="A48" s="30"/>
      <c r="B48" s="30"/>
      <c r="C48" s="35"/>
      <c r="D48" s="32"/>
      <c r="E48" s="35"/>
    </row>
    <row r="49" spans="1:5" x14ac:dyDescent="0.25">
      <c r="A49" s="30"/>
      <c r="B49" s="30"/>
      <c r="C49" s="35"/>
      <c r="D49" s="32"/>
      <c r="E49" s="35"/>
    </row>
    <row r="50" spans="1:5" x14ac:dyDescent="0.25">
      <c r="A50" s="30"/>
      <c r="B50" s="30"/>
      <c r="C50" s="35"/>
      <c r="D50" s="32"/>
      <c r="E50" s="35"/>
    </row>
    <row r="51" spans="1:5" x14ac:dyDescent="0.25">
      <c r="A51" s="30"/>
      <c r="B51" s="30"/>
      <c r="C51" s="35"/>
      <c r="D51" s="32"/>
      <c r="E51" s="35"/>
    </row>
    <row r="52" spans="1:5" x14ac:dyDescent="0.25">
      <c r="A52" s="30"/>
      <c r="B52" s="30"/>
      <c r="C52" s="35"/>
      <c r="D52" s="32"/>
      <c r="E52" s="35"/>
    </row>
    <row r="53" spans="1:5" x14ac:dyDescent="0.25">
      <c r="A53" s="30"/>
      <c r="B53" s="30"/>
      <c r="C53" s="35"/>
      <c r="D53" s="32"/>
      <c r="E53" s="35"/>
    </row>
    <row r="54" spans="1:5" x14ac:dyDescent="0.25">
      <c r="A54" s="30"/>
      <c r="B54" s="30"/>
      <c r="C54" s="35"/>
      <c r="D54" s="32"/>
      <c r="E54" s="35"/>
    </row>
    <row r="55" spans="1:5" x14ac:dyDescent="0.25">
      <c r="A55" s="30"/>
      <c r="B55" s="30"/>
      <c r="C55" s="35"/>
      <c r="D55" s="32"/>
      <c r="E55" s="35"/>
    </row>
    <row r="56" spans="1:5" x14ac:dyDescent="0.25">
      <c r="A56" s="30"/>
      <c r="B56" s="30"/>
      <c r="C56" s="35"/>
      <c r="D56" s="32"/>
      <c r="E56" s="35"/>
    </row>
    <row r="57" spans="1:5" x14ac:dyDescent="0.25">
      <c r="A57" s="30"/>
      <c r="B57" s="30"/>
      <c r="C57" s="35"/>
      <c r="D57" s="32"/>
      <c r="E57" s="35"/>
    </row>
    <row r="58" spans="1:5" x14ac:dyDescent="0.25">
      <c r="A58" s="30"/>
      <c r="B58" s="30"/>
      <c r="C58" s="35"/>
      <c r="D58" s="32"/>
      <c r="E58" s="35"/>
    </row>
    <row r="59" spans="1:5" x14ac:dyDescent="0.25">
      <c r="A59" s="30"/>
      <c r="B59" s="30"/>
      <c r="C59" s="35"/>
      <c r="D59" s="32"/>
      <c r="E59" s="35"/>
    </row>
    <row r="60" spans="1:5" x14ac:dyDescent="0.25">
      <c r="A60" s="30"/>
      <c r="B60" s="30"/>
      <c r="C60" s="35"/>
      <c r="D60" s="32"/>
      <c r="E60" s="35"/>
    </row>
    <row r="61" spans="1:5" x14ac:dyDescent="0.25">
      <c r="A61" s="30"/>
      <c r="B61" s="30"/>
      <c r="C61" s="35"/>
      <c r="D61" s="32"/>
      <c r="E61" s="35"/>
    </row>
    <row r="62" spans="1:5" x14ac:dyDescent="0.25">
      <c r="A62" s="30"/>
      <c r="B62" s="30"/>
      <c r="C62" s="35"/>
      <c r="D62" s="32"/>
      <c r="E62" s="35"/>
    </row>
    <row r="63" spans="1:5" x14ac:dyDescent="0.25">
      <c r="A63" s="30"/>
      <c r="B63" s="30"/>
      <c r="C63" s="35"/>
      <c r="D63" s="32"/>
      <c r="E63" s="35"/>
    </row>
    <row r="64" spans="1:5" x14ac:dyDescent="0.25">
      <c r="A64" s="30"/>
      <c r="B64" s="30"/>
      <c r="C64" s="35"/>
      <c r="D64" s="32"/>
      <c r="E64" s="35"/>
    </row>
    <row r="65" spans="1:5" x14ac:dyDescent="0.25">
      <c r="A65" s="30"/>
      <c r="B65" s="30"/>
      <c r="C65" s="35"/>
      <c r="D65" s="32"/>
      <c r="E65" s="35"/>
    </row>
    <row r="66" spans="1:5" x14ac:dyDescent="0.25">
      <c r="A66" s="30"/>
      <c r="B66" s="30"/>
      <c r="C66" s="35"/>
      <c r="D66" s="32"/>
      <c r="E66" s="35"/>
    </row>
    <row r="67" spans="1:5" x14ac:dyDescent="0.25">
      <c r="A67" s="30"/>
      <c r="B67" s="30"/>
      <c r="C67" s="35"/>
      <c r="D67" s="32"/>
      <c r="E67" s="35"/>
    </row>
    <row r="68" spans="1:5" x14ac:dyDescent="0.25">
      <c r="A68" s="30"/>
      <c r="B68" s="30"/>
      <c r="C68" s="35"/>
      <c r="D68" s="32"/>
      <c r="E68" s="35"/>
    </row>
    <row r="69" spans="1:5" x14ac:dyDescent="0.25">
      <c r="A69" s="30"/>
      <c r="B69" s="30"/>
      <c r="C69" s="35"/>
      <c r="D69" s="32"/>
      <c r="E69" s="35"/>
    </row>
    <row r="70" spans="1:5" x14ac:dyDescent="0.25">
      <c r="A70" s="30"/>
      <c r="B70" s="30"/>
      <c r="C70" s="35"/>
      <c r="D70" s="32"/>
      <c r="E70" s="35"/>
    </row>
    <row r="71" spans="1:5" x14ac:dyDescent="0.25">
      <c r="A71" s="30"/>
      <c r="B71" s="30"/>
      <c r="C71" s="35"/>
      <c r="D71" s="32"/>
      <c r="E71" s="35"/>
    </row>
    <row r="72" spans="1:5" x14ac:dyDescent="0.25">
      <c r="A72" s="30"/>
      <c r="B72" s="30"/>
      <c r="C72" s="35"/>
      <c r="D72" s="32"/>
      <c r="E72" s="35"/>
    </row>
    <row r="73" spans="1:5" x14ac:dyDescent="0.25">
      <c r="A73" s="30"/>
      <c r="B73" s="30"/>
      <c r="C73" s="35"/>
      <c r="D73" s="32"/>
      <c r="E73" s="35"/>
    </row>
    <row r="74" spans="1:5" x14ac:dyDescent="0.25">
      <c r="A74" s="30"/>
      <c r="B74" s="30"/>
      <c r="C74" s="35"/>
      <c r="D74" s="32"/>
      <c r="E74" s="35"/>
    </row>
    <row r="75" spans="1:5" x14ac:dyDescent="0.25">
      <c r="A75" s="30"/>
      <c r="B75" s="30"/>
      <c r="C75" s="35"/>
      <c r="D75" s="32"/>
      <c r="E75" s="35"/>
    </row>
    <row r="76" spans="1:5" x14ac:dyDescent="0.25">
      <c r="A76" s="30"/>
      <c r="B76" s="30"/>
      <c r="C76" s="35"/>
      <c r="D76" s="32"/>
      <c r="E76" s="35"/>
    </row>
    <row r="77" spans="1:5" x14ac:dyDescent="0.25">
      <c r="A77" s="30"/>
      <c r="B77" s="30"/>
      <c r="C77" s="35"/>
      <c r="D77" s="32"/>
      <c r="E77" s="35"/>
    </row>
    <row r="78" spans="1:5" x14ac:dyDescent="0.25">
      <c r="A78" s="30"/>
      <c r="B78" s="30"/>
      <c r="C78" s="35"/>
      <c r="D78" s="32"/>
      <c r="E78" s="35"/>
    </row>
    <row r="79" spans="1:5" x14ac:dyDescent="0.25">
      <c r="A79" s="30"/>
      <c r="B79" s="30"/>
      <c r="C79" s="35"/>
      <c r="D79" s="32"/>
      <c r="E79" s="35"/>
    </row>
    <row r="80" spans="1:5" x14ac:dyDescent="0.25">
      <c r="A80" s="30"/>
      <c r="B80" s="30"/>
      <c r="C80" s="35"/>
      <c r="D80" s="32"/>
      <c r="E80" s="35"/>
    </row>
    <row r="81" spans="1:5" x14ac:dyDescent="0.25">
      <c r="A81" s="30"/>
      <c r="B81" s="30"/>
      <c r="C81" s="35"/>
      <c r="D81" s="32"/>
      <c r="E81" s="35"/>
    </row>
    <row r="82" spans="1:5" x14ac:dyDescent="0.25">
      <c r="A82" s="30"/>
      <c r="B82" s="30"/>
      <c r="C82" s="35"/>
      <c r="D82" s="32"/>
      <c r="E82" s="35"/>
    </row>
    <row r="83" spans="1:5" x14ac:dyDescent="0.25">
      <c r="A83" s="30"/>
      <c r="B83" s="30"/>
      <c r="C83" s="35"/>
      <c r="D83" s="32"/>
      <c r="E83" s="35"/>
    </row>
    <row r="84" spans="1:5" x14ac:dyDescent="0.25">
      <c r="A84" s="30"/>
      <c r="B84" s="30"/>
      <c r="C84" s="35"/>
      <c r="D84" s="32"/>
      <c r="E84" s="35"/>
    </row>
    <row r="85" spans="1:5" x14ac:dyDescent="0.25">
      <c r="A85" s="30"/>
      <c r="B85" s="30"/>
      <c r="C85" s="35"/>
      <c r="D85" s="32"/>
      <c r="E85" s="35"/>
    </row>
    <row r="86" spans="1:5" x14ac:dyDescent="0.25">
      <c r="A86" s="30"/>
      <c r="B86" s="30"/>
      <c r="C86" s="35"/>
      <c r="D86" s="32"/>
      <c r="E86" s="35"/>
    </row>
    <row r="87" spans="1:5" x14ac:dyDescent="0.25">
      <c r="A87" s="30"/>
      <c r="B87" s="30"/>
      <c r="C87" s="35"/>
      <c r="D87" s="32"/>
      <c r="E87" s="35"/>
    </row>
    <row r="88" spans="1:5" x14ac:dyDescent="0.25">
      <c r="A88" s="30"/>
      <c r="B88" s="30"/>
      <c r="C88" s="35"/>
      <c r="D88" s="32"/>
      <c r="E88" s="35"/>
    </row>
    <row r="89" spans="1:5" x14ac:dyDescent="0.25">
      <c r="A89" s="30"/>
      <c r="B89" s="30"/>
      <c r="C89" s="35"/>
      <c r="D89" s="32"/>
      <c r="E89" s="35"/>
    </row>
    <row r="90" spans="1:5" x14ac:dyDescent="0.25">
      <c r="A90" s="30"/>
      <c r="B90" s="30"/>
      <c r="C90" s="35"/>
      <c r="D90" s="32"/>
      <c r="E90" s="35"/>
    </row>
    <row r="91" spans="1:5" x14ac:dyDescent="0.25">
      <c r="A91" s="30"/>
      <c r="B91" s="30"/>
      <c r="C91" s="35"/>
      <c r="D91" s="32"/>
      <c r="E91" s="35"/>
    </row>
    <row r="92" spans="1:5" x14ac:dyDescent="0.25">
      <c r="A92" s="30"/>
      <c r="B92" s="30"/>
      <c r="C92" s="35"/>
      <c r="D92" s="32"/>
      <c r="E92" s="35"/>
    </row>
    <row r="93" spans="1:5" x14ac:dyDescent="0.25">
      <c r="A93" s="30"/>
      <c r="B93" s="30"/>
      <c r="C93" s="35"/>
      <c r="D93" s="32"/>
      <c r="E93" s="35"/>
    </row>
    <row r="94" spans="1:5" x14ac:dyDescent="0.25">
      <c r="A94" s="30"/>
      <c r="B94" s="30"/>
      <c r="C94" s="35"/>
      <c r="D94" s="32"/>
      <c r="E94" s="35"/>
    </row>
    <row r="95" spans="1:5" x14ac:dyDescent="0.25">
      <c r="A95" s="30"/>
      <c r="B95" s="30"/>
      <c r="C95" s="35"/>
      <c r="D95" s="32"/>
      <c r="E95" s="35"/>
    </row>
    <row r="96" spans="1:5" x14ac:dyDescent="0.25">
      <c r="A96" s="30"/>
      <c r="B96" s="30"/>
      <c r="C96" s="35"/>
      <c r="D96" s="32"/>
      <c r="E96" s="35"/>
    </row>
    <row r="97" spans="1:5" x14ac:dyDescent="0.25">
      <c r="A97" s="30"/>
      <c r="B97" s="30"/>
      <c r="C97" s="35"/>
      <c r="D97" s="32"/>
      <c r="E97" s="35"/>
    </row>
    <row r="98" spans="1:5" x14ac:dyDescent="0.25">
      <c r="A98" s="30"/>
      <c r="B98" s="30"/>
      <c r="C98" s="35"/>
      <c r="D98" s="32"/>
      <c r="E98" s="35"/>
    </row>
    <row r="99" spans="1:5" x14ac:dyDescent="0.25">
      <c r="A99" s="30"/>
      <c r="B99" s="30"/>
      <c r="C99" s="35"/>
      <c r="D99" s="32"/>
      <c r="E99" s="35"/>
    </row>
    <row r="100" spans="1:5" x14ac:dyDescent="0.25">
      <c r="A100" s="30"/>
      <c r="B100" s="30"/>
      <c r="C100" s="35"/>
      <c r="D100" s="32"/>
      <c r="E100" s="35"/>
    </row>
    <row r="101" spans="1:5" x14ac:dyDescent="0.25">
      <c r="A101" s="30"/>
      <c r="B101" s="30"/>
      <c r="C101" s="35"/>
      <c r="D101" s="32"/>
      <c r="E101" s="35"/>
    </row>
    <row r="102" spans="1:5" x14ac:dyDescent="0.25">
      <c r="A102" s="30"/>
      <c r="B102" s="30"/>
      <c r="C102" s="35"/>
      <c r="D102" s="32"/>
      <c r="E102" s="35"/>
    </row>
    <row r="103" spans="1:5" x14ac:dyDescent="0.25">
      <c r="A103" s="30"/>
      <c r="B103" s="30"/>
      <c r="C103" s="35"/>
      <c r="D103" s="32"/>
      <c r="E103" s="35"/>
    </row>
    <row r="104" spans="1:5" x14ac:dyDescent="0.25">
      <c r="A104" s="30"/>
      <c r="B104" s="30"/>
      <c r="C104" s="35"/>
      <c r="D104" s="32"/>
      <c r="E104" s="35"/>
    </row>
    <row r="105" spans="1:5" x14ac:dyDescent="0.25">
      <c r="A105" s="30"/>
      <c r="B105" s="30"/>
      <c r="C105" s="35"/>
      <c r="D105" s="32"/>
      <c r="E105" s="35"/>
    </row>
    <row r="106" spans="1:5" x14ac:dyDescent="0.25">
      <c r="A106" s="30"/>
      <c r="B106" s="30"/>
      <c r="C106" s="35"/>
      <c r="D106" s="32"/>
      <c r="E106" s="35"/>
    </row>
    <row r="107" spans="1:5" x14ac:dyDescent="0.25">
      <c r="A107" s="30"/>
      <c r="B107" s="30"/>
      <c r="C107" s="35"/>
      <c r="D107" s="32"/>
      <c r="E107" s="35"/>
    </row>
    <row r="108" spans="1:5" x14ac:dyDescent="0.25">
      <c r="A108" s="30"/>
      <c r="B108" s="30"/>
      <c r="C108" s="35"/>
      <c r="D108" s="32"/>
      <c r="E108" s="35"/>
    </row>
    <row r="109" spans="1:5" x14ac:dyDescent="0.25">
      <c r="A109" s="30"/>
      <c r="B109" s="30"/>
      <c r="C109" s="35"/>
      <c r="D109" s="32"/>
      <c r="E109" s="35"/>
    </row>
    <row r="110" spans="1:5" x14ac:dyDescent="0.25">
      <c r="A110" s="30"/>
      <c r="B110" s="30"/>
      <c r="C110" s="35"/>
      <c r="D110" s="32"/>
      <c r="E110" s="35"/>
    </row>
    <row r="111" spans="1:5" x14ac:dyDescent="0.25">
      <c r="A111" s="30"/>
      <c r="B111" s="30"/>
      <c r="C111" s="35"/>
      <c r="D111" s="32"/>
      <c r="E111" s="35"/>
    </row>
    <row r="112" spans="1:5" x14ac:dyDescent="0.25">
      <c r="A112" s="30"/>
      <c r="B112" s="30"/>
      <c r="C112" s="35"/>
      <c r="D112" s="32"/>
      <c r="E112" s="35"/>
    </row>
    <row r="113" spans="1:5" x14ac:dyDescent="0.25">
      <c r="A113" s="30"/>
      <c r="B113" s="30"/>
      <c r="C113" s="35"/>
      <c r="D113" s="32"/>
      <c r="E113" s="35"/>
    </row>
    <row r="114" spans="1:5" x14ac:dyDescent="0.25">
      <c r="A114" s="30"/>
      <c r="B114" s="30"/>
      <c r="C114" s="35"/>
      <c r="D114" s="32"/>
      <c r="E114" s="35"/>
    </row>
    <row r="115" spans="1:5" x14ac:dyDescent="0.25">
      <c r="A115" s="30"/>
      <c r="B115" s="30"/>
      <c r="C115" s="35"/>
      <c r="D115" s="32"/>
      <c r="E115" s="35"/>
    </row>
    <row r="116" spans="1:5" x14ac:dyDescent="0.25">
      <c r="A116" s="30"/>
      <c r="B116" s="30"/>
      <c r="C116" s="35"/>
      <c r="D116" s="32"/>
      <c r="E116" s="35"/>
    </row>
    <row r="117" spans="1:5" x14ac:dyDescent="0.25">
      <c r="A117" s="30"/>
      <c r="B117" s="30"/>
      <c r="C117" s="35"/>
      <c r="D117" s="32"/>
      <c r="E117" s="35"/>
    </row>
    <row r="118" spans="1:5" x14ac:dyDescent="0.25">
      <c r="A118" s="30"/>
      <c r="B118" s="30"/>
      <c r="C118" s="35"/>
      <c r="D118" s="32"/>
      <c r="E118" s="35"/>
    </row>
    <row r="119" spans="1:5" x14ac:dyDescent="0.25">
      <c r="A119" s="30"/>
      <c r="B119" s="30"/>
      <c r="C119" s="35"/>
      <c r="D119" s="32"/>
      <c r="E119" s="35"/>
    </row>
    <row r="120" spans="1:5" x14ac:dyDescent="0.25">
      <c r="A120" s="30"/>
      <c r="B120" s="30"/>
      <c r="C120" s="35"/>
      <c r="D120" s="32"/>
      <c r="E120" s="35"/>
    </row>
    <row r="121" spans="1:5" x14ac:dyDescent="0.25">
      <c r="A121" s="30"/>
      <c r="B121" s="30"/>
      <c r="C121" s="35"/>
      <c r="D121" s="32"/>
      <c r="E121" s="35"/>
    </row>
    <row r="122" spans="1:5" x14ac:dyDescent="0.25">
      <c r="A122" s="30"/>
      <c r="B122" s="30"/>
      <c r="C122" s="35"/>
      <c r="D122" s="32"/>
      <c r="E122" s="35"/>
    </row>
    <row r="123" spans="1:5" x14ac:dyDescent="0.25">
      <c r="A123" s="30"/>
      <c r="B123" s="30"/>
      <c r="C123" s="35"/>
      <c r="D123" s="32"/>
      <c r="E123" s="35"/>
    </row>
    <row r="124" spans="1:5" x14ac:dyDescent="0.25">
      <c r="A124" s="30"/>
      <c r="B124" s="30"/>
      <c r="C124" s="35"/>
      <c r="D124" s="32"/>
      <c r="E124" s="35"/>
    </row>
    <row r="125" spans="1:5" x14ac:dyDescent="0.25">
      <c r="A125" s="30"/>
      <c r="B125" s="30"/>
      <c r="C125" s="35"/>
      <c r="D125" s="32"/>
      <c r="E125" s="35"/>
    </row>
    <row r="126" spans="1:5" x14ac:dyDescent="0.25">
      <c r="A126" s="30"/>
      <c r="B126" s="30"/>
      <c r="C126" s="35"/>
      <c r="D126" s="32"/>
      <c r="E126" s="35"/>
    </row>
    <row r="127" spans="1:5" x14ac:dyDescent="0.25">
      <c r="A127" s="30"/>
      <c r="B127" s="30"/>
      <c r="C127" s="35"/>
      <c r="D127" s="32"/>
      <c r="E127" s="35"/>
    </row>
    <row r="128" spans="1:5" x14ac:dyDescent="0.25">
      <c r="A128" s="30"/>
      <c r="B128" s="30"/>
      <c r="C128" s="35"/>
      <c r="D128" s="32"/>
      <c r="E128" s="35"/>
    </row>
    <row r="129" spans="1:5" x14ac:dyDescent="0.25">
      <c r="A129" s="30"/>
      <c r="B129" s="30"/>
      <c r="C129" s="35"/>
      <c r="D129" s="32"/>
      <c r="E129" s="35"/>
    </row>
    <row r="130" spans="1:5" x14ac:dyDescent="0.25">
      <c r="A130" s="30"/>
      <c r="B130" s="30"/>
      <c r="C130" s="35"/>
      <c r="D130" s="32"/>
      <c r="E130" s="35"/>
    </row>
    <row r="131" spans="1:5" x14ac:dyDescent="0.25">
      <c r="A131" s="30"/>
      <c r="B131" s="30"/>
      <c r="C131" s="35"/>
      <c r="D131" s="32"/>
      <c r="E131" s="35"/>
    </row>
    <row r="132" spans="1:5" x14ac:dyDescent="0.25">
      <c r="A132" s="30"/>
      <c r="B132" s="30"/>
      <c r="C132" s="35"/>
      <c r="D132" s="32"/>
      <c r="E132" s="35"/>
    </row>
    <row r="133" spans="1:5" x14ac:dyDescent="0.25">
      <c r="A133" s="30"/>
      <c r="B133" s="30"/>
      <c r="C133" s="35"/>
      <c r="D133" s="32"/>
      <c r="E133" s="35"/>
    </row>
    <row r="134" spans="1:5" x14ac:dyDescent="0.25">
      <c r="A134" s="30"/>
      <c r="B134" s="30"/>
      <c r="C134" s="35"/>
      <c r="D134" s="32"/>
      <c r="E134" s="35"/>
    </row>
    <row r="135" spans="1:5" x14ac:dyDescent="0.25">
      <c r="A135" s="30"/>
      <c r="B135" s="30"/>
      <c r="C135" s="35"/>
      <c r="D135" s="32"/>
      <c r="E135" s="35"/>
    </row>
    <row r="136" spans="1:5" x14ac:dyDescent="0.25">
      <c r="A136" s="30"/>
      <c r="B136" s="30"/>
      <c r="C136" s="35"/>
      <c r="D136" s="32"/>
      <c r="E136" s="35"/>
    </row>
    <row r="137" spans="1:5" x14ac:dyDescent="0.25">
      <c r="A137" s="30"/>
      <c r="B137" s="30"/>
      <c r="C137" s="35"/>
      <c r="D137" s="32"/>
      <c r="E137" s="35"/>
    </row>
    <row r="138" spans="1:5" x14ac:dyDescent="0.25">
      <c r="A138" s="30"/>
      <c r="B138" s="30"/>
      <c r="C138" s="35"/>
      <c r="D138" s="32"/>
      <c r="E138" s="35"/>
    </row>
    <row r="139" spans="1:5" x14ac:dyDescent="0.25">
      <c r="A139" s="30"/>
      <c r="B139" s="30"/>
      <c r="C139" s="35"/>
      <c r="D139" s="32"/>
      <c r="E139" s="35"/>
    </row>
    <row r="140" spans="1:5" x14ac:dyDescent="0.25">
      <c r="A140" s="30"/>
      <c r="B140" s="30"/>
      <c r="C140" s="35"/>
      <c r="D140" s="32"/>
      <c r="E140" s="35"/>
    </row>
    <row r="141" spans="1:5" x14ac:dyDescent="0.25">
      <c r="A141" s="30"/>
      <c r="B141" s="30"/>
      <c r="C141" s="35"/>
      <c r="D141" s="32"/>
      <c r="E141" s="35"/>
    </row>
    <row r="142" spans="1:5" x14ac:dyDescent="0.25">
      <c r="A142" s="30"/>
      <c r="B142" s="30"/>
      <c r="C142" s="35"/>
      <c r="D142" s="32"/>
      <c r="E142" s="35"/>
    </row>
    <row r="143" spans="1:5" x14ac:dyDescent="0.25">
      <c r="A143" s="30"/>
      <c r="B143" s="30"/>
      <c r="C143" s="35"/>
      <c r="D143" s="32"/>
      <c r="E143" s="35"/>
    </row>
    <row r="144" spans="1:5" x14ac:dyDescent="0.25">
      <c r="A144" s="30"/>
      <c r="B144" s="30"/>
      <c r="C144" s="35"/>
      <c r="D144" s="32"/>
      <c r="E144" s="35"/>
    </row>
    <row r="145" spans="1:5" x14ac:dyDescent="0.25">
      <c r="A145" s="30"/>
      <c r="B145" s="30"/>
      <c r="C145" s="35"/>
      <c r="D145" s="32"/>
      <c r="E145" s="35"/>
    </row>
    <row r="146" spans="1:5" x14ac:dyDescent="0.25">
      <c r="A146" s="30"/>
      <c r="B146" s="30"/>
      <c r="C146" s="35"/>
      <c r="D146" s="32"/>
      <c r="E146" s="35"/>
    </row>
    <row r="147" spans="1:5" x14ac:dyDescent="0.25">
      <c r="A147" s="30"/>
      <c r="B147" s="30"/>
      <c r="C147" s="35"/>
      <c r="D147" s="32"/>
      <c r="E147" s="35"/>
    </row>
    <row r="148" spans="1:5" x14ac:dyDescent="0.25">
      <c r="A148" s="30"/>
      <c r="B148" s="30"/>
      <c r="C148" s="35"/>
      <c r="D148" s="32"/>
      <c r="E148" s="35"/>
    </row>
    <row r="149" spans="1:5" x14ac:dyDescent="0.25">
      <c r="A149" s="30"/>
      <c r="B149" s="30"/>
      <c r="C149" s="35"/>
      <c r="D149" s="32"/>
      <c r="E149" s="35"/>
    </row>
    <row r="150" spans="1:5" x14ac:dyDescent="0.25">
      <c r="A150" s="30"/>
      <c r="B150" s="30"/>
      <c r="C150" s="35"/>
      <c r="D150" s="32"/>
      <c r="E150" s="35"/>
    </row>
    <row r="151" spans="1:5" x14ac:dyDescent="0.25">
      <c r="A151" s="30"/>
      <c r="B151" s="30"/>
      <c r="C151" s="35"/>
      <c r="D151" s="32"/>
      <c r="E151" s="35"/>
    </row>
    <row r="152" spans="1:5" x14ac:dyDescent="0.25">
      <c r="A152" s="30"/>
      <c r="B152" s="30"/>
      <c r="C152" s="35"/>
      <c r="D152" s="32"/>
      <c r="E152" s="35"/>
    </row>
    <row r="153" spans="1:5" x14ac:dyDescent="0.25">
      <c r="A153" s="30"/>
      <c r="B153" s="30"/>
      <c r="C153" s="35"/>
      <c r="D153" s="32"/>
      <c r="E153" s="35"/>
    </row>
    <row r="154" spans="1:5" x14ac:dyDescent="0.25">
      <c r="A154" s="30"/>
      <c r="B154" s="30"/>
      <c r="C154" s="35"/>
      <c r="D154" s="32"/>
      <c r="E154" s="35"/>
    </row>
    <row r="155" spans="1:5" x14ac:dyDescent="0.25">
      <c r="A155" s="30"/>
      <c r="B155" s="30"/>
      <c r="C155" s="35"/>
      <c r="D155" s="32"/>
      <c r="E155" s="35"/>
    </row>
    <row r="156" spans="1:5" x14ac:dyDescent="0.25">
      <c r="A156" s="30"/>
      <c r="B156" s="30"/>
      <c r="C156" s="35"/>
      <c r="D156" s="32"/>
      <c r="E156" s="35"/>
    </row>
    <row r="157" spans="1:5" x14ac:dyDescent="0.25">
      <c r="A157" s="30"/>
      <c r="B157" s="30"/>
      <c r="C157" s="35"/>
      <c r="D157" s="32"/>
      <c r="E157" s="35"/>
    </row>
    <row r="158" spans="1:5" x14ac:dyDescent="0.25">
      <c r="A158" s="30"/>
      <c r="B158" s="30"/>
      <c r="C158" s="35"/>
      <c r="D158" s="32"/>
      <c r="E158" s="35"/>
    </row>
    <row r="159" spans="1:5" x14ac:dyDescent="0.25">
      <c r="A159" s="30"/>
      <c r="B159" s="30"/>
      <c r="C159" s="35"/>
      <c r="D159" s="32"/>
      <c r="E159" s="35"/>
    </row>
    <row r="160" spans="1:5" x14ac:dyDescent="0.25">
      <c r="A160" s="30"/>
      <c r="B160" s="30"/>
      <c r="C160" s="35"/>
      <c r="D160" s="32"/>
      <c r="E160" s="35"/>
    </row>
    <row r="161" spans="1:5" x14ac:dyDescent="0.25">
      <c r="A161" s="30"/>
      <c r="B161" s="30"/>
      <c r="C161" s="35"/>
      <c r="D161" s="32"/>
      <c r="E161" s="35"/>
    </row>
    <row r="162" spans="1:5" x14ac:dyDescent="0.25">
      <c r="A162" s="30"/>
      <c r="B162" s="30"/>
      <c r="C162" s="35"/>
      <c r="D162" s="32"/>
      <c r="E162" s="35"/>
    </row>
    <row r="163" spans="1:5" x14ac:dyDescent="0.25">
      <c r="A163" s="30"/>
      <c r="B163" s="30"/>
      <c r="C163" s="35"/>
      <c r="D163" s="32"/>
      <c r="E163" s="35"/>
    </row>
    <row r="164" spans="1:5" x14ac:dyDescent="0.25">
      <c r="A164" s="30"/>
      <c r="B164" s="30"/>
      <c r="C164" s="35"/>
      <c r="D164" s="32"/>
      <c r="E164" s="35"/>
    </row>
    <row r="165" spans="1:5" x14ac:dyDescent="0.25">
      <c r="A165" s="30"/>
      <c r="B165" s="30"/>
      <c r="C165" s="35"/>
      <c r="D165" s="32"/>
      <c r="E165" s="35"/>
    </row>
    <row r="166" spans="1:5" x14ac:dyDescent="0.25">
      <c r="A166" s="30"/>
      <c r="B166" s="30"/>
      <c r="C166" s="35"/>
      <c r="D166" s="32"/>
      <c r="E166" s="35"/>
    </row>
    <row r="167" spans="1:5" x14ac:dyDescent="0.25">
      <c r="A167" s="30"/>
      <c r="B167" s="30"/>
      <c r="C167" s="35"/>
      <c r="D167" s="32"/>
      <c r="E167" s="35"/>
    </row>
    <row r="168" spans="1:5" x14ac:dyDescent="0.25">
      <c r="A168" s="30"/>
      <c r="B168" s="30"/>
      <c r="C168" s="35"/>
      <c r="D168" s="32"/>
      <c r="E168" s="35"/>
    </row>
    <row r="169" spans="1:5" x14ac:dyDescent="0.25">
      <c r="A169" s="30"/>
      <c r="B169" s="30"/>
      <c r="C169" s="35"/>
      <c r="D169" s="32"/>
      <c r="E169" s="35"/>
    </row>
    <row r="170" spans="1:5" x14ac:dyDescent="0.25">
      <c r="A170" s="30"/>
      <c r="B170" s="30"/>
      <c r="C170" s="35"/>
      <c r="D170" s="32"/>
      <c r="E170" s="35"/>
    </row>
    <row r="171" spans="1:5" x14ac:dyDescent="0.25">
      <c r="A171" s="30"/>
      <c r="B171" s="30"/>
      <c r="C171" s="35"/>
      <c r="D171" s="32"/>
      <c r="E171" s="35"/>
    </row>
    <row r="172" spans="1:5" x14ac:dyDescent="0.25">
      <c r="A172" s="30"/>
      <c r="B172" s="30"/>
      <c r="C172" s="35"/>
      <c r="D172" s="32"/>
      <c r="E172" s="35"/>
    </row>
    <row r="173" spans="1:5" x14ac:dyDescent="0.25">
      <c r="A173" s="30"/>
      <c r="B173" s="30"/>
      <c r="C173" s="35"/>
      <c r="D173" s="32"/>
      <c r="E173" s="35"/>
    </row>
    <row r="174" spans="1:5" x14ac:dyDescent="0.25">
      <c r="A174" s="30"/>
      <c r="B174" s="30"/>
      <c r="C174" s="35"/>
      <c r="D174" s="32"/>
      <c r="E174" s="35"/>
    </row>
    <row r="175" spans="1:5" x14ac:dyDescent="0.25">
      <c r="A175" s="30"/>
      <c r="B175" s="30"/>
      <c r="C175" s="35"/>
      <c r="D175" s="32"/>
      <c r="E175" s="35"/>
    </row>
    <row r="176" spans="1:5" x14ac:dyDescent="0.25">
      <c r="A176" s="30"/>
      <c r="B176" s="30"/>
      <c r="C176" s="35"/>
      <c r="D176" s="32"/>
      <c r="E176" s="35"/>
    </row>
    <row r="177" spans="1:5" x14ac:dyDescent="0.25">
      <c r="A177" s="30"/>
      <c r="B177" s="30"/>
      <c r="C177" s="35"/>
      <c r="D177" s="32"/>
      <c r="E177" s="35"/>
    </row>
    <row r="178" spans="1:5" x14ac:dyDescent="0.25">
      <c r="A178" s="30"/>
      <c r="B178" s="30"/>
      <c r="C178" s="35"/>
      <c r="D178" s="32"/>
      <c r="E178" s="35"/>
    </row>
    <row r="179" spans="1:5" x14ac:dyDescent="0.25">
      <c r="A179" s="30"/>
      <c r="B179" s="30"/>
      <c r="C179" s="35"/>
      <c r="D179" s="32"/>
      <c r="E179" s="35"/>
    </row>
    <row r="180" spans="1:5" x14ac:dyDescent="0.25">
      <c r="A180" s="30"/>
      <c r="B180" s="30"/>
      <c r="C180" s="35"/>
      <c r="D180" s="32"/>
      <c r="E180" s="35"/>
    </row>
    <row r="181" spans="1:5" x14ac:dyDescent="0.25">
      <c r="A181" s="30"/>
      <c r="B181" s="30"/>
      <c r="C181" s="35"/>
      <c r="D181" s="32"/>
      <c r="E181" s="35"/>
    </row>
    <row r="182" spans="1:5" x14ac:dyDescent="0.25">
      <c r="A182" s="30"/>
      <c r="B182" s="30"/>
      <c r="C182" s="35"/>
      <c r="D182" s="32"/>
      <c r="E182" s="35"/>
    </row>
    <row r="183" spans="1:5" x14ac:dyDescent="0.25">
      <c r="A183" s="30"/>
      <c r="B183" s="30"/>
      <c r="C183" s="35"/>
      <c r="D183" s="32"/>
      <c r="E183" s="35"/>
    </row>
    <row r="184" spans="1:5" x14ac:dyDescent="0.25">
      <c r="A184" s="30"/>
      <c r="B184" s="30"/>
      <c r="C184" s="35"/>
      <c r="D184" s="32"/>
      <c r="E184" s="35"/>
    </row>
    <row r="185" spans="1:5" x14ac:dyDescent="0.25">
      <c r="A185" s="30"/>
      <c r="B185" s="30"/>
      <c r="C185" s="35"/>
      <c r="D185" s="32"/>
      <c r="E185" s="35"/>
    </row>
    <row r="186" spans="1:5" x14ac:dyDescent="0.25">
      <c r="A186" s="30"/>
      <c r="B186" s="30"/>
      <c r="C186" s="35"/>
      <c r="D186" s="32"/>
      <c r="E186" s="35"/>
    </row>
    <row r="187" spans="1:5" x14ac:dyDescent="0.25">
      <c r="A187" s="30"/>
      <c r="B187" s="30"/>
      <c r="C187" s="35"/>
      <c r="D187" s="32"/>
      <c r="E187" s="35"/>
    </row>
    <row r="188" spans="1:5" x14ac:dyDescent="0.25">
      <c r="A188" s="30"/>
      <c r="B188" s="30"/>
      <c r="C188" s="35"/>
      <c r="D188" s="32"/>
      <c r="E188" s="35"/>
    </row>
    <row r="189" spans="1:5" x14ac:dyDescent="0.25">
      <c r="A189" s="30"/>
      <c r="B189" s="30"/>
      <c r="C189" s="35"/>
      <c r="D189" s="32"/>
      <c r="E189" s="35"/>
    </row>
    <row r="190" spans="1:5" x14ac:dyDescent="0.25">
      <c r="A190" s="30"/>
      <c r="B190" s="30"/>
      <c r="C190" s="35"/>
      <c r="D190" s="32"/>
      <c r="E190" s="35"/>
    </row>
    <row r="191" spans="1:5" x14ac:dyDescent="0.25">
      <c r="A191" s="30"/>
      <c r="B191" s="30"/>
      <c r="C191" s="35"/>
      <c r="D191" s="32"/>
      <c r="E191" s="35"/>
    </row>
    <row r="192" spans="1:5" x14ac:dyDescent="0.25">
      <c r="A192" s="30"/>
      <c r="B192" s="30"/>
      <c r="C192" s="35"/>
      <c r="D192" s="32"/>
      <c r="E192" s="35"/>
    </row>
    <row r="193" spans="1:5" x14ac:dyDescent="0.25">
      <c r="A193" s="30"/>
      <c r="B193" s="30"/>
      <c r="C193" s="35"/>
      <c r="D193" s="32"/>
      <c r="E193" s="35"/>
    </row>
    <row r="194" spans="1:5" x14ac:dyDescent="0.25">
      <c r="A194" s="30"/>
      <c r="B194" s="30"/>
      <c r="C194" s="35"/>
      <c r="D194" s="32"/>
      <c r="E194" s="35"/>
    </row>
    <row r="195" spans="1:5" x14ac:dyDescent="0.25">
      <c r="A195" s="30"/>
      <c r="B195" s="30"/>
      <c r="C195" s="35"/>
      <c r="D195" s="32"/>
      <c r="E195" s="35"/>
    </row>
    <row r="196" spans="1:5" x14ac:dyDescent="0.25">
      <c r="A196" s="30"/>
      <c r="B196" s="30"/>
      <c r="C196" s="35"/>
      <c r="D196" s="32"/>
      <c r="E196" s="35"/>
    </row>
    <row r="197" spans="1:5" x14ac:dyDescent="0.25">
      <c r="A197" s="30"/>
      <c r="B197" s="30"/>
      <c r="C197" s="35"/>
      <c r="D197" s="32"/>
      <c r="E197" s="35"/>
    </row>
    <row r="198" spans="1:5" x14ac:dyDescent="0.25">
      <c r="A198" s="30"/>
      <c r="B198" s="30"/>
      <c r="C198" s="35"/>
      <c r="D198" s="32"/>
      <c r="E198" s="35"/>
    </row>
    <row r="199" spans="1:5" x14ac:dyDescent="0.25">
      <c r="A199" s="30"/>
      <c r="B199" s="30"/>
      <c r="C199" s="35"/>
      <c r="D199" s="32"/>
      <c r="E199" s="35"/>
    </row>
    <row r="200" spans="1:5" x14ac:dyDescent="0.25">
      <c r="A200" s="30"/>
      <c r="B200" s="30"/>
      <c r="C200" s="35"/>
      <c r="D200" s="32"/>
      <c r="E200" s="35"/>
    </row>
    <row r="201" spans="1:5" x14ac:dyDescent="0.25">
      <c r="A201" s="30"/>
      <c r="B201" s="30"/>
      <c r="C201" s="35"/>
      <c r="D201" s="32"/>
      <c r="E201" s="35"/>
    </row>
    <row r="202" spans="1:5" x14ac:dyDescent="0.25">
      <c r="A202" s="30"/>
      <c r="B202" s="30"/>
      <c r="C202" s="35"/>
      <c r="D202" s="32"/>
      <c r="E202" s="35"/>
    </row>
    <row r="203" spans="1:5" x14ac:dyDescent="0.25">
      <c r="A203" s="30"/>
      <c r="B203" s="30"/>
      <c r="C203" s="35"/>
      <c r="D203" s="32"/>
      <c r="E203" s="35"/>
    </row>
    <row r="204" spans="1:5" x14ac:dyDescent="0.25">
      <c r="A204" s="30"/>
      <c r="B204" s="30"/>
      <c r="C204" s="35"/>
      <c r="D204" s="32"/>
      <c r="E204" s="35"/>
    </row>
    <row r="205" spans="1:5" x14ac:dyDescent="0.25">
      <c r="A205" s="30"/>
      <c r="B205" s="30"/>
      <c r="C205" s="35"/>
      <c r="D205" s="32"/>
      <c r="E205" s="35"/>
    </row>
    <row r="206" spans="1:5" x14ac:dyDescent="0.25">
      <c r="A206" s="30"/>
      <c r="B206" s="30"/>
      <c r="C206" s="35"/>
      <c r="D206" s="32"/>
      <c r="E206" s="35"/>
    </row>
    <row r="207" spans="1:5" x14ac:dyDescent="0.25">
      <c r="A207" s="30"/>
      <c r="B207" s="30"/>
      <c r="C207" s="35"/>
      <c r="D207" s="32"/>
      <c r="E207" s="35"/>
    </row>
    <row r="208" spans="1:5" x14ac:dyDescent="0.25">
      <c r="A208" s="30"/>
      <c r="B208" s="30"/>
      <c r="C208" s="35"/>
      <c r="D208" s="32"/>
      <c r="E208" s="35"/>
    </row>
    <row r="209" spans="1:5" x14ac:dyDescent="0.25">
      <c r="A209" s="30"/>
      <c r="B209" s="30"/>
      <c r="C209" s="35"/>
      <c r="D209" s="32"/>
      <c r="E209" s="35"/>
    </row>
    <row r="210" spans="1:5" x14ac:dyDescent="0.25">
      <c r="A210" s="30"/>
      <c r="B210" s="30"/>
      <c r="C210" s="35"/>
      <c r="D210" s="32"/>
      <c r="E210" s="35"/>
    </row>
    <row r="211" spans="1:5" x14ac:dyDescent="0.25">
      <c r="A211" s="30"/>
      <c r="B211" s="30"/>
      <c r="C211" s="35"/>
      <c r="D211" s="32"/>
      <c r="E211" s="35"/>
    </row>
    <row r="212" spans="1:5" x14ac:dyDescent="0.25">
      <c r="A212" s="30"/>
      <c r="B212" s="30"/>
      <c r="C212" s="35"/>
      <c r="D212" s="32"/>
      <c r="E212" s="35"/>
    </row>
    <row r="213" spans="1:5" x14ac:dyDescent="0.25">
      <c r="A213" s="30"/>
      <c r="B213" s="30"/>
      <c r="C213" s="35"/>
      <c r="D213" s="32"/>
      <c r="E213" s="35"/>
    </row>
    <row r="214" spans="1:5" x14ac:dyDescent="0.25">
      <c r="A214" s="30"/>
      <c r="B214" s="30"/>
      <c r="C214" s="35"/>
      <c r="D214" s="32"/>
      <c r="E214" s="35"/>
    </row>
    <row r="215" spans="1:5" x14ac:dyDescent="0.25">
      <c r="A215" s="30"/>
      <c r="B215" s="30"/>
      <c r="C215" s="35"/>
      <c r="D215" s="32"/>
      <c r="E215" s="35"/>
    </row>
    <row r="216" spans="1:5" x14ac:dyDescent="0.25">
      <c r="A216" s="30"/>
      <c r="B216" s="30"/>
      <c r="C216" s="35"/>
      <c r="D216" s="32"/>
      <c r="E216" s="35"/>
    </row>
    <row r="217" spans="1:5" x14ac:dyDescent="0.25">
      <c r="A217" s="30"/>
      <c r="B217" s="30"/>
      <c r="C217" s="35"/>
      <c r="D217" s="32"/>
      <c r="E217" s="35"/>
    </row>
    <row r="218" spans="1:5" x14ac:dyDescent="0.25">
      <c r="A218" s="30"/>
      <c r="B218" s="30"/>
      <c r="C218" s="35"/>
      <c r="D218" s="32"/>
      <c r="E218" s="35"/>
    </row>
    <row r="219" spans="1:5" x14ac:dyDescent="0.25">
      <c r="A219" s="30"/>
      <c r="B219" s="30"/>
      <c r="C219" s="35"/>
      <c r="D219" s="32"/>
      <c r="E219" s="35"/>
    </row>
    <row r="220" spans="1:5" x14ac:dyDescent="0.25">
      <c r="A220" s="30"/>
      <c r="B220" s="30"/>
      <c r="C220" s="35"/>
      <c r="D220" s="32"/>
      <c r="E220" s="35"/>
    </row>
    <row r="221" spans="1:5" x14ac:dyDescent="0.25">
      <c r="A221" s="30"/>
      <c r="B221" s="30"/>
      <c r="C221" s="35"/>
      <c r="D221" s="32"/>
      <c r="E221" s="35"/>
    </row>
    <row r="222" spans="1:5" x14ac:dyDescent="0.25">
      <c r="A222" s="30"/>
      <c r="B222" s="30"/>
      <c r="C222" s="35"/>
      <c r="D222" s="32"/>
      <c r="E222" s="35"/>
    </row>
    <row r="223" spans="1:5" x14ac:dyDescent="0.25">
      <c r="A223" s="30"/>
      <c r="B223" s="30"/>
      <c r="C223" s="35"/>
      <c r="D223" s="32"/>
      <c r="E223" s="35"/>
    </row>
    <row r="224" spans="1:5" x14ac:dyDescent="0.25">
      <c r="A224" s="30"/>
      <c r="B224" s="30"/>
      <c r="C224" s="35"/>
      <c r="D224" s="32"/>
      <c r="E224" s="35"/>
    </row>
    <row r="225" spans="1:5" x14ac:dyDescent="0.25">
      <c r="A225" s="30"/>
      <c r="B225" s="30"/>
      <c r="C225" s="35"/>
      <c r="D225" s="32"/>
      <c r="E225" s="35"/>
    </row>
    <row r="226" spans="1:5" x14ac:dyDescent="0.25">
      <c r="A226" s="30"/>
      <c r="B226" s="30"/>
      <c r="C226" s="35"/>
      <c r="D226" s="32"/>
      <c r="E226" s="35"/>
    </row>
    <row r="227" spans="1:5" x14ac:dyDescent="0.25">
      <c r="A227" s="30"/>
      <c r="B227" s="30"/>
      <c r="C227" s="35"/>
      <c r="D227" s="32"/>
      <c r="E227" s="35"/>
    </row>
    <row r="228" spans="1:5" x14ac:dyDescent="0.25">
      <c r="A228" s="30"/>
      <c r="B228" s="30"/>
      <c r="C228" s="35"/>
      <c r="D228" s="32"/>
      <c r="E228" s="35"/>
    </row>
    <row r="229" spans="1:5" x14ac:dyDescent="0.25">
      <c r="A229" s="30"/>
      <c r="B229" s="30"/>
      <c r="C229" s="35"/>
      <c r="D229" s="32"/>
      <c r="E229" s="35"/>
    </row>
    <row r="230" spans="1:5" x14ac:dyDescent="0.25">
      <c r="A230" s="30"/>
      <c r="B230" s="30"/>
      <c r="C230" s="35"/>
      <c r="D230" s="32"/>
      <c r="E230" s="35"/>
    </row>
    <row r="231" spans="1:5" x14ac:dyDescent="0.25">
      <c r="A231" s="30"/>
      <c r="B231" s="30"/>
      <c r="C231" s="35"/>
      <c r="D231" s="32"/>
      <c r="E231" s="35"/>
    </row>
    <row r="232" spans="1:5" x14ac:dyDescent="0.25">
      <c r="A232" s="30"/>
      <c r="B232" s="30"/>
      <c r="C232" s="35"/>
      <c r="D232" s="32"/>
      <c r="E232" s="35"/>
    </row>
    <row r="233" spans="1:5" x14ac:dyDescent="0.25">
      <c r="A233" s="30"/>
      <c r="B233" s="30"/>
      <c r="C233" s="35"/>
      <c r="D233" s="32"/>
      <c r="E233" s="35"/>
    </row>
    <row r="234" spans="1:5" x14ac:dyDescent="0.25">
      <c r="A234" s="30"/>
      <c r="B234" s="30"/>
      <c r="C234" s="35"/>
      <c r="D234" s="32"/>
      <c r="E234" s="35"/>
    </row>
    <row r="235" spans="1:5" x14ac:dyDescent="0.25">
      <c r="A235" s="30"/>
      <c r="B235" s="30"/>
      <c r="C235" s="35"/>
      <c r="D235" s="32"/>
      <c r="E235" s="35"/>
    </row>
    <row r="236" spans="1:5" x14ac:dyDescent="0.25">
      <c r="A236" s="30"/>
      <c r="B236" s="30"/>
      <c r="C236" s="35"/>
      <c r="D236" s="32"/>
      <c r="E236" s="35"/>
    </row>
    <row r="237" spans="1:5" x14ac:dyDescent="0.25">
      <c r="A237" s="30"/>
      <c r="B237" s="30"/>
      <c r="C237" s="35"/>
      <c r="D237" s="32"/>
      <c r="E237" s="35"/>
    </row>
    <row r="238" spans="1:5" x14ac:dyDescent="0.25">
      <c r="A238" s="30"/>
      <c r="B238" s="30"/>
      <c r="C238" s="35"/>
      <c r="D238" s="32"/>
      <c r="E238" s="35"/>
    </row>
    <row r="239" spans="1:5" x14ac:dyDescent="0.25">
      <c r="A239" s="30"/>
      <c r="B239" s="30"/>
      <c r="C239" s="35"/>
      <c r="D239" s="32"/>
      <c r="E239" s="35"/>
    </row>
    <row r="240" spans="1:5" x14ac:dyDescent="0.25">
      <c r="A240" s="30"/>
      <c r="B240" s="30"/>
      <c r="C240" s="35"/>
      <c r="D240" s="32"/>
      <c r="E240" s="35"/>
    </row>
    <row r="241" spans="1:5" x14ac:dyDescent="0.25">
      <c r="A241" s="30"/>
      <c r="B241" s="30"/>
      <c r="C241" s="35"/>
      <c r="D241" s="32"/>
      <c r="E241" s="35"/>
    </row>
    <row r="242" spans="1:5" x14ac:dyDescent="0.25">
      <c r="A242" s="30"/>
      <c r="B242" s="30"/>
      <c r="C242" s="35"/>
      <c r="D242" s="32"/>
      <c r="E242" s="35"/>
    </row>
    <row r="243" spans="1:5" x14ac:dyDescent="0.25">
      <c r="A243" s="30"/>
      <c r="B243" s="30"/>
      <c r="C243" s="35"/>
      <c r="D243" s="32"/>
      <c r="E243" s="35"/>
    </row>
    <row r="244" spans="1:5" x14ac:dyDescent="0.25">
      <c r="A244" s="30"/>
      <c r="B244" s="30"/>
      <c r="C244" s="35"/>
      <c r="D244" s="32"/>
      <c r="E244" s="35"/>
    </row>
    <row r="245" spans="1:5" x14ac:dyDescent="0.25">
      <c r="A245" s="30"/>
      <c r="B245" s="30"/>
      <c r="C245" s="35"/>
      <c r="D245" s="32"/>
      <c r="E245" s="35"/>
    </row>
    <row r="246" spans="1:5" x14ac:dyDescent="0.25">
      <c r="A246" s="30"/>
      <c r="B246" s="30"/>
      <c r="C246" s="35"/>
      <c r="D246" s="32"/>
      <c r="E246" s="35"/>
    </row>
    <row r="247" spans="1:5" x14ac:dyDescent="0.25">
      <c r="A247" s="30"/>
      <c r="B247" s="30"/>
      <c r="C247" s="35"/>
      <c r="D247" s="32"/>
      <c r="E247" s="35"/>
    </row>
    <row r="248" spans="1:5" x14ac:dyDescent="0.25">
      <c r="A248" s="30"/>
      <c r="B248" s="30"/>
      <c r="C248" s="35"/>
      <c r="D248" s="32"/>
      <c r="E248" s="35"/>
    </row>
    <row r="249" spans="1:5" x14ac:dyDescent="0.25">
      <c r="A249" s="30"/>
      <c r="B249" s="30"/>
      <c r="C249" s="35"/>
      <c r="D249" s="32"/>
      <c r="E249" s="35"/>
    </row>
    <row r="250" spans="1:5" x14ac:dyDescent="0.25">
      <c r="A250" s="30"/>
      <c r="B250" s="30"/>
      <c r="C250" s="35"/>
      <c r="D250" s="32"/>
      <c r="E250" s="35"/>
    </row>
    <row r="251" spans="1:5" x14ac:dyDescent="0.25">
      <c r="A251" s="30"/>
      <c r="B251" s="30"/>
      <c r="C251" s="35"/>
      <c r="D251" s="32"/>
      <c r="E251" s="35"/>
    </row>
    <row r="252" spans="1:5" x14ac:dyDescent="0.25">
      <c r="A252" s="30"/>
      <c r="B252" s="30"/>
      <c r="C252" s="35"/>
      <c r="D252" s="32"/>
      <c r="E252" s="35"/>
    </row>
    <row r="253" spans="1:5" x14ac:dyDescent="0.25">
      <c r="A253" s="30"/>
      <c r="B253" s="30"/>
      <c r="C253" s="35"/>
      <c r="D253" s="32"/>
      <c r="E253" s="35"/>
    </row>
    <row r="254" spans="1:5" x14ac:dyDescent="0.25">
      <c r="A254" s="30"/>
      <c r="B254" s="30"/>
      <c r="C254" s="35"/>
      <c r="D254" s="32"/>
      <c r="E254" s="35"/>
    </row>
    <row r="255" spans="1:5" x14ac:dyDescent="0.25">
      <c r="A255" s="30"/>
      <c r="B255" s="30"/>
      <c r="C255" s="35"/>
      <c r="D255" s="32"/>
      <c r="E255" s="35"/>
    </row>
    <row r="256" spans="1:5" x14ac:dyDescent="0.25">
      <c r="A256" s="30"/>
      <c r="B256" s="30"/>
      <c r="C256" s="35"/>
      <c r="D256" s="32"/>
      <c r="E256" s="35"/>
    </row>
    <row r="257" spans="1:5" x14ac:dyDescent="0.25">
      <c r="A257" s="30"/>
      <c r="B257" s="30"/>
      <c r="C257" s="35"/>
      <c r="D257" s="32"/>
      <c r="E257" s="35"/>
    </row>
    <row r="258" spans="1:5" x14ac:dyDescent="0.25">
      <c r="A258" s="30"/>
      <c r="B258" s="30"/>
      <c r="C258" s="35"/>
      <c r="D258" s="32"/>
      <c r="E258" s="35"/>
    </row>
    <row r="259" spans="1:5" x14ac:dyDescent="0.25">
      <c r="A259" s="30"/>
      <c r="B259" s="30"/>
      <c r="C259" s="35"/>
      <c r="D259" s="32"/>
      <c r="E259" s="35"/>
    </row>
    <row r="260" spans="1:5" x14ac:dyDescent="0.25">
      <c r="A260" s="30"/>
      <c r="B260" s="30"/>
      <c r="C260" s="35"/>
      <c r="D260" s="32"/>
      <c r="E260" s="35"/>
    </row>
    <row r="261" spans="1:5" x14ac:dyDescent="0.25">
      <c r="A261" s="30"/>
      <c r="B261" s="30"/>
      <c r="C261" s="35"/>
      <c r="D261" s="32"/>
      <c r="E261" s="35"/>
    </row>
    <row r="262" spans="1:5" x14ac:dyDescent="0.25">
      <c r="A262" s="30"/>
      <c r="B262" s="30"/>
      <c r="C262" s="35"/>
      <c r="D262" s="32"/>
      <c r="E262" s="35"/>
    </row>
    <row r="263" spans="1:5" x14ac:dyDescent="0.25">
      <c r="A263" s="30"/>
      <c r="B263" s="30"/>
      <c r="C263" s="35"/>
      <c r="D263" s="32"/>
      <c r="E263" s="35"/>
    </row>
    <row r="264" spans="1:5" x14ac:dyDescent="0.25">
      <c r="A264" s="30"/>
      <c r="B264" s="30"/>
      <c r="C264" s="35"/>
      <c r="D264" s="32"/>
      <c r="E264" s="35"/>
    </row>
    <row r="265" spans="1:5" x14ac:dyDescent="0.25">
      <c r="A265" s="30"/>
      <c r="B265" s="30"/>
      <c r="C265" s="35"/>
      <c r="D265" s="32"/>
      <c r="E265" s="35"/>
    </row>
    <row r="266" spans="1:5" x14ac:dyDescent="0.25">
      <c r="A266" s="30"/>
      <c r="B266" s="30"/>
      <c r="C266" s="35"/>
      <c r="D266" s="32"/>
      <c r="E266" s="35"/>
    </row>
    <row r="267" spans="1:5" x14ac:dyDescent="0.25">
      <c r="A267" s="30"/>
      <c r="B267" s="30"/>
      <c r="C267" s="35"/>
      <c r="D267" s="32"/>
      <c r="E267" s="35"/>
    </row>
    <row r="268" spans="1:5" x14ac:dyDescent="0.25">
      <c r="A268" s="30"/>
      <c r="B268" s="30"/>
      <c r="C268" s="35"/>
      <c r="D268" s="32"/>
      <c r="E268" s="35"/>
    </row>
    <row r="269" spans="1:5" x14ac:dyDescent="0.25">
      <c r="A269" s="30"/>
      <c r="B269" s="30"/>
      <c r="C269" s="35"/>
      <c r="D269" s="32"/>
      <c r="E269" s="35"/>
    </row>
    <row r="270" spans="1:5" x14ac:dyDescent="0.25">
      <c r="A270" s="30"/>
      <c r="B270" s="30"/>
      <c r="C270" s="35"/>
      <c r="D270" s="32"/>
      <c r="E270" s="35"/>
    </row>
    <row r="271" spans="1:5" x14ac:dyDescent="0.25">
      <c r="A271" s="30"/>
      <c r="B271" s="30"/>
      <c r="C271" s="35"/>
      <c r="D271" s="32"/>
      <c r="E271" s="35"/>
    </row>
    <row r="272" spans="1:5" x14ac:dyDescent="0.25">
      <c r="A272" s="30"/>
      <c r="B272" s="30"/>
      <c r="C272" s="35"/>
      <c r="D272" s="32"/>
      <c r="E272" s="35"/>
    </row>
    <row r="273" spans="1:5" x14ac:dyDescent="0.25">
      <c r="A273" s="30"/>
      <c r="B273" s="30"/>
      <c r="C273" s="35"/>
      <c r="D273" s="32"/>
      <c r="E273" s="35"/>
    </row>
    <row r="274" spans="1:5" x14ac:dyDescent="0.25">
      <c r="A274" s="30"/>
      <c r="B274" s="30"/>
      <c r="C274" s="35"/>
      <c r="D274" s="32"/>
      <c r="E274" s="35"/>
    </row>
    <row r="275" spans="1:5" x14ac:dyDescent="0.25">
      <c r="A275" s="30"/>
      <c r="B275" s="30"/>
      <c r="C275" s="35"/>
      <c r="D275" s="32"/>
      <c r="E275" s="35"/>
    </row>
    <row r="276" spans="1:5" x14ac:dyDescent="0.25">
      <c r="A276" s="30"/>
      <c r="B276" s="30"/>
      <c r="C276" s="35"/>
      <c r="D276" s="32"/>
      <c r="E276" s="35"/>
    </row>
    <row r="277" spans="1:5" x14ac:dyDescent="0.25">
      <c r="A277" s="30"/>
      <c r="B277" s="30"/>
      <c r="C277" s="35"/>
      <c r="D277" s="32"/>
      <c r="E277" s="35"/>
    </row>
    <row r="278" spans="1:5" x14ac:dyDescent="0.25">
      <c r="A278" s="30"/>
      <c r="B278" s="30"/>
      <c r="C278" s="35"/>
      <c r="D278" s="32"/>
      <c r="E278" s="35"/>
    </row>
    <row r="279" spans="1:5" x14ac:dyDescent="0.25">
      <c r="A279" s="30"/>
      <c r="B279" s="30"/>
      <c r="C279" s="35"/>
      <c r="D279" s="32"/>
      <c r="E279" s="35"/>
    </row>
    <row r="280" spans="1:5" x14ac:dyDescent="0.25">
      <c r="A280" s="30"/>
      <c r="B280" s="30"/>
      <c r="C280" s="35"/>
      <c r="D280" s="32"/>
      <c r="E280" s="35"/>
    </row>
    <row r="281" spans="1:5" x14ac:dyDescent="0.25">
      <c r="A281" s="30"/>
      <c r="B281" s="30"/>
      <c r="C281" s="35"/>
      <c r="D281" s="32"/>
      <c r="E281" s="35"/>
    </row>
    <row r="282" spans="1:5" x14ac:dyDescent="0.25">
      <c r="A282" s="30"/>
      <c r="B282" s="30"/>
      <c r="C282" s="35"/>
      <c r="D282" s="32"/>
      <c r="E282" s="35"/>
    </row>
    <row r="283" spans="1:5" x14ac:dyDescent="0.25">
      <c r="A283" s="30"/>
      <c r="B283" s="30"/>
      <c r="C283" s="35"/>
      <c r="D283" s="32"/>
      <c r="E283" s="35"/>
    </row>
    <row r="284" spans="1:5" x14ac:dyDescent="0.25">
      <c r="A284" s="30"/>
      <c r="B284" s="30"/>
      <c r="C284" s="35"/>
      <c r="D284" s="32"/>
      <c r="E284" s="35"/>
    </row>
    <row r="285" spans="1:5" x14ac:dyDescent="0.25">
      <c r="A285" s="30"/>
      <c r="B285" s="30"/>
      <c r="C285" s="35"/>
      <c r="D285" s="32"/>
      <c r="E285" s="35"/>
    </row>
    <row r="286" spans="1:5" x14ac:dyDescent="0.25">
      <c r="A286" s="30"/>
      <c r="B286" s="30"/>
      <c r="C286" s="35"/>
      <c r="D286" s="32"/>
      <c r="E286" s="35"/>
    </row>
    <row r="287" spans="1:5" x14ac:dyDescent="0.25">
      <c r="A287" s="30"/>
      <c r="B287" s="30"/>
      <c r="C287" s="35"/>
      <c r="D287" s="32"/>
      <c r="E287" s="35"/>
    </row>
    <row r="288" spans="1:5" x14ac:dyDescent="0.25">
      <c r="A288" s="30"/>
      <c r="B288" s="30"/>
      <c r="C288" s="35"/>
      <c r="D288" s="32"/>
      <c r="E288" s="35"/>
    </row>
    <row r="289" spans="1:5" x14ac:dyDescent="0.25">
      <c r="A289" s="30"/>
      <c r="B289" s="30"/>
      <c r="C289" s="35"/>
      <c r="D289" s="32"/>
      <c r="E289" s="35"/>
    </row>
    <row r="290" spans="1:5" x14ac:dyDescent="0.25">
      <c r="A290" s="30"/>
      <c r="B290" s="30"/>
      <c r="C290" s="35"/>
      <c r="D290" s="32"/>
      <c r="E290" s="35"/>
    </row>
    <row r="291" spans="1:5" x14ac:dyDescent="0.25">
      <c r="A291" s="30"/>
      <c r="B291" s="30"/>
      <c r="C291" s="35"/>
      <c r="D291" s="32"/>
      <c r="E291" s="35"/>
    </row>
    <row r="292" spans="1:5" x14ac:dyDescent="0.25">
      <c r="A292" s="30"/>
      <c r="B292" s="30"/>
      <c r="C292" s="35"/>
      <c r="D292" s="32"/>
      <c r="E292" s="35"/>
    </row>
    <row r="293" spans="1:5" x14ac:dyDescent="0.25">
      <c r="A293" s="30"/>
      <c r="B293" s="30"/>
      <c r="C293" s="35"/>
      <c r="D293" s="32"/>
      <c r="E293" s="35"/>
    </row>
    <row r="294" spans="1:5" x14ac:dyDescent="0.25">
      <c r="A294" s="30"/>
      <c r="B294" s="30"/>
      <c r="C294" s="35"/>
      <c r="D294" s="32"/>
      <c r="E294" s="35"/>
    </row>
    <row r="295" spans="1:5" x14ac:dyDescent="0.25">
      <c r="A295" s="30"/>
      <c r="B295" s="30"/>
      <c r="C295" s="35"/>
      <c r="D295" s="32"/>
      <c r="E295" s="35"/>
    </row>
    <row r="296" spans="1:5" x14ac:dyDescent="0.25">
      <c r="A296" s="30"/>
      <c r="B296" s="30"/>
      <c r="C296" s="35"/>
      <c r="D296" s="32"/>
      <c r="E296" s="35"/>
    </row>
    <row r="297" spans="1:5" x14ac:dyDescent="0.25">
      <c r="A297" s="30"/>
      <c r="B297" s="30"/>
      <c r="C297" s="35"/>
      <c r="D297" s="32"/>
      <c r="E297" s="35"/>
    </row>
    <row r="298" spans="1:5" x14ac:dyDescent="0.25">
      <c r="A298" s="30"/>
      <c r="B298" s="30"/>
      <c r="C298" s="35"/>
      <c r="D298" s="32"/>
      <c r="E298" s="35"/>
    </row>
    <row r="299" spans="1:5" x14ac:dyDescent="0.25">
      <c r="A299" s="30"/>
      <c r="B299" s="30"/>
      <c r="C299" s="35"/>
      <c r="D299" s="32"/>
      <c r="E299" s="35"/>
    </row>
    <row r="300" spans="1:5" x14ac:dyDescent="0.25">
      <c r="A300" s="30"/>
      <c r="B300" s="30"/>
      <c r="C300" s="35"/>
      <c r="D300" s="32"/>
      <c r="E300" s="35"/>
    </row>
    <row r="301" spans="1:5" x14ac:dyDescent="0.25">
      <c r="A301" s="30"/>
      <c r="B301" s="30"/>
      <c r="C301" s="35"/>
      <c r="D301" s="32"/>
      <c r="E301" s="35"/>
    </row>
    <row r="302" spans="1:5" x14ac:dyDescent="0.25">
      <c r="A302" s="30"/>
      <c r="B302" s="30"/>
      <c r="C302" s="35"/>
      <c r="D302" s="32"/>
      <c r="E302" s="35"/>
    </row>
    <row r="303" spans="1:5" x14ac:dyDescent="0.25">
      <c r="A303" s="30"/>
      <c r="B303" s="30"/>
      <c r="C303" s="35"/>
      <c r="D303" s="32"/>
      <c r="E303" s="35"/>
    </row>
    <row r="304" spans="1:5" x14ac:dyDescent="0.25">
      <c r="A304" s="30"/>
      <c r="B304" s="30"/>
      <c r="C304" s="35"/>
      <c r="D304" s="32"/>
      <c r="E304" s="35"/>
    </row>
    <row r="305" spans="1:5" x14ac:dyDescent="0.25">
      <c r="A305" s="30"/>
      <c r="B305" s="30"/>
      <c r="C305" s="35"/>
      <c r="D305" s="32"/>
      <c r="E305" s="35"/>
    </row>
    <row r="306" spans="1:5" x14ac:dyDescent="0.25">
      <c r="A306" s="30"/>
      <c r="B306" s="30"/>
      <c r="C306" s="35"/>
      <c r="D306" s="32"/>
      <c r="E306" s="35"/>
    </row>
    <row r="307" spans="1:5" x14ac:dyDescent="0.25">
      <c r="A307" s="30"/>
      <c r="B307" s="30"/>
      <c r="C307" s="35"/>
      <c r="D307" s="32"/>
      <c r="E307" s="35"/>
    </row>
    <row r="308" spans="1:5" x14ac:dyDescent="0.25">
      <c r="A308" s="30"/>
      <c r="B308" s="30"/>
      <c r="C308" s="35"/>
      <c r="D308" s="32"/>
      <c r="E308" s="35"/>
    </row>
    <row r="309" spans="1:5" x14ac:dyDescent="0.25">
      <c r="A309" s="30"/>
      <c r="B309" s="30"/>
      <c r="C309" s="35"/>
      <c r="D309" s="32"/>
      <c r="E309" s="35"/>
    </row>
    <row r="310" spans="1:5" x14ac:dyDescent="0.25">
      <c r="A310" s="30"/>
      <c r="B310" s="30"/>
      <c r="C310" s="35"/>
      <c r="D310" s="32"/>
      <c r="E310" s="35"/>
    </row>
    <row r="311" spans="1:5" x14ac:dyDescent="0.25">
      <c r="A311" s="30"/>
      <c r="B311" s="30"/>
      <c r="C311" s="35"/>
      <c r="D311" s="32"/>
      <c r="E311" s="35"/>
    </row>
    <row r="312" spans="1:5" x14ac:dyDescent="0.25">
      <c r="A312" s="30"/>
      <c r="B312" s="30"/>
      <c r="C312" s="35"/>
      <c r="D312" s="32"/>
      <c r="E312" s="35"/>
    </row>
    <row r="313" spans="1:5" x14ac:dyDescent="0.25">
      <c r="A313" s="30"/>
      <c r="B313" s="30"/>
      <c r="C313" s="35"/>
      <c r="D313" s="32"/>
      <c r="E313" s="35"/>
    </row>
    <row r="314" spans="1:5" x14ac:dyDescent="0.25">
      <c r="A314" s="30"/>
      <c r="B314" s="30"/>
      <c r="C314" s="35"/>
      <c r="D314" s="32"/>
      <c r="E314" s="35"/>
    </row>
    <row r="315" spans="1:5" x14ac:dyDescent="0.25">
      <c r="A315" s="30"/>
      <c r="B315" s="30"/>
      <c r="C315" s="35"/>
      <c r="D315" s="32"/>
      <c r="E315" s="35"/>
    </row>
    <row r="316" spans="1:5" x14ac:dyDescent="0.25">
      <c r="A316" s="30"/>
      <c r="B316" s="30"/>
      <c r="C316" s="35"/>
      <c r="D316" s="32"/>
      <c r="E316" s="35"/>
    </row>
    <row r="317" spans="1:5" x14ac:dyDescent="0.25">
      <c r="A317" s="30"/>
      <c r="B317" s="30"/>
      <c r="C317" s="35"/>
      <c r="D317" s="32"/>
      <c r="E317" s="35"/>
    </row>
    <row r="318" spans="1:5" x14ac:dyDescent="0.25">
      <c r="A318" s="30"/>
      <c r="B318" s="30"/>
      <c r="C318" s="35"/>
      <c r="D318" s="32"/>
      <c r="E318" s="35"/>
    </row>
    <row r="319" spans="1:5" x14ac:dyDescent="0.25">
      <c r="A319" s="30"/>
      <c r="B319" s="30"/>
      <c r="C319" s="35"/>
      <c r="D319" s="32"/>
      <c r="E319" s="35"/>
    </row>
    <row r="320" spans="1:5" x14ac:dyDescent="0.25">
      <c r="A320" s="30"/>
      <c r="B320" s="30"/>
      <c r="C320" s="35"/>
      <c r="D320" s="32"/>
      <c r="E320" s="35"/>
    </row>
    <row r="321" spans="1:5" x14ac:dyDescent="0.25">
      <c r="A321" s="30"/>
      <c r="B321" s="30"/>
      <c r="C321" s="35"/>
      <c r="D321" s="32"/>
      <c r="E321" s="35"/>
    </row>
    <row r="322" spans="1:5" x14ac:dyDescent="0.25">
      <c r="A322" s="30"/>
      <c r="B322" s="30"/>
      <c r="C322" s="35"/>
      <c r="D322" s="32"/>
      <c r="E322" s="35"/>
    </row>
    <row r="323" spans="1:5" x14ac:dyDescent="0.25">
      <c r="A323" s="30"/>
      <c r="B323" s="30"/>
      <c r="C323" s="35"/>
      <c r="D323" s="32"/>
      <c r="E323" s="35"/>
    </row>
    <row r="324" spans="1:5" x14ac:dyDescent="0.25">
      <c r="A324" s="30"/>
      <c r="B324" s="30"/>
      <c r="C324" s="35"/>
      <c r="D324" s="32"/>
      <c r="E324" s="35"/>
    </row>
    <row r="325" spans="1:5" x14ac:dyDescent="0.25">
      <c r="A325" s="30"/>
      <c r="B325" s="30"/>
      <c r="C325" s="35"/>
      <c r="D325" s="32"/>
      <c r="E325" s="35"/>
    </row>
    <row r="326" spans="1:5" x14ac:dyDescent="0.25">
      <c r="A326" s="30"/>
      <c r="B326" s="30"/>
      <c r="C326" s="35"/>
      <c r="D326" s="32"/>
      <c r="E326" s="35"/>
    </row>
    <row r="327" spans="1:5" x14ac:dyDescent="0.25">
      <c r="A327" s="30"/>
      <c r="B327" s="30"/>
      <c r="C327" s="35"/>
      <c r="D327" s="32"/>
      <c r="E327" s="35"/>
    </row>
    <row r="328" spans="1:5" x14ac:dyDescent="0.25">
      <c r="A328" s="30"/>
      <c r="B328" s="30"/>
      <c r="C328" s="35"/>
      <c r="D328" s="32"/>
      <c r="E328" s="35"/>
    </row>
    <row r="329" spans="1:5" x14ac:dyDescent="0.25">
      <c r="A329" s="30"/>
      <c r="B329" s="30"/>
      <c r="C329" s="35"/>
      <c r="D329" s="32"/>
      <c r="E329" s="35"/>
    </row>
    <row r="330" spans="1:5" x14ac:dyDescent="0.25">
      <c r="A330" s="30"/>
      <c r="B330" s="30"/>
      <c r="C330" s="35"/>
      <c r="D330" s="32"/>
      <c r="E330" s="35"/>
    </row>
    <row r="331" spans="1:5" x14ac:dyDescent="0.25">
      <c r="A331" s="30"/>
      <c r="B331" s="30"/>
      <c r="C331" s="35"/>
      <c r="D331" s="32"/>
      <c r="E331" s="35"/>
    </row>
    <row r="332" spans="1:5" x14ac:dyDescent="0.25">
      <c r="A332" s="30"/>
      <c r="B332" s="30"/>
      <c r="C332" s="35"/>
      <c r="D332" s="32"/>
      <c r="E332" s="35"/>
    </row>
    <row r="333" spans="1:5" x14ac:dyDescent="0.25">
      <c r="A333" s="30"/>
      <c r="B333" s="30"/>
      <c r="C333" s="35"/>
      <c r="D333" s="32"/>
      <c r="E333" s="35"/>
    </row>
    <row r="334" spans="1:5" x14ac:dyDescent="0.25">
      <c r="A334" s="30"/>
      <c r="B334" s="30"/>
      <c r="C334" s="35"/>
      <c r="D334" s="32"/>
      <c r="E334" s="35"/>
    </row>
    <row r="335" spans="1:5" x14ac:dyDescent="0.25">
      <c r="A335" s="30"/>
      <c r="B335" s="30"/>
      <c r="C335" s="35"/>
      <c r="D335" s="32"/>
      <c r="E335" s="35"/>
    </row>
    <row r="336" spans="1:5" x14ac:dyDescent="0.25">
      <c r="A336" s="30"/>
      <c r="B336" s="30"/>
      <c r="C336" s="35"/>
      <c r="D336" s="32"/>
      <c r="E336" s="35"/>
    </row>
    <row r="337" spans="1:5" x14ac:dyDescent="0.25">
      <c r="A337" s="30"/>
      <c r="B337" s="30"/>
      <c r="C337" s="35"/>
      <c r="D337" s="32"/>
      <c r="E337" s="35"/>
    </row>
    <row r="338" spans="1:5" x14ac:dyDescent="0.25">
      <c r="A338" s="30"/>
      <c r="B338" s="30"/>
      <c r="C338" s="35"/>
      <c r="D338" s="32"/>
      <c r="E338" s="35"/>
    </row>
    <row r="339" spans="1:5" x14ac:dyDescent="0.25">
      <c r="A339" s="30"/>
      <c r="B339" s="30"/>
      <c r="C339" s="35"/>
      <c r="D339" s="32"/>
      <c r="E339" s="35"/>
    </row>
    <row r="340" spans="1:5" x14ac:dyDescent="0.25">
      <c r="A340" s="30"/>
      <c r="B340" s="30"/>
      <c r="C340" s="35"/>
      <c r="D340" s="32"/>
      <c r="E340" s="35"/>
    </row>
    <row r="341" spans="1:5" x14ac:dyDescent="0.25">
      <c r="A341" s="30"/>
      <c r="B341" s="30"/>
      <c r="C341" s="35"/>
      <c r="D341" s="32"/>
      <c r="E341" s="35"/>
    </row>
    <row r="342" spans="1:5" x14ac:dyDescent="0.25">
      <c r="A342" s="30"/>
      <c r="B342" s="30"/>
      <c r="C342" s="35"/>
      <c r="D342" s="32"/>
      <c r="E342" s="35"/>
    </row>
    <row r="343" spans="1:5" x14ac:dyDescent="0.25">
      <c r="A343" s="30"/>
      <c r="B343" s="30"/>
      <c r="C343" s="35"/>
      <c r="D343" s="32"/>
      <c r="E343" s="35"/>
    </row>
    <row r="344" spans="1:5" x14ac:dyDescent="0.25">
      <c r="A344" s="30"/>
      <c r="B344" s="30"/>
      <c r="C344" s="35"/>
      <c r="D344" s="32"/>
      <c r="E344" s="35"/>
    </row>
    <row r="345" spans="1:5" x14ac:dyDescent="0.25">
      <c r="A345" s="30"/>
      <c r="B345" s="30"/>
      <c r="C345" s="35"/>
      <c r="D345" s="32"/>
      <c r="E345" s="35"/>
    </row>
    <row r="346" spans="1:5" x14ac:dyDescent="0.25">
      <c r="A346" s="30"/>
      <c r="B346" s="30"/>
      <c r="C346" s="35"/>
      <c r="D346" s="32"/>
      <c r="E346" s="35"/>
    </row>
    <row r="347" spans="1:5" x14ac:dyDescent="0.25">
      <c r="A347" s="30"/>
      <c r="B347" s="30"/>
      <c r="C347" s="35"/>
      <c r="D347" s="32"/>
      <c r="E347" s="35"/>
    </row>
    <row r="348" spans="1:5" x14ac:dyDescent="0.25">
      <c r="A348" s="30"/>
      <c r="B348" s="30"/>
      <c r="C348" s="35"/>
      <c r="D348" s="32"/>
      <c r="E348" s="35"/>
    </row>
    <row r="349" spans="1:5" x14ac:dyDescent="0.25">
      <c r="A349" s="30"/>
      <c r="B349" s="30"/>
      <c r="C349" s="35"/>
      <c r="D349" s="32"/>
      <c r="E349" s="35"/>
    </row>
    <row r="350" spans="1:5" x14ac:dyDescent="0.25">
      <c r="A350" s="30"/>
      <c r="B350" s="30"/>
      <c r="C350" s="35"/>
      <c r="D350" s="32"/>
      <c r="E350" s="35"/>
    </row>
    <row r="351" spans="1:5" x14ac:dyDescent="0.25">
      <c r="A351" s="30"/>
      <c r="B351" s="30"/>
      <c r="C351" s="35"/>
      <c r="D351" s="32"/>
      <c r="E351" s="35"/>
    </row>
    <row r="352" spans="1:5" x14ac:dyDescent="0.25">
      <c r="A352" s="30"/>
      <c r="B352" s="30"/>
      <c r="C352" s="35"/>
      <c r="D352" s="32"/>
      <c r="E352" s="35"/>
    </row>
    <row r="353" spans="1:5" x14ac:dyDescent="0.25">
      <c r="A353" s="30"/>
      <c r="B353" s="30"/>
      <c r="C353" s="35"/>
      <c r="D353" s="32"/>
      <c r="E353" s="35"/>
    </row>
    <row r="354" spans="1:5" x14ac:dyDescent="0.25">
      <c r="A354" s="30"/>
      <c r="B354" s="30"/>
      <c r="C354" s="35"/>
      <c r="D354" s="32"/>
      <c r="E354" s="35"/>
    </row>
    <row r="355" spans="1:5" x14ac:dyDescent="0.25">
      <c r="A355" s="30"/>
      <c r="B355" s="30"/>
      <c r="C355" s="35"/>
      <c r="D355" s="32"/>
      <c r="E355" s="35"/>
    </row>
    <row r="356" spans="1:5" x14ac:dyDescent="0.25">
      <c r="A356" s="30"/>
      <c r="B356" s="30"/>
      <c r="C356" s="35"/>
      <c r="D356" s="32"/>
      <c r="E356" s="35"/>
    </row>
    <row r="357" spans="1:5" x14ac:dyDescent="0.25">
      <c r="A357" s="30"/>
      <c r="B357" s="30"/>
      <c r="C357" s="35"/>
      <c r="D357" s="32"/>
      <c r="E357" s="35"/>
    </row>
    <row r="358" spans="1:5" x14ac:dyDescent="0.25">
      <c r="A358" s="30"/>
      <c r="B358" s="30"/>
      <c r="C358" s="35"/>
      <c r="D358" s="32"/>
      <c r="E358" s="35"/>
    </row>
    <row r="359" spans="1:5" x14ac:dyDescent="0.25">
      <c r="A359" s="30"/>
      <c r="B359" s="30"/>
      <c r="C359" s="35"/>
      <c r="D359" s="32"/>
      <c r="E359" s="35"/>
    </row>
    <row r="360" spans="1:5" x14ac:dyDescent="0.25">
      <c r="A360" s="30"/>
      <c r="B360" s="30"/>
      <c r="C360" s="35"/>
      <c r="D360" s="32"/>
      <c r="E360" s="35"/>
    </row>
    <row r="361" spans="1:5" x14ac:dyDescent="0.25">
      <c r="A361" s="30"/>
      <c r="B361" s="30"/>
      <c r="C361" s="35"/>
      <c r="D361" s="32"/>
      <c r="E361" s="35"/>
    </row>
    <row r="362" spans="1:5" x14ac:dyDescent="0.25">
      <c r="A362" s="30"/>
      <c r="B362" s="30"/>
      <c r="C362" s="35"/>
      <c r="D362" s="32"/>
      <c r="E362" s="35"/>
    </row>
    <row r="363" spans="1:5" x14ac:dyDescent="0.25">
      <c r="A363" s="30"/>
      <c r="B363" s="30"/>
      <c r="C363" s="35"/>
      <c r="D363" s="32"/>
      <c r="E363" s="35"/>
    </row>
    <row r="364" spans="1:5" x14ac:dyDescent="0.25">
      <c r="A364" s="30"/>
      <c r="B364" s="30"/>
      <c r="C364" s="35"/>
      <c r="D364" s="32"/>
      <c r="E364" s="35"/>
    </row>
    <row r="365" spans="1:5" x14ac:dyDescent="0.25">
      <c r="A365" s="30"/>
      <c r="B365" s="30"/>
      <c r="C365" s="35"/>
      <c r="D365" s="32"/>
      <c r="E365" s="35"/>
    </row>
    <row r="366" spans="1:5" x14ac:dyDescent="0.25">
      <c r="A366" s="30"/>
      <c r="B366" s="30"/>
      <c r="C366" s="35"/>
      <c r="D366" s="32"/>
      <c r="E366" s="35"/>
    </row>
    <row r="367" spans="1:5" x14ac:dyDescent="0.25">
      <c r="A367" s="30"/>
      <c r="B367" s="30"/>
      <c r="C367" s="35"/>
      <c r="D367" s="32"/>
      <c r="E367" s="35"/>
    </row>
    <row r="368" spans="1:5" x14ac:dyDescent="0.25">
      <c r="A368" s="30"/>
      <c r="B368" s="30"/>
      <c r="C368" s="35"/>
      <c r="D368" s="32"/>
      <c r="E368" s="35"/>
    </row>
    <row r="369" spans="1:5" x14ac:dyDescent="0.25">
      <c r="A369" s="29"/>
      <c r="B369" s="29"/>
      <c r="C369" s="36"/>
      <c r="D369" s="33"/>
      <c r="E369" s="36"/>
    </row>
    <row r="370" spans="1:5" x14ac:dyDescent="0.25">
      <c r="A370" s="29"/>
      <c r="B370" s="29"/>
      <c r="C370" s="36"/>
      <c r="D370" s="33"/>
      <c r="E370" s="36"/>
    </row>
    <row r="371" spans="1:5" x14ac:dyDescent="0.25">
      <c r="A371" s="29"/>
      <c r="B371" s="29"/>
      <c r="C371" s="36"/>
      <c r="D371" s="33"/>
      <c r="E371" s="36"/>
    </row>
    <row r="372" spans="1:5" x14ac:dyDescent="0.25">
      <c r="A372" s="29"/>
      <c r="B372" s="29"/>
      <c r="C372" s="36"/>
      <c r="D372" s="33"/>
      <c r="E372" s="36"/>
    </row>
    <row r="373" spans="1:5" x14ac:dyDescent="0.25">
      <c r="A373" s="29"/>
      <c r="B373" s="29"/>
      <c r="C373" s="36"/>
      <c r="D373" s="33"/>
      <c r="E373" s="36"/>
    </row>
    <row r="374" spans="1:5" x14ac:dyDescent="0.25">
      <c r="A374" s="29"/>
      <c r="B374" s="29"/>
      <c r="C374" s="36"/>
      <c r="D374" s="33"/>
      <c r="E374" s="36"/>
    </row>
    <row r="375" spans="1:5" x14ac:dyDescent="0.25">
      <c r="A375" s="29"/>
      <c r="B375" s="29"/>
      <c r="C375" s="36"/>
      <c r="D375" s="33"/>
      <c r="E375" s="36"/>
    </row>
    <row r="376" spans="1:5" x14ac:dyDescent="0.25">
      <c r="A376" s="29"/>
      <c r="B376" s="29"/>
      <c r="C376" s="36"/>
      <c r="D376" s="33"/>
      <c r="E376" s="36"/>
    </row>
    <row r="377" spans="1:5" x14ac:dyDescent="0.25">
      <c r="A377" s="29"/>
      <c r="B377" s="29"/>
      <c r="C377" s="36"/>
      <c r="D377" s="33"/>
      <c r="E377" s="36"/>
    </row>
    <row r="378" spans="1:5" x14ac:dyDescent="0.25">
      <c r="A378" s="29"/>
      <c r="B378" s="29"/>
      <c r="C378" s="36"/>
      <c r="D378" s="33"/>
      <c r="E378" s="36"/>
    </row>
  </sheetData>
  <mergeCells count="5">
    <mergeCell ref="A2:E2"/>
    <mergeCell ref="A3:E3"/>
    <mergeCell ref="D5:E5"/>
    <mergeCell ref="D6:E6"/>
    <mergeCell ref="D7:E7"/>
  </mergeCells>
  <conditionalFormatting sqref="A10:E49">
    <cfRule type="expression" dxfId="0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AA69"/>
  <sheetViews>
    <sheetView showGridLines="0" workbookViewId="0">
      <selection activeCell="A5" sqref="A5:J6"/>
    </sheetView>
  </sheetViews>
  <sheetFormatPr defaultRowHeight="15" x14ac:dyDescent="0.25"/>
  <cols>
    <col min="1" max="1" width="15.140625" bestFit="1" customWidth="1"/>
    <col min="2" max="2" width="13.28515625" style="81" customWidth="1"/>
    <col min="3" max="3" width="35" customWidth="1"/>
    <col min="4" max="4" width="9.140625" customWidth="1"/>
    <col min="5" max="5" width="13" style="83" customWidth="1"/>
    <col min="6" max="6" width="6.28515625" style="95" customWidth="1"/>
    <col min="7" max="7" width="5.42578125" style="95" customWidth="1"/>
    <col min="8" max="8" width="7.5703125" style="96" bestFit="1" customWidth="1"/>
    <col min="9" max="9" width="11.85546875" style="83" bestFit="1" customWidth="1"/>
    <col min="10" max="10" width="14" style="83" bestFit="1" customWidth="1"/>
    <col min="12" max="12" width="10.85546875" style="2" customWidth="1"/>
    <col min="13" max="13" width="9.140625" style="2"/>
    <col min="15" max="16" width="12.140625" bestFit="1" customWidth="1"/>
    <col min="18" max="18" width="15.140625" bestFit="1" customWidth="1"/>
    <col min="19" max="19" width="10.7109375" bestFit="1" customWidth="1"/>
    <col min="20" max="20" width="28.28515625" bestFit="1" customWidth="1"/>
    <col min="21" max="21" width="6" bestFit="1" customWidth="1"/>
    <col min="22" max="22" width="12.140625" bestFit="1" customWidth="1"/>
    <col min="23" max="23" width="4.28515625" bestFit="1" customWidth="1"/>
    <col min="24" max="24" width="3.5703125" bestFit="1" customWidth="1"/>
    <col min="25" max="25" width="7.5703125" bestFit="1" customWidth="1"/>
    <col min="26" max="26" width="9.5703125" bestFit="1" customWidth="1"/>
    <col min="27" max="27" width="11.28515625" bestFit="1" customWidth="1"/>
  </cols>
  <sheetData>
    <row r="4" spans="1:27" ht="15.75" x14ac:dyDescent="0.3">
      <c r="A4" s="12" t="s">
        <v>1</v>
      </c>
      <c r="B4" s="80" t="s">
        <v>28</v>
      </c>
      <c r="C4" s="12" t="s">
        <v>2</v>
      </c>
      <c r="D4" s="12" t="s">
        <v>13</v>
      </c>
      <c r="E4" s="82" t="s">
        <v>3</v>
      </c>
      <c r="F4" s="93" t="s">
        <v>5</v>
      </c>
      <c r="G4" s="93" t="s">
        <v>4</v>
      </c>
      <c r="H4" s="94" t="s">
        <v>15</v>
      </c>
      <c r="I4" s="82" t="s">
        <v>16</v>
      </c>
      <c r="J4" s="82" t="s">
        <v>6</v>
      </c>
      <c r="L4" s="72" t="s">
        <v>29</v>
      </c>
      <c r="M4" s="72" t="s">
        <v>31</v>
      </c>
      <c r="O4" s="97" t="s">
        <v>28</v>
      </c>
      <c r="P4" s="97" t="s">
        <v>28</v>
      </c>
      <c r="R4" s="12" t="s">
        <v>1</v>
      </c>
      <c r="S4" s="80" t="s">
        <v>28</v>
      </c>
      <c r="T4" s="12" t="s">
        <v>2</v>
      </c>
      <c r="U4" s="12" t="s">
        <v>13</v>
      </c>
      <c r="V4" s="82" t="s">
        <v>3</v>
      </c>
      <c r="W4" s="93" t="s">
        <v>5</v>
      </c>
      <c r="X4" s="93" t="s">
        <v>4</v>
      </c>
      <c r="Y4" s="94" t="s">
        <v>15</v>
      </c>
      <c r="Z4" s="82" t="s">
        <v>16</v>
      </c>
      <c r="AA4" s="82" t="s">
        <v>6</v>
      </c>
    </row>
    <row r="5" spans="1:27" x14ac:dyDescent="0.25">
      <c r="A5" t="s">
        <v>67</v>
      </c>
      <c r="B5" s="81">
        <v>44469</v>
      </c>
      <c r="C5" t="s">
        <v>68</v>
      </c>
      <c r="D5" t="s">
        <v>49</v>
      </c>
      <c r="E5" s="83">
        <v>70000</v>
      </c>
      <c r="F5" s="95">
        <v>5</v>
      </c>
      <c r="G5" s="95">
        <v>1</v>
      </c>
      <c r="H5" s="96">
        <v>0</v>
      </c>
      <c r="I5" s="83">
        <v>0</v>
      </c>
      <c r="J5" s="83">
        <v>70000</v>
      </c>
      <c r="L5" s="2" t="str">
        <f>IF(B5="","",TEXT(B5,"MMM"))</f>
        <v>Sep</v>
      </c>
      <c r="M5" s="2">
        <f>IF(B5="","",YEAR(B5))</f>
        <v>2021</v>
      </c>
      <c r="O5" s="81"/>
      <c r="P5" s="81"/>
      <c r="R5" t="s">
        <v>7</v>
      </c>
      <c r="S5" s="81">
        <v>44236</v>
      </c>
      <c r="T5" t="s">
        <v>8</v>
      </c>
      <c r="U5" t="s">
        <v>14</v>
      </c>
      <c r="V5" s="83">
        <v>20000</v>
      </c>
      <c r="W5" s="95">
        <v>8</v>
      </c>
      <c r="X5" s="95">
        <v>5</v>
      </c>
      <c r="Y5" s="96">
        <v>0</v>
      </c>
      <c r="Z5" s="83">
        <v>0</v>
      </c>
      <c r="AA5" s="83">
        <v>100000</v>
      </c>
    </row>
    <row r="6" spans="1:27" x14ac:dyDescent="0.25">
      <c r="A6" t="s">
        <v>67</v>
      </c>
      <c r="B6" s="81">
        <v>44469</v>
      </c>
      <c r="C6" t="s">
        <v>68</v>
      </c>
      <c r="D6" t="s">
        <v>49</v>
      </c>
      <c r="E6" s="83">
        <v>70000</v>
      </c>
      <c r="F6" s="95">
        <v>5</v>
      </c>
      <c r="G6" s="95">
        <v>1</v>
      </c>
      <c r="H6" s="96">
        <v>0</v>
      </c>
      <c r="I6" s="83">
        <v>0</v>
      </c>
      <c r="J6" s="83">
        <v>70000</v>
      </c>
      <c r="L6" s="2" t="str">
        <f t="shared" ref="L6:L69" si="0">IF(B6="","",TEXT(B6,"MMM"))</f>
        <v>Sep</v>
      </c>
      <c r="M6" s="2">
        <f t="shared" ref="M6:M69" si="1">IF(B6="","",YEAR(B6))</f>
        <v>2021</v>
      </c>
      <c r="R6" t="s">
        <v>9</v>
      </c>
      <c r="S6" s="81">
        <v>44237</v>
      </c>
      <c r="T6" t="s">
        <v>10</v>
      </c>
      <c r="U6" t="s">
        <v>14</v>
      </c>
      <c r="V6" s="83">
        <v>26000</v>
      </c>
      <c r="W6" s="95">
        <v>6</v>
      </c>
      <c r="X6" s="95">
        <v>3</v>
      </c>
      <c r="Y6" s="96">
        <v>0</v>
      </c>
      <c r="Z6" s="83">
        <v>0</v>
      </c>
      <c r="AA6" s="83">
        <v>78000</v>
      </c>
    </row>
    <row r="7" spans="1:27" x14ac:dyDescent="0.25">
      <c r="L7" s="2" t="str">
        <f t="shared" si="0"/>
        <v/>
      </c>
      <c r="M7" s="2" t="str">
        <f t="shared" si="1"/>
        <v/>
      </c>
      <c r="R7" t="s">
        <v>7</v>
      </c>
      <c r="S7" s="81">
        <v>44266</v>
      </c>
      <c r="T7" t="s">
        <v>8</v>
      </c>
      <c r="U7" t="s">
        <v>14</v>
      </c>
      <c r="V7" s="83">
        <v>20000</v>
      </c>
      <c r="W7" s="95">
        <v>8</v>
      </c>
      <c r="X7" s="95">
        <v>5</v>
      </c>
      <c r="Y7" s="96">
        <v>0</v>
      </c>
      <c r="Z7" s="83">
        <v>0</v>
      </c>
      <c r="AA7" s="83">
        <v>100000</v>
      </c>
    </row>
    <row r="8" spans="1:27" x14ac:dyDescent="0.25">
      <c r="L8" s="2" t="str">
        <f t="shared" si="0"/>
        <v/>
      </c>
      <c r="M8" s="2" t="str">
        <f t="shared" si="1"/>
        <v/>
      </c>
      <c r="R8" t="s">
        <v>9</v>
      </c>
      <c r="S8" s="81">
        <v>44267</v>
      </c>
      <c r="T8" t="s">
        <v>10</v>
      </c>
      <c r="U8" t="s">
        <v>14</v>
      </c>
      <c r="V8" s="83">
        <v>26000</v>
      </c>
      <c r="W8" s="95">
        <v>6</v>
      </c>
      <c r="X8" s="95">
        <v>3</v>
      </c>
      <c r="Y8" s="96">
        <v>0</v>
      </c>
      <c r="Z8" s="83">
        <v>0</v>
      </c>
      <c r="AA8" s="83">
        <v>78000</v>
      </c>
    </row>
    <row r="9" spans="1:27" x14ac:dyDescent="0.25">
      <c r="L9" s="2" t="str">
        <f t="shared" si="0"/>
        <v/>
      </c>
      <c r="M9" s="2" t="str">
        <f t="shared" si="1"/>
        <v/>
      </c>
      <c r="R9" t="s">
        <v>7</v>
      </c>
      <c r="S9" s="81">
        <v>44299</v>
      </c>
      <c r="T9" t="s">
        <v>8</v>
      </c>
      <c r="U9" t="s">
        <v>14</v>
      </c>
      <c r="V9" s="83">
        <v>20000</v>
      </c>
      <c r="W9" s="95">
        <v>3</v>
      </c>
      <c r="X9" s="95">
        <v>2</v>
      </c>
      <c r="Y9" s="96">
        <v>0.2</v>
      </c>
      <c r="Z9" s="83">
        <v>8000</v>
      </c>
      <c r="AA9" s="83">
        <v>32000</v>
      </c>
    </row>
    <row r="10" spans="1:27" x14ac:dyDescent="0.25">
      <c r="L10" s="2" t="str">
        <f t="shared" si="0"/>
        <v/>
      </c>
      <c r="M10" s="2" t="str">
        <f t="shared" si="1"/>
        <v/>
      </c>
      <c r="R10" t="s">
        <v>7</v>
      </c>
      <c r="S10" s="81">
        <v>44301</v>
      </c>
      <c r="T10" t="s">
        <v>8</v>
      </c>
      <c r="U10" t="s">
        <v>14</v>
      </c>
      <c r="V10" s="83">
        <v>20000</v>
      </c>
      <c r="W10" s="95">
        <v>50</v>
      </c>
      <c r="X10" s="95">
        <v>1</v>
      </c>
      <c r="Y10" s="96">
        <v>0</v>
      </c>
      <c r="Z10" s="83">
        <v>0</v>
      </c>
      <c r="AA10" s="83">
        <v>20000</v>
      </c>
    </row>
    <row r="11" spans="1:27" x14ac:dyDescent="0.25">
      <c r="L11" s="2" t="str">
        <f t="shared" si="0"/>
        <v/>
      </c>
      <c r="M11" s="2" t="str">
        <f t="shared" si="1"/>
        <v/>
      </c>
      <c r="R11" t="s">
        <v>7</v>
      </c>
      <c r="S11" s="81">
        <v>44301</v>
      </c>
      <c r="T11" t="s">
        <v>8</v>
      </c>
      <c r="U11" t="s">
        <v>14</v>
      </c>
      <c r="V11" s="83">
        <v>20000</v>
      </c>
      <c r="W11" s="95">
        <v>50</v>
      </c>
      <c r="X11" s="95">
        <v>1</v>
      </c>
      <c r="Y11" s="96">
        <v>0</v>
      </c>
      <c r="Z11" s="83">
        <v>0</v>
      </c>
      <c r="AA11" s="83">
        <v>20000</v>
      </c>
    </row>
    <row r="12" spans="1:27" x14ac:dyDescent="0.25">
      <c r="L12" s="2" t="str">
        <f t="shared" si="0"/>
        <v/>
      </c>
      <c r="M12" s="2" t="str">
        <f t="shared" si="1"/>
        <v/>
      </c>
      <c r="R12" t="s">
        <v>9</v>
      </c>
      <c r="S12" s="81">
        <v>44301</v>
      </c>
      <c r="T12" t="s">
        <v>10</v>
      </c>
      <c r="U12" t="s">
        <v>14</v>
      </c>
      <c r="V12" s="83">
        <v>26000</v>
      </c>
      <c r="W12" s="95">
        <v>50</v>
      </c>
      <c r="X12" s="95">
        <v>1</v>
      </c>
      <c r="Y12" s="96">
        <v>0</v>
      </c>
      <c r="Z12" s="83">
        <v>0</v>
      </c>
      <c r="AA12" s="83">
        <v>26000</v>
      </c>
    </row>
    <row r="13" spans="1:27" x14ac:dyDescent="0.25">
      <c r="L13" s="2" t="str">
        <f t="shared" si="0"/>
        <v/>
      </c>
      <c r="M13" s="2" t="str">
        <f t="shared" si="1"/>
        <v/>
      </c>
      <c r="R13" t="s">
        <v>9</v>
      </c>
      <c r="S13" s="81">
        <v>44301</v>
      </c>
      <c r="T13" t="s">
        <v>10</v>
      </c>
      <c r="U13" t="s">
        <v>14</v>
      </c>
      <c r="V13" s="83">
        <v>26000</v>
      </c>
      <c r="W13" s="95">
        <v>50</v>
      </c>
      <c r="X13" s="95">
        <v>1</v>
      </c>
      <c r="Y13" s="96">
        <v>0</v>
      </c>
      <c r="Z13" s="83">
        <v>0</v>
      </c>
      <c r="AA13" s="83">
        <v>26000</v>
      </c>
    </row>
    <row r="14" spans="1:27" x14ac:dyDescent="0.25">
      <c r="L14" s="2" t="str">
        <f t="shared" si="0"/>
        <v/>
      </c>
      <c r="M14" s="2" t="str">
        <f t="shared" si="1"/>
        <v/>
      </c>
      <c r="R14" t="s">
        <v>9</v>
      </c>
      <c r="S14" s="81">
        <v>44301</v>
      </c>
      <c r="T14" t="s">
        <v>10</v>
      </c>
      <c r="U14" t="s">
        <v>14</v>
      </c>
      <c r="V14" s="83">
        <v>26000</v>
      </c>
      <c r="W14" s="95">
        <v>50</v>
      </c>
      <c r="X14" s="95">
        <v>1</v>
      </c>
      <c r="Y14" s="96">
        <v>0</v>
      </c>
      <c r="Z14" s="83">
        <v>0</v>
      </c>
      <c r="AA14" s="83">
        <v>26000</v>
      </c>
    </row>
    <row r="15" spans="1:27" x14ac:dyDescent="0.25">
      <c r="L15" s="2" t="str">
        <f t="shared" si="0"/>
        <v/>
      </c>
      <c r="M15" s="2" t="str">
        <f t="shared" si="1"/>
        <v/>
      </c>
      <c r="R15" t="s">
        <v>52</v>
      </c>
      <c r="S15" s="81">
        <v>44302</v>
      </c>
      <c r="T15" t="s">
        <v>50</v>
      </c>
      <c r="U15" t="s">
        <v>51</v>
      </c>
      <c r="V15" s="83">
        <v>20000</v>
      </c>
      <c r="W15" s="95">
        <v>35</v>
      </c>
      <c r="X15" s="95">
        <v>5</v>
      </c>
      <c r="Y15" s="96">
        <v>0</v>
      </c>
      <c r="Z15" s="83">
        <v>0</v>
      </c>
      <c r="AA15" s="83">
        <v>100000</v>
      </c>
    </row>
    <row r="16" spans="1:27" x14ac:dyDescent="0.25">
      <c r="L16" s="2" t="str">
        <f t="shared" si="0"/>
        <v/>
      </c>
      <c r="M16" s="2" t="str">
        <f t="shared" si="1"/>
        <v/>
      </c>
      <c r="R16" t="s">
        <v>9</v>
      </c>
      <c r="S16" s="81">
        <v>44302</v>
      </c>
      <c r="T16" t="s">
        <v>10</v>
      </c>
      <c r="U16" t="s">
        <v>14</v>
      </c>
      <c r="V16" s="83">
        <v>26000</v>
      </c>
      <c r="W16" s="95">
        <v>107</v>
      </c>
      <c r="X16" s="95">
        <v>20</v>
      </c>
      <c r="Y16" s="96">
        <v>0</v>
      </c>
      <c r="Z16" s="83">
        <v>0</v>
      </c>
      <c r="AA16" s="83">
        <v>520000</v>
      </c>
    </row>
    <row r="17" spans="12:27" x14ac:dyDescent="0.25">
      <c r="L17" s="2" t="str">
        <f t="shared" si="0"/>
        <v/>
      </c>
      <c r="M17" s="2" t="str">
        <f t="shared" si="1"/>
        <v/>
      </c>
      <c r="R17" t="s">
        <v>53</v>
      </c>
      <c r="S17" s="81">
        <v>44302</v>
      </c>
      <c r="T17" t="s">
        <v>54</v>
      </c>
      <c r="U17" t="s">
        <v>14</v>
      </c>
      <c r="V17" s="83">
        <v>20000</v>
      </c>
      <c r="W17" s="95">
        <v>36</v>
      </c>
      <c r="X17" s="95">
        <v>1</v>
      </c>
      <c r="Y17" s="96">
        <v>0</v>
      </c>
      <c r="Z17" s="83">
        <v>0</v>
      </c>
      <c r="AA17" s="83">
        <v>20000</v>
      </c>
    </row>
    <row r="18" spans="12:27" x14ac:dyDescent="0.25">
      <c r="L18" s="2" t="str">
        <f t="shared" si="0"/>
        <v/>
      </c>
      <c r="M18" s="2" t="str">
        <f t="shared" si="1"/>
        <v/>
      </c>
      <c r="R18" t="s">
        <v>61</v>
      </c>
      <c r="S18" s="81">
        <v>44302</v>
      </c>
      <c r="T18" t="s">
        <v>62</v>
      </c>
      <c r="U18" t="s">
        <v>14</v>
      </c>
      <c r="V18" s="83">
        <v>25000</v>
      </c>
      <c r="W18" s="95">
        <v>50</v>
      </c>
      <c r="X18" s="95">
        <v>1</v>
      </c>
      <c r="Y18" s="96">
        <v>0</v>
      </c>
      <c r="Z18" s="83">
        <v>0</v>
      </c>
      <c r="AA18" s="83">
        <v>25000</v>
      </c>
    </row>
    <row r="19" spans="12:27" x14ac:dyDescent="0.25">
      <c r="L19" s="2" t="str">
        <f t="shared" si="0"/>
        <v/>
      </c>
      <c r="M19" s="2" t="str">
        <f t="shared" si="1"/>
        <v/>
      </c>
      <c r="R19" t="s">
        <v>7</v>
      </c>
      <c r="S19" s="81">
        <v>44302</v>
      </c>
      <c r="T19" t="s">
        <v>8</v>
      </c>
      <c r="U19" t="s">
        <v>14</v>
      </c>
      <c r="V19" s="83">
        <v>20000</v>
      </c>
      <c r="W19" s="95">
        <v>78</v>
      </c>
      <c r="X19" s="95">
        <v>1</v>
      </c>
      <c r="Y19" s="96">
        <v>0</v>
      </c>
      <c r="Z19" s="83">
        <v>0</v>
      </c>
      <c r="AA19" s="83">
        <v>20000</v>
      </c>
    </row>
    <row r="20" spans="12:27" x14ac:dyDescent="0.25">
      <c r="L20" s="2" t="str">
        <f t="shared" si="0"/>
        <v/>
      </c>
      <c r="M20" s="2" t="str">
        <f t="shared" si="1"/>
        <v/>
      </c>
      <c r="R20" t="s">
        <v>59</v>
      </c>
      <c r="S20" s="81">
        <v>44302</v>
      </c>
      <c r="T20" t="s">
        <v>60</v>
      </c>
      <c r="U20" t="s">
        <v>14</v>
      </c>
      <c r="V20" s="83">
        <v>15000</v>
      </c>
      <c r="W20" s="95">
        <v>25</v>
      </c>
      <c r="X20" s="95">
        <v>1</v>
      </c>
      <c r="Y20" s="96">
        <v>0</v>
      </c>
      <c r="Z20" s="83">
        <v>0</v>
      </c>
      <c r="AA20" s="83">
        <v>15000</v>
      </c>
    </row>
    <row r="21" spans="12:27" x14ac:dyDescent="0.25">
      <c r="L21" s="2" t="str">
        <f t="shared" si="0"/>
        <v/>
      </c>
      <c r="M21" s="2" t="str">
        <f t="shared" si="1"/>
        <v/>
      </c>
      <c r="R21" t="s">
        <v>57</v>
      </c>
      <c r="S21" s="81">
        <v>44302</v>
      </c>
      <c r="T21" t="s">
        <v>58</v>
      </c>
      <c r="U21" t="s">
        <v>49</v>
      </c>
      <c r="V21" s="83">
        <v>7000</v>
      </c>
      <c r="W21" s="95">
        <v>50</v>
      </c>
      <c r="X21" s="95">
        <v>1</v>
      </c>
      <c r="Y21" s="96">
        <v>0</v>
      </c>
      <c r="Z21" s="83">
        <v>0</v>
      </c>
      <c r="AA21" s="83">
        <v>7000</v>
      </c>
    </row>
    <row r="22" spans="12:27" x14ac:dyDescent="0.25">
      <c r="L22" s="2" t="str">
        <f t="shared" si="0"/>
        <v/>
      </c>
      <c r="M22" s="2" t="str">
        <f t="shared" si="1"/>
        <v/>
      </c>
      <c r="R22" t="s">
        <v>59</v>
      </c>
      <c r="S22" s="81">
        <v>44302</v>
      </c>
      <c r="T22" t="s">
        <v>60</v>
      </c>
      <c r="U22" t="s">
        <v>14</v>
      </c>
      <c r="V22" s="83">
        <v>15000</v>
      </c>
      <c r="W22" s="95">
        <v>24</v>
      </c>
      <c r="X22" s="95">
        <v>1</v>
      </c>
      <c r="Y22" s="96">
        <v>0</v>
      </c>
      <c r="Z22" s="83">
        <v>0</v>
      </c>
      <c r="AA22" s="83">
        <v>15000</v>
      </c>
    </row>
    <row r="23" spans="12:27" x14ac:dyDescent="0.25">
      <c r="L23" s="2" t="str">
        <f t="shared" si="0"/>
        <v/>
      </c>
      <c r="M23" s="2" t="str">
        <f t="shared" si="1"/>
        <v/>
      </c>
      <c r="R23" t="s">
        <v>64</v>
      </c>
      <c r="S23" s="81">
        <v>44469</v>
      </c>
      <c r="T23" t="s">
        <v>62</v>
      </c>
      <c r="U23" t="s">
        <v>14</v>
      </c>
      <c r="V23" s="83">
        <v>25000</v>
      </c>
      <c r="W23" s="95">
        <v>49</v>
      </c>
      <c r="X23" s="95">
        <v>1</v>
      </c>
      <c r="Y23" s="96">
        <v>0</v>
      </c>
      <c r="Z23" s="83">
        <v>0</v>
      </c>
      <c r="AA23" s="83">
        <v>25000</v>
      </c>
    </row>
    <row r="24" spans="12:27" x14ac:dyDescent="0.25">
      <c r="L24" s="2" t="str">
        <f t="shared" si="0"/>
        <v/>
      </c>
      <c r="M24" s="2" t="str">
        <f t="shared" si="1"/>
        <v/>
      </c>
    </row>
    <row r="25" spans="12:27" x14ac:dyDescent="0.25">
      <c r="L25" s="2" t="str">
        <f t="shared" si="0"/>
        <v/>
      </c>
      <c r="M25" s="2" t="str">
        <f t="shared" si="1"/>
        <v/>
      </c>
    </row>
    <row r="26" spans="12:27" x14ac:dyDescent="0.25">
      <c r="L26" s="2" t="str">
        <f t="shared" si="0"/>
        <v/>
      </c>
      <c r="M26" s="2" t="str">
        <f t="shared" si="1"/>
        <v/>
      </c>
    </row>
    <row r="27" spans="12:27" x14ac:dyDescent="0.25">
      <c r="L27" s="2" t="str">
        <f t="shared" si="0"/>
        <v/>
      </c>
      <c r="M27" s="2" t="str">
        <f t="shared" si="1"/>
        <v/>
      </c>
    </row>
    <row r="28" spans="12:27" x14ac:dyDescent="0.25">
      <c r="L28" s="2" t="str">
        <f t="shared" si="0"/>
        <v/>
      </c>
      <c r="M28" s="2" t="str">
        <f t="shared" si="1"/>
        <v/>
      </c>
    </row>
    <row r="29" spans="12:27" x14ac:dyDescent="0.25">
      <c r="L29" s="2" t="str">
        <f t="shared" si="0"/>
        <v/>
      </c>
      <c r="M29" s="2" t="str">
        <f t="shared" si="1"/>
        <v/>
      </c>
    </row>
    <row r="30" spans="12:27" x14ac:dyDescent="0.25">
      <c r="L30" s="2" t="str">
        <f t="shared" si="0"/>
        <v/>
      </c>
      <c r="M30" s="2" t="str">
        <f t="shared" si="1"/>
        <v/>
      </c>
    </row>
    <row r="31" spans="12:27" x14ac:dyDescent="0.25">
      <c r="L31" s="2" t="str">
        <f t="shared" si="0"/>
        <v/>
      </c>
      <c r="M31" s="2" t="str">
        <f t="shared" si="1"/>
        <v/>
      </c>
    </row>
    <row r="32" spans="12:27" x14ac:dyDescent="0.25">
      <c r="L32" s="2" t="str">
        <f t="shared" si="0"/>
        <v/>
      </c>
      <c r="M32" s="2" t="str">
        <f t="shared" si="1"/>
        <v/>
      </c>
    </row>
    <row r="33" spans="12:13" x14ac:dyDescent="0.25">
      <c r="L33" s="2" t="str">
        <f t="shared" si="0"/>
        <v/>
      </c>
      <c r="M33" s="2" t="str">
        <f t="shared" si="1"/>
        <v/>
      </c>
    </row>
    <row r="34" spans="12:13" x14ac:dyDescent="0.25">
      <c r="L34" s="2" t="str">
        <f t="shared" si="0"/>
        <v/>
      </c>
      <c r="M34" s="2" t="str">
        <f t="shared" si="1"/>
        <v/>
      </c>
    </row>
    <row r="35" spans="12:13" x14ac:dyDescent="0.25">
      <c r="L35" s="2" t="str">
        <f t="shared" si="0"/>
        <v/>
      </c>
      <c r="M35" s="2" t="str">
        <f t="shared" si="1"/>
        <v/>
      </c>
    </row>
    <row r="36" spans="12:13" x14ac:dyDescent="0.25">
      <c r="L36" s="2" t="str">
        <f t="shared" si="0"/>
        <v/>
      </c>
      <c r="M36" s="2" t="str">
        <f t="shared" si="1"/>
        <v/>
      </c>
    </row>
    <row r="37" spans="12:13" x14ac:dyDescent="0.25">
      <c r="L37" s="2" t="str">
        <f t="shared" si="0"/>
        <v/>
      </c>
      <c r="M37" s="2" t="str">
        <f t="shared" si="1"/>
        <v/>
      </c>
    </row>
    <row r="38" spans="12:13" x14ac:dyDescent="0.25">
      <c r="L38" s="2" t="str">
        <f t="shared" si="0"/>
        <v/>
      </c>
      <c r="M38" s="2" t="str">
        <f t="shared" si="1"/>
        <v/>
      </c>
    </row>
    <row r="39" spans="12:13" x14ac:dyDescent="0.25">
      <c r="L39" s="2" t="str">
        <f t="shared" si="0"/>
        <v/>
      </c>
      <c r="M39" s="2" t="str">
        <f t="shared" si="1"/>
        <v/>
      </c>
    </row>
    <row r="40" spans="12:13" x14ac:dyDescent="0.25">
      <c r="L40" s="2" t="str">
        <f t="shared" si="0"/>
        <v/>
      </c>
      <c r="M40" s="2" t="str">
        <f t="shared" si="1"/>
        <v/>
      </c>
    </row>
    <row r="41" spans="12:13" x14ac:dyDescent="0.25">
      <c r="L41" s="2" t="str">
        <f t="shared" si="0"/>
        <v/>
      </c>
      <c r="M41" s="2" t="str">
        <f t="shared" si="1"/>
        <v/>
      </c>
    </row>
    <row r="42" spans="12:13" x14ac:dyDescent="0.25">
      <c r="L42" s="2" t="str">
        <f t="shared" si="0"/>
        <v/>
      </c>
      <c r="M42" s="2" t="str">
        <f t="shared" si="1"/>
        <v/>
      </c>
    </row>
    <row r="43" spans="12:13" x14ac:dyDescent="0.25">
      <c r="L43" s="2" t="str">
        <f t="shared" si="0"/>
        <v/>
      </c>
      <c r="M43" s="2" t="str">
        <f t="shared" si="1"/>
        <v/>
      </c>
    </row>
    <row r="44" spans="12:13" x14ac:dyDescent="0.25">
      <c r="L44" s="2" t="str">
        <f t="shared" si="0"/>
        <v/>
      </c>
      <c r="M44" s="2" t="str">
        <f t="shared" si="1"/>
        <v/>
      </c>
    </row>
    <row r="45" spans="12:13" x14ac:dyDescent="0.25">
      <c r="L45" s="2" t="str">
        <f t="shared" si="0"/>
        <v/>
      </c>
      <c r="M45" s="2" t="str">
        <f t="shared" si="1"/>
        <v/>
      </c>
    </row>
    <row r="46" spans="12:13" x14ac:dyDescent="0.25">
      <c r="L46" s="2" t="str">
        <f t="shared" si="0"/>
        <v/>
      </c>
      <c r="M46" s="2" t="str">
        <f t="shared" si="1"/>
        <v/>
      </c>
    </row>
    <row r="47" spans="12:13" x14ac:dyDescent="0.25">
      <c r="L47" s="2" t="str">
        <f t="shared" si="0"/>
        <v/>
      </c>
      <c r="M47" s="2" t="str">
        <f t="shared" si="1"/>
        <v/>
      </c>
    </row>
    <row r="48" spans="12:13" x14ac:dyDescent="0.25">
      <c r="L48" s="2" t="str">
        <f t="shared" si="0"/>
        <v/>
      </c>
      <c r="M48" s="2" t="str">
        <f t="shared" si="1"/>
        <v/>
      </c>
    </row>
    <row r="49" spans="12:13" x14ac:dyDescent="0.25">
      <c r="L49" s="2" t="str">
        <f t="shared" si="0"/>
        <v/>
      </c>
      <c r="M49" s="2" t="str">
        <f t="shared" si="1"/>
        <v/>
      </c>
    </row>
    <row r="50" spans="12:13" x14ac:dyDescent="0.25">
      <c r="L50" s="2" t="str">
        <f t="shared" si="0"/>
        <v/>
      </c>
      <c r="M50" s="2" t="str">
        <f t="shared" si="1"/>
        <v/>
      </c>
    </row>
    <row r="51" spans="12:13" x14ac:dyDescent="0.25">
      <c r="L51" s="2" t="str">
        <f t="shared" si="0"/>
        <v/>
      </c>
      <c r="M51" s="2" t="str">
        <f t="shared" si="1"/>
        <v/>
      </c>
    </row>
    <row r="52" spans="12:13" x14ac:dyDescent="0.25">
      <c r="L52" s="2" t="str">
        <f t="shared" si="0"/>
        <v/>
      </c>
      <c r="M52" s="2" t="str">
        <f t="shared" si="1"/>
        <v/>
      </c>
    </row>
    <row r="53" spans="12:13" x14ac:dyDescent="0.25">
      <c r="L53" s="2" t="str">
        <f t="shared" si="0"/>
        <v/>
      </c>
      <c r="M53" s="2" t="str">
        <f t="shared" si="1"/>
        <v/>
      </c>
    </row>
    <row r="54" spans="12:13" x14ac:dyDescent="0.25">
      <c r="L54" s="2" t="str">
        <f t="shared" si="0"/>
        <v/>
      </c>
      <c r="M54" s="2" t="str">
        <f t="shared" si="1"/>
        <v/>
      </c>
    </row>
    <row r="55" spans="12:13" x14ac:dyDescent="0.25">
      <c r="L55" s="2" t="str">
        <f t="shared" si="0"/>
        <v/>
      </c>
      <c r="M55" s="2" t="str">
        <f t="shared" si="1"/>
        <v/>
      </c>
    </row>
    <row r="56" spans="12:13" x14ac:dyDescent="0.25">
      <c r="L56" s="2" t="str">
        <f t="shared" si="0"/>
        <v/>
      </c>
      <c r="M56" s="2" t="str">
        <f t="shared" si="1"/>
        <v/>
      </c>
    </row>
    <row r="57" spans="12:13" x14ac:dyDescent="0.25">
      <c r="L57" s="2" t="str">
        <f t="shared" si="0"/>
        <v/>
      </c>
      <c r="M57" s="2" t="str">
        <f t="shared" si="1"/>
        <v/>
      </c>
    </row>
    <row r="58" spans="12:13" x14ac:dyDescent="0.25">
      <c r="L58" s="2" t="str">
        <f t="shared" si="0"/>
        <v/>
      </c>
      <c r="M58" s="2" t="str">
        <f t="shared" si="1"/>
        <v/>
      </c>
    </row>
    <row r="59" spans="12:13" x14ac:dyDescent="0.25">
      <c r="L59" s="2" t="str">
        <f t="shared" si="0"/>
        <v/>
      </c>
      <c r="M59" s="2" t="str">
        <f t="shared" si="1"/>
        <v/>
      </c>
    </row>
    <row r="60" spans="12:13" x14ac:dyDescent="0.25">
      <c r="L60" s="2" t="str">
        <f t="shared" si="0"/>
        <v/>
      </c>
      <c r="M60" s="2" t="str">
        <f t="shared" si="1"/>
        <v/>
      </c>
    </row>
    <row r="61" spans="12:13" x14ac:dyDescent="0.25">
      <c r="L61" s="2" t="str">
        <f t="shared" si="0"/>
        <v/>
      </c>
      <c r="M61" s="2" t="str">
        <f t="shared" si="1"/>
        <v/>
      </c>
    </row>
    <row r="62" spans="12:13" x14ac:dyDescent="0.25">
      <c r="L62" s="2" t="str">
        <f t="shared" si="0"/>
        <v/>
      </c>
      <c r="M62" s="2" t="str">
        <f t="shared" si="1"/>
        <v/>
      </c>
    </row>
    <row r="63" spans="12:13" x14ac:dyDescent="0.25">
      <c r="L63" s="2" t="str">
        <f t="shared" si="0"/>
        <v/>
      </c>
      <c r="M63" s="2" t="str">
        <f t="shared" si="1"/>
        <v/>
      </c>
    </row>
    <row r="64" spans="12:13" x14ac:dyDescent="0.25">
      <c r="L64" s="2" t="str">
        <f t="shared" si="0"/>
        <v/>
      </c>
      <c r="M64" s="2" t="str">
        <f t="shared" si="1"/>
        <v/>
      </c>
    </row>
    <row r="65" spans="12:13" x14ac:dyDescent="0.25">
      <c r="L65" s="2" t="str">
        <f t="shared" si="0"/>
        <v/>
      </c>
      <c r="M65" s="2" t="str">
        <f t="shared" si="1"/>
        <v/>
      </c>
    </row>
    <row r="66" spans="12:13" x14ac:dyDescent="0.25">
      <c r="L66" s="2" t="str">
        <f t="shared" si="0"/>
        <v/>
      </c>
      <c r="M66" s="2" t="str">
        <f t="shared" si="1"/>
        <v/>
      </c>
    </row>
    <row r="67" spans="12:13" x14ac:dyDescent="0.25">
      <c r="L67" s="2" t="str">
        <f t="shared" si="0"/>
        <v/>
      </c>
      <c r="M67" s="2" t="str">
        <f t="shared" si="1"/>
        <v/>
      </c>
    </row>
    <row r="68" spans="12:13" x14ac:dyDescent="0.25">
      <c r="L68" s="2" t="str">
        <f t="shared" si="0"/>
        <v/>
      </c>
      <c r="M68" s="2" t="str">
        <f t="shared" si="1"/>
        <v/>
      </c>
    </row>
    <row r="69" spans="12:13" x14ac:dyDescent="0.25">
      <c r="L69" s="2" t="str">
        <f t="shared" si="0"/>
        <v/>
      </c>
      <c r="M69" s="2" t="str">
        <f t="shared" si="1"/>
        <v/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6"/>
  <sheetViews>
    <sheetView workbookViewId="0">
      <selection activeCell="H1" sqref="H1:H2"/>
    </sheetView>
  </sheetViews>
  <sheetFormatPr defaultRowHeight="15" x14ac:dyDescent="0.25"/>
  <cols>
    <col min="1" max="1" width="15.140625" bestFit="1" customWidth="1"/>
    <col min="2" max="2" width="28.28515625" bestFit="1" customWidth="1"/>
    <col min="3" max="3" width="7.42578125" bestFit="1" customWidth="1"/>
    <col min="4" max="4" width="4.28515625" bestFit="1" customWidth="1"/>
    <col min="5" max="6" width="10.28515625" bestFit="1" customWidth="1"/>
    <col min="8" max="8" width="12.5703125" bestFit="1" customWidth="1"/>
  </cols>
  <sheetData>
    <row r="1" spans="1:8" x14ac:dyDescent="0.25">
      <c r="A1" s="12" t="s">
        <v>1</v>
      </c>
      <c r="B1" s="13" t="s">
        <v>2</v>
      </c>
      <c r="C1" s="14" t="s">
        <v>13</v>
      </c>
      <c r="D1" s="15" t="s">
        <v>5</v>
      </c>
      <c r="E1" s="15" t="s">
        <v>11</v>
      </c>
      <c r="F1" s="16" t="s">
        <v>12</v>
      </c>
      <c r="H1" t="s">
        <v>2</v>
      </c>
    </row>
    <row r="2" spans="1:8" x14ac:dyDescent="0.25">
      <c r="A2" s="1" t="s">
        <v>55</v>
      </c>
      <c r="B2" t="s">
        <v>56</v>
      </c>
      <c r="C2" t="s">
        <v>14</v>
      </c>
      <c r="D2" s="2">
        <v>65</v>
      </c>
      <c r="E2" s="3">
        <v>6000</v>
      </c>
      <c r="F2" s="3">
        <v>8000</v>
      </c>
      <c r="H2" t="s">
        <v>63</v>
      </c>
    </row>
    <row r="3" spans="1:8" x14ac:dyDescent="0.25">
      <c r="A3" s="1"/>
      <c r="D3" s="2"/>
      <c r="E3" s="3"/>
      <c r="F3" s="3"/>
    </row>
    <row r="4" spans="1:8" x14ac:dyDescent="0.25">
      <c r="A4" s="1"/>
      <c r="D4" s="2"/>
      <c r="E4" s="3"/>
      <c r="F4" s="3"/>
    </row>
    <row r="5" spans="1:8" x14ac:dyDescent="0.25">
      <c r="A5" s="1"/>
      <c r="D5" s="2"/>
      <c r="E5" s="3"/>
      <c r="F5" s="3"/>
    </row>
    <row r="6" spans="1:8" x14ac:dyDescent="0.25">
      <c r="A6" s="1"/>
      <c r="D6" s="2"/>
      <c r="E6" s="3"/>
      <c r="F6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4:I19"/>
  <sheetViews>
    <sheetView showGridLines="0" workbookViewId="0">
      <selection activeCell="I15" sqref="I15"/>
    </sheetView>
  </sheetViews>
  <sheetFormatPr defaultRowHeight="15" x14ac:dyDescent="0.25"/>
  <cols>
    <col min="2" max="2" width="15" customWidth="1"/>
    <col min="3" max="3" width="16" style="2" customWidth="1"/>
    <col min="4" max="4" width="14.42578125" style="2" customWidth="1"/>
    <col min="6" max="6" width="5.42578125" style="2" customWidth="1"/>
    <col min="7" max="7" width="16" customWidth="1"/>
    <col min="8" max="8" width="14.42578125" style="2" customWidth="1"/>
    <col min="9" max="9" width="13" customWidth="1"/>
  </cols>
  <sheetData>
    <row r="4" spans="2:9" x14ac:dyDescent="0.25">
      <c r="B4" s="55" t="s">
        <v>33</v>
      </c>
      <c r="C4" s="56"/>
      <c r="D4" s="56">
        <v>2021</v>
      </c>
      <c r="F4" s="90" t="s">
        <v>34</v>
      </c>
      <c r="I4" s="89">
        <f ca="1">TODAY()</f>
        <v>44469</v>
      </c>
    </row>
    <row r="6" spans="2:9" x14ac:dyDescent="0.25">
      <c r="B6" s="84" t="s">
        <v>29</v>
      </c>
      <c r="C6" s="85" t="s">
        <v>30</v>
      </c>
      <c r="D6" s="85" t="s">
        <v>6</v>
      </c>
      <c r="F6" s="85" t="s">
        <v>36</v>
      </c>
      <c r="G6" s="85" t="s">
        <v>28</v>
      </c>
      <c r="H6" s="85" t="s">
        <v>30</v>
      </c>
      <c r="I6" s="84" t="s">
        <v>35</v>
      </c>
    </row>
    <row r="7" spans="2:9" x14ac:dyDescent="0.25">
      <c r="B7" s="86" t="s">
        <v>37</v>
      </c>
      <c r="C7" s="87">
        <f>SUMIFS(TRANSAKSI!$G$5:$G$90000,TRANSAKSI!$L$5:$L$90000,REKAPITULASI!B7,TRANSAKSI!$M$5:$M$90000,REKAPITULASI!$D$4)</f>
        <v>0</v>
      </c>
      <c r="D7" s="88">
        <f>SUMIFS(TRANSAKSI!$J$5:$J$90000,TRANSAKSI!$L$5:$L$90000,REKAPITULASI!B7,TRANSAKSI!$M$5:$M$90000,REKAPITULASI!$D$4)</f>
        <v>0</v>
      </c>
      <c r="F7" s="98">
        <v>1</v>
      </c>
      <c r="G7" s="99">
        <f ca="1">I4-6</f>
        <v>44463</v>
      </c>
      <c r="H7" s="98">
        <f ca="1">SUMIF(TRANSAKSI!$B$5:$B$90000,REKAPITULASI!G7,TRANSAKSI!$G$5:$G$90000)</f>
        <v>0</v>
      </c>
      <c r="I7" s="100">
        <f ca="1">SUMIF(TRANSAKSI!$B$5:$B$90000,REKAPITULASI!G7,TRANSAKSI!$J$5:$J$90000)</f>
        <v>0</v>
      </c>
    </row>
    <row r="8" spans="2:9" x14ac:dyDescent="0.25">
      <c r="B8" s="86" t="s">
        <v>38</v>
      </c>
      <c r="C8" s="87">
        <f>SUMIFS(TRANSAKSI!$G$5:$G$90000,TRANSAKSI!$L$5:$L$90000,REKAPITULASI!B8,TRANSAKSI!$M$5:$M$90000,REKAPITULASI!$D$4)</f>
        <v>0</v>
      </c>
      <c r="D8" s="88">
        <f>SUMIFS(TRANSAKSI!$J$5:$J$90000,TRANSAKSI!$L$5:$L$90000,REKAPITULASI!B8,TRANSAKSI!$M$5:$M$90000,REKAPITULASI!$D$4)</f>
        <v>0</v>
      </c>
      <c r="F8" s="98">
        <v>2</v>
      </c>
      <c r="G8" s="99">
        <f t="shared" ref="G8:G13" ca="1" si="0">G7+1</f>
        <v>44464</v>
      </c>
      <c r="H8" s="98">
        <f ca="1">SUMIF(TRANSAKSI!$B$5:$B$90000,REKAPITULASI!G8,TRANSAKSI!$G$5:$G$90000)</f>
        <v>0</v>
      </c>
      <c r="I8" s="100">
        <f ca="1">SUMIF(TRANSAKSI!$B$5:$B$90000,REKAPITULASI!G8,TRANSAKSI!$J$5:$J$90000)</f>
        <v>0</v>
      </c>
    </row>
    <row r="9" spans="2:9" x14ac:dyDescent="0.25">
      <c r="B9" s="86" t="s">
        <v>39</v>
      </c>
      <c r="C9" s="87">
        <f>SUMIFS(TRANSAKSI!$G$5:$G$90000,TRANSAKSI!$L$5:$L$90000,REKAPITULASI!B9,TRANSAKSI!$M$5:$M$90000,REKAPITULASI!$D$4)</f>
        <v>0</v>
      </c>
      <c r="D9" s="88">
        <f>SUMIFS(TRANSAKSI!$J$5:$J$90000,TRANSAKSI!$L$5:$L$90000,REKAPITULASI!B9,TRANSAKSI!$M$5:$M$90000,REKAPITULASI!$D$4)</f>
        <v>0</v>
      </c>
      <c r="F9" s="98">
        <v>3</v>
      </c>
      <c r="G9" s="99">
        <f t="shared" ca="1" si="0"/>
        <v>44465</v>
      </c>
      <c r="H9" s="98">
        <f ca="1">SUMIF(TRANSAKSI!$B$5:$B$90000,REKAPITULASI!G9,TRANSAKSI!$G$5:$G$90000)</f>
        <v>0</v>
      </c>
      <c r="I9" s="100">
        <f ca="1">SUMIF(TRANSAKSI!$B$5:$B$90000,REKAPITULASI!G9,TRANSAKSI!$J$5:$J$90000)</f>
        <v>0</v>
      </c>
    </row>
    <row r="10" spans="2:9" x14ac:dyDescent="0.25">
      <c r="B10" s="86" t="s">
        <v>40</v>
      </c>
      <c r="C10" s="87">
        <f>SUMIFS(TRANSAKSI!$G$5:$G$90000,TRANSAKSI!$L$5:$L$90000,REKAPITULASI!B10,TRANSAKSI!$M$5:$M$90000,REKAPITULASI!$D$4)</f>
        <v>0</v>
      </c>
      <c r="D10" s="88">
        <f>SUMIFS(TRANSAKSI!$J$5:$J$90000,TRANSAKSI!$L$5:$L$90000,REKAPITULASI!B10,TRANSAKSI!$M$5:$M$90000,REKAPITULASI!$D$4)</f>
        <v>0</v>
      </c>
      <c r="F10" s="98">
        <v>4</v>
      </c>
      <c r="G10" s="99">
        <f t="shared" ca="1" si="0"/>
        <v>44466</v>
      </c>
      <c r="H10" s="98">
        <f ca="1">SUMIF(TRANSAKSI!$B$5:$B$90000,REKAPITULASI!G10,TRANSAKSI!$G$5:$G$90000)</f>
        <v>0</v>
      </c>
      <c r="I10" s="100">
        <f ca="1">SUMIF(TRANSAKSI!$B$5:$B$90000,REKAPITULASI!G10,TRANSAKSI!$J$5:$J$90000)</f>
        <v>0</v>
      </c>
    </row>
    <row r="11" spans="2:9" x14ac:dyDescent="0.25">
      <c r="B11" s="86" t="s">
        <v>32</v>
      </c>
      <c r="C11" s="87">
        <f>SUMIFS(TRANSAKSI!$G$5:$G$90000,TRANSAKSI!$L$5:$L$90000,REKAPITULASI!B11,TRANSAKSI!$M$5:$M$90000,REKAPITULASI!$D$4)</f>
        <v>0</v>
      </c>
      <c r="D11" s="88">
        <f>SUMIFS(TRANSAKSI!$J$5:$J$90000,TRANSAKSI!$L$5:$L$90000,REKAPITULASI!B11,TRANSAKSI!$M$5:$M$90000,REKAPITULASI!$D$4)</f>
        <v>0</v>
      </c>
      <c r="F11" s="98">
        <v>5</v>
      </c>
      <c r="G11" s="99">
        <f t="shared" ca="1" si="0"/>
        <v>44467</v>
      </c>
      <c r="H11" s="98">
        <f ca="1">SUMIF(TRANSAKSI!$B$5:$B$90000,REKAPITULASI!G11,TRANSAKSI!$G$5:$G$90000)</f>
        <v>0</v>
      </c>
      <c r="I11" s="100">
        <f ca="1">SUMIF(TRANSAKSI!$B$5:$B$90000,REKAPITULASI!G11,TRANSAKSI!$J$5:$J$90000)</f>
        <v>0</v>
      </c>
    </row>
    <row r="12" spans="2:9" x14ac:dyDescent="0.25">
      <c r="B12" s="86" t="s">
        <v>41</v>
      </c>
      <c r="C12" s="87">
        <f>SUMIFS(TRANSAKSI!$G$5:$G$90000,TRANSAKSI!$L$5:$L$90000,REKAPITULASI!B12,TRANSAKSI!$M$5:$M$90000,REKAPITULASI!$D$4)</f>
        <v>0</v>
      </c>
      <c r="D12" s="88">
        <f>SUMIFS(TRANSAKSI!$J$5:$J$90000,TRANSAKSI!$L$5:$L$90000,REKAPITULASI!B12,TRANSAKSI!$M$5:$M$90000,REKAPITULASI!$D$4)</f>
        <v>0</v>
      </c>
      <c r="F12" s="98">
        <v>6</v>
      </c>
      <c r="G12" s="99">
        <f t="shared" ca="1" si="0"/>
        <v>44468</v>
      </c>
      <c r="H12" s="98">
        <f ca="1">SUMIF(TRANSAKSI!$B$5:$B$90000,REKAPITULASI!G12,TRANSAKSI!$G$5:$G$90000)</f>
        <v>0</v>
      </c>
      <c r="I12" s="100">
        <f ca="1">SUMIF(TRANSAKSI!$B$5:$B$90000,REKAPITULASI!G12,TRANSAKSI!$J$5:$J$90000)</f>
        <v>0</v>
      </c>
    </row>
    <row r="13" spans="2:9" x14ac:dyDescent="0.25">
      <c r="B13" s="86" t="s">
        <v>42</v>
      </c>
      <c r="C13" s="87">
        <f>SUMIFS(TRANSAKSI!$G$5:$G$90000,TRANSAKSI!$L$5:$L$90000,REKAPITULASI!B13,TRANSAKSI!$M$5:$M$90000,REKAPITULASI!$D$4)</f>
        <v>0</v>
      </c>
      <c r="D13" s="88">
        <f>SUMIFS(TRANSAKSI!$J$5:$J$90000,TRANSAKSI!$L$5:$L$90000,REKAPITULASI!B13,TRANSAKSI!$M$5:$M$90000,REKAPITULASI!$D$4)</f>
        <v>0</v>
      </c>
      <c r="F13" s="98">
        <v>7</v>
      </c>
      <c r="G13" s="99">
        <f t="shared" ca="1" si="0"/>
        <v>44469</v>
      </c>
      <c r="H13" s="98">
        <f ca="1">SUMIF(TRANSAKSI!$B$5:$B$90000,REKAPITULASI!G13,TRANSAKSI!$G$5:$G$90000)</f>
        <v>2</v>
      </c>
      <c r="I13" s="100">
        <f ca="1">SUMIF(TRANSAKSI!$B$5:$B$90000,REKAPITULASI!G13,TRANSAKSI!$J$5:$J$90000)</f>
        <v>140000</v>
      </c>
    </row>
    <row r="14" spans="2:9" x14ac:dyDescent="0.25">
      <c r="B14" s="86" t="s">
        <v>43</v>
      </c>
      <c r="C14" s="87">
        <f>SUMIFS(TRANSAKSI!$G$5:$G$90000,TRANSAKSI!$L$5:$L$90000,REKAPITULASI!B14,TRANSAKSI!$M$5:$M$90000,REKAPITULASI!$D$4)</f>
        <v>0</v>
      </c>
      <c r="D14" s="88">
        <f>SUMIFS(TRANSAKSI!$J$5:$J$90000,TRANSAKSI!$L$5:$L$90000,REKAPITULASI!B14,TRANSAKSI!$M$5:$M$90000,REKAPITULASI!$D$4)</f>
        <v>0</v>
      </c>
      <c r="I14" s="92"/>
    </row>
    <row r="15" spans="2:9" x14ac:dyDescent="0.25">
      <c r="B15" s="86" t="s">
        <v>44</v>
      </c>
      <c r="C15" s="87">
        <f>SUMIFS(TRANSAKSI!$G$5:$G$90000,TRANSAKSI!$L$5:$L$90000,REKAPITULASI!B15,TRANSAKSI!$M$5:$M$90000,REKAPITULASI!$D$4)</f>
        <v>2</v>
      </c>
      <c r="D15" s="88">
        <f>SUMIFS(TRANSAKSI!$J$5:$J$90000,TRANSAKSI!$L$5:$L$90000,REKAPITULASI!B15,TRANSAKSI!$M$5:$M$90000,REKAPITULASI!$D$4)</f>
        <v>140000</v>
      </c>
      <c r="G15" t="s">
        <v>48</v>
      </c>
      <c r="H15" s="2">
        <f ca="1">SUM(H7:H13)</f>
        <v>2</v>
      </c>
      <c r="I15" s="91">
        <f ca="1">SUM(I7:I13)</f>
        <v>140000</v>
      </c>
    </row>
    <row r="16" spans="2:9" x14ac:dyDescent="0.25">
      <c r="B16" s="86" t="s">
        <v>45</v>
      </c>
      <c r="C16" s="87">
        <f>SUMIFS(TRANSAKSI!$G$5:$G$90000,TRANSAKSI!$L$5:$L$90000,REKAPITULASI!B16,TRANSAKSI!$M$5:$M$90000,REKAPITULASI!$D$4)</f>
        <v>0</v>
      </c>
      <c r="D16" s="88">
        <f>SUMIFS(TRANSAKSI!$J$5:$J$90000,TRANSAKSI!$L$5:$L$90000,REKAPITULASI!B16,TRANSAKSI!$M$5:$M$90000,REKAPITULASI!$D$4)</f>
        <v>0</v>
      </c>
    </row>
    <row r="17" spans="2:4" x14ac:dyDescent="0.25">
      <c r="B17" s="86" t="s">
        <v>46</v>
      </c>
      <c r="C17" s="87">
        <f>SUMIFS(TRANSAKSI!$G$5:$G$90000,TRANSAKSI!$L$5:$L$90000,REKAPITULASI!B17,TRANSAKSI!$M$5:$M$90000,REKAPITULASI!$D$4)</f>
        <v>0</v>
      </c>
      <c r="D17" s="88">
        <f>SUMIFS(TRANSAKSI!$J$5:$J$90000,TRANSAKSI!$L$5:$L$90000,REKAPITULASI!B17,TRANSAKSI!$M$5:$M$90000,REKAPITULASI!$D$4)</f>
        <v>0</v>
      </c>
    </row>
    <row r="18" spans="2:4" x14ac:dyDescent="0.25">
      <c r="B18" s="86" t="s">
        <v>47</v>
      </c>
      <c r="C18" s="87">
        <f>SUMIFS(TRANSAKSI!$G$5:$G$90000,TRANSAKSI!$L$5:$L$90000,REKAPITULASI!B18,TRANSAKSI!$M$5:$M$90000,REKAPITULASI!$D$4)</f>
        <v>0</v>
      </c>
      <c r="D18" s="88">
        <f>SUMIFS(TRANSAKSI!$J$5:$J$90000,TRANSAKSI!$L$5:$L$90000,REKAPITULASI!B18,TRANSAKSI!$M$5:$M$90000,REKAPITULASI!$D$4)</f>
        <v>0</v>
      </c>
    </row>
    <row r="19" spans="2:4" x14ac:dyDescent="0.25">
      <c r="B19" s="86" t="s">
        <v>25</v>
      </c>
      <c r="C19" s="87">
        <f>SUM(C7:C18)</f>
        <v>2</v>
      </c>
      <c r="D19" s="88">
        <f>SUM(D7:D18)</f>
        <v>140000</v>
      </c>
    </row>
  </sheetData>
  <phoneticPr fontId="1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MENU</vt:lpstr>
      <vt:lpstr>DATABARANG</vt:lpstr>
      <vt:lpstr>Struk</vt:lpstr>
      <vt:lpstr>TRANSAKSI</vt:lpstr>
      <vt:lpstr>CARIBARANG</vt:lpstr>
      <vt:lpstr>REKAPITULASI</vt:lpstr>
      <vt:lpstr>CARIBARANG!Criteria</vt:lpstr>
      <vt:lpstr>TRANSAKSI!Criteria</vt:lpstr>
      <vt:lpstr>CARIBARANG!Extract</vt:lpstr>
      <vt:lpstr>TRANSAKSI!Extract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FARIDSATRIA</cp:lastModifiedBy>
  <cp:lastPrinted>2021-09-30T05:56:28Z</cp:lastPrinted>
  <dcterms:created xsi:type="dcterms:W3CDTF">2021-04-14T11:12:43Z</dcterms:created>
  <dcterms:modified xsi:type="dcterms:W3CDTF">2021-09-30T08:04:48Z</dcterms:modified>
</cp:coreProperties>
</file>