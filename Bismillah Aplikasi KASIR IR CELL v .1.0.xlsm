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cuments\File titip\IR cell\kasir\KasirIR\"/>
    </mc:Choice>
  </mc:AlternateContent>
  <xr:revisionPtr revIDLastSave="0" documentId="13_ncr:1_{6AFCDC57-09A0-4C7A-931F-9E746258BE96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MENU" sheetId="1" r:id="rId1"/>
    <sheet name="DATABARANG" sheetId="2" r:id="rId2"/>
    <sheet name="Struk" sheetId="3" r:id="rId3"/>
    <sheet name="TRANSAKSI" sheetId="4" r:id="rId4"/>
    <sheet name="CARIBARANG" sheetId="5" r:id="rId5"/>
    <sheet name="REKAPITULASI" sheetId="6" r:id="rId6"/>
  </sheets>
  <definedNames>
    <definedName name="_xlnm._FilterDatabase" localSheetId="1" hidden="1">DATABARANG!$A$3:$G$194</definedName>
    <definedName name="_xlnm._FilterDatabase" localSheetId="3" hidden="1">TRANSAKSI!$A$4:$J$23</definedName>
    <definedName name="_xlnm.Criteria" localSheetId="4">CARIBARANG!$H$1:$H$2</definedName>
    <definedName name="_xlnm.Criteria" localSheetId="3">TRANSAKSI!$O$4:$P$5</definedName>
    <definedName name="DATATRANSAKSI">OFFSET(MENU!$D$8,0,0,COUNTA(MENU!$D$8:$D$9000),10)</definedName>
    <definedName name="_xlnm.Extract" localSheetId="4">CARIBARANG!$A$1:$F$1</definedName>
    <definedName name="_xlnm.Extract" localSheetId="3">TRANSAKSI!$R$4:$AA$4</definedName>
    <definedName name="HAPUSTRANSAKSI">OFFSET(MENU!$D$8,0,0,COUNTA(MENU!$D$8:$D$9000),8)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" i="3" l="1"/>
  <c r="E24" i="3" s="1"/>
  <c r="B24" i="3"/>
  <c r="C24" i="3"/>
  <c r="D24" i="3"/>
  <c r="A25" i="3"/>
  <c r="E25" i="3" s="1"/>
  <c r="B25" i="3"/>
  <c r="C25" i="3"/>
  <c r="D25" i="3"/>
  <c r="A26" i="3"/>
  <c r="E26" i="3" s="1"/>
  <c r="B26" i="3"/>
  <c r="C26" i="3"/>
  <c r="D26" i="3"/>
  <c r="A27" i="3"/>
  <c r="E27" i="3" s="1"/>
  <c r="B27" i="3"/>
  <c r="C27" i="3"/>
  <c r="D27" i="3"/>
  <c r="A28" i="3"/>
  <c r="E28" i="3" s="1"/>
  <c r="B28" i="3"/>
  <c r="C28" i="3"/>
  <c r="D28" i="3"/>
  <c r="A29" i="3"/>
  <c r="E29" i="3" s="1"/>
  <c r="B29" i="3"/>
  <c r="C29" i="3"/>
  <c r="D29" i="3"/>
  <c r="A30" i="3"/>
  <c r="E30" i="3" s="1"/>
  <c r="B30" i="3"/>
  <c r="C30" i="3"/>
  <c r="D30" i="3"/>
  <c r="A31" i="3"/>
  <c r="E31" i="3" s="1"/>
  <c r="B31" i="3"/>
  <c r="C31" i="3"/>
  <c r="D31" i="3"/>
  <c r="A32" i="3"/>
  <c r="E32" i="3" s="1"/>
  <c r="B32" i="3"/>
  <c r="C32" i="3"/>
  <c r="D32" i="3"/>
  <c r="A33" i="3"/>
  <c r="E33" i="3" s="1"/>
  <c r="B33" i="3"/>
  <c r="C33" i="3"/>
  <c r="D33" i="3"/>
  <c r="A34" i="3"/>
  <c r="E34" i="3" s="1"/>
  <c r="B34" i="3"/>
  <c r="C34" i="3"/>
  <c r="D34" i="3"/>
  <c r="A35" i="3"/>
  <c r="E35" i="3" s="1"/>
  <c r="B35" i="3"/>
  <c r="C35" i="3"/>
  <c r="D35" i="3"/>
  <c r="A36" i="3"/>
  <c r="E36" i="3" s="1"/>
  <c r="B36" i="3"/>
  <c r="C36" i="3"/>
  <c r="D36" i="3"/>
  <c r="A37" i="3"/>
  <c r="E37" i="3" s="1"/>
  <c r="B37" i="3"/>
  <c r="C37" i="3"/>
  <c r="D37" i="3"/>
  <c r="A38" i="3"/>
  <c r="E38" i="3" s="1"/>
  <c r="B38" i="3"/>
  <c r="C38" i="3"/>
  <c r="D38" i="3"/>
  <c r="A39" i="3"/>
  <c r="E39" i="3" s="1"/>
  <c r="B39" i="3"/>
  <c r="C39" i="3"/>
  <c r="D39" i="3"/>
  <c r="A40" i="3"/>
  <c r="E40" i="3" s="1"/>
  <c r="B40" i="3"/>
  <c r="C40" i="3"/>
  <c r="D40" i="3"/>
  <c r="A41" i="3"/>
  <c r="E41" i="3" s="1"/>
  <c r="B41" i="3"/>
  <c r="C41" i="3"/>
  <c r="D41" i="3"/>
  <c r="L6" i="4"/>
  <c r="L7" i="4"/>
  <c r="L8" i="4"/>
  <c r="L9" i="4"/>
  <c r="L10" i="4"/>
  <c r="L11" i="4"/>
  <c r="L12" i="4"/>
  <c r="L13" i="4"/>
  <c r="L14" i="4"/>
  <c r="L15" i="4"/>
  <c r="D14" i="6" s="1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5" i="4"/>
  <c r="I4" i="6"/>
  <c r="G7" i="6" s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5" i="4"/>
  <c r="L8" i="1"/>
  <c r="M8" i="1" s="1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10" i="3"/>
  <c r="C10" i="3"/>
  <c r="B10" i="3"/>
  <c r="L9" i="1"/>
  <c r="M9" i="1" s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D3" i="1"/>
  <c r="C10" i="6"/>
  <c r="C17" i="6"/>
  <c r="D13" i="6"/>
  <c r="D9" i="6"/>
  <c r="C18" i="6"/>
  <c r="D10" i="6"/>
  <c r="C16" i="6"/>
  <c r="C8" i="6"/>
  <c r="D16" i="6"/>
  <c r="D12" i="6"/>
  <c r="B7" i="3"/>
  <c r="A11" i="3"/>
  <c r="A12" i="3"/>
  <c r="E12" i="3" s="1"/>
  <c r="A13" i="3"/>
  <c r="E13" i="3" s="1"/>
  <c r="A14" i="3"/>
  <c r="E14" i="3" s="1"/>
  <c r="A15" i="3"/>
  <c r="E15" i="3" s="1"/>
  <c r="A16" i="3"/>
  <c r="E16" i="3" s="1"/>
  <c r="A17" i="3"/>
  <c r="E17" i="3" s="1"/>
  <c r="A18" i="3"/>
  <c r="E18" i="3" s="1"/>
  <c r="A19" i="3"/>
  <c r="E19" i="3" s="1"/>
  <c r="A20" i="3"/>
  <c r="E20" i="3" s="1"/>
  <c r="A21" i="3"/>
  <c r="E21" i="3" s="1"/>
  <c r="A22" i="3"/>
  <c r="E22" i="3" s="1"/>
  <c r="A23" i="3"/>
  <c r="E23" i="3" s="1"/>
  <c r="A10" i="3"/>
  <c r="A27" i="1"/>
  <c r="A28" i="1" s="1"/>
  <c r="D6" i="3"/>
  <c r="C14" i="6" l="1"/>
  <c r="D15" i="6"/>
  <c r="C11" i="6"/>
  <c r="C13" i="6"/>
  <c r="C12" i="6"/>
  <c r="D18" i="6"/>
  <c r="D8" i="6"/>
  <c r="D7" i="6"/>
  <c r="C7" i="6"/>
  <c r="C19" i="6" s="1"/>
  <c r="D17" i="6"/>
  <c r="D11" i="6"/>
  <c r="C9" i="6"/>
  <c r="C15" i="6"/>
  <c r="E11" i="3"/>
  <c r="E10" i="3"/>
  <c r="E3" i="1"/>
  <c r="F3" i="1"/>
  <c r="D5" i="3"/>
  <c r="I7" i="6"/>
  <c r="G8" i="6"/>
  <c r="H7" i="6"/>
  <c r="D19" i="6" l="1"/>
  <c r="B5" i="3"/>
  <c r="B6" i="3" s="1"/>
  <c r="D7" i="3" s="1"/>
  <c r="G3" i="1"/>
  <c r="M3" i="1" s="1"/>
  <c r="H8" i="6"/>
  <c r="I8" i="6"/>
  <c r="G9" i="6"/>
  <c r="I9" i="6" l="1"/>
  <c r="G10" i="6"/>
  <c r="H9" i="6"/>
  <c r="H10" i="6" l="1"/>
  <c r="I10" i="6"/>
  <c r="G11" i="6"/>
  <c r="I11" i="6" l="1"/>
  <c r="H11" i="6"/>
  <c r="G12" i="6"/>
  <c r="G13" i="6" l="1"/>
  <c r="H12" i="6"/>
  <c r="I12" i="6"/>
  <c r="H13" i="6" l="1"/>
  <c r="H15" i="6" s="1"/>
  <c r="I13" i="6"/>
  <c r="I15" i="6" s="1"/>
</calcChain>
</file>

<file path=xl/sharedStrings.xml><?xml version="1.0" encoding="utf-8"?>
<sst xmlns="http://schemas.openxmlformats.org/spreadsheetml/2006/main" count="772" uniqueCount="428">
  <si>
    <t>Scan Barang</t>
  </si>
  <si>
    <t>Kode Barang</t>
  </si>
  <si>
    <t>Nama Barang</t>
  </si>
  <si>
    <t>Harga Satuan</t>
  </si>
  <si>
    <t>Qty</t>
  </si>
  <si>
    <t>Stok</t>
  </si>
  <si>
    <t>Total Harga</t>
  </si>
  <si>
    <t>8999999556327</t>
  </si>
  <si>
    <t>Sariwangi The Celup Asli 30 PC</t>
  </si>
  <si>
    <t>8998667401051</t>
  </si>
  <si>
    <t>Minyak Kayu Putih Konicare</t>
  </si>
  <si>
    <t>Harga Beli</t>
  </si>
  <si>
    <t>Harga Jual</t>
  </si>
  <si>
    <t>Satuan</t>
  </si>
  <si>
    <t>Buah</t>
  </si>
  <si>
    <t>Diskon %</t>
  </si>
  <si>
    <t>Diskon Rp</t>
  </si>
  <si>
    <t>Total Barang :</t>
  </si>
  <si>
    <t>Total Harga :</t>
  </si>
  <si>
    <t>Total Diskon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</si>
  <si>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</si>
  <si>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</si>
  <si>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</si>
  <si>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</si>
  <si>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</si>
  <si>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</si>
  <si>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</si>
  <si>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</si>
  <si>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</si>
  <si>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</si>
  <si>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</si>
  <si>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</si>
  <si>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</si>
  <si>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</si>
  <si>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</si>
  <si>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</si>
  <si>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</si>
  <si>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</si>
  <si>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</si>
  <si>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</si>
  <si>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</si>
  <si>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</si>
  <si>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</si>
  <si>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Agu</t>
  </si>
  <si>
    <t>Sep</t>
  </si>
  <si>
    <t>Okt</t>
  </si>
  <si>
    <t>Nov</t>
  </si>
  <si>
    <t>Des</t>
  </si>
  <si>
    <t>Total Penjualan</t>
  </si>
  <si>
    <t>Pcs</t>
  </si>
  <si>
    <t>Kotak Pensil</t>
  </si>
  <si>
    <t>Kg</t>
  </si>
  <si>
    <t>23634647455245</t>
  </si>
  <si>
    <t>8994096216419</t>
  </si>
  <si>
    <t>Meises Mix 90g</t>
  </si>
  <si>
    <t>8996001440124</t>
  </si>
  <si>
    <t>Energen Susu Vanila</t>
  </si>
  <si>
    <t>8992933652215</t>
  </si>
  <si>
    <t>La Pasta Spicy Barbeque</t>
  </si>
  <si>
    <t>8992222054980</t>
  </si>
  <si>
    <t>Gatsby Stayling Pomade</t>
  </si>
  <si>
    <t>8</t>
  </si>
  <si>
    <t>IR CELL</t>
  </si>
  <si>
    <t>Jl. KUSUMA BANGSA NO 31 (BONG MERENG) KEC, BURNEH KAB,BANGKALAN</t>
  </si>
  <si>
    <t>6987125632788</t>
  </si>
  <si>
    <t>Tang Ampere</t>
  </si>
  <si>
    <t>11077359</t>
  </si>
  <si>
    <t>OTG USB TYPE C EXCELLENT</t>
  </si>
  <si>
    <t>11077358</t>
  </si>
  <si>
    <t>OTG USB MICRO EXCELLENT</t>
  </si>
  <si>
    <t>11074781</t>
  </si>
  <si>
    <t>USB DONGLE BLUETOOTH MUSIC RECEIVE CAR WIRELESS</t>
  </si>
  <si>
    <t>6869869745811</t>
  </si>
  <si>
    <t>AUX CABLE HK 3.5 HK-AUX2</t>
  </si>
  <si>
    <t>11082030</t>
  </si>
  <si>
    <t>CHARGER MICRO ALDOUS EXCELLENT 18 W 3A QC 3.0</t>
  </si>
  <si>
    <t>11074410</t>
  </si>
  <si>
    <t>CHARGER MICRO EXCELLENT 2 PORT WHITE 2.1 A</t>
  </si>
  <si>
    <t>11077350</t>
  </si>
  <si>
    <t>CHARGER MICRO EXCELLENT BRUNO 2 USB</t>
  </si>
  <si>
    <t>11077357</t>
  </si>
  <si>
    <t>CHARGER MICRO EXCELLENT LED 2A 2 USB</t>
  </si>
  <si>
    <t>6951758864243</t>
  </si>
  <si>
    <t>CHAGER MICRO HK 2 USB HK TC-D8</t>
  </si>
  <si>
    <t>6921762247875</t>
  </si>
  <si>
    <t>CHARGER MICOR REALME 20 W SUPER VOOC DL 118</t>
  </si>
  <si>
    <t>11082924</t>
  </si>
  <si>
    <t xml:space="preserve">CHARGER MICRO SAMSUNG QC 3.0 </t>
  </si>
  <si>
    <t>11080396</t>
  </si>
  <si>
    <t>CHARGER MICRO XIAOMI FC -118 QC 3.0 18 W</t>
  </si>
  <si>
    <t>11077315</t>
  </si>
  <si>
    <t>KABEL DATA TYPE C EXCELLENT ASOKA 100CM FAST</t>
  </si>
  <si>
    <t>01267017</t>
  </si>
  <si>
    <t>CHARGER MICRO SAMSUNG 15 W FAST CHARGING</t>
  </si>
  <si>
    <t>11083102</t>
  </si>
  <si>
    <t>CHARGER MICRO OPPO F11 VOOC 4A AK 779</t>
  </si>
  <si>
    <t>6971548136152</t>
  </si>
  <si>
    <t>CHARGER TYPE C VIVAN QC 3.0 POWER OVAL 3.0</t>
  </si>
  <si>
    <t>6971548136213</t>
  </si>
  <si>
    <t>CHARGER VIVAN 2A POWER OVAL II</t>
  </si>
  <si>
    <t>57984018</t>
  </si>
  <si>
    <t>CHARGER MICRO ARGUS 2 USB 2USB</t>
  </si>
  <si>
    <t>11077083</t>
  </si>
  <si>
    <t xml:space="preserve">CHARGER MICRO EXCELLENT ALPHA 2 USB </t>
  </si>
  <si>
    <t>11074992</t>
  </si>
  <si>
    <t>CHARGER MICRO EXCELLENT EUDORA 2 USB</t>
  </si>
  <si>
    <t>11076291</t>
  </si>
  <si>
    <t>CHARGER TYPE C EXCELLENT RUBY QC 3.0 18 W</t>
  </si>
  <si>
    <t>11076289</t>
  </si>
  <si>
    <t>CHARGER MICRO EXCELLENT RUBY QC 3.0 18 W</t>
  </si>
  <si>
    <t>11076290</t>
  </si>
  <si>
    <t>CHARGER LIGHTNING EXCELLENT RUBY QC 3.0 18 W</t>
  </si>
  <si>
    <t>6969743955876</t>
  </si>
  <si>
    <t>CHARGER TYPE C OPPO 65 W DL 118</t>
  </si>
  <si>
    <t>885909627349</t>
  </si>
  <si>
    <t>CHARGER LIGHTNING USB POWER ADAPTER IPHONE ORI</t>
  </si>
  <si>
    <t>8629498465225</t>
  </si>
  <si>
    <t>CHARGER TYPE C TO C SAMSUNG ORI 45 W</t>
  </si>
  <si>
    <t>11079925</t>
  </si>
  <si>
    <t>TEMPERED VIVO V9</t>
  </si>
  <si>
    <t>11077990</t>
  </si>
  <si>
    <t>TEMPERED VIVO V5</t>
  </si>
  <si>
    <t>11082334</t>
  </si>
  <si>
    <t>TEMPERED VIVO Y20/Y12S</t>
  </si>
  <si>
    <t>11080335</t>
  </si>
  <si>
    <t>TEMPERED VIVO Y30</t>
  </si>
  <si>
    <t>11080336</t>
  </si>
  <si>
    <t>TEMPERED VIVO Y50</t>
  </si>
  <si>
    <t>11078248</t>
  </si>
  <si>
    <t>TEMPERED VIVO Y19</t>
  </si>
  <si>
    <t>11079757</t>
  </si>
  <si>
    <t>TEMPERED VIVO Y19 BLUE</t>
  </si>
  <si>
    <t>11082642</t>
  </si>
  <si>
    <t>TEMPERED VIVO V20 PRO</t>
  </si>
  <si>
    <t>11077986</t>
  </si>
  <si>
    <t xml:space="preserve">TEMPERED VIVO V17 </t>
  </si>
  <si>
    <t>11077983</t>
  </si>
  <si>
    <t>TEMPERED VIVO Y91/93/95</t>
  </si>
  <si>
    <t>11077726</t>
  </si>
  <si>
    <t>TEMPERED VIVO Y91</t>
  </si>
  <si>
    <t>11082607</t>
  </si>
  <si>
    <t>TEMPERED VIVO Y30I</t>
  </si>
  <si>
    <t>11077730</t>
  </si>
  <si>
    <t>TEMPERED VIVO Y12/15/17</t>
  </si>
  <si>
    <t>11082608</t>
  </si>
  <si>
    <t>TEMPERED VIVO V20</t>
  </si>
  <si>
    <t>11077728</t>
  </si>
  <si>
    <t>TEMPERED VIVO V15</t>
  </si>
  <si>
    <t>11077987</t>
  </si>
  <si>
    <t>TEMPERED VIVO 15 PRO</t>
  </si>
  <si>
    <t>11082609</t>
  </si>
  <si>
    <t>TEMPERED VIVO V20SE</t>
  </si>
  <si>
    <t>11077724</t>
  </si>
  <si>
    <t>TEMPERED VIVO V11</t>
  </si>
  <si>
    <t>11077992</t>
  </si>
  <si>
    <t>TEMPERED VIVO V7 PLUS</t>
  </si>
  <si>
    <t>11078247</t>
  </si>
  <si>
    <t>TEMPERED VIVO S1 PRO</t>
  </si>
  <si>
    <t>11079887</t>
  </si>
  <si>
    <t>TEMPERED VIVO V19</t>
  </si>
  <si>
    <t>11076452</t>
  </si>
  <si>
    <t>TEMPERED VIVO V11 PRO BENING</t>
  </si>
  <si>
    <t>11078085</t>
  </si>
  <si>
    <t>TEMPERED SAMSUNG M30S</t>
  </si>
  <si>
    <t>11080332</t>
  </si>
  <si>
    <t>TEMPERED SAMSUNG A11</t>
  </si>
  <si>
    <t>11079480</t>
  </si>
  <si>
    <t>TEMPERED SAMSUNG A71</t>
  </si>
  <si>
    <t>11079491</t>
  </si>
  <si>
    <t>TEMPERED SAMSUNG J3 PRO</t>
  </si>
  <si>
    <t>11079492</t>
  </si>
  <si>
    <t>TEMPERED SAMSUNG J5 PRO</t>
  </si>
  <si>
    <t>11077132</t>
  </si>
  <si>
    <t>TEMPERED SAMSUNG A50 BENING</t>
  </si>
  <si>
    <t>11083559</t>
  </si>
  <si>
    <t>TEMPERED SAMSUNG A12 MATTE</t>
  </si>
  <si>
    <t>11083558</t>
  </si>
  <si>
    <t>TEMPERED SAMSUNG A02S MATTE</t>
  </si>
  <si>
    <t>11078082</t>
  </si>
  <si>
    <t>TEMPERED SAMSUNG A20S</t>
  </si>
  <si>
    <t>11083919</t>
  </si>
  <si>
    <t>06429821</t>
  </si>
  <si>
    <t>TEMPERED SAMSUNG A02 MATTE</t>
  </si>
  <si>
    <t>11083628</t>
  </si>
  <si>
    <t>TEMPERED SAMSUNG A02</t>
  </si>
  <si>
    <t>11078083</t>
  </si>
  <si>
    <t>TEMPERED SAMSUNG A30S</t>
  </si>
  <si>
    <t>11083630</t>
  </si>
  <si>
    <t>TEMPERED SAMSUNG A52</t>
  </si>
  <si>
    <t>11077731</t>
  </si>
  <si>
    <t>TEMPERED SAMSUNG J2 PRIME</t>
  </si>
  <si>
    <t>11078000</t>
  </si>
  <si>
    <t>TEMPERED SAMSUNG J7 PRO</t>
  </si>
  <si>
    <t>11079932</t>
  </si>
  <si>
    <t>TEMPERED SAMSUNG A01</t>
  </si>
  <si>
    <t>11077994</t>
  </si>
  <si>
    <t xml:space="preserve">TEMPERED SAMSUNG J2 PRO </t>
  </si>
  <si>
    <t>11080333</t>
  </si>
  <si>
    <t xml:space="preserve">TEMPERED SAMSUNG A21S </t>
  </si>
  <si>
    <t>11079563</t>
  </si>
  <si>
    <t xml:space="preserve">TEMPERED SAMSUNG A20 </t>
  </si>
  <si>
    <t>11079495</t>
  </si>
  <si>
    <t>TEMPERED XIAOMI REDMI 6 PRO</t>
  </si>
  <si>
    <t>11079496</t>
  </si>
  <si>
    <t>TEMPERED XIAOMI NOTE 6</t>
  </si>
  <si>
    <t>11079505</t>
  </si>
  <si>
    <t xml:space="preserve">TAMPERED XIAOMI NOTE 4X </t>
  </si>
  <si>
    <t>11070720</t>
  </si>
  <si>
    <t>TEMPERED SAMSUNG J1 BENING</t>
  </si>
  <si>
    <t>11077129</t>
  </si>
  <si>
    <t>TEMPERED SAMSUNG A10 BENING</t>
  </si>
  <si>
    <t>11076214</t>
  </si>
  <si>
    <t>TEMPERED SAMSUNG J8 2018 BENING</t>
  </si>
  <si>
    <t>11077995</t>
  </si>
  <si>
    <t>TEMPERED SAMSUNG J310</t>
  </si>
  <si>
    <t>11083565</t>
  </si>
  <si>
    <t>TEMPERED SAMSUNG S21 MATTE</t>
  </si>
  <si>
    <t>11079721</t>
  </si>
  <si>
    <t>TEMPERED SAMSUNG A20S BLUE</t>
  </si>
  <si>
    <t>11079485</t>
  </si>
  <si>
    <t xml:space="preserve">TEMPERED SAMSUNG M20 </t>
  </si>
  <si>
    <t>11077126</t>
  </si>
  <si>
    <t xml:space="preserve">TEMPERED SAMSUNG M10 BENING </t>
  </si>
  <si>
    <t>11082444</t>
  </si>
  <si>
    <t>TEMPERED XIOAMI REDMI 9C</t>
  </si>
  <si>
    <t>11082643</t>
  </si>
  <si>
    <t xml:space="preserve">TEMPERED XIAOMI 9A </t>
  </si>
  <si>
    <t>11078086</t>
  </si>
  <si>
    <t>TEMPERED XIAOMI NOTE 8</t>
  </si>
  <si>
    <t>11080337</t>
  </si>
  <si>
    <t>TEMPERED REDMI NOTE 9</t>
  </si>
  <si>
    <t>01498118</t>
  </si>
  <si>
    <t xml:space="preserve">TEMPERED REDMI NOTE 8 PRO </t>
  </si>
  <si>
    <t>11079426</t>
  </si>
  <si>
    <t xml:space="preserve">TEMPERED REDMI 8 </t>
  </si>
  <si>
    <t>11079494</t>
  </si>
  <si>
    <t>TEMPERED REDMI 8A</t>
  </si>
  <si>
    <t>11082011</t>
  </si>
  <si>
    <t>TEMPERED REDMI 9</t>
  </si>
  <si>
    <t>11079935</t>
  </si>
  <si>
    <t>TEMPERED REDMI 8A PRO</t>
  </si>
  <si>
    <t>11079497</t>
  </si>
  <si>
    <t>TEMPERED REDMI 4X</t>
  </si>
  <si>
    <t>11079774</t>
  </si>
  <si>
    <t>TEMPERED REDMI 4X BLUE</t>
  </si>
  <si>
    <t>00060101</t>
  </si>
  <si>
    <t>TEMPERED REDMI 4X BENING</t>
  </si>
  <si>
    <t>11079777</t>
  </si>
  <si>
    <t>TEMPERED REDMI 6A BLUE</t>
  </si>
  <si>
    <t>11077722</t>
  </si>
  <si>
    <t>TEMPERED REDMI 7</t>
  </si>
  <si>
    <t>11080338</t>
  </si>
  <si>
    <t>TEMPERED REDMI NOTE 9 PRO</t>
  </si>
  <si>
    <t>11083609</t>
  </si>
  <si>
    <t>TEMPERED REDMI NOTE 9 PRO MATTE</t>
  </si>
  <si>
    <t>11077721</t>
  </si>
  <si>
    <t>TEMPERED REDMI NOTE 7</t>
  </si>
  <si>
    <t>TEMPERED REDMI NOTE 8</t>
  </si>
  <si>
    <t>11078087</t>
  </si>
  <si>
    <t>TEMPERED REDMI NOTE 8 PRO</t>
  </si>
  <si>
    <t>TEMPERED REDMI NOTE 6</t>
  </si>
  <si>
    <t>11079562</t>
  </si>
  <si>
    <t>TEMPERED REDMI NOTE 5 PRO</t>
  </si>
  <si>
    <t>11077442</t>
  </si>
  <si>
    <t>TEMPERED REDMI GO BENING</t>
  </si>
  <si>
    <t>11076211</t>
  </si>
  <si>
    <t>TEMPERED REDMI NOTE 6 BENING</t>
  </si>
  <si>
    <t>11071318</t>
  </si>
  <si>
    <t>TEMPERED REDMI 3 PRO</t>
  </si>
  <si>
    <t>11070824</t>
  </si>
  <si>
    <t>TEMPERED REDMI NOTE 2</t>
  </si>
  <si>
    <t>11079945</t>
  </si>
  <si>
    <t xml:space="preserve">TEMPERED REALME 6I </t>
  </si>
  <si>
    <t>KOSONG</t>
  </si>
  <si>
    <t>TEMPERED REALME 6 BENING</t>
  </si>
  <si>
    <t>11078012</t>
  </si>
  <si>
    <t>TEMPERED REALME 5 PRO</t>
  </si>
  <si>
    <t>11079717</t>
  </si>
  <si>
    <t>TEMPERED REALME C BLUE</t>
  </si>
  <si>
    <t>11082445</t>
  </si>
  <si>
    <t xml:space="preserve">TEMPERED REALME 7 </t>
  </si>
  <si>
    <t>11082605</t>
  </si>
  <si>
    <t>TEMPERED REALME 7I</t>
  </si>
  <si>
    <t>11082606</t>
  </si>
  <si>
    <t>TEMPERED REALME C17</t>
  </si>
  <si>
    <t>11081037</t>
  </si>
  <si>
    <t>TEMPERED REALME C11</t>
  </si>
  <si>
    <t>11078011</t>
  </si>
  <si>
    <t xml:space="preserve">TEMPERED REALME 5 </t>
  </si>
  <si>
    <t>11079714</t>
  </si>
  <si>
    <t>TEMPERED REALME 5 BLUE</t>
  </si>
  <si>
    <t>11076446</t>
  </si>
  <si>
    <t>TEMPERED OPPO REALME 2 BENING</t>
  </si>
  <si>
    <t>11079916</t>
  </si>
  <si>
    <t>TEMPERED REALME 5I</t>
  </si>
  <si>
    <t>11077746</t>
  </si>
  <si>
    <t>TEMPERED REALME 3</t>
  </si>
  <si>
    <t>12847556</t>
  </si>
  <si>
    <t>TEMPERED REALME C21</t>
  </si>
  <si>
    <t>11083585</t>
  </si>
  <si>
    <t>TEMPERED REALME C21 MATTE</t>
  </si>
  <si>
    <t>11082637</t>
  </si>
  <si>
    <t xml:space="preserve">TEMPERED C12 </t>
  </si>
  <si>
    <t>11083587</t>
  </si>
  <si>
    <t>TEMPERED REALME 8 MATTE</t>
  </si>
  <si>
    <t>11083638</t>
  </si>
  <si>
    <t>TEMPERED REALME C20 / C15</t>
  </si>
  <si>
    <t>11079949</t>
  </si>
  <si>
    <t>TEMPERED REALME 5S</t>
  </si>
  <si>
    <t>11077750</t>
  </si>
  <si>
    <t>TEMPERED REALME 3 PRO</t>
  </si>
  <si>
    <t>11077749</t>
  </si>
  <si>
    <t>TEMPERED REALME C1 / A3S</t>
  </si>
  <si>
    <t>11079946</t>
  </si>
  <si>
    <t>TEMPERED REALME X</t>
  </si>
  <si>
    <t>11077738</t>
  </si>
  <si>
    <t>TEMPERED IPHONE 6+</t>
  </si>
  <si>
    <t>11078005</t>
  </si>
  <si>
    <t xml:space="preserve">TEMPERED IPHONE 7 </t>
  </si>
  <si>
    <t>11077737</t>
  </si>
  <si>
    <t>TEMPERED IPHONE 6</t>
  </si>
  <si>
    <t>TEMPERED OPPO A11</t>
  </si>
  <si>
    <t>11078008</t>
  </si>
  <si>
    <t>TEMPERED OPPO A5 2020 / A9 2020</t>
  </si>
  <si>
    <t>11083572</t>
  </si>
  <si>
    <t>TEMPERED OPPO A5 2020 MATTE</t>
  </si>
  <si>
    <t>11077742</t>
  </si>
  <si>
    <t>TEMPERED OPPO F9 / A5S / A11K</t>
  </si>
  <si>
    <t>11077747</t>
  </si>
  <si>
    <t>TEMPERED OPPO A5S / F9 / A11K</t>
  </si>
  <si>
    <t>11082630</t>
  </si>
  <si>
    <t>TEMPERED OPPO A11K / A5S / F9</t>
  </si>
  <si>
    <t>11079938</t>
  </si>
  <si>
    <t>TEMPERED OPPO A91</t>
  </si>
  <si>
    <t>11080330</t>
  </si>
  <si>
    <t>TEMPERED OPPO A93</t>
  </si>
  <si>
    <t>11082632</t>
  </si>
  <si>
    <t>TEMPERED OPPO A92</t>
  </si>
  <si>
    <t>11080280</t>
  </si>
  <si>
    <t>TEMPERED OPPO A52</t>
  </si>
  <si>
    <t>11083562</t>
  </si>
  <si>
    <t>TEMPERED OPPO A52 MATTE</t>
  </si>
  <si>
    <t>11080388</t>
  </si>
  <si>
    <t>TEMPERED OPPO A52 BENING</t>
  </si>
  <si>
    <t>11082629</t>
  </si>
  <si>
    <t>TEMPERED OPPO A33</t>
  </si>
  <si>
    <t>11078014</t>
  </si>
  <si>
    <t>TEMPERED OPPO A71</t>
  </si>
  <si>
    <t>11079937</t>
  </si>
  <si>
    <t>TEMPERED OPPO A12 / A1K</t>
  </si>
  <si>
    <t>11077751</t>
  </si>
  <si>
    <t>TEMPERED OPPO A1K / A12</t>
  </si>
  <si>
    <t>TEMPERED OPPO A12 MATTE</t>
  </si>
  <si>
    <t>11082633</t>
  </si>
  <si>
    <t>TEMPERED OPPO A15</t>
  </si>
  <si>
    <t>11083577</t>
  </si>
  <si>
    <t>TEMPERED OPPO A15 MATTE</t>
  </si>
  <si>
    <t>11078089</t>
  </si>
  <si>
    <t>TEMPERED OPPO RENNO 2</t>
  </si>
  <si>
    <t>11078070</t>
  </si>
  <si>
    <t>TEMPERED OPPO RENNO 2 BENING</t>
  </si>
  <si>
    <t>11079706</t>
  </si>
  <si>
    <t>TEMPERED OPPO A7 BLUE</t>
  </si>
  <si>
    <t xml:space="preserve">KOSONG </t>
  </si>
  <si>
    <t>TEMPERED OPPO A12</t>
  </si>
  <si>
    <t>TEMPERED OPPO A31</t>
  </si>
  <si>
    <t>11079918</t>
  </si>
  <si>
    <t>TEMPERED OPPO RENO 3</t>
  </si>
  <si>
    <t>TEMPERED OPPO F11 PRO</t>
  </si>
  <si>
    <t xml:space="preserve">TEMPERED OPPO A7 </t>
  </si>
  <si>
    <t>TEMPERED OPPO A5 2019</t>
  </si>
  <si>
    <t>11077741</t>
  </si>
  <si>
    <t xml:space="preserve">TEMPERED OPPO A37 </t>
  </si>
  <si>
    <t>11083574</t>
  </si>
  <si>
    <t>TEMPERED OPPO A37 MATTE</t>
  </si>
  <si>
    <t>TEMPERED OPPO A37 BENING</t>
  </si>
  <si>
    <t>11082012</t>
  </si>
  <si>
    <t>TEMPERED OPPO A53</t>
  </si>
  <si>
    <t>11079478</t>
  </si>
  <si>
    <t>TEMPERED OPPO A83</t>
  </si>
  <si>
    <t>11083580</t>
  </si>
  <si>
    <t>TEMPERED OPPO A55 MATTE</t>
  </si>
  <si>
    <t>11083633</t>
  </si>
  <si>
    <t>TEMPERED OPPO A54</t>
  </si>
  <si>
    <t>11079936</t>
  </si>
  <si>
    <t>TEMPERED OPPO A57 / A39</t>
  </si>
  <si>
    <t>11080329</t>
  </si>
  <si>
    <t>TEMPERED OPPO A92 / A52</t>
  </si>
  <si>
    <t>11078017</t>
  </si>
  <si>
    <t>TEMPERED OPPO F1S</t>
  </si>
  <si>
    <t>11077988</t>
  </si>
  <si>
    <t xml:space="preserve">TEMPERED OPPO F7 </t>
  </si>
  <si>
    <t>TEMPERED OPPO 5F BENING</t>
  </si>
  <si>
    <t>11079566</t>
  </si>
  <si>
    <t>TEMPERED OPPO F5 / Y71</t>
  </si>
  <si>
    <t>11082634</t>
  </si>
  <si>
    <t>TEMPERED OPPO F17</t>
  </si>
  <si>
    <t>11077744</t>
  </si>
  <si>
    <t>TEMPERED OPPO F11</t>
  </si>
  <si>
    <t>11079934</t>
  </si>
  <si>
    <t>TEMPERED OPPO RENO 2F</t>
  </si>
  <si>
    <t>11082631</t>
  </si>
  <si>
    <t>TEMPERED OPPO RENO 4</t>
  </si>
  <si>
    <t>11083566</t>
  </si>
  <si>
    <t xml:space="preserve">TEMPERED OPPO RENO 4 MATTE </t>
  </si>
  <si>
    <t>TEMPRED OPPO F5</t>
  </si>
  <si>
    <t>11082857</t>
  </si>
  <si>
    <t xml:space="preserve">TEMPERED OPPO RENO 5 </t>
  </si>
  <si>
    <t>11083569</t>
  </si>
  <si>
    <t>TEMPERED OPPO RENO 5 MATTE</t>
  </si>
  <si>
    <t xml:space="preserve">TEMPERED OPPO 4F </t>
  </si>
  <si>
    <t>11077745</t>
  </si>
  <si>
    <t>11077133</t>
  </si>
  <si>
    <t>TEMPERED OPPO F11 PRO BENING</t>
  </si>
  <si>
    <t>11078016</t>
  </si>
  <si>
    <t>TEMPERED OPPO F1 +</t>
  </si>
  <si>
    <t>11070793</t>
  </si>
  <si>
    <t>TEMPERED OPPO F1 + BENING</t>
  </si>
  <si>
    <t>* OPPO A12*</t>
  </si>
  <si>
    <t>TEMPERED REALME 7A</t>
  </si>
  <si>
    <t>TEMPERED OPPO 6X</t>
  </si>
  <si>
    <t>TEMPERED REDMI NOTE 4</t>
  </si>
  <si>
    <t>TEMPERED SAMSUNG A21S</t>
  </si>
  <si>
    <t>TEMPERED SAMSUNG J5 PRIME</t>
  </si>
  <si>
    <t>TEMPERED SAMSUNG A30</t>
  </si>
  <si>
    <t xml:space="preserve">TEMPERED SAMSUNG A50 </t>
  </si>
  <si>
    <t xml:space="preserve">TEMPERED REDMI NOTE 5 </t>
  </si>
  <si>
    <t>TEMPERED REDMI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</si>
</sst>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</numFmts>
  <fonts count="18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b/>
      <sz val="12"/>
      <color theme="7" tint="-0.499984740745262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sz val="14"/>
      <color theme="1"/>
      <name val="Roboto Condensed"/>
    </font>
    <font>
      <b/>
      <sz val="14"/>
      <color theme="1"/>
      <name val="Roboto Condensed"/>
    </font>
  </fonts>
  <fills count="6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23356E"/>
        <bgColor indexed="64"/>
      </patternFill>
    </fill>
    <fill>
      <patternFill patternType="solid">
        <fgColor rgb="FFDAAF47"/>
        <bgColor indexed="64"/>
      </patternFill>
    </fill>
  </fills>
  <borders count="33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DAAF47"/>
      </left>
      <right/>
      <top style="double">
        <color rgb="FFDAAF47"/>
      </top>
      <bottom/>
      <diagonal/>
    </border>
    <border>
      <left/>
      <right/>
      <top style="double">
        <color rgb="FFDAAF47"/>
      </top>
      <bottom/>
      <diagonal/>
    </border>
    <border>
      <left/>
      <right style="double">
        <color rgb="FFDAAF47"/>
      </right>
      <top style="double">
        <color rgb="FFDAAF47"/>
      </top>
      <bottom/>
      <diagonal/>
    </border>
    <border>
      <left style="double">
        <color rgb="FFDAAF47"/>
      </left>
      <right/>
      <top/>
      <bottom style="double">
        <color rgb="FFDAAF47"/>
      </bottom>
      <diagonal/>
    </border>
    <border>
      <left/>
      <right/>
      <top/>
      <bottom style="double">
        <color rgb="FFDAAF47"/>
      </bottom>
      <diagonal/>
    </border>
    <border>
      <left/>
      <right style="double">
        <color rgb="FFDAAF47"/>
      </right>
      <top/>
      <bottom style="double">
        <color rgb="FFDAAF47"/>
      </bottom>
      <diagonal/>
    </border>
    <border>
      <left style="medium">
        <color rgb="FFDAAF47"/>
      </left>
      <right/>
      <top style="medium">
        <color rgb="FFDAAF47"/>
      </top>
      <bottom style="medium">
        <color rgb="FFDAAF47"/>
      </bottom>
      <diagonal/>
    </border>
    <border>
      <left/>
      <right style="medium">
        <color rgb="FFDAAF47"/>
      </right>
      <top style="medium">
        <color rgb="FFDAAF47"/>
      </top>
      <bottom style="medium">
        <color rgb="FFDAAF47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9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2" fillId="0" borderId="0" xfId="0" applyNumberFormat="1" applyFont="1" applyFill="1"/>
    <xf numFmtId="0" fontId="2" fillId="0" borderId="0" xfId="0" applyFont="1" applyFill="1"/>
    <xf numFmtId="164" fontId="2" fillId="0" borderId="0" xfId="1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164" fontId="4" fillId="2" borderId="0" xfId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9" fontId="4" fillId="2" borderId="0" xfId="2" applyFont="1" applyFill="1" applyAlignment="1">
      <alignment horizontal="center" vertic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164" fontId="2" fillId="0" borderId="0" xfId="1" applyFont="1" applyFill="1" applyBorder="1" applyAlignment="1">
      <alignment vertic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6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10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66" fontId="6" fillId="0" borderId="15" xfId="0" applyNumberFormat="1" applyFont="1" applyBorder="1" applyAlignment="1">
      <alignment horizontal="right" vertical="center"/>
    </xf>
    <xf numFmtId="166" fontId="6" fillId="0" borderId="0" xfId="0" applyNumberFormat="1" applyFont="1" applyBorder="1" applyAlignment="1">
      <alignment horizontal="right" vertical="center"/>
    </xf>
    <xf numFmtId="166" fontId="6" fillId="0" borderId="20" xfId="0" applyNumberFormat="1" applyFont="1" applyBorder="1" applyAlignment="1">
      <alignment horizontal="right" vertical="center"/>
    </xf>
    <xf numFmtId="0" fontId="6" fillId="0" borderId="14" xfId="0" applyFont="1" applyBorder="1" applyAlignment="1">
      <alignment horizontal="right"/>
    </xf>
    <xf numFmtId="0" fontId="6" fillId="0" borderId="17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166" fontId="6" fillId="0" borderId="15" xfId="0" applyNumberFormat="1" applyFont="1" applyBorder="1" applyAlignment="1">
      <alignment horizontal="left"/>
    </xf>
    <xf numFmtId="14" fontId="6" fillId="0" borderId="20" xfId="0" applyNumberFormat="1" applyFont="1" applyBorder="1" applyAlignment="1">
      <alignment horizontal="left"/>
    </xf>
    <xf numFmtId="166" fontId="6" fillId="0" borderId="0" xfId="0" applyNumberFormat="1" applyFont="1" applyBorder="1" applyAlignment="1">
      <alignment horizontal="left"/>
    </xf>
    <xf numFmtId="0" fontId="8" fillId="0" borderId="22" xfId="0" applyFont="1" applyBorder="1" applyAlignment="1">
      <alignment horizontal="center" vertical="center"/>
    </xf>
    <xf numFmtId="166" fontId="8" fillId="0" borderId="22" xfId="0" applyNumberFormat="1" applyFont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49" fontId="11" fillId="3" borderId="0" xfId="0" applyNumberFormat="1" applyFont="1" applyFill="1"/>
    <xf numFmtId="0" fontId="11" fillId="3" borderId="0" xfId="0" applyFont="1" applyFill="1"/>
    <xf numFmtId="0" fontId="11" fillId="3" borderId="0" xfId="0" applyFont="1" applyFill="1" applyAlignment="1">
      <alignment horizontal="center" vertical="center"/>
    </xf>
    <xf numFmtId="165" fontId="11" fillId="3" borderId="0" xfId="0" applyNumberFormat="1" applyFont="1" applyFill="1" applyAlignment="1">
      <alignment horizontal="center" vertical="center"/>
    </xf>
    <xf numFmtId="14" fontId="2" fillId="2" borderId="1" xfId="0" applyNumberFormat="1" applyFont="1" applyFill="1" applyBorder="1" applyAlignment="1">
      <alignment horizontal="left"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left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9" fontId="2" fillId="0" borderId="0" xfId="2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9" fontId="3" fillId="0" borderId="0" xfId="2" applyFont="1" applyFill="1" applyAlignment="1">
      <alignment horizontal="center" vertical="center"/>
    </xf>
    <xf numFmtId="14" fontId="4" fillId="2" borderId="0" xfId="0" applyNumberFormat="1" applyFont="1" applyFill="1" applyAlignment="1">
      <alignment vertical="center"/>
    </xf>
    <xf numFmtId="14" fontId="0" fillId="0" borderId="0" xfId="0" applyNumberFormat="1"/>
    <xf numFmtId="165" fontId="4" fillId="2" borderId="0" xfId="0" applyNumberFormat="1" applyFont="1" applyFill="1" applyAlignment="1">
      <alignment vertical="center"/>
    </xf>
    <xf numFmtId="165" fontId="0" fillId="0" borderId="0" xfId="0" applyNumberFormat="1"/>
    <xf numFmtId="0" fontId="11" fillId="2" borderId="0" xfId="0" applyFont="1" applyFill="1"/>
    <xf numFmtId="0" fontId="11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164" fontId="0" fillId="0" borderId="23" xfId="1" applyFont="1" applyBorder="1" applyAlignment="1">
      <alignment horizontal="center" vertical="center"/>
    </xf>
    <xf numFmtId="14" fontId="11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164" fontId="0" fillId="0" borderId="0" xfId="1" applyFont="1"/>
    <xf numFmtId="49" fontId="4" fillId="2" borderId="0" xfId="0" applyNumberFormat="1" applyFont="1" applyFill="1" applyAlignment="1"/>
    <xf numFmtId="9" fontId="4" fillId="2" borderId="0" xfId="2" applyFont="1" applyFill="1" applyAlignment="1"/>
    <xf numFmtId="0" fontId="0" fillId="0" borderId="0" xfId="0" applyAlignment="1"/>
    <xf numFmtId="9" fontId="0" fillId="0" borderId="0" xfId="2" applyFont="1" applyAlignment="1"/>
    <xf numFmtId="0" fontId="13" fillId="3" borderId="0" xfId="0" applyFont="1" applyFill="1" applyAlignment="1">
      <alignment vertical="center"/>
    </xf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164" fontId="0" fillId="0" borderId="24" xfId="1" applyFont="1" applyBorder="1" applyAlignment="1">
      <alignment horizontal="center" vertical="center"/>
    </xf>
    <xf numFmtId="0" fontId="2" fillId="4" borderId="0" xfId="0" applyFont="1" applyFill="1"/>
    <xf numFmtId="49" fontId="5" fillId="0" borderId="32" xfId="0" applyNumberFormat="1" applyFont="1" applyFill="1" applyBorder="1" applyAlignment="1">
      <alignment vertical="center"/>
    </xf>
    <xf numFmtId="49" fontId="16" fillId="0" borderId="25" xfId="0" applyNumberFormat="1" applyFont="1" applyFill="1" applyBorder="1"/>
    <xf numFmtId="0" fontId="16" fillId="0" borderId="26" xfId="0" applyFont="1" applyFill="1" applyBorder="1"/>
    <xf numFmtId="164" fontId="16" fillId="0" borderId="26" xfId="1" applyFont="1" applyFill="1" applyBorder="1"/>
    <xf numFmtId="9" fontId="16" fillId="0" borderId="26" xfId="2" applyFont="1" applyFill="1" applyBorder="1" applyAlignment="1">
      <alignment horizontal="center" vertical="center"/>
    </xf>
    <xf numFmtId="164" fontId="16" fillId="0" borderId="27" xfId="1" applyFont="1" applyFill="1" applyBorder="1"/>
    <xf numFmtId="1" fontId="17" fillId="0" borderId="28" xfId="0" applyNumberFormat="1" applyFont="1" applyFill="1" applyBorder="1" applyAlignment="1">
      <alignment horizontal="left" vertical="center"/>
    </xf>
    <xf numFmtId="166" fontId="17" fillId="0" borderId="29" xfId="0" applyNumberFormat="1" applyFont="1" applyFill="1" applyBorder="1" applyAlignment="1">
      <alignment horizontal="left" vertical="center"/>
    </xf>
    <xf numFmtId="166" fontId="17" fillId="0" borderId="29" xfId="1" applyNumberFormat="1" applyFont="1" applyFill="1" applyBorder="1" applyAlignment="1">
      <alignment horizontal="left" vertical="center"/>
    </xf>
    <xf numFmtId="165" fontId="17" fillId="0" borderId="29" xfId="2" applyNumberFormat="1" applyFont="1" applyFill="1" applyBorder="1" applyAlignment="1">
      <alignment horizontal="center" vertical="center"/>
    </xf>
    <xf numFmtId="166" fontId="17" fillId="0" borderId="30" xfId="1" applyNumberFormat="1" applyFont="1" applyFill="1" applyBorder="1" applyAlignment="1">
      <alignment horizontal="left" vertical="center"/>
    </xf>
    <xf numFmtId="49" fontId="7" fillId="5" borderId="31" xfId="0" applyNumberFormat="1" applyFont="1" applyFill="1" applyBorder="1" applyAlignment="1">
      <alignment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0" fontId="16" fillId="0" borderId="26" xfId="0" applyFont="1" applyFill="1" applyBorder="1" applyAlignment="1">
      <alignment horizontal="left" vertical="center"/>
    </xf>
    <xf numFmtId="166" fontId="17" fillId="0" borderId="29" xfId="1" applyNumberFormat="1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166" fontId="6" fillId="0" borderId="15" xfId="0" applyNumberFormat="1" applyFont="1" applyBorder="1" applyAlignment="1">
      <alignment horizontal="left" vertical="center"/>
    </xf>
    <xf numFmtId="166" fontId="6" fillId="0" borderId="16" xfId="0" applyNumberFormat="1" applyFont="1" applyBorder="1" applyAlignment="1">
      <alignment horizontal="left" vertical="center"/>
    </xf>
    <xf numFmtId="166" fontId="6" fillId="0" borderId="0" xfId="0" applyNumberFormat="1" applyFont="1" applyBorder="1" applyAlignment="1">
      <alignment horizontal="left" vertical="center"/>
    </xf>
    <xf numFmtId="166" fontId="6" fillId="0" borderId="18" xfId="0" applyNumberFormat="1" applyFont="1" applyBorder="1" applyAlignment="1">
      <alignment horizontal="left" vertical="center"/>
    </xf>
    <xf numFmtId="166" fontId="6" fillId="0" borderId="20" xfId="0" applyNumberFormat="1" applyFont="1" applyBorder="1" applyAlignment="1">
      <alignment horizontal="left" vertical="center"/>
    </xf>
    <xf numFmtId="166" fontId="6" fillId="0" borderId="21" xfId="0" applyNumberFormat="1" applyFont="1" applyBorder="1" applyAlignment="1">
      <alignment horizontal="left" vertical="center"/>
    </xf>
  </cellXfs>
  <cellStyles count="3">
    <cellStyle name="Currency [0]" xfId="1" builtinId="7"/>
    <cellStyle name="Normal" xfId="0" builtinId="0"/>
    <cellStyle name="Percent" xfId="2" builtinId="5"/>
  </cellStyles>
  <dxfs count="3">
    <dxf>
      <border>
        <bottom style="thin">
          <color theme="0" tint="-0.499984740745262"/>
        </bottom>
        <vertical/>
        <horizontal/>
      </border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</dxfs>
  <tableStyles count="0" defaultTableStyle="TableStyleMedium2" defaultPivotStyle="PivotStyleLight16"/>
  <colors>
    <mruColors>
      <color rgb="FF23356E"/>
      <color rgb="FFDAAF47"/>
      <color rgb="FF3D487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2C-47D0-9130-9C32F44A1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283416800"/>
        <c:axId val="283417360"/>
        <c:axId val="0"/>
      </c:bar3DChart>
      <c:catAx>
        <c:axId val="28341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3417360"/>
        <c:crosses val="autoZero"/>
        <c:auto val="1"/>
        <c:lblAlgn val="ctr"/>
        <c:lblOffset val="100"/>
        <c:noMultiLvlLbl val="0"/>
      </c:catAx>
      <c:valAx>
        <c:axId val="28341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341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REKAPITULASI!$D$6</c:f>
              <c:strCache>
                <c:ptCount val="1"/>
                <c:pt idx="0">
                  <c:v>Total Harga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REKAPITULASI!$D$7:$D$18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D-4837-A7F0-DBE15E5B3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283420160"/>
        <c:axId val="283420720"/>
        <c:axId val="0"/>
      </c:bar3DChart>
      <c:catAx>
        <c:axId val="28342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3420720"/>
        <c:crosses val="autoZero"/>
        <c:auto val="1"/>
        <c:lblAlgn val="ctr"/>
        <c:lblOffset val="100"/>
        <c:noMultiLvlLbl val="0"/>
      </c:catAx>
      <c:valAx>
        <c:axId val="28342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342016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REKAPITULASI!$G$7:$G$13</c:f>
              <c:numCache>
                <c:formatCode>d\-mmm</c:formatCode>
                <c:ptCount val="7"/>
                <c:pt idx="0">
                  <c:v>44464</c:v>
                </c:pt>
                <c:pt idx="1">
                  <c:v>44465</c:v>
                </c:pt>
                <c:pt idx="2">
                  <c:v>44466</c:v>
                </c:pt>
                <c:pt idx="3">
                  <c:v>44467</c:v>
                </c:pt>
                <c:pt idx="4">
                  <c:v>44468</c:v>
                </c:pt>
                <c:pt idx="5">
                  <c:v>44469</c:v>
                </c:pt>
                <c:pt idx="6">
                  <c:v>44470</c:v>
                </c:pt>
              </c:numCache>
            </c:numRef>
          </c:cat>
          <c:val>
            <c:numRef>
              <c:f>REKAPITULASI!$H$7:$H$13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27-4FA4-B6DA-F94A3BE0E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322176"/>
        <c:axId val="288322736"/>
      </c:lineChart>
      <c:dateAx>
        <c:axId val="288322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8322736"/>
        <c:crosses val="autoZero"/>
        <c:auto val="1"/>
        <c:lblOffset val="100"/>
        <c:baseTimeUnit val="days"/>
      </c:dateAx>
      <c:valAx>
        <c:axId val="28832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832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26" Type="http://schemas.openxmlformats.org/officeDocument/2006/relationships/chart" Target="../charts/chart2.xml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4.sv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24" Type="http://schemas.openxmlformats.org/officeDocument/2006/relationships/image" Target="../media/image23.pn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chart" Target="../charts/chart1.xml"/><Relationship Id="rId10" Type="http://schemas.openxmlformats.org/officeDocument/2006/relationships/image" Target="../media/image10.svg"/><Relationship Id="rId19" Type="http://schemas.openxmlformats.org/officeDocument/2006/relationships/image" Target="../media/image19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svg"/><Relationship Id="rId27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175964</xdr:colOff>
      <xdr:row>0</xdr:row>
      <xdr:rowOff>1393</xdr:rowOff>
    </xdr:from>
    <xdr:to>
      <xdr:col>20</xdr:col>
      <xdr:colOff>159454</xdr:colOff>
      <xdr:row>8</xdr:row>
      <xdr:rowOff>136990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309081" y="1393"/>
          <a:ext cx="3724217" cy="1827831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10</xdr:col>
      <xdr:colOff>98518</xdr:colOff>
      <xdr:row>3</xdr:row>
      <xdr:rowOff>148946</xdr:rowOff>
    </xdr:from>
    <xdr:to>
      <xdr:col>12</xdr:col>
      <xdr:colOff>540271</xdr:colOff>
      <xdr:row>4</xdr:row>
      <xdr:rowOff>280738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8687583" y="828120"/>
          <a:ext cx="1733840" cy="305727"/>
          <a:chOff x="3803431" y="4953657"/>
          <a:chExt cx="1649663" cy="342900"/>
        </a:xfrm>
        <a:effectLst/>
      </xdr:grpSpPr>
      <xdr:sp macro="[0]!CETAKSTRU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3803431" y="4953657"/>
            <a:ext cx="1649663" cy="342900"/>
          </a:xfrm>
          <a:prstGeom prst="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CETAKSTRUK">
        <xdr:nvPicPr>
          <xdr:cNvPr id="38" name="Graphic 37" descr="Printer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58915" y="4985493"/>
            <a:ext cx="266902" cy="266902"/>
          </a:xfrm>
          <a:prstGeom prst="rect">
            <a:avLst/>
          </a:prstGeom>
        </xdr:spPr>
      </xdr:pic>
      <xdr:sp macro="[0]!CETAKSTRUK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4193198" y="4968810"/>
            <a:ext cx="1153796" cy="313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1">
                <a:solidFill>
                  <a:schemeClr val="tx1">
                    <a:lumMod val="95000"/>
                    <a:lumOff val="5000"/>
                  </a:schemeClr>
                </a:solidFill>
              </a:rPr>
              <a:t>Selesai /Cetak</a:t>
            </a:r>
            <a:endParaRPr lang="id-ID" sz="1200" b="1">
              <a:solidFill>
                <a:schemeClr val="tx1">
                  <a:lumMod val="95000"/>
                  <a:lumOff val="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7</xdr:col>
      <xdr:colOff>822623</xdr:colOff>
      <xdr:row>3</xdr:row>
      <xdr:rowOff>157051</xdr:rowOff>
    </xdr:from>
    <xdr:to>
      <xdr:col>10</xdr:col>
      <xdr:colOff>9810</xdr:colOff>
      <xdr:row>5</xdr:row>
      <xdr:rowOff>3681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7647493" y="836225"/>
          <a:ext cx="951382" cy="302173"/>
          <a:chOff x="8048625" y="838200"/>
          <a:chExt cx="967116" cy="342900"/>
        </a:xfrm>
        <a:effectLst/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8048625" y="838200"/>
            <a:ext cx="967116" cy="342900"/>
            <a:chOff x="3803431" y="4953657"/>
            <a:chExt cx="967116" cy="342900"/>
          </a:xfrm>
        </xdr:grpSpPr>
        <xdr:sp macro="[0]!HapusBarang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Barang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 txBox="1"/>
          </xdr:nvSpPr>
          <xdr:spPr>
            <a:xfrm>
              <a:off x="4109719" y="4959610"/>
              <a:ext cx="660828" cy="315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Hapus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HapusBarang">
        <xdr:nvPicPr>
          <xdr:cNvPr id="47" name="Graphic 46" descr="Eraser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061081" y="841131"/>
            <a:ext cx="313980" cy="313592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138958</xdr:colOff>
      <xdr:row>3</xdr:row>
      <xdr:rowOff>169931</xdr:rowOff>
    </xdr:from>
    <xdr:to>
      <xdr:col>3</xdr:col>
      <xdr:colOff>949697</xdr:colOff>
      <xdr:row>5</xdr:row>
      <xdr:rowOff>13455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754067" y="849105"/>
          <a:ext cx="951543" cy="299067"/>
          <a:chOff x="7000875" y="828675"/>
          <a:chExt cx="952500" cy="342900"/>
        </a:xfrm>
        <a:effectLst/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7000875" y="828675"/>
            <a:ext cx="952500" cy="342900"/>
            <a:chOff x="3803431" y="4953657"/>
            <a:chExt cx="952500" cy="342900"/>
          </a:xfrm>
        </xdr:grpSpPr>
        <xdr:sp macro="[0]!PanggilCariBarang" textlink="">
          <xdr:nvSpPr>
            <xdr:cNvPr id="49" name="Rectangle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263806" y="4970326"/>
              <a:ext cx="431640" cy="3107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Cari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PanggilCariBarang">
        <xdr:nvPicPr>
          <xdr:cNvPr id="52" name="Graphic 51" descr="Magnifying glass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48500" y="857250"/>
            <a:ext cx="276225" cy="2762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398004</xdr:colOff>
      <xdr:row>3</xdr:row>
      <xdr:rowOff>161816</xdr:rowOff>
    </xdr:from>
    <xdr:to>
      <xdr:col>7</xdr:col>
      <xdr:colOff>695511</xdr:colOff>
      <xdr:row>5</xdr:row>
      <xdr:rowOff>1370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6518852" y="840990"/>
          <a:ext cx="1001529" cy="295097"/>
          <a:chOff x="3581400" y="2828925"/>
          <a:chExt cx="952500" cy="342900"/>
        </a:xfrm>
        <a:effectLst/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3581400" y="2828925"/>
            <a:ext cx="952500" cy="342900"/>
            <a:chOff x="3803431" y="4953657"/>
            <a:chExt cx="952500" cy="342900"/>
          </a:xfrm>
        </xdr:grpSpPr>
        <xdr:sp macro="[0]!TransaksiBaru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ransaksiBaru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 txBox="1"/>
          </xdr:nvSpPr>
          <xdr:spPr>
            <a:xfrm>
              <a:off x="4217561" y="4958573"/>
              <a:ext cx="463023" cy="3147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Baru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TransaksiBaru">
        <xdr:nvPicPr>
          <xdr:cNvPr id="4" name="Graphic 3" descr="Shopping baske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657600" y="2886075"/>
            <a:ext cx="219075" cy="219075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171088</xdr:colOff>
      <xdr:row>8</xdr:row>
      <xdr:rowOff>186723</xdr:rowOff>
    </xdr:from>
    <xdr:to>
      <xdr:col>20</xdr:col>
      <xdr:colOff>154578</xdr:colOff>
      <xdr:row>17</xdr:row>
      <xdr:rowOff>177198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1304205" y="1878957"/>
          <a:ext cx="3724217" cy="1682709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14</xdr:col>
      <xdr:colOff>181316</xdr:colOff>
      <xdr:row>18</xdr:row>
      <xdr:rowOff>24830</xdr:rowOff>
    </xdr:from>
    <xdr:to>
      <xdr:col>20</xdr:col>
      <xdr:colOff>164806</xdr:colOff>
      <xdr:row>27</xdr:row>
      <xdr:rowOff>5779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10991849" y="3648075"/>
          <a:ext cx="3648075" cy="1704975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14</xdr:col>
      <xdr:colOff>187488</xdr:colOff>
      <xdr:row>28</xdr:row>
      <xdr:rowOff>5268</xdr:rowOff>
    </xdr:from>
    <xdr:to>
      <xdr:col>20</xdr:col>
      <xdr:colOff>180504</xdr:colOff>
      <xdr:row>33</xdr:row>
      <xdr:rowOff>96710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1321155" y="5550935"/>
          <a:ext cx="3739516" cy="1054525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14</xdr:col>
      <xdr:colOff>309858</xdr:colOff>
      <xdr:row>28</xdr:row>
      <xdr:rowOff>149182</xdr:rowOff>
    </xdr:from>
    <xdr:to>
      <xdr:col>17</xdr:col>
      <xdr:colOff>230195</xdr:colOff>
      <xdr:row>32</xdr:row>
      <xdr:rowOff>62327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1449967" y="5673682"/>
          <a:ext cx="1783924" cy="675145"/>
          <a:chOff x="11106150" y="5498250"/>
          <a:chExt cx="1600200" cy="673950"/>
        </a:xfrm>
      </xdr:grpSpPr>
      <xdr:pic>
        <xdr:nvPicPr>
          <xdr:cNvPr id="28" name="Graphic 27" descr="Money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REKAPITULASI!D19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11106150" y="5857875"/>
            <a:ext cx="1600200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52A0F1A6-DAD9-4C65-8DE4-BA58765DD642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Roboto Condensed"/>
                <a:cs typeface="Calibri"/>
              </a:rPr>
              <a:pPr algn="l"/>
              <a:t> Rp140.000 </a:t>
            </a:fld>
            <a:endParaRPr lang="en-US" sz="1400" b="1">
              <a:solidFill>
                <a:schemeClr val="tx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11344275" y="5505450"/>
            <a:ext cx="1171603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17</xdr:col>
      <xdr:colOff>341652</xdr:colOff>
      <xdr:row>28</xdr:row>
      <xdr:rowOff>136959</xdr:rowOff>
    </xdr:from>
    <xdr:to>
      <xdr:col>20</xdr:col>
      <xdr:colOff>153857</xdr:colOff>
      <xdr:row>32</xdr:row>
      <xdr:rowOff>50104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13345348" y="5661459"/>
          <a:ext cx="1675792" cy="675145"/>
          <a:chOff x="12925424" y="5524500"/>
          <a:chExt cx="1654860" cy="673950"/>
        </a:xfrm>
      </xdr:grpSpPr>
      <xdr:pic>
        <xdr:nvPicPr>
          <xdr:cNvPr id="69" name="Graphic 68" descr="Money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REKAPITULASI!I15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>
            <a:off x="12925424" y="5884125"/>
            <a:ext cx="1590675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4540D2FB-A387-4D04-9A0B-03E888381763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Roboto Condensed" panose="02000000000000000000" pitchFamily="2" charset="0"/>
                <a:cs typeface="Calibri"/>
              </a:rPr>
              <a:pPr algn="l"/>
              <a:t> Rp187.000 </a:t>
            </a:fld>
            <a:endParaRPr lang="en-US" sz="1600" b="1"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 txBox="1"/>
        </xdr:nvSpPr>
        <xdr:spPr>
          <a:xfrm>
            <a:off x="13163550" y="5531700"/>
            <a:ext cx="1416734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76200</xdr:colOff>
      <xdr:row>9</xdr:row>
      <xdr:rowOff>28575</xdr:rowOff>
    </xdr:from>
    <xdr:to>
      <xdr:col>1</xdr:col>
      <xdr:colOff>523875</xdr:colOff>
      <xdr:row>11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67CC139-BFFB-4A1A-A1C9-DE6B1AAE44E5}"/>
            </a:ext>
          </a:extLst>
        </xdr:cNvPr>
        <xdr:cNvGrpSpPr/>
      </xdr:nvGrpSpPr>
      <xdr:grpSpPr>
        <a:xfrm>
          <a:off x="76200" y="1925292"/>
          <a:ext cx="1540979" cy="400050"/>
          <a:chOff x="76200" y="1885950"/>
          <a:chExt cx="1962150" cy="400050"/>
        </a:xfrm>
      </xdr:grpSpPr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76200" y="1885950"/>
            <a:ext cx="1962150" cy="400050"/>
            <a:chOff x="76200" y="1714500"/>
            <a:chExt cx="2114550" cy="342900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714500"/>
              <a:ext cx="211455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pic macro="[0]!BukaBarang">
          <xdr:nvPicPr>
            <xdr:cNvPr id="6" name="Graphic 5" descr="Shopping cart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71450" y="1752600"/>
              <a:ext cx="273900" cy="245325"/>
            </a:xfrm>
            <a:prstGeom prst="rect">
              <a:avLst/>
            </a:prstGeom>
          </xdr:spPr>
        </xdr:pic>
      </xdr:grpSp>
      <xdr:sp macro="[0]!BukaBarang" textlink="">
        <xdr:nvSpPr>
          <xdr:cNvPr id="8" name="TextBox 7">
            <a:extLst>
              <a:ext uri="{FF2B5EF4-FFF2-40B4-BE49-F238E27FC236}">
                <a16:creationId xmlns:a16="http://schemas.microsoft.com/office/drawing/2014/main" id="{5EBF6B0E-3A16-439A-9E89-E0E60CDE9FDD}"/>
              </a:ext>
            </a:extLst>
          </xdr:cNvPr>
          <xdr:cNvSpPr txBox="1"/>
        </xdr:nvSpPr>
        <xdr:spPr>
          <a:xfrm>
            <a:off x="522380" y="1897096"/>
            <a:ext cx="1403003" cy="3332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Data Barang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12</xdr:row>
      <xdr:rowOff>114300</xdr:rowOff>
    </xdr:from>
    <xdr:to>
      <xdr:col>1</xdr:col>
      <xdr:colOff>523875</xdr:colOff>
      <xdr:row>14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6A7672B9-1D30-4568-A0CA-1FA5BE96F1E9}"/>
            </a:ext>
          </a:extLst>
        </xdr:cNvPr>
        <xdr:cNvGrpSpPr/>
      </xdr:nvGrpSpPr>
      <xdr:grpSpPr>
        <a:xfrm>
          <a:off x="76200" y="2582517"/>
          <a:ext cx="1540979" cy="400050"/>
          <a:chOff x="76200" y="2543175"/>
          <a:chExt cx="1962150" cy="400050"/>
        </a:xfrm>
      </xdr:grpSpPr>
      <xdr:sp macro="[0]!LaporanPenjualan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76200" y="254317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LaporanPenjualan">
        <xdr:nvPicPr>
          <xdr:cNvPr id="9" name="Graphic 8" descr="Upward trend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69050" y="2588400"/>
            <a:ext cx="273900" cy="273900"/>
          </a:xfrm>
          <a:prstGeom prst="rect">
            <a:avLst/>
          </a:prstGeom>
        </xdr:spPr>
      </xdr:pic>
      <xdr:sp macro="[0]!LaporanPenjualan" textlink="">
        <xdr:nvSpPr>
          <xdr:cNvPr id="57" name="TextBox 56">
            <a:extLst>
              <a:ext uri="{FF2B5EF4-FFF2-40B4-BE49-F238E27FC236}">
                <a16:creationId xmlns:a16="http://schemas.microsoft.com/office/drawing/2014/main" id="{84399E7B-44D1-47F4-84E5-E95214609A70}"/>
              </a:ext>
            </a:extLst>
          </xdr:cNvPr>
          <xdr:cNvSpPr txBox="1"/>
        </xdr:nvSpPr>
        <xdr:spPr>
          <a:xfrm>
            <a:off x="540353" y="2570265"/>
            <a:ext cx="1402807" cy="3332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Laporan</a:t>
            </a:r>
            <a:r>
              <a:rPr lang="en-US" sz="1400" b="1" baseline="0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 Sale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16</xdr:row>
      <xdr:rowOff>9525</xdr:rowOff>
    </xdr:from>
    <xdr:to>
      <xdr:col>1</xdr:col>
      <xdr:colOff>523875</xdr:colOff>
      <xdr:row>18</xdr:row>
      <xdr:rowOff>28575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CF02914E-9A82-45CB-B8DE-609C290575D6}"/>
            </a:ext>
          </a:extLst>
        </xdr:cNvPr>
        <xdr:cNvGrpSpPr/>
      </xdr:nvGrpSpPr>
      <xdr:grpSpPr>
        <a:xfrm>
          <a:off x="76200" y="3239742"/>
          <a:ext cx="1540979" cy="400050"/>
          <a:chOff x="76200" y="3200400"/>
          <a:chExt cx="1962150" cy="400050"/>
        </a:xfrm>
      </xdr:grpSpPr>
      <xdr:sp macro="[0]!SimpanFil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6200" y="3200400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SimpanFile">
        <xdr:nvPicPr>
          <xdr:cNvPr id="11" name="Graphic 10" descr="Disk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57125" y="3262275"/>
            <a:ext cx="273900" cy="273900"/>
          </a:xfrm>
          <a:prstGeom prst="rect">
            <a:avLst/>
          </a:prstGeom>
        </xdr:spPr>
      </xdr:pic>
      <xdr:sp macro="[0]!SimpanFile" textlink="">
        <xdr:nvSpPr>
          <xdr:cNvPr id="62" name="TextBox 61">
            <a:extLst>
              <a:ext uri="{FF2B5EF4-FFF2-40B4-BE49-F238E27FC236}">
                <a16:creationId xmlns:a16="http://schemas.microsoft.com/office/drawing/2014/main" id="{BDC7D30D-F6DB-438F-8A03-E23378BE293D}"/>
              </a:ext>
            </a:extLst>
          </xdr:cNvPr>
          <xdr:cNvSpPr txBox="1"/>
        </xdr:nvSpPr>
        <xdr:spPr>
          <a:xfrm>
            <a:off x="518189" y="3217470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Simpan Data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19</xdr:row>
      <xdr:rowOff>95250</xdr:rowOff>
    </xdr:from>
    <xdr:to>
      <xdr:col>1</xdr:col>
      <xdr:colOff>523875</xdr:colOff>
      <xdr:row>21</xdr:row>
      <xdr:rowOff>114300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431E0A8D-A6DA-4E6F-9B3E-D60CF604CC24}"/>
            </a:ext>
          </a:extLst>
        </xdr:cNvPr>
        <xdr:cNvGrpSpPr/>
      </xdr:nvGrpSpPr>
      <xdr:grpSpPr>
        <a:xfrm>
          <a:off x="76200" y="3896967"/>
          <a:ext cx="1540979" cy="400050"/>
          <a:chOff x="76200" y="3857625"/>
          <a:chExt cx="1962150" cy="40005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76200" y="385762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3" name="Graphic 12" descr="Power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154725" y="3926625"/>
            <a:ext cx="273900" cy="273900"/>
          </a:xfrm>
          <a:prstGeom prst="rect">
            <a:avLst/>
          </a:prstGeom>
        </xdr:spPr>
      </xdr:pic>
      <xdr:sp macro="[0]!Keluar" textlink="">
        <xdr:nvSpPr>
          <xdr:cNvPr id="72" name="TextBox 71">
            <a:extLst>
              <a:ext uri="{FF2B5EF4-FFF2-40B4-BE49-F238E27FC236}">
                <a16:creationId xmlns:a16="http://schemas.microsoft.com/office/drawing/2014/main" id="{9AA80DD5-97FF-41F9-AAF5-A6F382B18034}"/>
              </a:ext>
            </a:extLst>
          </xdr:cNvPr>
          <xdr:cNvSpPr txBox="1"/>
        </xdr:nvSpPr>
        <xdr:spPr>
          <a:xfrm>
            <a:off x="565633" y="3905745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/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Keluar</a:t>
            </a:r>
            <a:endParaRPr lang="id-ID" sz="16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253243</xdr:colOff>
      <xdr:row>2</xdr:row>
      <xdr:rowOff>13769</xdr:rowOff>
    </xdr:from>
    <xdr:to>
      <xdr:col>1</xdr:col>
      <xdr:colOff>307274</xdr:colOff>
      <xdr:row>7</xdr:row>
      <xdr:rowOff>143236</xdr:rowOff>
    </xdr:to>
    <xdr:pic macro="[0]!TransaksiBaru"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53243" y="459094"/>
          <a:ext cx="1142602" cy="1188350"/>
        </a:xfrm>
        <a:prstGeom prst="roundRect">
          <a:avLst>
            <a:gd name="adj" fmla="val 23615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14</xdr:col>
      <xdr:colOff>227614</xdr:colOff>
      <xdr:row>0</xdr:row>
      <xdr:rowOff>65567</xdr:rowOff>
    </xdr:from>
    <xdr:to>
      <xdr:col>20</xdr:col>
      <xdr:colOff>340059</xdr:colOff>
      <xdr:row>9</xdr:row>
      <xdr:rowOff>4649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4F54DDB5-9E8C-4030-81DD-656FA090AA56}"/>
            </a:ext>
          </a:extLst>
        </xdr:cNvPr>
        <xdr:cNvGrpSpPr/>
      </xdr:nvGrpSpPr>
      <xdr:grpSpPr>
        <a:xfrm>
          <a:off x="11367723" y="65567"/>
          <a:ext cx="3839619" cy="1835799"/>
          <a:chOff x="10668000" y="16217"/>
          <a:chExt cx="3853172" cy="1819212"/>
        </a:xfrm>
      </xdr:grpSpPr>
      <xdr:pic>
        <xdr:nvPicPr>
          <xdr:cNvPr id="27" name="Graphic 26" descr="Bar graph with upward trend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0757779" y="22913"/>
            <a:ext cx="273900" cy="270485"/>
          </a:xfrm>
          <a:prstGeom prst="rect">
            <a:avLst/>
          </a:prstGeom>
        </xdr:spPr>
      </xdr:pic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1101905" y="16217"/>
            <a:ext cx="2991850" cy="289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JUMLAH BARANG TERJUAL BULANAN</a:t>
            </a:r>
            <a:endParaRPr lang="id-ID" sz="12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59" name="Chart 58">
            <a:extLst>
              <a:ext uri="{FF2B5EF4-FFF2-40B4-BE49-F238E27FC236}">
                <a16:creationId xmlns:a16="http://schemas.microsoft.com/office/drawing/2014/main" id="{03DD8CFC-1091-4A74-8732-87F218B434E7}"/>
              </a:ext>
            </a:extLst>
          </xdr:cNvPr>
          <xdr:cNvGraphicFramePr>
            <a:graphicFrameLocks/>
          </xdr:cNvGraphicFramePr>
        </xdr:nvGraphicFramePr>
        <xdr:xfrm>
          <a:off x="10668000" y="323662"/>
          <a:ext cx="3853172" cy="15117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>
    <xdr:from>
      <xdr:col>14</xdr:col>
      <xdr:colOff>197992</xdr:colOff>
      <xdr:row>9</xdr:row>
      <xdr:rowOff>49285</xdr:rowOff>
    </xdr:from>
    <xdr:to>
      <xdr:col>20</xdr:col>
      <xdr:colOff>289248</xdr:colOff>
      <xdr:row>18</xdr:row>
      <xdr:rowOff>50142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6F858F7E-4DD0-4986-89B0-76331C0F719A}"/>
            </a:ext>
          </a:extLst>
        </xdr:cNvPr>
        <xdr:cNvGrpSpPr/>
      </xdr:nvGrpSpPr>
      <xdr:grpSpPr>
        <a:xfrm>
          <a:off x="11338101" y="1946002"/>
          <a:ext cx="3818430" cy="1715357"/>
          <a:chOff x="10648274" y="1899721"/>
          <a:chExt cx="3831984" cy="1693228"/>
        </a:xfrm>
      </xdr:grpSpPr>
      <xdr:pic>
        <xdr:nvPicPr>
          <xdr:cNvPr id="60" name="Graphic 59" descr="Pie chart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10763418" y="1899721"/>
            <a:ext cx="295275" cy="291523"/>
          </a:xfrm>
          <a:prstGeom prst="rect">
            <a:avLst/>
          </a:prstGeom>
        </xdr:spPr>
      </xdr:pic>
      <xdr:sp macro="" textlink="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11123583" y="1904617"/>
            <a:ext cx="2990162" cy="2914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PENDAPATAN</a:t>
            </a:r>
            <a:r>
              <a:rPr lang="en-US" sz="12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PENJUALAN BULANAN </a:t>
            </a:r>
            <a:endParaRPr lang="id-ID" sz="12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64" name="Chart 63">
            <a:extLst>
              <a:ext uri="{FF2B5EF4-FFF2-40B4-BE49-F238E27FC236}">
                <a16:creationId xmlns:a16="http://schemas.microsoft.com/office/drawing/2014/main" id="{D9CD0A9B-EFEC-45AD-A86E-E6612D1EE97F}"/>
              </a:ext>
            </a:extLst>
          </xdr:cNvPr>
          <xdr:cNvGraphicFramePr>
            <a:graphicFrameLocks/>
          </xdr:cNvGraphicFramePr>
        </xdr:nvGraphicFramePr>
        <xdr:xfrm>
          <a:off x="10648274" y="2169870"/>
          <a:ext cx="3831984" cy="14230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>
    <xdr:from>
      <xdr:col>14</xdr:col>
      <xdr:colOff>169561</xdr:colOff>
      <xdr:row>18</xdr:row>
      <xdr:rowOff>101601</xdr:rowOff>
    </xdr:from>
    <xdr:to>
      <xdr:col>20</xdr:col>
      <xdr:colOff>149040</xdr:colOff>
      <xdr:row>27</xdr:row>
      <xdr:rowOff>15342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F61629C2-62DC-48F5-8BD3-8FDE8ABBE7E5}"/>
            </a:ext>
          </a:extLst>
        </xdr:cNvPr>
        <xdr:cNvGrpSpPr/>
      </xdr:nvGrpSpPr>
      <xdr:grpSpPr>
        <a:xfrm>
          <a:off x="11309670" y="3712818"/>
          <a:ext cx="3706653" cy="1636524"/>
          <a:chOff x="10708912" y="3674549"/>
          <a:chExt cx="3720206" cy="1615416"/>
        </a:xfrm>
      </xdr:grpSpPr>
      <xdr:pic>
        <xdr:nvPicPr>
          <xdr:cNvPr id="65" name="Graphic 64" descr="Bar graph with upward trend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0933809" y="3686399"/>
            <a:ext cx="273900" cy="268950"/>
          </a:xfrm>
          <a:prstGeom prst="rect">
            <a:avLst/>
          </a:prstGeom>
        </xdr:spPr>
      </xdr:pic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11253101" y="3674549"/>
            <a:ext cx="2156860" cy="2910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PENJUALAN MINGGUAN</a:t>
            </a:r>
            <a:endParaRPr lang="id-ID" sz="12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73" name="Chart 72">
            <a:extLst>
              <a:ext uri="{FF2B5EF4-FFF2-40B4-BE49-F238E27FC236}">
                <a16:creationId xmlns:a16="http://schemas.microsoft.com/office/drawing/2014/main" id="{C5318C0A-5831-46DB-878F-5678441167ED}"/>
              </a:ext>
            </a:extLst>
          </xdr:cNvPr>
          <xdr:cNvGraphicFramePr>
            <a:graphicFrameLocks/>
          </xdr:cNvGraphicFramePr>
        </xdr:nvGraphicFramePr>
        <xdr:xfrm>
          <a:off x="10708912" y="3919055"/>
          <a:ext cx="3720206" cy="13709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19"/>
  <sheetViews>
    <sheetView showGridLines="0" tabSelected="1" zoomScale="92" zoomScaleNormal="99" workbookViewId="0">
      <selection activeCell="D8" sqref="D8:K8"/>
    </sheetView>
  </sheetViews>
  <sheetFormatPr defaultColWidth="9.109375" defaultRowHeight="15" x14ac:dyDescent="0.35"/>
  <cols>
    <col min="1" max="1" width="15.88671875" style="17" customWidth="1"/>
    <col min="2" max="2" width="7.6640625" style="17" customWidth="1"/>
    <col min="3" max="3" width="2.109375" style="5" customWidth="1"/>
    <col min="4" max="4" width="15.33203125" style="9" customWidth="1"/>
    <col min="5" max="5" width="15.88671875" style="61" customWidth="1"/>
    <col min="6" max="6" width="32.33203125" style="10" customWidth="1"/>
    <col min="7" max="7" width="10.21875" style="11" customWidth="1"/>
    <col min="8" max="8" width="13.88671875" style="62" customWidth="1"/>
    <col min="9" max="9" width="5.88671875" style="66" customWidth="1"/>
    <col min="10" max="10" width="5.88671875" style="59" customWidth="1"/>
    <col min="11" max="11" width="8.44140625" style="59" customWidth="1"/>
    <col min="12" max="12" width="10.33203125" style="5" customWidth="1"/>
    <col min="13" max="13" width="15.88671875" style="5" customWidth="1"/>
    <col min="14" max="14" width="2.44140625" style="5" customWidth="1"/>
    <col min="15" max="16384" width="9.109375" style="5"/>
  </cols>
  <sheetData>
    <row r="1" spans="4:13" ht="15.6" thickBot="1" x14ac:dyDescent="0.4">
      <c r="D1" s="4"/>
      <c r="E1" s="4"/>
      <c r="F1" s="4"/>
      <c r="G1" s="4"/>
      <c r="H1" s="4"/>
      <c r="I1" s="64"/>
      <c r="J1" s="4"/>
      <c r="K1" s="56"/>
      <c r="L1" s="56"/>
      <c r="M1" s="56"/>
    </row>
    <row r="2" spans="4:13" ht="19.8" thickTop="1" x14ac:dyDescent="0.4">
      <c r="D2" s="91" t="s">
        <v>17</v>
      </c>
      <c r="E2" s="92" t="s">
        <v>18</v>
      </c>
      <c r="F2" s="93" t="s">
        <v>19</v>
      </c>
      <c r="G2" s="104" t="s">
        <v>20</v>
      </c>
      <c r="H2" s="104"/>
      <c r="I2" s="94"/>
      <c r="J2" s="93" t="s">
        <v>21</v>
      </c>
      <c r="K2" s="93"/>
      <c r="L2" s="92"/>
      <c r="M2" s="95" t="s">
        <v>22</v>
      </c>
    </row>
    <row r="3" spans="4:13" ht="18" customHeight="1" thickBot="1" x14ac:dyDescent="0.4">
      <c r="D3" s="96">
        <f>SUM($J$8:$J$90)</f>
        <v>0</v>
      </c>
      <c r="E3" s="97">
        <f>SUM($M$8:$M$90)</f>
        <v>0</v>
      </c>
      <c r="F3" s="98">
        <f>SUM($L$8:$L$90)</f>
        <v>0</v>
      </c>
      <c r="G3" s="105">
        <f>E3-F3</f>
        <v>0</v>
      </c>
      <c r="H3" s="105"/>
      <c r="I3" s="99"/>
      <c r="J3" s="105"/>
      <c r="K3" s="105"/>
      <c r="L3" s="105"/>
      <c r="M3" s="100">
        <f>J3-G3</f>
        <v>0</v>
      </c>
    </row>
    <row r="4" spans="4:13" ht="14.25" customHeight="1" thickTop="1" thickBot="1" x14ac:dyDescent="0.4">
      <c r="D4" s="56"/>
      <c r="E4" s="57"/>
      <c r="F4" s="55"/>
      <c r="G4" s="58"/>
      <c r="H4" s="18"/>
      <c r="I4" s="19"/>
      <c r="J4" s="55"/>
      <c r="K4" s="55"/>
    </row>
    <row r="5" spans="4:13" ht="22.5" customHeight="1" thickBot="1" x14ac:dyDescent="0.4">
      <c r="E5" s="101" t="s">
        <v>0</v>
      </c>
      <c r="F5" s="90" t="s">
        <v>291</v>
      </c>
      <c r="G5" s="18"/>
      <c r="H5" s="18"/>
      <c r="I5" s="19"/>
      <c r="J5" s="20"/>
      <c r="K5" s="20"/>
    </row>
    <row r="6" spans="4:13" x14ac:dyDescent="0.35">
      <c r="D6" s="4"/>
      <c r="E6" s="5"/>
      <c r="F6" s="6"/>
      <c r="G6" s="7"/>
      <c r="H6" s="8"/>
      <c r="I6" s="65"/>
      <c r="J6" s="6"/>
      <c r="K6" s="6"/>
    </row>
    <row r="7" spans="4:13" x14ac:dyDescent="0.35">
      <c r="D7" s="12" t="s">
        <v>1</v>
      </c>
      <c r="E7" s="12" t="s">
        <v>28</v>
      </c>
      <c r="F7" s="12" t="s">
        <v>2</v>
      </c>
      <c r="G7" s="63" t="s">
        <v>13</v>
      </c>
      <c r="H7" s="12" t="s">
        <v>3</v>
      </c>
      <c r="I7" s="63" t="s">
        <v>5</v>
      </c>
      <c r="J7" s="63" t="s">
        <v>4</v>
      </c>
      <c r="K7" s="12" t="s">
        <v>15</v>
      </c>
      <c r="L7" s="12" t="s">
        <v>16</v>
      </c>
      <c r="M7" s="12" t="s">
        <v>6</v>
      </c>
    </row>
    <row r="8" spans="4:13" x14ac:dyDescent="0.35">
      <c r="E8" s="60"/>
      <c r="K8" s="67"/>
      <c r="L8" s="10" t="str">
        <f>IF(D8="","",K8*H8*J8)</f>
        <v/>
      </c>
      <c r="M8" s="10" t="str">
        <f>IF(D8="","",IF(AND(G8="",L8=""),H8*J8,H8*J8-L8))</f>
        <v/>
      </c>
    </row>
    <row r="9" spans="4:13" x14ac:dyDescent="0.35">
      <c r="E9" s="60"/>
      <c r="K9" s="67"/>
      <c r="L9" s="10" t="str">
        <f t="shared" ref="L9:L35" si="0">IF(D9="","",K9*H9*J9)</f>
        <v/>
      </c>
      <c r="M9" s="10" t="str">
        <f t="shared" ref="M9:M35" si="1">IF(D9="","",IF(AND(G9="",L9=""),H9*J9,H9*J9-L9))</f>
        <v/>
      </c>
    </row>
    <row r="10" spans="4:13" x14ac:dyDescent="0.35">
      <c r="E10" s="60"/>
      <c r="K10" s="67"/>
      <c r="L10" s="10" t="str">
        <f t="shared" si="0"/>
        <v/>
      </c>
      <c r="M10" s="10" t="str">
        <f t="shared" si="1"/>
        <v/>
      </c>
    </row>
    <row r="11" spans="4:13" x14ac:dyDescent="0.35">
      <c r="E11" s="60"/>
      <c r="K11" s="67"/>
      <c r="L11" s="10" t="str">
        <f t="shared" si="0"/>
        <v/>
      </c>
      <c r="M11" s="10" t="str">
        <f t="shared" si="1"/>
        <v/>
      </c>
    </row>
    <row r="12" spans="4:13" x14ac:dyDescent="0.35">
      <c r="E12" s="60"/>
      <c r="K12" s="67"/>
      <c r="L12" s="10" t="str">
        <f t="shared" si="0"/>
        <v/>
      </c>
      <c r="M12" s="10" t="str">
        <f t="shared" si="1"/>
        <v/>
      </c>
    </row>
    <row r="13" spans="4:13" x14ac:dyDescent="0.35">
      <c r="K13" s="67"/>
      <c r="L13" s="10" t="str">
        <f t="shared" si="0"/>
        <v/>
      </c>
      <c r="M13" s="10" t="str">
        <f t="shared" si="1"/>
        <v/>
      </c>
    </row>
    <row r="14" spans="4:13" x14ac:dyDescent="0.35">
      <c r="K14" s="67"/>
      <c r="L14" s="10" t="str">
        <f t="shared" si="0"/>
        <v/>
      </c>
      <c r="M14" s="10" t="str">
        <f t="shared" si="1"/>
        <v/>
      </c>
    </row>
    <row r="15" spans="4:13" x14ac:dyDescent="0.35">
      <c r="K15" s="67"/>
      <c r="L15" s="10" t="str">
        <f t="shared" si="0"/>
        <v/>
      </c>
      <c r="M15" s="10" t="str">
        <f t="shared" si="1"/>
        <v/>
      </c>
    </row>
    <row r="16" spans="4:13" x14ac:dyDescent="0.35">
      <c r="K16" s="67"/>
      <c r="L16" s="10" t="str">
        <f t="shared" si="0"/>
        <v/>
      </c>
      <c r="M16" s="10" t="str">
        <f t="shared" si="1"/>
        <v/>
      </c>
    </row>
    <row r="17" spans="1:13" x14ac:dyDescent="0.35">
      <c r="K17" s="67"/>
      <c r="L17" s="10" t="str">
        <f t="shared" si="0"/>
        <v/>
      </c>
      <c r="M17" s="10" t="str">
        <f t="shared" si="1"/>
        <v/>
      </c>
    </row>
    <row r="18" spans="1:13" x14ac:dyDescent="0.35">
      <c r="K18" s="67"/>
      <c r="L18" s="10" t="str">
        <f t="shared" si="0"/>
        <v/>
      </c>
      <c r="M18" s="10" t="str">
        <f t="shared" si="1"/>
        <v/>
      </c>
    </row>
    <row r="19" spans="1:13" x14ac:dyDescent="0.35">
      <c r="K19" s="67"/>
      <c r="L19" s="10" t="str">
        <f t="shared" si="0"/>
        <v/>
      </c>
      <c r="M19" s="10" t="str">
        <f t="shared" si="1"/>
        <v/>
      </c>
    </row>
    <row r="20" spans="1:13" x14ac:dyDescent="0.35">
      <c r="K20" s="67"/>
      <c r="L20" s="10" t="str">
        <f t="shared" si="0"/>
        <v/>
      </c>
      <c r="M20" s="10" t="str">
        <f t="shared" si="1"/>
        <v/>
      </c>
    </row>
    <row r="21" spans="1:13" x14ac:dyDescent="0.35">
      <c r="K21" s="67"/>
      <c r="L21" s="10" t="str">
        <f t="shared" si="0"/>
        <v/>
      </c>
      <c r="M21" s="10" t="str">
        <f t="shared" si="1"/>
        <v/>
      </c>
    </row>
    <row r="22" spans="1:13" x14ac:dyDescent="0.35">
      <c r="K22" s="67"/>
      <c r="L22" s="10" t="str">
        <f t="shared" si="0"/>
        <v/>
      </c>
      <c r="M22" s="10" t="str">
        <f t="shared" si="1"/>
        <v/>
      </c>
    </row>
    <row r="23" spans="1:13" x14ac:dyDescent="0.35">
      <c r="K23" s="67"/>
      <c r="L23" s="10" t="str">
        <f t="shared" si="0"/>
        <v/>
      </c>
      <c r="M23" s="10" t="str">
        <f t="shared" si="1"/>
        <v/>
      </c>
    </row>
    <row r="24" spans="1:13" x14ac:dyDescent="0.35">
      <c r="K24" s="67"/>
      <c r="L24" s="10" t="str">
        <f t="shared" si="0"/>
        <v/>
      </c>
      <c r="M24" s="10" t="str">
        <f t="shared" si="1"/>
        <v/>
      </c>
    </row>
    <row r="25" spans="1:13" ht="15.75" customHeight="1" thickBot="1" x14ac:dyDescent="0.4">
      <c r="A25" s="106" t="s">
        <v>23</v>
      </c>
      <c r="B25" s="106"/>
      <c r="K25" s="67"/>
      <c r="L25" s="10" t="str">
        <f t="shared" si="0"/>
        <v/>
      </c>
      <c r="M25" s="10" t="str">
        <f t="shared" si="1"/>
        <v/>
      </c>
    </row>
    <row r="26" spans="1:13" x14ac:dyDescent="0.35">
      <c r="A26" s="48"/>
      <c r="B26" s="47"/>
      <c r="K26" s="67"/>
      <c r="L26" s="10" t="str">
        <f t="shared" si="0"/>
        <v/>
      </c>
      <c r="M26" s="10" t="str">
        <f t="shared" si="1"/>
        <v/>
      </c>
    </row>
    <row r="27" spans="1:13" x14ac:dyDescent="0.35">
      <c r="A27" s="49">
        <f>IFERROR(INDEX($D$8:$D$43,$A$26),"")</f>
        <v>0</v>
      </c>
      <c r="B27" s="46"/>
      <c r="K27" s="67"/>
      <c r="L27" s="10" t="str">
        <f t="shared" si="0"/>
        <v/>
      </c>
      <c r="M27" s="10" t="str">
        <f t="shared" si="1"/>
        <v/>
      </c>
    </row>
    <row r="28" spans="1:13" x14ac:dyDescent="0.35">
      <c r="A28" s="49" t="str">
        <f>IFERROR(VLOOKUP($A$27,$D$8:$M$46,7,0),"")</f>
        <v/>
      </c>
      <c r="B28" s="46"/>
      <c r="K28" s="67"/>
      <c r="L28" s="10" t="str">
        <f t="shared" si="0"/>
        <v/>
      </c>
      <c r="M28" s="10" t="str">
        <f t="shared" si="1"/>
        <v/>
      </c>
    </row>
    <row r="29" spans="1:13" x14ac:dyDescent="0.35">
      <c r="A29" s="102"/>
      <c r="B29" s="103"/>
      <c r="C29" s="5" t="s">
        <v>49</v>
      </c>
      <c r="K29" s="67"/>
      <c r="L29" s="10" t="str">
        <f t="shared" si="0"/>
        <v/>
      </c>
      <c r="M29" s="10" t="str">
        <f t="shared" si="1"/>
        <v/>
      </c>
    </row>
    <row r="30" spans="1:13" x14ac:dyDescent="0.35">
      <c r="A30" s="21"/>
      <c r="B30" s="22"/>
      <c r="K30" s="67"/>
      <c r="L30" s="10" t="str">
        <f t="shared" si="0"/>
        <v/>
      </c>
      <c r="M30" s="10" t="str">
        <f t="shared" si="1"/>
        <v/>
      </c>
    </row>
    <row r="31" spans="1:13" x14ac:dyDescent="0.35">
      <c r="A31" s="54"/>
      <c r="B31" s="22"/>
      <c r="K31" s="67"/>
      <c r="L31" s="10" t="str">
        <f t="shared" si="0"/>
        <v/>
      </c>
      <c r="M31" s="10" t="str">
        <f t="shared" si="1"/>
        <v/>
      </c>
    </row>
    <row r="32" spans="1:13" x14ac:dyDescent="0.35">
      <c r="A32" s="21"/>
      <c r="B32" s="22"/>
      <c r="K32" s="67"/>
      <c r="L32" s="10" t="str">
        <f t="shared" si="0"/>
        <v/>
      </c>
      <c r="M32" s="10" t="str">
        <f t="shared" si="1"/>
        <v/>
      </c>
    </row>
    <row r="33" spans="1:13" ht="15.6" thickBot="1" x14ac:dyDescent="0.4">
      <c r="A33" s="23"/>
      <c r="B33" s="24"/>
      <c r="K33" s="67"/>
      <c r="L33" s="10" t="str">
        <f t="shared" si="0"/>
        <v/>
      </c>
      <c r="M33" s="10" t="str">
        <f t="shared" si="1"/>
        <v/>
      </c>
    </row>
    <row r="34" spans="1:13" x14ac:dyDescent="0.35">
      <c r="K34" s="67"/>
      <c r="L34" s="10" t="str">
        <f t="shared" si="0"/>
        <v/>
      </c>
      <c r="M34" s="10" t="str">
        <f t="shared" si="1"/>
        <v/>
      </c>
    </row>
    <row r="35" spans="1:13" x14ac:dyDescent="0.35">
      <c r="K35" s="67"/>
      <c r="L35" s="10" t="str">
        <f t="shared" si="0"/>
        <v/>
      </c>
      <c r="M35" s="10" t="str">
        <f t="shared" si="1"/>
        <v/>
      </c>
    </row>
    <row r="36" spans="1:13" x14ac:dyDescent="0.35">
      <c r="K36" s="67"/>
    </row>
    <row r="37" spans="1:13" x14ac:dyDescent="0.35">
      <c r="A37" s="89"/>
      <c r="B37" s="89"/>
      <c r="K37" s="67"/>
    </row>
    <row r="38" spans="1:13" x14ac:dyDescent="0.35">
      <c r="K38" s="67"/>
    </row>
    <row r="39" spans="1:13" x14ac:dyDescent="0.35">
      <c r="K39" s="67"/>
    </row>
    <row r="40" spans="1:13" x14ac:dyDescent="0.35">
      <c r="K40" s="67"/>
    </row>
    <row r="41" spans="1:13" x14ac:dyDescent="0.35">
      <c r="K41" s="67"/>
    </row>
    <row r="42" spans="1:13" x14ac:dyDescent="0.35">
      <c r="K42" s="67"/>
    </row>
    <row r="43" spans="1:13" x14ac:dyDescent="0.35">
      <c r="K43" s="67"/>
    </row>
    <row r="44" spans="1:13" x14ac:dyDescent="0.35">
      <c r="K44" s="67"/>
    </row>
    <row r="45" spans="1:13" x14ac:dyDescent="0.35">
      <c r="K45" s="67"/>
    </row>
    <row r="46" spans="1:13" x14ac:dyDescent="0.35">
      <c r="K46" s="67"/>
    </row>
    <row r="47" spans="1:13" x14ac:dyDescent="0.35">
      <c r="K47" s="67"/>
    </row>
    <row r="48" spans="1:13" x14ac:dyDescent="0.35">
      <c r="K48" s="67"/>
    </row>
    <row r="49" spans="11:11" x14ac:dyDescent="0.35">
      <c r="K49" s="67"/>
    </row>
    <row r="50" spans="11:11" x14ac:dyDescent="0.35">
      <c r="K50" s="67"/>
    </row>
    <row r="51" spans="11:11" x14ac:dyDescent="0.35">
      <c r="K51" s="67"/>
    </row>
    <row r="52" spans="11:11" x14ac:dyDescent="0.35">
      <c r="K52" s="67"/>
    </row>
    <row r="53" spans="11:11" x14ac:dyDescent="0.35">
      <c r="K53" s="67"/>
    </row>
    <row r="54" spans="11:11" x14ac:dyDescent="0.35">
      <c r="K54" s="67"/>
    </row>
    <row r="55" spans="11:11" x14ac:dyDescent="0.35">
      <c r="K55" s="67"/>
    </row>
    <row r="56" spans="11:11" x14ac:dyDescent="0.35">
      <c r="K56" s="67"/>
    </row>
    <row r="57" spans="11:11" x14ac:dyDescent="0.35">
      <c r="K57" s="67"/>
    </row>
    <row r="58" spans="11:11" x14ac:dyDescent="0.35">
      <c r="K58" s="67"/>
    </row>
    <row r="59" spans="11:11" x14ac:dyDescent="0.35">
      <c r="K59" s="67"/>
    </row>
    <row r="60" spans="11:11" x14ac:dyDescent="0.35">
      <c r="K60" s="67"/>
    </row>
    <row r="61" spans="11:11" x14ac:dyDescent="0.35">
      <c r="K61" s="67"/>
    </row>
    <row r="62" spans="11:11" x14ac:dyDescent="0.35">
      <c r="K62" s="67"/>
    </row>
    <row r="63" spans="11:11" x14ac:dyDescent="0.35">
      <c r="K63" s="67"/>
    </row>
    <row r="64" spans="11:11" x14ac:dyDescent="0.35">
      <c r="K64" s="67"/>
    </row>
    <row r="65" spans="11:11" x14ac:dyDescent="0.35">
      <c r="K65" s="67"/>
    </row>
    <row r="66" spans="11:11" x14ac:dyDescent="0.35">
      <c r="K66" s="67"/>
    </row>
    <row r="67" spans="11:11" x14ac:dyDescent="0.35">
      <c r="K67" s="67"/>
    </row>
    <row r="68" spans="11:11" x14ac:dyDescent="0.35">
      <c r="K68" s="67"/>
    </row>
    <row r="69" spans="11:11" x14ac:dyDescent="0.35">
      <c r="K69" s="67"/>
    </row>
    <row r="70" spans="11:11" x14ac:dyDescent="0.35">
      <c r="K70" s="67"/>
    </row>
    <row r="71" spans="11:11" x14ac:dyDescent="0.35">
      <c r="K71" s="67"/>
    </row>
    <row r="72" spans="11:11" x14ac:dyDescent="0.35">
      <c r="K72" s="67"/>
    </row>
    <row r="73" spans="11:11" x14ac:dyDescent="0.35">
      <c r="K73" s="67"/>
    </row>
    <row r="74" spans="11:11" x14ac:dyDescent="0.35">
      <c r="K74" s="67"/>
    </row>
    <row r="75" spans="11:11" x14ac:dyDescent="0.35">
      <c r="K75" s="67"/>
    </row>
    <row r="76" spans="11:11" x14ac:dyDescent="0.35">
      <c r="K76" s="67"/>
    </row>
    <row r="77" spans="11:11" x14ac:dyDescent="0.35">
      <c r="K77" s="67"/>
    </row>
    <row r="78" spans="11:11" x14ac:dyDescent="0.35">
      <c r="K78" s="67"/>
    </row>
    <row r="79" spans="11:11" x14ac:dyDescent="0.35">
      <c r="K79" s="67"/>
    </row>
    <row r="80" spans="11:11" x14ac:dyDescent="0.35">
      <c r="K80" s="67"/>
    </row>
    <row r="81" spans="11:11" x14ac:dyDescent="0.35">
      <c r="K81" s="67"/>
    </row>
    <row r="82" spans="11:11" x14ac:dyDescent="0.35">
      <c r="K82" s="67"/>
    </row>
    <row r="83" spans="11:11" x14ac:dyDescent="0.35">
      <c r="K83" s="67"/>
    </row>
    <row r="84" spans="11:11" x14ac:dyDescent="0.35">
      <c r="K84" s="67"/>
    </row>
    <row r="85" spans="11:11" x14ac:dyDescent="0.35">
      <c r="K85" s="67"/>
    </row>
    <row r="86" spans="11:11" x14ac:dyDescent="0.35">
      <c r="K86" s="67"/>
    </row>
    <row r="87" spans="11:11" x14ac:dyDescent="0.35">
      <c r="K87" s="67"/>
    </row>
    <row r="88" spans="11:11" x14ac:dyDescent="0.35">
      <c r="K88" s="67"/>
    </row>
    <row r="89" spans="11:11" x14ac:dyDescent="0.35">
      <c r="K89" s="67"/>
    </row>
    <row r="90" spans="11:11" x14ac:dyDescent="0.35">
      <c r="K90" s="67"/>
    </row>
    <row r="91" spans="11:11" x14ac:dyDescent="0.35">
      <c r="K91" s="67"/>
    </row>
    <row r="92" spans="11:11" x14ac:dyDescent="0.35">
      <c r="K92" s="67"/>
    </row>
    <row r="93" spans="11:11" x14ac:dyDescent="0.35">
      <c r="K93" s="67"/>
    </row>
    <row r="94" spans="11:11" x14ac:dyDescent="0.35">
      <c r="K94" s="67"/>
    </row>
    <row r="95" spans="11:11" x14ac:dyDescent="0.35">
      <c r="K95" s="67"/>
    </row>
    <row r="96" spans="11:11" x14ac:dyDescent="0.35">
      <c r="K96" s="67"/>
    </row>
    <row r="97" spans="11:11" x14ac:dyDescent="0.35">
      <c r="K97" s="67"/>
    </row>
    <row r="98" spans="11:11" x14ac:dyDescent="0.35">
      <c r="K98" s="67"/>
    </row>
    <row r="99" spans="11:11" x14ac:dyDescent="0.35">
      <c r="K99" s="67"/>
    </row>
    <row r="100" spans="11:11" x14ac:dyDescent="0.35">
      <c r="K100" s="67"/>
    </row>
    <row r="101" spans="11:11" x14ac:dyDescent="0.35">
      <c r="K101" s="67"/>
    </row>
    <row r="102" spans="11:11" x14ac:dyDescent="0.35">
      <c r="K102" s="67"/>
    </row>
    <row r="103" spans="11:11" x14ac:dyDescent="0.35">
      <c r="K103" s="67"/>
    </row>
    <row r="104" spans="11:11" x14ac:dyDescent="0.35">
      <c r="K104" s="67"/>
    </row>
    <row r="105" spans="11:11" x14ac:dyDescent="0.35">
      <c r="K105" s="67"/>
    </row>
    <row r="106" spans="11:11" x14ac:dyDescent="0.35">
      <c r="K106" s="67"/>
    </row>
    <row r="107" spans="11:11" x14ac:dyDescent="0.35">
      <c r="K107" s="67"/>
    </row>
    <row r="108" spans="11:11" x14ac:dyDescent="0.35">
      <c r="K108" s="67"/>
    </row>
    <row r="109" spans="11:11" x14ac:dyDescent="0.35">
      <c r="K109" s="67"/>
    </row>
    <row r="110" spans="11:11" x14ac:dyDescent="0.35">
      <c r="K110" s="67"/>
    </row>
    <row r="111" spans="11:11" x14ac:dyDescent="0.35">
      <c r="K111" s="67"/>
    </row>
    <row r="112" spans="11:11" x14ac:dyDescent="0.35">
      <c r="K112" s="67"/>
    </row>
    <row r="113" spans="11:11" x14ac:dyDescent="0.35">
      <c r="K113" s="67"/>
    </row>
    <row r="114" spans="11:11" x14ac:dyDescent="0.35">
      <c r="K114" s="67"/>
    </row>
    <row r="115" spans="11:11" x14ac:dyDescent="0.35">
      <c r="K115" s="67"/>
    </row>
    <row r="116" spans="11:11" x14ac:dyDescent="0.35">
      <c r="K116" s="67"/>
    </row>
    <row r="117" spans="11:11" x14ac:dyDescent="0.35">
      <c r="K117" s="67"/>
    </row>
    <row r="118" spans="11:11" x14ac:dyDescent="0.35">
      <c r="K118" s="67"/>
    </row>
    <row r="119" spans="11:11" x14ac:dyDescent="0.35">
      <c r="K119" s="67"/>
    </row>
    <row r="120" spans="11:11" x14ac:dyDescent="0.35">
      <c r="K120" s="67"/>
    </row>
    <row r="121" spans="11:11" x14ac:dyDescent="0.35">
      <c r="K121" s="67"/>
    </row>
    <row r="122" spans="11:11" x14ac:dyDescent="0.35">
      <c r="K122" s="67"/>
    </row>
    <row r="123" spans="11:11" x14ac:dyDescent="0.35">
      <c r="K123" s="67"/>
    </row>
    <row r="124" spans="11:11" x14ac:dyDescent="0.35">
      <c r="K124" s="67"/>
    </row>
    <row r="125" spans="11:11" x14ac:dyDescent="0.35">
      <c r="K125" s="67"/>
    </row>
    <row r="126" spans="11:11" x14ac:dyDescent="0.35">
      <c r="K126" s="67"/>
    </row>
    <row r="127" spans="11:11" x14ac:dyDescent="0.35">
      <c r="K127" s="67"/>
    </row>
    <row r="128" spans="11:11" x14ac:dyDescent="0.35">
      <c r="K128" s="67"/>
    </row>
    <row r="129" spans="11:11" x14ac:dyDescent="0.35">
      <c r="K129" s="67"/>
    </row>
    <row r="130" spans="11:11" x14ac:dyDescent="0.35">
      <c r="K130" s="67"/>
    </row>
    <row r="131" spans="11:11" x14ac:dyDescent="0.35">
      <c r="K131" s="67"/>
    </row>
    <row r="132" spans="11:11" x14ac:dyDescent="0.35">
      <c r="K132" s="67"/>
    </row>
    <row r="133" spans="11:11" x14ac:dyDescent="0.35">
      <c r="K133" s="67"/>
    </row>
    <row r="134" spans="11:11" x14ac:dyDescent="0.35">
      <c r="K134" s="67"/>
    </row>
    <row r="135" spans="11:11" x14ac:dyDescent="0.35">
      <c r="K135" s="67"/>
    </row>
    <row r="136" spans="11:11" x14ac:dyDescent="0.35">
      <c r="K136" s="67"/>
    </row>
    <row r="137" spans="11:11" x14ac:dyDescent="0.35">
      <c r="K137" s="67"/>
    </row>
    <row r="138" spans="11:11" x14ac:dyDescent="0.35">
      <c r="K138" s="67"/>
    </row>
    <row r="139" spans="11:11" x14ac:dyDescent="0.35">
      <c r="K139" s="67"/>
    </row>
    <row r="140" spans="11:11" x14ac:dyDescent="0.35">
      <c r="K140" s="67"/>
    </row>
    <row r="141" spans="11:11" x14ac:dyDescent="0.35">
      <c r="K141" s="67"/>
    </row>
    <row r="142" spans="11:11" x14ac:dyDescent="0.35">
      <c r="K142" s="67"/>
    </row>
    <row r="143" spans="11:11" x14ac:dyDescent="0.35">
      <c r="K143" s="67"/>
    </row>
    <row r="144" spans="11:11" x14ac:dyDescent="0.35">
      <c r="K144" s="67"/>
    </row>
    <row r="145" spans="11:11" x14ac:dyDescent="0.35">
      <c r="K145" s="67"/>
    </row>
    <row r="146" spans="11:11" x14ac:dyDescent="0.35">
      <c r="K146" s="67"/>
    </row>
    <row r="147" spans="11:11" x14ac:dyDescent="0.35">
      <c r="K147" s="67"/>
    </row>
    <row r="148" spans="11:11" x14ac:dyDescent="0.35">
      <c r="K148" s="67"/>
    </row>
    <row r="149" spans="11:11" x14ac:dyDescent="0.35">
      <c r="K149" s="67"/>
    </row>
    <row r="150" spans="11:11" x14ac:dyDescent="0.35">
      <c r="K150" s="67"/>
    </row>
    <row r="151" spans="11:11" x14ac:dyDescent="0.35">
      <c r="K151" s="67"/>
    </row>
    <row r="152" spans="11:11" x14ac:dyDescent="0.35">
      <c r="K152" s="67"/>
    </row>
    <row r="153" spans="11:11" x14ac:dyDescent="0.35">
      <c r="K153" s="67"/>
    </row>
    <row r="154" spans="11:11" x14ac:dyDescent="0.35">
      <c r="K154" s="67"/>
    </row>
    <row r="155" spans="11:11" x14ac:dyDescent="0.35">
      <c r="K155" s="67"/>
    </row>
    <row r="156" spans="11:11" x14ac:dyDescent="0.35">
      <c r="K156" s="67"/>
    </row>
    <row r="157" spans="11:11" x14ac:dyDescent="0.35">
      <c r="K157" s="67"/>
    </row>
    <row r="158" spans="11:11" x14ac:dyDescent="0.35">
      <c r="K158" s="67"/>
    </row>
    <row r="159" spans="11:11" x14ac:dyDescent="0.35">
      <c r="K159" s="67"/>
    </row>
    <row r="160" spans="11:11" x14ac:dyDescent="0.35">
      <c r="K160" s="67"/>
    </row>
    <row r="161" spans="11:11" x14ac:dyDescent="0.35">
      <c r="K161" s="67"/>
    </row>
    <row r="162" spans="11:11" x14ac:dyDescent="0.35">
      <c r="K162" s="67"/>
    </row>
    <row r="163" spans="11:11" x14ac:dyDescent="0.35">
      <c r="K163" s="67"/>
    </row>
    <row r="164" spans="11:11" x14ac:dyDescent="0.35">
      <c r="K164" s="67"/>
    </row>
    <row r="165" spans="11:11" x14ac:dyDescent="0.35">
      <c r="K165" s="67"/>
    </row>
    <row r="166" spans="11:11" x14ac:dyDescent="0.35">
      <c r="K166" s="67"/>
    </row>
    <row r="167" spans="11:11" x14ac:dyDescent="0.35">
      <c r="K167" s="67"/>
    </row>
    <row r="168" spans="11:11" x14ac:dyDescent="0.35">
      <c r="K168" s="67"/>
    </row>
    <row r="169" spans="11:11" x14ac:dyDescent="0.35">
      <c r="K169" s="67"/>
    </row>
    <row r="170" spans="11:11" x14ac:dyDescent="0.35">
      <c r="K170" s="67"/>
    </row>
    <row r="171" spans="11:11" x14ac:dyDescent="0.35">
      <c r="K171" s="67"/>
    </row>
    <row r="172" spans="11:11" x14ac:dyDescent="0.35">
      <c r="K172" s="67"/>
    </row>
    <row r="173" spans="11:11" x14ac:dyDescent="0.35">
      <c r="K173" s="67"/>
    </row>
    <row r="174" spans="11:11" x14ac:dyDescent="0.35">
      <c r="K174" s="67"/>
    </row>
    <row r="175" spans="11:11" x14ac:dyDescent="0.35">
      <c r="K175" s="67"/>
    </row>
    <row r="176" spans="11:11" x14ac:dyDescent="0.35">
      <c r="K176" s="67"/>
    </row>
    <row r="177" spans="11:11" x14ac:dyDescent="0.35">
      <c r="K177" s="67"/>
    </row>
    <row r="178" spans="11:11" x14ac:dyDescent="0.35">
      <c r="K178" s="67"/>
    </row>
    <row r="179" spans="11:11" x14ac:dyDescent="0.35">
      <c r="K179" s="67"/>
    </row>
    <row r="180" spans="11:11" x14ac:dyDescent="0.35">
      <c r="K180" s="67"/>
    </row>
    <row r="181" spans="11:11" x14ac:dyDescent="0.35">
      <c r="K181" s="67"/>
    </row>
    <row r="182" spans="11:11" x14ac:dyDescent="0.35">
      <c r="K182" s="67"/>
    </row>
    <row r="183" spans="11:11" x14ac:dyDescent="0.35">
      <c r="K183" s="67"/>
    </row>
    <row r="184" spans="11:11" x14ac:dyDescent="0.35">
      <c r="K184" s="67"/>
    </row>
    <row r="185" spans="11:11" x14ac:dyDescent="0.35">
      <c r="K185" s="67"/>
    </row>
    <row r="186" spans="11:11" x14ac:dyDescent="0.35">
      <c r="K186" s="67"/>
    </row>
    <row r="187" spans="11:11" x14ac:dyDescent="0.35">
      <c r="K187" s="67"/>
    </row>
    <row r="188" spans="11:11" x14ac:dyDescent="0.35">
      <c r="K188" s="67"/>
    </row>
    <row r="189" spans="11:11" x14ac:dyDescent="0.35">
      <c r="K189" s="67"/>
    </row>
    <row r="190" spans="11:11" x14ac:dyDescent="0.35">
      <c r="K190" s="67"/>
    </row>
    <row r="191" spans="11:11" x14ac:dyDescent="0.35">
      <c r="K191" s="67"/>
    </row>
    <row r="192" spans="11:11" x14ac:dyDescent="0.35">
      <c r="K192" s="67"/>
    </row>
    <row r="193" spans="11:11" x14ac:dyDescent="0.35">
      <c r="K193" s="67"/>
    </row>
    <row r="194" spans="11:11" x14ac:dyDescent="0.35">
      <c r="K194" s="67"/>
    </row>
    <row r="195" spans="11:11" x14ac:dyDescent="0.35">
      <c r="K195" s="67"/>
    </row>
    <row r="196" spans="11:11" x14ac:dyDescent="0.35">
      <c r="K196" s="67"/>
    </row>
    <row r="197" spans="11:11" x14ac:dyDescent="0.35">
      <c r="K197" s="67"/>
    </row>
    <row r="198" spans="11:11" x14ac:dyDescent="0.35">
      <c r="K198" s="67"/>
    </row>
    <row r="199" spans="11:11" x14ac:dyDescent="0.35">
      <c r="K199" s="67"/>
    </row>
    <row r="200" spans="11:11" x14ac:dyDescent="0.35">
      <c r="K200" s="67"/>
    </row>
    <row r="201" spans="11:11" x14ac:dyDescent="0.35">
      <c r="K201" s="67"/>
    </row>
    <row r="202" spans="11:11" x14ac:dyDescent="0.35">
      <c r="K202" s="67"/>
    </row>
    <row r="203" spans="11:11" x14ac:dyDescent="0.35">
      <c r="K203" s="67"/>
    </row>
    <row r="204" spans="11:11" x14ac:dyDescent="0.35">
      <c r="K204" s="67"/>
    </row>
    <row r="205" spans="11:11" x14ac:dyDescent="0.35">
      <c r="K205" s="67"/>
    </row>
    <row r="206" spans="11:11" x14ac:dyDescent="0.35">
      <c r="K206" s="67"/>
    </row>
    <row r="207" spans="11:11" x14ac:dyDescent="0.35">
      <c r="K207" s="67"/>
    </row>
    <row r="208" spans="11:11" x14ac:dyDescent="0.35">
      <c r="K208" s="67"/>
    </row>
    <row r="209" spans="11:11" x14ac:dyDescent="0.35">
      <c r="K209" s="67"/>
    </row>
    <row r="210" spans="11:11" x14ac:dyDescent="0.35">
      <c r="K210" s="67"/>
    </row>
    <row r="211" spans="11:11" x14ac:dyDescent="0.35">
      <c r="K211" s="67"/>
    </row>
    <row r="212" spans="11:11" x14ac:dyDescent="0.35">
      <c r="K212" s="67"/>
    </row>
    <row r="213" spans="11:11" x14ac:dyDescent="0.35">
      <c r="K213" s="67"/>
    </row>
    <row r="214" spans="11:11" x14ac:dyDescent="0.35">
      <c r="K214" s="67"/>
    </row>
    <row r="215" spans="11:11" x14ac:dyDescent="0.35">
      <c r="K215" s="67"/>
    </row>
    <row r="216" spans="11:11" x14ac:dyDescent="0.35">
      <c r="K216" s="67"/>
    </row>
    <row r="217" spans="11:11" x14ac:dyDescent="0.35">
      <c r="K217" s="67"/>
    </row>
    <row r="218" spans="11:11" x14ac:dyDescent="0.35">
      <c r="K218" s="67"/>
    </row>
    <row r="219" spans="11:11" x14ac:dyDescent="0.35">
      <c r="K219" s="67"/>
    </row>
  </sheetData>
  <sortState xmlns:xlrd2="http://schemas.microsoft.com/office/spreadsheetml/2017/richdata2" ref="D9:K219">
    <sortCondition ref="D8"/>
  </sortState>
  <mergeCells count="5">
    <mergeCell ref="A29:B29"/>
    <mergeCell ref="G2:H2"/>
    <mergeCell ref="G3:H3"/>
    <mergeCell ref="A25:B25"/>
    <mergeCell ref="J3:L3"/>
  </mergeCells>
  <conditionalFormatting sqref="D8:M9000">
    <cfRule type="expression" dxfId="2" priority="2">
      <formula>$D8&lt;&gt;""</formula>
    </cfRule>
  </conditionalFormatting>
  <conditionalFormatting sqref="K36:K1000">
    <cfRule type="expression" dxfId="1" priority="1">
      <formula>$D36&lt;&gt;""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G204"/>
  <sheetViews>
    <sheetView showGridLines="0" topLeftCell="A36" workbookViewId="0">
      <selection activeCell="B151" sqref="B151:G151"/>
    </sheetView>
  </sheetViews>
  <sheetFormatPr defaultRowHeight="14.4" x14ac:dyDescent="0.3"/>
  <cols>
    <col min="2" max="2" width="16.77734375" style="1" customWidth="1"/>
    <col min="3" max="3" width="28.21875" bestFit="1" customWidth="1"/>
    <col min="4" max="4" width="10.33203125" customWidth="1"/>
    <col min="5" max="5" width="9.109375" style="2" customWidth="1"/>
    <col min="6" max="6" width="12.21875" style="3" customWidth="1"/>
    <col min="7" max="7" width="12.6640625" style="3" customWidth="1"/>
  </cols>
  <sheetData>
    <row r="3" spans="2:7" s="51" customFormat="1" x14ac:dyDescent="0.3">
      <c r="B3" s="50" t="s">
        <v>1</v>
      </c>
      <c r="C3" s="51" t="s">
        <v>2</v>
      </c>
      <c r="D3" s="51" t="s">
        <v>13</v>
      </c>
      <c r="E3" s="52" t="s">
        <v>5</v>
      </c>
      <c r="F3" s="53" t="s">
        <v>11</v>
      </c>
      <c r="G3" s="53" t="s">
        <v>12</v>
      </c>
    </row>
    <row r="4" spans="2:7" x14ac:dyDescent="0.3">
      <c r="B4" s="1" t="s">
        <v>92</v>
      </c>
      <c r="C4" t="s">
        <v>93</v>
      </c>
      <c r="D4" t="s">
        <v>49</v>
      </c>
      <c r="E4" s="2">
        <v>1</v>
      </c>
      <c r="F4" s="3">
        <v>17000</v>
      </c>
      <c r="G4" s="3">
        <v>25000</v>
      </c>
    </row>
    <row r="5" spans="2:7" x14ac:dyDescent="0.3">
      <c r="B5" s="1" t="s">
        <v>181</v>
      </c>
      <c r="C5" t="s">
        <v>182</v>
      </c>
      <c r="D5" t="s">
        <v>49</v>
      </c>
      <c r="E5" s="2">
        <v>1</v>
      </c>
      <c r="F5" s="3">
        <v>12000</v>
      </c>
      <c r="G5" s="3">
        <v>25000</v>
      </c>
    </row>
    <row r="6" spans="2:7" x14ac:dyDescent="0.3">
      <c r="B6" s="1" t="s">
        <v>207</v>
      </c>
      <c r="C6" t="s">
        <v>208</v>
      </c>
      <c r="D6" t="s">
        <v>49</v>
      </c>
      <c r="E6" s="2">
        <v>1</v>
      </c>
      <c r="F6" s="3">
        <v>6000</v>
      </c>
      <c r="G6" s="3">
        <v>10000</v>
      </c>
    </row>
    <row r="7" spans="2:7" x14ac:dyDescent="0.3">
      <c r="B7" s="1" t="s">
        <v>76</v>
      </c>
      <c r="C7" t="s">
        <v>77</v>
      </c>
      <c r="D7" t="s">
        <v>49</v>
      </c>
      <c r="E7" s="2">
        <v>3</v>
      </c>
      <c r="F7" s="3">
        <v>22500</v>
      </c>
      <c r="G7" s="3">
        <v>35000</v>
      </c>
    </row>
    <row r="8" spans="2:7" x14ac:dyDescent="0.3">
      <c r="B8" s="1" t="s">
        <v>70</v>
      </c>
      <c r="C8" t="s">
        <v>71</v>
      </c>
      <c r="D8" t="s">
        <v>49</v>
      </c>
      <c r="E8" s="2">
        <v>4</v>
      </c>
      <c r="F8" s="3">
        <v>15000</v>
      </c>
      <c r="G8" s="3">
        <v>20000</v>
      </c>
    </row>
    <row r="9" spans="2:7" x14ac:dyDescent="0.3">
      <c r="B9" s="1" t="s">
        <v>104</v>
      </c>
      <c r="C9" t="s">
        <v>105</v>
      </c>
      <c r="D9" t="s">
        <v>49</v>
      </c>
      <c r="E9" s="2">
        <v>3</v>
      </c>
      <c r="F9" s="3">
        <v>44000</v>
      </c>
      <c r="G9" s="3">
        <v>65000</v>
      </c>
    </row>
    <row r="10" spans="2:7" x14ac:dyDescent="0.3">
      <c r="B10" s="1" t="s">
        <v>211</v>
      </c>
      <c r="C10" t="s">
        <v>212</v>
      </c>
      <c r="D10" t="s">
        <v>49</v>
      </c>
      <c r="E10" s="2">
        <v>1</v>
      </c>
      <c r="F10" s="3">
        <v>6000</v>
      </c>
      <c r="G10" s="3">
        <v>15000</v>
      </c>
    </row>
    <row r="11" spans="2:7" x14ac:dyDescent="0.3">
      <c r="B11" s="1" t="s">
        <v>108</v>
      </c>
      <c r="C11" t="s">
        <v>109</v>
      </c>
      <c r="D11" t="s">
        <v>49</v>
      </c>
      <c r="E11" s="2">
        <v>2</v>
      </c>
      <c r="F11" s="3">
        <v>60000</v>
      </c>
      <c r="G11" s="3">
        <v>80000</v>
      </c>
    </row>
    <row r="12" spans="2:7" x14ac:dyDescent="0.3">
      <c r="B12" s="1" t="s">
        <v>110</v>
      </c>
      <c r="C12" t="s">
        <v>111</v>
      </c>
      <c r="D12" t="s">
        <v>49</v>
      </c>
      <c r="E12" s="2">
        <v>3</v>
      </c>
      <c r="F12" s="3">
        <v>70000</v>
      </c>
      <c r="G12" s="3">
        <v>80000</v>
      </c>
    </row>
    <row r="13" spans="2:7" x14ac:dyDescent="0.3">
      <c r="B13" s="1" t="s">
        <v>106</v>
      </c>
      <c r="C13" t="s">
        <v>107</v>
      </c>
      <c r="D13" t="s">
        <v>49</v>
      </c>
      <c r="E13" s="2">
        <v>3</v>
      </c>
      <c r="F13" s="3">
        <v>60000</v>
      </c>
      <c r="G13" s="3">
        <v>85000</v>
      </c>
    </row>
    <row r="14" spans="2:7" x14ac:dyDescent="0.3">
      <c r="B14" s="1" t="s">
        <v>160</v>
      </c>
      <c r="C14" t="s">
        <v>161</v>
      </c>
      <c r="D14" t="s">
        <v>49</v>
      </c>
      <c r="E14" s="2">
        <v>5</v>
      </c>
      <c r="F14" s="3">
        <v>6000</v>
      </c>
      <c r="G14" s="3">
        <v>10000</v>
      </c>
    </row>
    <row r="15" spans="2:7" x14ac:dyDescent="0.3">
      <c r="B15" s="1" t="s">
        <v>102</v>
      </c>
      <c r="C15" t="s">
        <v>103</v>
      </c>
      <c r="D15" t="s">
        <v>49</v>
      </c>
      <c r="E15" s="2">
        <v>4</v>
      </c>
      <c r="F15" s="3">
        <v>55000</v>
      </c>
      <c r="G15" s="3">
        <v>73000</v>
      </c>
    </row>
    <row r="16" spans="2:7" x14ac:dyDescent="0.3">
      <c r="B16" s="1" t="s">
        <v>221</v>
      </c>
      <c r="C16" t="s">
        <v>222</v>
      </c>
      <c r="D16" t="s">
        <v>49</v>
      </c>
      <c r="E16" s="2">
        <v>1</v>
      </c>
      <c r="F16" s="3">
        <v>6000</v>
      </c>
      <c r="G16" s="3">
        <v>10000</v>
      </c>
    </row>
    <row r="17" spans="2:7" x14ac:dyDescent="0.3">
      <c r="B17" s="1" t="s">
        <v>209</v>
      </c>
      <c r="C17" t="s">
        <v>210</v>
      </c>
      <c r="D17" t="s">
        <v>49</v>
      </c>
      <c r="E17" s="2">
        <v>1</v>
      </c>
      <c r="F17" s="3">
        <v>6000</v>
      </c>
      <c r="G17" s="3">
        <v>10000</v>
      </c>
    </row>
    <row r="18" spans="2:7" x14ac:dyDescent="0.3">
      <c r="B18" s="1" t="s">
        <v>172</v>
      </c>
      <c r="C18" t="s">
        <v>173</v>
      </c>
      <c r="D18" t="s">
        <v>49</v>
      </c>
      <c r="E18" s="2">
        <v>2</v>
      </c>
      <c r="F18" s="3">
        <v>6000</v>
      </c>
      <c r="G18" s="3">
        <v>10000</v>
      </c>
    </row>
    <row r="19" spans="2:7" x14ac:dyDescent="0.3">
      <c r="B19" s="1" t="s">
        <v>90</v>
      </c>
      <c r="C19" t="s">
        <v>91</v>
      </c>
      <c r="D19" t="s">
        <v>49</v>
      </c>
      <c r="E19" s="2">
        <v>5</v>
      </c>
      <c r="F19" s="3">
        <v>24000</v>
      </c>
      <c r="G19" s="3">
        <v>32000</v>
      </c>
    </row>
    <row r="20" spans="2:7" x14ac:dyDescent="0.3">
      <c r="B20" s="1" t="s">
        <v>78</v>
      </c>
      <c r="C20" t="s">
        <v>79</v>
      </c>
      <c r="D20" t="s">
        <v>49</v>
      </c>
      <c r="E20" s="2">
        <v>1</v>
      </c>
      <c r="F20" s="3">
        <v>24000</v>
      </c>
      <c r="G20" s="3">
        <v>38000</v>
      </c>
    </row>
    <row r="21" spans="2:7" x14ac:dyDescent="0.3">
      <c r="B21" s="1" t="s">
        <v>80</v>
      </c>
      <c r="C21" t="s">
        <v>81</v>
      </c>
      <c r="D21" t="s">
        <v>49</v>
      </c>
      <c r="E21" s="2">
        <v>2</v>
      </c>
      <c r="F21" s="3">
        <v>29000</v>
      </c>
      <c r="G21" s="3">
        <v>45000</v>
      </c>
    </row>
    <row r="22" spans="2:7" x14ac:dyDescent="0.3">
      <c r="B22" s="1" t="s">
        <v>68</v>
      </c>
      <c r="C22" t="s">
        <v>69</v>
      </c>
      <c r="D22" t="s">
        <v>49</v>
      </c>
      <c r="E22" s="2">
        <v>8</v>
      </c>
      <c r="F22" s="3">
        <v>12000</v>
      </c>
      <c r="G22" s="3">
        <v>17000</v>
      </c>
    </row>
    <row r="23" spans="2:7" x14ac:dyDescent="0.3">
      <c r="B23" s="1" t="s">
        <v>66</v>
      </c>
      <c r="C23" t="s">
        <v>67</v>
      </c>
      <c r="D23" t="s">
        <v>49</v>
      </c>
      <c r="E23" s="2">
        <v>4</v>
      </c>
      <c r="F23" s="3">
        <v>13000</v>
      </c>
      <c r="G23" s="3">
        <v>18000</v>
      </c>
    </row>
    <row r="24" spans="2:7" x14ac:dyDescent="0.3">
      <c r="B24" s="1" t="s">
        <v>152</v>
      </c>
      <c r="C24" t="s">
        <v>153</v>
      </c>
      <c r="D24" t="s">
        <v>49</v>
      </c>
      <c r="E24" s="2">
        <v>3</v>
      </c>
      <c r="F24" s="3">
        <v>5000</v>
      </c>
      <c r="G24" s="3">
        <v>15000</v>
      </c>
    </row>
    <row r="25" spans="2:7" x14ac:dyDescent="0.3">
      <c r="B25" s="1" t="s">
        <v>138</v>
      </c>
      <c r="C25" t="s">
        <v>139</v>
      </c>
      <c r="D25" t="s">
        <v>49</v>
      </c>
      <c r="E25" s="2">
        <v>1</v>
      </c>
      <c r="F25" s="3">
        <v>5000</v>
      </c>
      <c r="G25" s="3">
        <v>15000</v>
      </c>
    </row>
    <row r="26" spans="2:7" x14ac:dyDescent="0.3">
      <c r="B26" s="1" t="s">
        <v>146</v>
      </c>
      <c r="C26" t="s">
        <v>147</v>
      </c>
      <c r="D26" t="s">
        <v>49</v>
      </c>
      <c r="E26" s="2">
        <v>2</v>
      </c>
      <c r="F26" s="3">
        <v>5000</v>
      </c>
      <c r="G26" s="3">
        <v>15000</v>
      </c>
    </row>
    <row r="27" spans="2:7" x14ac:dyDescent="0.3">
      <c r="B27" s="1" t="s">
        <v>142</v>
      </c>
      <c r="C27" t="s">
        <v>143</v>
      </c>
      <c r="D27" t="s">
        <v>49</v>
      </c>
      <c r="E27" s="2">
        <v>10</v>
      </c>
      <c r="F27" s="3">
        <v>5000</v>
      </c>
      <c r="G27" s="3">
        <v>15000</v>
      </c>
    </row>
    <row r="28" spans="2:7" x14ac:dyDescent="0.3">
      <c r="B28" s="1" t="s">
        <v>189</v>
      </c>
      <c r="C28" t="s">
        <v>190</v>
      </c>
      <c r="D28" t="s">
        <v>49</v>
      </c>
      <c r="E28" s="2">
        <v>0</v>
      </c>
      <c r="F28" s="3">
        <v>7500</v>
      </c>
      <c r="G28" s="3">
        <v>15000</v>
      </c>
    </row>
    <row r="29" spans="2:7" x14ac:dyDescent="0.3">
      <c r="B29" s="1" t="s">
        <v>136</v>
      </c>
      <c r="C29" t="s">
        <v>137</v>
      </c>
      <c r="D29" t="s">
        <v>49</v>
      </c>
      <c r="E29" s="2">
        <v>7</v>
      </c>
      <c r="F29" s="3">
        <v>5000</v>
      </c>
      <c r="G29" s="3">
        <v>15000</v>
      </c>
    </row>
    <row r="30" spans="2:7" x14ac:dyDescent="0.3">
      <c r="B30" s="1" t="s">
        <v>134</v>
      </c>
      <c r="C30" t="s">
        <v>135</v>
      </c>
      <c r="D30" t="s">
        <v>49</v>
      </c>
      <c r="E30" s="2">
        <v>2</v>
      </c>
      <c r="F30" s="3">
        <v>5000</v>
      </c>
      <c r="G30" s="3">
        <v>15000</v>
      </c>
    </row>
    <row r="31" spans="2:7" x14ac:dyDescent="0.3">
      <c r="B31" s="1" t="s">
        <v>148</v>
      </c>
      <c r="C31" t="s">
        <v>149</v>
      </c>
      <c r="D31" t="s">
        <v>49</v>
      </c>
      <c r="E31" s="2">
        <v>2</v>
      </c>
      <c r="F31" s="3">
        <v>5000</v>
      </c>
      <c r="G31" s="3">
        <v>15000</v>
      </c>
    </row>
    <row r="32" spans="2:7" x14ac:dyDescent="0.3">
      <c r="B32" s="1" t="s">
        <v>120</v>
      </c>
      <c r="C32" t="s">
        <v>121</v>
      </c>
      <c r="D32" t="s">
        <v>49</v>
      </c>
      <c r="E32" s="2">
        <v>2</v>
      </c>
      <c r="F32" s="3">
        <v>5000</v>
      </c>
      <c r="G32" s="3">
        <v>15000</v>
      </c>
    </row>
    <row r="33" spans="2:7" x14ac:dyDescent="0.3">
      <c r="B33" s="1" t="s">
        <v>154</v>
      </c>
      <c r="C33" t="s">
        <v>155</v>
      </c>
      <c r="D33" t="s">
        <v>49</v>
      </c>
      <c r="E33" s="2">
        <v>1</v>
      </c>
      <c r="F33" s="3">
        <v>5000</v>
      </c>
      <c r="G33" s="3">
        <v>15000</v>
      </c>
    </row>
    <row r="34" spans="2:7" x14ac:dyDescent="0.3">
      <c r="B34" s="1" t="s">
        <v>195</v>
      </c>
      <c r="C34" t="s">
        <v>196</v>
      </c>
      <c r="D34" t="s">
        <v>49</v>
      </c>
      <c r="E34" s="2">
        <v>0</v>
      </c>
      <c r="F34" s="3">
        <v>6000</v>
      </c>
      <c r="G34" s="3">
        <v>10000</v>
      </c>
    </row>
    <row r="35" spans="2:7" x14ac:dyDescent="0.3">
      <c r="B35" s="1" t="s">
        <v>213</v>
      </c>
      <c r="C35" t="s">
        <v>214</v>
      </c>
      <c r="D35" t="s">
        <v>49</v>
      </c>
      <c r="E35" s="2">
        <v>1</v>
      </c>
      <c r="F35" s="3">
        <v>7500</v>
      </c>
      <c r="G35" s="3">
        <v>15000</v>
      </c>
    </row>
    <row r="36" spans="2:7" x14ac:dyDescent="0.3">
      <c r="B36" s="1" t="s">
        <v>191</v>
      </c>
      <c r="C36" t="s">
        <v>192</v>
      </c>
      <c r="D36" t="s">
        <v>49</v>
      </c>
      <c r="E36" s="2">
        <v>3</v>
      </c>
      <c r="F36" s="3">
        <v>7500</v>
      </c>
      <c r="G36" s="3">
        <v>15000</v>
      </c>
    </row>
    <row r="37" spans="2:7" x14ac:dyDescent="0.3">
      <c r="B37" s="1" t="s">
        <v>178</v>
      </c>
      <c r="C37" t="s">
        <v>179</v>
      </c>
      <c r="D37" t="s">
        <v>49</v>
      </c>
      <c r="E37" s="2">
        <v>2</v>
      </c>
      <c r="F37" s="3">
        <v>7500</v>
      </c>
      <c r="G37" s="3">
        <v>15000</v>
      </c>
    </row>
    <row r="38" spans="2:7" x14ac:dyDescent="0.3">
      <c r="B38" s="1" t="s">
        <v>185</v>
      </c>
      <c r="C38" t="s">
        <v>186</v>
      </c>
      <c r="D38" t="s">
        <v>49</v>
      </c>
      <c r="E38" s="2">
        <v>4</v>
      </c>
      <c r="F38" s="3">
        <v>7500</v>
      </c>
      <c r="G38" s="3">
        <v>15000</v>
      </c>
    </row>
    <row r="39" spans="2:7" x14ac:dyDescent="0.3">
      <c r="B39" s="1" t="s">
        <v>162</v>
      </c>
      <c r="C39" t="s">
        <v>163</v>
      </c>
      <c r="D39" t="s">
        <v>49</v>
      </c>
      <c r="E39" s="2">
        <v>4</v>
      </c>
      <c r="F39" s="3">
        <v>5000</v>
      </c>
      <c r="G39" s="3">
        <v>15000</v>
      </c>
    </row>
    <row r="40" spans="2:7" x14ac:dyDescent="0.3">
      <c r="B40" s="1" t="s">
        <v>227</v>
      </c>
      <c r="C40" t="s">
        <v>228</v>
      </c>
      <c r="D40" t="s">
        <v>49</v>
      </c>
      <c r="E40" s="2">
        <v>4</v>
      </c>
      <c r="F40" s="3">
        <v>7500</v>
      </c>
      <c r="G40" s="3">
        <v>15000</v>
      </c>
    </row>
    <row r="41" spans="2:7" x14ac:dyDescent="0.3">
      <c r="B41" s="1" t="s">
        <v>156</v>
      </c>
      <c r="C41" t="s">
        <v>157</v>
      </c>
      <c r="D41" t="s">
        <v>49</v>
      </c>
      <c r="E41" s="2">
        <v>1</v>
      </c>
      <c r="F41" s="3">
        <v>5000</v>
      </c>
      <c r="G41" s="3">
        <v>15000</v>
      </c>
    </row>
    <row r="42" spans="2:7" x14ac:dyDescent="0.3">
      <c r="B42" s="1" t="s">
        <v>128</v>
      </c>
      <c r="C42" t="s">
        <v>129</v>
      </c>
      <c r="D42" t="s">
        <v>49</v>
      </c>
      <c r="E42" s="2">
        <v>8</v>
      </c>
      <c r="F42" s="3">
        <v>5000</v>
      </c>
      <c r="G42" s="3">
        <v>15000</v>
      </c>
    </row>
    <row r="43" spans="2:7" x14ac:dyDescent="0.3">
      <c r="B43" s="1" t="s">
        <v>166</v>
      </c>
      <c r="C43" t="s">
        <v>167</v>
      </c>
      <c r="D43" t="s">
        <v>49</v>
      </c>
      <c r="E43" s="2">
        <v>8</v>
      </c>
      <c r="F43" s="3">
        <v>7500</v>
      </c>
      <c r="G43" s="3">
        <v>15000</v>
      </c>
    </row>
    <row r="44" spans="2:7" x14ac:dyDescent="0.3">
      <c r="B44" s="1" t="s">
        <v>166</v>
      </c>
      <c r="C44" t="s">
        <v>167</v>
      </c>
      <c r="D44" t="s">
        <v>49</v>
      </c>
      <c r="E44" s="2">
        <v>1</v>
      </c>
      <c r="F44" s="3">
        <v>7500</v>
      </c>
      <c r="G44" s="3">
        <v>15000</v>
      </c>
    </row>
    <row r="45" spans="2:7" x14ac:dyDescent="0.3">
      <c r="B45" s="1" t="s">
        <v>219</v>
      </c>
      <c r="C45" t="s">
        <v>220</v>
      </c>
      <c r="D45" t="s">
        <v>49</v>
      </c>
      <c r="E45" s="2">
        <v>1</v>
      </c>
      <c r="F45" s="3">
        <v>7500</v>
      </c>
      <c r="G45" s="3">
        <v>15000</v>
      </c>
    </row>
    <row r="46" spans="2:7" x14ac:dyDescent="0.3">
      <c r="B46" s="1" t="s">
        <v>168</v>
      </c>
      <c r="C46" t="s">
        <v>169</v>
      </c>
      <c r="D46" t="s">
        <v>49</v>
      </c>
      <c r="E46" s="2">
        <v>2</v>
      </c>
      <c r="F46" s="3">
        <v>7500</v>
      </c>
      <c r="G46" s="3">
        <v>15000</v>
      </c>
    </row>
    <row r="47" spans="2:7" x14ac:dyDescent="0.3">
      <c r="B47" s="1" t="s">
        <v>168</v>
      </c>
      <c r="C47" t="s">
        <v>169</v>
      </c>
      <c r="D47" t="s">
        <v>49</v>
      </c>
      <c r="E47" s="2">
        <v>1</v>
      </c>
      <c r="F47" s="3">
        <v>7500</v>
      </c>
      <c r="G47" s="3">
        <v>15000</v>
      </c>
    </row>
    <row r="48" spans="2:7" x14ac:dyDescent="0.3">
      <c r="B48" s="1" t="s">
        <v>170</v>
      </c>
      <c r="C48" t="s">
        <v>171</v>
      </c>
      <c r="D48" t="s">
        <v>49</v>
      </c>
      <c r="E48" s="2">
        <v>11</v>
      </c>
      <c r="F48" s="3">
        <v>7500</v>
      </c>
      <c r="G48" s="3">
        <v>15000</v>
      </c>
    </row>
    <row r="49" spans="2:7" x14ac:dyDescent="0.3">
      <c r="B49" s="1" t="s">
        <v>201</v>
      </c>
      <c r="C49" t="s">
        <v>202</v>
      </c>
      <c r="D49" t="s">
        <v>49</v>
      </c>
      <c r="E49" s="2">
        <v>13</v>
      </c>
      <c r="F49" s="3">
        <v>7500</v>
      </c>
      <c r="G49" s="3">
        <v>15000</v>
      </c>
    </row>
    <row r="50" spans="2:7" x14ac:dyDescent="0.3">
      <c r="B50" s="1" t="s">
        <v>203</v>
      </c>
      <c r="C50" t="s">
        <v>204</v>
      </c>
      <c r="D50" t="s">
        <v>49</v>
      </c>
      <c r="E50" s="2">
        <v>1</v>
      </c>
      <c r="F50" s="3">
        <v>7500</v>
      </c>
      <c r="G50" s="3">
        <v>15000</v>
      </c>
    </row>
    <row r="51" spans="2:7" x14ac:dyDescent="0.3">
      <c r="B51" s="1" t="s">
        <v>205</v>
      </c>
      <c r="C51" t="s">
        <v>206</v>
      </c>
      <c r="D51" t="s">
        <v>49</v>
      </c>
      <c r="E51" s="2">
        <v>16</v>
      </c>
      <c r="F51" s="3">
        <v>7500</v>
      </c>
      <c r="G51" s="3">
        <v>15000</v>
      </c>
    </row>
    <row r="52" spans="2:7" x14ac:dyDescent="0.3">
      <c r="B52" s="1" t="s">
        <v>199</v>
      </c>
      <c r="C52" t="s">
        <v>200</v>
      </c>
      <c r="D52" t="s">
        <v>49</v>
      </c>
      <c r="E52" s="2">
        <v>4</v>
      </c>
      <c r="F52" s="3">
        <v>7500</v>
      </c>
      <c r="G52" s="3">
        <v>15000</v>
      </c>
    </row>
    <row r="53" spans="2:7" x14ac:dyDescent="0.3">
      <c r="B53" s="1" t="s">
        <v>217</v>
      </c>
      <c r="C53" t="s">
        <v>218</v>
      </c>
      <c r="D53" t="s">
        <v>49</v>
      </c>
      <c r="E53" s="2">
        <v>1</v>
      </c>
      <c r="F53" s="3">
        <v>10000</v>
      </c>
      <c r="G53" s="3">
        <v>20000</v>
      </c>
    </row>
    <row r="54" spans="2:7" x14ac:dyDescent="0.3">
      <c r="B54" s="1" t="s">
        <v>130</v>
      </c>
      <c r="C54" t="s">
        <v>131</v>
      </c>
      <c r="D54" t="s">
        <v>49</v>
      </c>
      <c r="E54" s="2">
        <v>4</v>
      </c>
      <c r="F54" s="3">
        <v>10000</v>
      </c>
      <c r="G54" s="3">
        <v>20000</v>
      </c>
    </row>
    <row r="55" spans="2:7" x14ac:dyDescent="0.3">
      <c r="B55" s="1" t="s">
        <v>158</v>
      </c>
      <c r="C55" t="s">
        <v>159</v>
      </c>
      <c r="D55" t="s">
        <v>49</v>
      </c>
      <c r="E55" s="2">
        <v>1</v>
      </c>
      <c r="F55" s="3">
        <v>5000</v>
      </c>
      <c r="G55" s="3">
        <v>15000</v>
      </c>
    </row>
    <row r="56" spans="2:7" x14ac:dyDescent="0.3">
      <c r="B56" s="1" t="s">
        <v>118</v>
      </c>
      <c r="C56" t="s">
        <v>119</v>
      </c>
      <c r="D56" t="s">
        <v>49</v>
      </c>
      <c r="E56" s="2">
        <v>3</v>
      </c>
      <c r="F56" s="3">
        <v>5000</v>
      </c>
      <c r="G56" s="3">
        <v>15000</v>
      </c>
    </row>
    <row r="57" spans="2:7" x14ac:dyDescent="0.3">
      <c r="B57" s="1" t="s">
        <v>193</v>
      </c>
      <c r="C57" t="s">
        <v>194</v>
      </c>
      <c r="D57" t="s">
        <v>49</v>
      </c>
      <c r="E57" s="2">
        <v>3</v>
      </c>
      <c r="F57" s="3">
        <v>7500</v>
      </c>
      <c r="G57" s="3">
        <v>15000</v>
      </c>
    </row>
    <row r="58" spans="2:7" x14ac:dyDescent="0.3">
      <c r="B58" s="1" t="s">
        <v>164</v>
      </c>
      <c r="C58" t="s">
        <v>165</v>
      </c>
      <c r="D58" t="s">
        <v>49</v>
      </c>
      <c r="E58" s="2">
        <v>1</v>
      </c>
      <c r="F58" s="3">
        <v>5000</v>
      </c>
      <c r="G58" s="3">
        <v>15000</v>
      </c>
    </row>
    <row r="59" spans="2:7" x14ac:dyDescent="0.3">
      <c r="B59" s="1" t="s">
        <v>197</v>
      </c>
      <c r="C59" t="s">
        <v>198</v>
      </c>
      <c r="D59" t="s">
        <v>49</v>
      </c>
      <c r="E59" s="2">
        <v>3</v>
      </c>
      <c r="F59" s="3">
        <v>7500</v>
      </c>
      <c r="G59" s="3">
        <v>15000</v>
      </c>
    </row>
    <row r="60" spans="2:7" x14ac:dyDescent="0.3">
      <c r="B60" s="1" t="s">
        <v>124</v>
      </c>
      <c r="C60" t="s">
        <v>125</v>
      </c>
      <c r="D60" t="s">
        <v>49</v>
      </c>
      <c r="E60" s="2">
        <v>4</v>
      </c>
      <c r="F60" s="3">
        <v>5000</v>
      </c>
      <c r="G60" s="3">
        <v>15000</v>
      </c>
    </row>
    <row r="61" spans="2:7" x14ac:dyDescent="0.3">
      <c r="B61" s="1" t="s">
        <v>126</v>
      </c>
      <c r="C61" t="s">
        <v>127</v>
      </c>
      <c r="D61" t="s">
        <v>49</v>
      </c>
      <c r="E61" s="2">
        <v>5</v>
      </c>
      <c r="F61" s="3">
        <v>5000</v>
      </c>
      <c r="G61" s="3">
        <v>15000</v>
      </c>
    </row>
    <row r="62" spans="2:7" x14ac:dyDescent="0.3">
      <c r="B62" s="1" t="s">
        <v>88</v>
      </c>
      <c r="C62" t="s">
        <v>89</v>
      </c>
      <c r="D62" t="s">
        <v>49</v>
      </c>
      <c r="E62" s="2">
        <v>3</v>
      </c>
      <c r="F62" s="3">
        <v>42000</v>
      </c>
      <c r="G62" s="3">
        <v>60000</v>
      </c>
    </row>
    <row r="63" spans="2:7" x14ac:dyDescent="0.3">
      <c r="B63" s="1" t="s">
        <v>74</v>
      </c>
      <c r="C63" t="s">
        <v>75</v>
      </c>
      <c r="D63" t="s">
        <v>49</v>
      </c>
      <c r="E63" s="2">
        <v>5</v>
      </c>
      <c r="F63" s="3">
        <v>35000</v>
      </c>
      <c r="G63" s="3">
        <v>50000</v>
      </c>
    </row>
    <row r="64" spans="2:7" x14ac:dyDescent="0.3">
      <c r="B64" s="1" t="s">
        <v>122</v>
      </c>
      <c r="C64" t="s">
        <v>123</v>
      </c>
      <c r="D64" t="s">
        <v>49</v>
      </c>
      <c r="E64" s="2">
        <v>9</v>
      </c>
      <c r="F64" s="3">
        <v>5000</v>
      </c>
      <c r="G64" s="3">
        <v>15000</v>
      </c>
    </row>
    <row r="65" spans="2:7" x14ac:dyDescent="0.3">
      <c r="B65" s="1" t="s">
        <v>223</v>
      </c>
      <c r="C65" t="s">
        <v>224</v>
      </c>
      <c r="D65" t="s">
        <v>49</v>
      </c>
      <c r="E65" s="2">
        <v>3</v>
      </c>
      <c r="F65" s="3">
        <v>7500</v>
      </c>
      <c r="G65" s="3">
        <v>15000</v>
      </c>
    </row>
    <row r="66" spans="2:7" x14ac:dyDescent="0.3">
      <c r="B66" s="1" t="s">
        <v>140</v>
      </c>
      <c r="C66" t="s">
        <v>141</v>
      </c>
      <c r="D66" t="s">
        <v>49</v>
      </c>
      <c r="E66" s="2">
        <v>4</v>
      </c>
      <c r="F66" s="3">
        <v>5000</v>
      </c>
      <c r="G66" s="3">
        <v>15000</v>
      </c>
    </row>
    <row r="67" spans="2:7" x14ac:dyDescent="0.3">
      <c r="B67" s="1" t="s">
        <v>144</v>
      </c>
      <c r="C67" t="s">
        <v>145</v>
      </c>
      <c r="D67" t="s">
        <v>49</v>
      </c>
      <c r="E67" s="2">
        <v>3</v>
      </c>
      <c r="F67" s="3">
        <v>5000</v>
      </c>
      <c r="G67" s="3">
        <v>15000</v>
      </c>
    </row>
    <row r="68" spans="2:7" x14ac:dyDescent="0.3">
      <c r="B68" s="1" t="s">
        <v>150</v>
      </c>
      <c r="C68" t="s">
        <v>151</v>
      </c>
      <c r="D68" t="s">
        <v>49</v>
      </c>
      <c r="E68" s="2">
        <v>3</v>
      </c>
      <c r="F68" s="3">
        <v>5000</v>
      </c>
      <c r="G68" s="3">
        <v>15000</v>
      </c>
    </row>
    <row r="69" spans="2:7" x14ac:dyDescent="0.3">
      <c r="B69" s="1" t="s">
        <v>132</v>
      </c>
      <c r="C69" t="s">
        <v>133</v>
      </c>
      <c r="D69" t="s">
        <v>49</v>
      </c>
      <c r="E69" s="2">
        <v>2</v>
      </c>
      <c r="F69" s="3">
        <v>5000</v>
      </c>
      <c r="G69" s="3">
        <v>15000</v>
      </c>
    </row>
    <row r="70" spans="2:7" x14ac:dyDescent="0.3">
      <c r="B70" s="1" t="s">
        <v>225</v>
      </c>
      <c r="C70" t="s">
        <v>226</v>
      </c>
      <c r="D70" t="s">
        <v>49</v>
      </c>
      <c r="E70" s="2">
        <v>1</v>
      </c>
      <c r="F70" s="3">
        <v>7500</v>
      </c>
      <c r="G70" s="3">
        <v>15000</v>
      </c>
    </row>
    <row r="71" spans="2:7" x14ac:dyDescent="0.3">
      <c r="B71" s="1" t="s">
        <v>86</v>
      </c>
      <c r="C71" t="s">
        <v>87</v>
      </c>
      <c r="D71" t="s">
        <v>49</v>
      </c>
      <c r="E71" s="2">
        <v>3</v>
      </c>
      <c r="F71" s="3">
        <v>26000</v>
      </c>
      <c r="G71" s="3">
        <v>40000</v>
      </c>
    </row>
    <row r="72" spans="2:7" x14ac:dyDescent="0.3">
      <c r="B72" s="1" t="s">
        <v>94</v>
      </c>
      <c r="C72" t="s">
        <v>95</v>
      </c>
      <c r="D72" t="s">
        <v>49</v>
      </c>
      <c r="E72" s="2">
        <v>0</v>
      </c>
      <c r="F72" s="3">
        <v>40000</v>
      </c>
      <c r="G72" s="3">
        <v>47000</v>
      </c>
    </row>
    <row r="73" spans="2:7" x14ac:dyDescent="0.3">
      <c r="B73" s="1" t="s">
        <v>176</v>
      </c>
      <c r="C73" t="s">
        <v>177</v>
      </c>
      <c r="D73" t="s">
        <v>49</v>
      </c>
      <c r="E73" s="2">
        <v>2</v>
      </c>
      <c r="F73" s="3">
        <v>12000</v>
      </c>
      <c r="G73" s="3">
        <v>25000</v>
      </c>
    </row>
    <row r="74" spans="2:7" x14ac:dyDescent="0.3">
      <c r="B74" s="1" t="s">
        <v>174</v>
      </c>
      <c r="C74" t="s">
        <v>175</v>
      </c>
      <c r="D74" t="s">
        <v>49</v>
      </c>
      <c r="E74" s="2">
        <v>4</v>
      </c>
      <c r="F74" s="3">
        <v>12000</v>
      </c>
      <c r="G74" s="3">
        <v>25000</v>
      </c>
    </row>
    <row r="75" spans="2:7" x14ac:dyDescent="0.3">
      <c r="B75" s="1" t="s">
        <v>174</v>
      </c>
      <c r="C75" t="s">
        <v>175</v>
      </c>
      <c r="D75" t="s">
        <v>49</v>
      </c>
      <c r="E75" s="2">
        <v>4</v>
      </c>
      <c r="F75" s="3">
        <v>12000</v>
      </c>
      <c r="G75" s="3">
        <v>25000</v>
      </c>
    </row>
    <row r="76" spans="2:7" x14ac:dyDescent="0.3">
      <c r="B76" s="1" t="s">
        <v>215</v>
      </c>
      <c r="C76" t="s">
        <v>216</v>
      </c>
      <c r="D76" t="s">
        <v>49</v>
      </c>
      <c r="E76" s="2">
        <v>1</v>
      </c>
      <c r="F76" s="3">
        <v>12000</v>
      </c>
      <c r="G76" s="3">
        <v>25000</v>
      </c>
    </row>
    <row r="77" spans="2:7" x14ac:dyDescent="0.3">
      <c r="B77" s="1" t="s">
        <v>183</v>
      </c>
      <c r="C77" t="s">
        <v>184</v>
      </c>
      <c r="D77" t="s">
        <v>49</v>
      </c>
      <c r="E77" s="2">
        <v>3</v>
      </c>
      <c r="F77" s="3">
        <v>7500</v>
      </c>
      <c r="G77" s="3">
        <v>15000</v>
      </c>
    </row>
    <row r="78" spans="2:7" x14ac:dyDescent="0.3">
      <c r="B78" s="1" t="s">
        <v>187</v>
      </c>
      <c r="C78" t="s">
        <v>188</v>
      </c>
      <c r="D78" t="s">
        <v>49</v>
      </c>
      <c r="E78" s="2">
        <v>2</v>
      </c>
      <c r="F78" s="3">
        <v>7500</v>
      </c>
      <c r="G78" s="3">
        <v>15000</v>
      </c>
    </row>
    <row r="79" spans="2:7" x14ac:dyDescent="0.3">
      <c r="B79" s="1" t="s">
        <v>180</v>
      </c>
      <c r="C79" t="s">
        <v>177</v>
      </c>
      <c r="D79" t="s">
        <v>49</v>
      </c>
      <c r="E79" s="2">
        <v>1</v>
      </c>
      <c r="F79" s="3">
        <v>12000</v>
      </c>
      <c r="G79" s="3">
        <v>25000</v>
      </c>
    </row>
    <row r="80" spans="2:7" x14ac:dyDescent="0.3">
      <c r="B80" s="1" t="s">
        <v>100</v>
      </c>
      <c r="C80" t="s">
        <v>101</v>
      </c>
      <c r="D80" t="s">
        <v>49</v>
      </c>
      <c r="E80" s="2">
        <v>3</v>
      </c>
      <c r="F80" s="3">
        <v>50000</v>
      </c>
      <c r="G80" s="3">
        <v>65000</v>
      </c>
    </row>
    <row r="81" spans="2:7" x14ac:dyDescent="0.3">
      <c r="B81" s="1" t="s">
        <v>72</v>
      </c>
      <c r="C81" t="s">
        <v>73</v>
      </c>
      <c r="D81" t="s">
        <v>49</v>
      </c>
      <c r="E81" s="2">
        <v>5</v>
      </c>
      <c r="F81" s="3">
        <v>19500</v>
      </c>
      <c r="G81" s="3">
        <v>28000</v>
      </c>
    </row>
    <row r="82" spans="2:7" x14ac:dyDescent="0.3">
      <c r="B82" s="1" t="s">
        <v>84</v>
      </c>
      <c r="C82" t="s">
        <v>85</v>
      </c>
      <c r="D82" t="s">
        <v>49</v>
      </c>
      <c r="E82" s="2">
        <v>3</v>
      </c>
      <c r="F82" s="3">
        <v>30000</v>
      </c>
      <c r="G82" s="3">
        <v>45000</v>
      </c>
    </row>
    <row r="83" spans="2:7" x14ac:dyDescent="0.3">
      <c r="B83" s="1" t="s">
        <v>82</v>
      </c>
      <c r="C83" t="s">
        <v>83</v>
      </c>
      <c r="D83" t="s">
        <v>49</v>
      </c>
      <c r="E83" s="2">
        <v>3</v>
      </c>
      <c r="F83" s="3">
        <v>35000</v>
      </c>
      <c r="G83" s="3">
        <v>45000</v>
      </c>
    </row>
    <row r="84" spans="2:7" x14ac:dyDescent="0.3">
      <c r="B84" s="1" t="s">
        <v>112</v>
      </c>
      <c r="C84" t="s">
        <v>113</v>
      </c>
      <c r="D84" t="s">
        <v>49</v>
      </c>
      <c r="E84" s="2">
        <v>3</v>
      </c>
      <c r="F84" s="3">
        <v>70000</v>
      </c>
      <c r="G84" s="3">
        <v>95000</v>
      </c>
    </row>
    <row r="85" spans="2:7" x14ac:dyDescent="0.3">
      <c r="B85" s="1" t="s">
        <v>96</v>
      </c>
      <c r="C85" t="s">
        <v>97</v>
      </c>
      <c r="D85" t="s">
        <v>49</v>
      </c>
      <c r="E85" s="2">
        <v>3</v>
      </c>
      <c r="F85" s="3">
        <v>65000</v>
      </c>
      <c r="G85" s="3">
        <v>80000</v>
      </c>
    </row>
    <row r="86" spans="2:7" x14ac:dyDescent="0.3">
      <c r="B86" s="1" t="s">
        <v>98</v>
      </c>
      <c r="C86" t="s">
        <v>99</v>
      </c>
      <c r="D86" t="s">
        <v>49</v>
      </c>
      <c r="E86" s="2">
        <v>2</v>
      </c>
      <c r="F86" s="3">
        <v>65000</v>
      </c>
      <c r="G86" s="3">
        <v>80000</v>
      </c>
    </row>
    <row r="87" spans="2:7" x14ac:dyDescent="0.3">
      <c r="B87" s="1" t="s">
        <v>64</v>
      </c>
      <c r="C87" t="s">
        <v>65</v>
      </c>
      <c r="D87" t="s">
        <v>49</v>
      </c>
      <c r="E87" s="2">
        <v>3</v>
      </c>
      <c r="F87" s="3">
        <v>60000</v>
      </c>
      <c r="G87" s="3">
        <v>70000</v>
      </c>
    </row>
    <row r="88" spans="2:7" x14ac:dyDescent="0.3">
      <c r="B88" s="1" t="s">
        <v>116</v>
      </c>
      <c r="C88" t="s">
        <v>117</v>
      </c>
      <c r="D88" t="s">
        <v>49</v>
      </c>
      <c r="E88" s="2">
        <v>2</v>
      </c>
      <c r="F88" s="3">
        <v>60000</v>
      </c>
      <c r="G88" s="3">
        <v>85000</v>
      </c>
    </row>
    <row r="89" spans="2:7" x14ac:dyDescent="0.3">
      <c r="B89" s="1" t="s">
        <v>114</v>
      </c>
      <c r="C89" t="s">
        <v>115</v>
      </c>
      <c r="D89" t="s">
        <v>49</v>
      </c>
      <c r="E89" s="2">
        <v>2</v>
      </c>
      <c r="F89" s="3">
        <v>60000</v>
      </c>
      <c r="G89" s="3">
        <v>80000</v>
      </c>
    </row>
    <row r="90" spans="2:7" x14ac:dyDescent="0.3">
      <c r="B90" s="1" t="s">
        <v>229</v>
      </c>
      <c r="C90" t="s">
        <v>230</v>
      </c>
      <c r="D90" t="s">
        <v>49</v>
      </c>
      <c r="E90" s="2">
        <v>2</v>
      </c>
      <c r="F90" s="3">
        <v>7500</v>
      </c>
      <c r="G90" s="3">
        <v>15000</v>
      </c>
    </row>
    <row r="91" spans="2:7" x14ac:dyDescent="0.3">
      <c r="B91" s="1" t="s">
        <v>231</v>
      </c>
      <c r="C91" t="s">
        <v>232</v>
      </c>
      <c r="D91" t="s">
        <v>49</v>
      </c>
      <c r="E91" s="2">
        <v>2</v>
      </c>
      <c r="F91" s="3">
        <v>7500</v>
      </c>
      <c r="G91" s="3">
        <v>15000</v>
      </c>
    </row>
    <row r="92" spans="2:7" x14ac:dyDescent="0.3">
      <c r="B92" s="1" t="s">
        <v>233</v>
      </c>
      <c r="C92" t="s">
        <v>234</v>
      </c>
      <c r="D92" t="s">
        <v>49</v>
      </c>
      <c r="E92" s="2">
        <v>3</v>
      </c>
      <c r="F92" s="3">
        <v>7500</v>
      </c>
      <c r="G92" s="3">
        <v>15000</v>
      </c>
    </row>
    <row r="93" spans="2:7" x14ac:dyDescent="0.3">
      <c r="B93" s="1" t="s">
        <v>235</v>
      </c>
      <c r="C93" t="s">
        <v>236</v>
      </c>
      <c r="D93" t="s">
        <v>49</v>
      </c>
      <c r="E93" s="2">
        <v>4</v>
      </c>
      <c r="F93" s="3">
        <v>7500</v>
      </c>
      <c r="G93" s="3">
        <v>15000</v>
      </c>
    </row>
    <row r="94" spans="2:7" x14ac:dyDescent="0.3">
      <c r="B94" s="1" t="s">
        <v>237</v>
      </c>
      <c r="C94" t="s">
        <v>238</v>
      </c>
      <c r="D94" t="s">
        <v>49</v>
      </c>
      <c r="E94" s="2">
        <v>2</v>
      </c>
      <c r="F94" s="3">
        <v>7500</v>
      </c>
      <c r="G94" s="3">
        <v>15000</v>
      </c>
    </row>
    <row r="95" spans="2:7" x14ac:dyDescent="0.3">
      <c r="B95" s="1" t="s">
        <v>239</v>
      </c>
      <c r="C95" t="s">
        <v>240</v>
      </c>
      <c r="D95" t="s">
        <v>49</v>
      </c>
      <c r="E95" s="2">
        <v>2</v>
      </c>
      <c r="F95" s="3">
        <v>7500</v>
      </c>
      <c r="G95" s="3">
        <v>15000</v>
      </c>
    </row>
    <row r="96" spans="2:7" x14ac:dyDescent="0.3">
      <c r="B96" s="1" t="s">
        <v>241</v>
      </c>
      <c r="C96" t="s">
        <v>242</v>
      </c>
      <c r="D96" t="s">
        <v>49</v>
      </c>
      <c r="E96" s="2">
        <v>9</v>
      </c>
      <c r="F96" s="3">
        <v>7500</v>
      </c>
      <c r="G96" s="3">
        <v>15000</v>
      </c>
    </row>
    <row r="97" spans="2:7" x14ac:dyDescent="0.3">
      <c r="B97" s="1" t="s">
        <v>243</v>
      </c>
      <c r="C97" t="s">
        <v>244</v>
      </c>
      <c r="D97" t="s">
        <v>49</v>
      </c>
      <c r="E97" s="2">
        <v>2</v>
      </c>
      <c r="F97" s="3">
        <v>10000</v>
      </c>
      <c r="G97" s="3">
        <v>20000</v>
      </c>
    </row>
    <row r="98" spans="2:7" x14ac:dyDescent="0.3">
      <c r="B98" s="1" t="s">
        <v>245</v>
      </c>
      <c r="C98" t="s">
        <v>246</v>
      </c>
      <c r="D98" t="s">
        <v>49</v>
      </c>
      <c r="E98" s="2">
        <v>3</v>
      </c>
      <c r="F98" s="3">
        <v>6000</v>
      </c>
      <c r="G98" s="3">
        <v>10000</v>
      </c>
    </row>
    <row r="99" spans="2:7" x14ac:dyDescent="0.3">
      <c r="B99" s="1" t="s">
        <v>247</v>
      </c>
      <c r="C99" t="s">
        <v>248</v>
      </c>
      <c r="D99" t="s">
        <v>49</v>
      </c>
      <c r="E99" s="2">
        <v>1</v>
      </c>
      <c r="F99" s="3">
        <v>10000</v>
      </c>
      <c r="G99" s="3">
        <v>20000</v>
      </c>
    </row>
    <row r="100" spans="2:7" x14ac:dyDescent="0.3">
      <c r="B100" s="1" t="s">
        <v>249</v>
      </c>
      <c r="C100" t="s">
        <v>250</v>
      </c>
      <c r="D100" t="s">
        <v>49</v>
      </c>
      <c r="E100" s="2">
        <v>12</v>
      </c>
      <c r="F100" s="3">
        <v>7500</v>
      </c>
      <c r="G100" s="3">
        <v>15000</v>
      </c>
    </row>
    <row r="101" spans="2:7" x14ac:dyDescent="0.3">
      <c r="B101" s="1" t="s">
        <v>251</v>
      </c>
      <c r="C101" t="s">
        <v>252</v>
      </c>
      <c r="D101" t="s">
        <v>49</v>
      </c>
      <c r="E101" s="2">
        <v>1</v>
      </c>
      <c r="F101" s="3">
        <v>7500</v>
      </c>
      <c r="G101" s="3">
        <v>15000</v>
      </c>
    </row>
    <row r="102" spans="2:7" x14ac:dyDescent="0.3">
      <c r="B102" s="1" t="s">
        <v>253</v>
      </c>
      <c r="C102" t="s">
        <v>254</v>
      </c>
      <c r="D102" t="s">
        <v>49</v>
      </c>
      <c r="E102" s="2">
        <v>1</v>
      </c>
      <c r="F102" s="3">
        <v>12500</v>
      </c>
      <c r="G102" s="3">
        <v>25000</v>
      </c>
    </row>
    <row r="103" spans="2:7" x14ac:dyDescent="0.3">
      <c r="B103" s="1" t="s">
        <v>255</v>
      </c>
      <c r="C103" t="s">
        <v>256</v>
      </c>
      <c r="D103" t="s">
        <v>49</v>
      </c>
      <c r="E103" s="2">
        <v>5</v>
      </c>
      <c r="F103" s="3">
        <v>7500</v>
      </c>
      <c r="G103" s="3">
        <v>15000</v>
      </c>
    </row>
    <row r="104" spans="2:7" x14ac:dyDescent="0.3">
      <c r="B104" s="1" t="s">
        <v>227</v>
      </c>
      <c r="C104" t="s">
        <v>257</v>
      </c>
      <c r="D104" t="s">
        <v>49</v>
      </c>
      <c r="E104" s="2">
        <v>4</v>
      </c>
      <c r="F104" s="3">
        <v>7500</v>
      </c>
      <c r="G104" s="3">
        <v>15000</v>
      </c>
    </row>
    <row r="105" spans="2:7" x14ac:dyDescent="0.3">
      <c r="B105" s="1" t="s">
        <v>258</v>
      </c>
      <c r="C105" t="s">
        <v>259</v>
      </c>
      <c r="D105" t="s">
        <v>49</v>
      </c>
      <c r="E105" s="2">
        <v>1</v>
      </c>
      <c r="F105" s="3">
        <v>7500</v>
      </c>
      <c r="G105" s="3">
        <v>15000</v>
      </c>
    </row>
    <row r="106" spans="2:7" x14ac:dyDescent="0.3">
      <c r="B106" s="1" t="s">
        <v>203</v>
      </c>
      <c r="C106" t="s">
        <v>260</v>
      </c>
      <c r="D106" t="s">
        <v>49</v>
      </c>
      <c r="E106" s="2">
        <v>1</v>
      </c>
      <c r="F106" s="3">
        <v>7500</v>
      </c>
      <c r="G106" s="3">
        <v>15000</v>
      </c>
    </row>
    <row r="107" spans="2:7" x14ac:dyDescent="0.3">
      <c r="B107" s="1" t="s">
        <v>261</v>
      </c>
      <c r="C107" t="s">
        <v>262</v>
      </c>
      <c r="D107" t="s">
        <v>49</v>
      </c>
      <c r="E107" s="2">
        <v>2</v>
      </c>
      <c r="F107" s="3">
        <v>7500</v>
      </c>
      <c r="G107" s="3">
        <v>15000</v>
      </c>
    </row>
    <row r="108" spans="2:7" x14ac:dyDescent="0.3">
      <c r="B108" s="1" t="s">
        <v>263</v>
      </c>
      <c r="C108" t="s">
        <v>264</v>
      </c>
      <c r="D108" t="s">
        <v>49</v>
      </c>
      <c r="E108" s="2">
        <v>1</v>
      </c>
      <c r="F108" s="3">
        <v>6000</v>
      </c>
      <c r="G108" s="3">
        <v>10000</v>
      </c>
    </row>
    <row r="109" spans="2:7" x14ac:dyDescent="0.3">
      <c r="B109" s="1" t="s">
        <v>265</v>
      </c>
      <c r="C109" t="s">
        <v>266</v>
      </c>
      <c r="D109" t="s">
        <v>49</v>
      </c>
      <c r="E109" s="2">
        <v>1</v>
      </c>
      <c r="F109" s="3">
        <v>6000</v>
      </c>
      <c r="G109" s="3">
        <v>10000</v>
      </c>
    </row>
    <row r="110" spans="2:7" x14ac:dyDescent="0.3">
      <c r="B110" s="1" t="s">
        <v>267</v>
      </c>
      <c r="C110" t="s">
        <v>268</v>
      </c>
      <c r="D110" t="s">
        <v>49</v>
      </c>
      <c r="E110" s="2">
        <v>1</v>
      </c>
      <c r="F110" s="3">
        <v>6000</v>
      </c>
      <c r="G110" s="3">
        <v>10000</v>
      </c>
    </row>
    <row r="111" spans="2:7" x14ac:dyDescent="0.3">
      <c r="B111" s="1" t="s">
        <v>269</v>
      </c>
      <c r="C111" t="s">
        <v>270</v>
      </c>
      <c r="D111" t="s">
        <v>49</v>
      </c>
      <c r="E111" s="2">
        <v>1</v>
      </c>
      <c r="F111" s="3">
        <v>6000</v>
      </c>
      <c r="G111" s="3">
        <v>10000</v>
      </c>
    </row>
    <row r="112" spans="2:7" x14ac:dyDescent="0.3">
      <c r="B112" s="1" t="s">
        <v>271</v>
      </c>
      <c r="C112" t="s">
        <v>272</v>
      </c>
      <c r="D112" t="s">
        <v>49</v>
      </c>
      <c r="E112" s="2">
        <v>2</v>
      </c>
      <c r="F112" s="3">
        <v>7500</v>
      </c>
      <c r="G112" s="3">
        <v>15000</v>
      </c>
    </row>
    <row r="113" spans="2:7" x14ac:dyDescent="0.3">
      <c r="B113" s="1" t="s">
        <v>273</v>
      </c>
      <c r="C113" t="s">
        <v>274</v>
      </c>
      <c r="D113" t="s">
        <v>49</v>
      </c>
      <c r="E113" s="2">
        <v>4</v>
      </c>
      <c r="F113" s="3">
        <v>5000</v>
      </c>
      <c r="G113" s="3">
        <v>10000</v>
      </c>
    </row>
    <row r="114" spans="2:7" x14ac:dyDescent="0.3">
      <c r="B114" s="1" t="s">
        <v>275</v>
      </c>
      <c r="C114" t="s">
        <v>276</v>
      </c>
      <c r="D114" t="s">
        <v>49</v>
      </c>
      <c r="E114" s="2">
        <v>4</v>
      </c>
      <c r="F114" s="3">
        <v>7500</v>
      </c>
      <c r="G114" s="3">
        <v>15000</v>
      </c>
    </row>
    <row r="115" spans="2:7" x14ac:dyDescent="0.3">
      <c r="B115" s="1" t="s">
        <v>277</v>
      </c>
      <c r="C115" t="s">
        <v>278</v>
      </c>
      <c r="D115" t="s">
        <v>49</v>
      </c>
      <c r="E115" s="2">
        <v>4</v>
      </c>
      <c r="F115" s="3">
        <v>10000</v>
      </c>
      <c r="G115" s="3">
        <v>20000</v>
      </c>
    </row>
    <row r="116" spans="2:7" x14ac:dyDescent="0.3">
      <c r="B116" s="1" t="s">
        <v>279</v>
      </c>
      <c r="C116" t="s">
        <v>280</v>
      </c>
      <c r="D116" t="s">
        <v>49</v>
      </c>
      <c r="E116" s="2">
        <v>4</v>
      </c>
      <c r="F116" s="3">
        <v>7500</v>
      </c>
      <c r="G116" s="3">
        <v>15000</v>
      </c>
    </row>
    <row r="117" spans="2:7" x14ac:dyDescent="0.3">
      <c r="B117" s="1" t="s">
        <v>281</v>
      </c>
      <c r="C117" t="s">
        <v>282</v>
      </c>
      <c r="D117" t="s">
        <v>49</v>
      </c>
      <c r="E117" s="2">
        <v>2</v>
      </c>
      <c r="F117" s="3">
        <v>7500</v>
      </c>
      <c r="G117" s="3">
        <v>15000</v>
      </c>
    </row>
    <row r="118" spans="2:7" x14ac:dyDescent="0.3">
      <c r="B118" s="1" t="s">
        <v>283</v>
      </c>
      <c r="C118" t="s">
        <v>284</v>
      </c>
      <c r="D118" t="s">
        <v>49</v>
      </c>
      <c r="E118" s="2">
        <v>4</v>
      </c>
      <c r="F118" s="3">
        <v>7500</v>
      </c>
      <c r="G118" s="3">
        <v>15000</v>
      </c>
    </row>
    <row r="119" spans="2:7" x14ac:dyDescent="0.3">
      <c r="B119" s="1" t="s">
        <v>285</v>
      </c>
      <c r="C119" t="s">
        <v>286</v>
      </c>
      <c r="D119" t="s">
        <v>49</v>
      </c>
      <c r="E119" s="2">
        <v>9</v>
      </c>
      <c r="F119" s="3">
        <v>7500</v>
      </c>
      <c r="G119" s="3">
        <v>15000</v>
      </c>
    </row>
    <row r="120" spans="2:7" x14ac:dyDescent="0.3">
      <c r="B120" s="1" t="s">
        <v>287</v>
      </c>
      <c r="C120" t="s">
        <v>288</v>
      </c>
      <c r="D120" t="s">
        <v>49</v>
      </c>
      <c r="E120" s="2">
        <v>1</v>
      </c>
      <c r="F120" s="3">
        <v>7500</v>
      </c>
      <c r="G120" s="3">
        <v>15000</v>
      </c>
    </row>
    <row r="121" spans="2:7" x14ac:dyDescent="0.3">
      <c r="B121" s="1" t="s">
        <v>289</v>
      </c>
      <c r="C121" t="s">
        <v>290</v>
      </c>
      <c r="D121" t="s">
        <v>49</v>
      </c>
      <c r="E121" s="2">
        <v>4</v>
      </c>
      <c r="F121" s="3">
        <v>10000</v>
      </c>
      <c r="G121" s="3">
        <v>20000</v>
      </c>
    </row>
    <row r="122" spans="2:7" x14ac:dyDescent="0.3">
      <c r="B122" s="1" t="s">
        <v>291</v>
      </c>
      <c r="C122" t="s">
        <v>292</v>
      </c>
      <c r="D122" t="s">
        <v>49</v>
      </c>
      <c r="E122" s="2">
        <v>1</v>
      </c>
      <c r="F122" s="3">
        <v>6000</v>
      </c>
      <c r="G122" s="3">
        <v>10000</v>
      </c>
    </row>
    <row r="123" spans="2:7" x14ac:dyDescent="0.3">
      <c r="B123" s="1" t="s">
        <v>293</v>
      </c>
      <c r="C123" t="s">
        <v>294</v>
      </c>
      <c r="D123" t="s">
        <v>49</v>
      </c>
      <c r="E123" s="2">
        <v>2</v>
      </c>
      <c r="F123" s="3">
        <v>7500</v>
      </c>
      <c r="G123" s="3">
        <v>15000</v>
      </c>
    </row>
    <row r="124" spans="2:7" x14ac:dyDescent="0.3">
      <c r="B124" s="1" t="s">
        <v>295</v>
      </c>
      <c r="C124" t="s">
        <v>296</v>
      </c>
      <c r="D124" t="s">
        <v>49</v>
      </c>
      <c r="E124" s="2">
        <v>2</v>
      </c>
      <c r="F124" s="3">
        <v>7500</v>
      </c>
      <c r="G124" s="3">
        <v>15000</v>
      </c>
    </row>
    <row r="125" spans="2:7" x14ac:dyDescent="0.3">
      <c r="B125" s="1" t="s">
        <v>297</v>
      </c>
      <c r="C125" t="s">
        <v>298</v>
      </c>
      <c r="D125" t="s">
        <v>49</v>
      </c>
      <c r="E125" s="2">
        <v>3</v>
      </c>
      <c r="F125" s="3">
        <v>7500</v>
      </c>
      <c r="G125" s="3">
        <v>15000</v>
      </c>
    </row>
    <row r="126" spans="2:7" x14ac:dyDescent="0.3">
      <c r="B126" s="1" t="s">
        <v>299</v>
      </c>
      <c r="C126" t="s">
        <v>300</v>
      </c>
      <c r="D126" t="s">
        <v>49</v>
      </c>
      <c r="E126" s="2">
        <v>1</v>
      </c>
      <c r="F126" s="3">
        <v>12000</v>
      </c>
      <c r="G126" s="3">
        <v>25000</v>
      </c>
    </row>
    <row r="127" spans="2:7" x14ac:dyDescent="0.3">
      <c r="B127" s="1" t="s">
        <v>301</v>
      </c>
      <c r="C127" t="s">
        <v>302</v>
      </c>
      <c r="D127" t="s">
        <v>49</v>
      </c>
      <c r="E127" s="2">
        <v>5</v>
      </c>
      <c r="F127" s="3">
        <v>7500</v>
      </c>
      <c r="G127" s="3">
        <v>15000</v>
      </c>
    </row>
    <row r="128" spans="2:7" x14ac:dyDescent="0.3">
      <c r="B128" s="1" t="s">
        <v>303</v>
      </c>
      <c r="C128" t="s">
        <v>304</v>
      </c>
      <c r="D128" t="s">
        <v>49</v>
      </c>
      <c r="E128" s="2">
        <v>2</v>
      </c>
      <c r="F128" s="3">
        <v>12500</v>
      </c>
      <c r="G128" s="3">
        <v>25000</v>
      </c>
    </row>
    <row r="129" spans="2:7" x14ac:dyDescent="0.3">
      <c r="B129" s="1" t="s">
        <v>305</v>
      </c>
      <c r="C129" t="s">
        <v>306</v>
      </c>
      <c r="D129" t="s">
        <v>49</v>
      </c>
      <c r="E129" s="2">
        <v>3</v>
      </c>
      <c r="F129" s="3">
        <v>7500</v>
      </c>
      <c r="G129" s="3">
        <v>15000</v>
      </c>
    </row>
    <row r="130" spans="2:7" x14ac:dyDescent="0.3">
      <c r="B130" s="1" t="s">
        <v>307</v>
      </c>
      <c r="C130" t="s">
        <v>308</v>
      </c>
      <c r="D130" t="s">
        <v>49</v>
      </c>
      <c r="E130" s="2">
        <v>2</v>
      </c>
      <c r="F130" s="3">
        <v>7500</v>
      </c>
      <c r="G130" s="3">
        <v>15000</v>
      </c>
    </row>
    <row r="131" spans="2:7" x14ac:dyDescent="0.3">
      <c r="B131" s="1" t="s">
        <v>309</v>
      </c>
      <c r="C131" t="s">
        <v>310</v>
      </c>
      <c r="D131" t="s">
        <v>49</v>
      </c>
      <c r="E131" s="2">
        <v>1</v>
      </c>
      <c r="F131" s="3">
        <v>7500</v>
      </c>
      <c r="G131" s="3">
        <v>15000</v>
      </c>
    </row>
    <row r="132" spans="2:7" x14ac:dyDescent="0.3">
      <c r="B132" s="1" t="s">
        <v>311</v>
      </c>
      <c r="C132" t="s">
        <v>312</v>
      </c>
      <c r="D132" t="s">
        <v>49</v>
      </c>
      <c r="E132" s="2">
        <v>1</v>
      </c>
      <c r="F132" s="3">
        <v>7500</v>
      </c>
      <c r="G132" s="3">
        <v>15000</v>
      </c>
    </row>
    <row r="133" spans="2:7" x14ac:dyDescent="0.3">
      <c r="B133" s="1" t="s">
        <v>313</v>
      </c>
      <c r="C133" t="s">
        <v>314</v>
      </c>
      <c r="D133" t="s">
        <v>49</v>
      </c>
      <c r="E133" s="2">
        <v>1</v>
      </c>
      <c r="F133" s="3">
        <v>7500</v>
      </c>
      <c r="G133" s="3">
        <v>15000</v>
      </c>
    </row>
    <row r="134" spans="2:7" x14ac:dyDescent="0.3">
      <c r="B134" s="1" t="s">
        <v>315</v>
      </c>
      <c r="C134" t="s">
        <v>316</v>
      </c>
      <c r="D134" t="s">
        <v>49</v>
      </c>
      <c r="E134" s="2">
        <v>1</v>
      </c>
      <c r="F134" s="3">
        <v>7500</v>
      </c>
      <c r="G134" s="3">
        <v>15000</v>
      </c>
    </row>
    <row r="135" spans="2:7" x14ac:dyDescent="0.3">
      <c r="B135" s="1" t="s">
        <v>317</v>
      </c>
      <c r="C135" t="s">
        <v>318</v>
      </c>
      <c r="D135" t="s">
        <v>49</v>
      </c>
      <c r="E135" s="2">
        <v>1</v>
      </c>
      <c r="F135" s="3">
        <v>7500</v>
      </c>
      <c r="G135" s="3">
        <v>15000</v>
      </c>
    </row>
    <row r="136" spans="2:7" x14ac:dyDescent="0.3">
      <c r="B136" s="1" t="s">
        <v>319</v>
      </c>
      <c r="C136" t="s">
        <v>320</v>
      </c>
      <c r="D136" t="s">
        <v>49</v>
      </c>
      <c r="E136" s="2">
        <v>3</v>
      </c>
      <c r="F136" s="3">
        <v>7500</v>
      </c>
      <c r="G136" s="3">
        <v>15000</v>
      </c>
    </row>
    <row r="137" spans="2:7" x14ac:dyDescent="0.3">
      <c r="B137" s="1" t="s">
        <v>164</v>
      </c>
      <c r="C137" t="s">
        <v>321</v>
      </c>
      <c r="D137" t="s">
        <v>49</v>
      </c>
      <c r="E137" s="2">
        <v>1</v>
      </c>
      <c r="F137" s="3">
        <v>7500</v>
      </c>
      <c r="G137" s="3">
        <v>15000</v>
      </c>
    </row>
    <row r="138" spans="2:7" x14ac:dyDescent="0.3">
      <c r="B138" s="1" t="s">
        <v>322</v>
      </c>
      <c r="C138" t="s">
        <v>323</v>
      </c>
      <c r="D138" t="s">
        <v>49</v>
      </c>
      <c r="E138" s="2">
        <v>1</v>
      </c>
      <c r="F138" s="3">
        <v>7500</v>
      </c>
      <c r="G138" s="3">
        <v>15000</v>
      </c>
    </row>
    <row r="139" spans="2:7" x14ac:dyDescent="0.3">
      <c r="B139" s="1" t="s">
        <v>324</v>
      </c>
      <c r="C139" t="s">
        <v>325</v>
      </c>
      <c r="D139" t="s">
        <v>49</v>
      </c>
      <c r="E139" s="2">
        <v>15</v>
      </c>
      <c r="F139" s="3">
        <v>12000</v>
      </c>
      <c r="G139" s="3">
        <v>25000</v>
      </c>
    </row>
    <row r="140" spans="2:7" x14ac:dyDescent="0.3">
      <c r="B140" s="1" t="s">
        <v>326</v>
      </c>
      <c r="C140" t="s">
        <v>327</v>
      </c>
      <c r="D140" t="s">
        <v>49</v>
      </c>
      <c r="E140" s="2">
        <v>8</v>
      </c>
      <c r="F140" s="3">
        <v>7500</v>
      </c>
      <c r="G140" s="3">
        <v>15000</v>
      </c>
    </row>
    <row r="141" spans="2:7" x14ac:dyDescent="0.3">
      <c r="B141" s="1" t="s">
        <v>328</v>
      </c>
      <c r="C141" t="s">
        <v>329</v>
      </c>
      <c r="D141" t="s">
        <v>49</v>
      </c>
      <c r="E141" s="2">
        <v>8</v>
      </c>
      <c r="F141" s="3">
        <v>7500</v>
      </c>
      <c r="G141" s="3">
        <v>15000</v>
      </c>
    </row>
    <row r="142" spans="2:7" x14ac:dyDescent="0.3">
      <c r="B142" s="1" t="s">
        <v>330</v>
      </c>
      <c r="C142" t="s">
        <v>331</v>
      </c>
      <c r="D142" t="s">
        <v>49</v>
      </c>
      <c r="E142" s="2">
        <v>4</v>
      </c>
      <c r="F142" s="3">
        <v>7500</v>
      </c>
      <c r="G142" s="3">
        <v>15000</v>
      </c>
    </row>
    <row r="143" spans="2:7" x14ac:dyDescent="0.3">
      <c r="B143" s="1" t="s">
        <v>332</v>
      </c>
      <c r="C143" t="s">
        <v>333</v>
      </c>
      <c r="D143" t="s">
        <v>49</v>
      </c>
      <c r="E143" s="2">
        <v>4</v>
      </c>
      <c r="F143" s="3">
        <v>7500</v>
      </c>
      <c r="G143" s="3">
        <v>15000</v>
      </c>
    </row>
    <row r="144" spans="2:7" x14ac:dyDescent="0.3">
      <c r="B144" s="1" t="s">
        <v>334</v>
      </c>
      <c r="C144" t="s">
        <v>335</v>
      </c>
      <c r="D144" t="s">
        <v>49</v>
      </c>
      <c r="E144" s="2">
        <v>3</v>
      </c>
      <c r="F144" s="3">
        <v>7500</v>
      </c>
      <c r="G144" s="3">
        <v>15000</v>
      </c>
    </row>
    <row r="145" spans="2:7" x14ac:dyDescent="0.3">
      <c r="B145" s="1" t="s">
        <v>336</v>
      </c>
      <c r="C145" t="s">
        <v>337</v>
      </c>
      <c r="D145" t="s">
        <v>49</v>
      </c>
      <c r="E145" s="2">
        <v>2</v>
      </c>
      <c r="F145" s="3">
        <v>7500</v>
      </c>
      <c r="G145" s="3">
        <v>15000</v>
      </c>
    </row>
    <row r="146" spans="2:7" x14ac:dyDescent="0.3">
      <c r="B146" s="1" t="s">
        <v>338</v>
      </c>
      <c r="C146" t="s">
        <v>339</v>
      </c>
      <c r="D146" t="s">
        <v>49</v>
      </c>
      <c r="E146" s="2">
        <v>9</v>
      </c>
      <c r="F146" s="3">
        <v>7500</v>
      </c>
      <c r="G146" s="3">
        <v>15000</v>
      </c>
    </row>
    <row r="147" spans="2:7" x14ac:dyDescent="0.3">
      <c r="B147" s="1" t="s">
        <v>340</v>
      </c>
      <c r="C147" t="s">
        <v>341</v>
      </c>
      <c r="D147" t="s">
        <v>49</v>
      </c>
      <c r="E147" s="2">
        <v>2</v>
      </c>
      <c r="F147" s="3">
        <v>12000</v>
      </c>
      <c r="G147" s="3">
        <v>25000</v>
      </c>
    </row>
    <row r="148" spans="2:7" x14ac:dyDescent="0.3">
      <c r="B148" s="1" t="s">
        <v>342</v>
      </c>
      <c r="C148" t="s">
        <v>343</v>
      </c>
      <c r="D148" t="s">
        <v>49</v>
      </c>
      <c r="E148" s="2">
        <v>3</v>
      </c>
      <c r="F148" s="3">
        <v>6000</v>
      </c>
      <c r="G148" s="3">
        <v>10000</v>
      </c>
    </row>
    <row r="149" spans="2:7" x14ac:dyDescent="0.3">
      <c r="B149" s="1" t="s">
        <v>344</v>
      </c>
      <c r="C149" t="s">
        <v>345</v>
      </c>
      <c r="D149" t="s">
        <v>49</v>
      </c>
      <c r="E149" s="2">
        <v>4</v>
      </c>
      <c r="F149" s="3">
        <v>7500</v>
      </c>
      <c r="G149" s="3">
        <v>15000</v>
      </c>
    </row>
    <row r="150" spans="2:7" x14ac:dyDescent="0.3">
      <c r="B150" s="1" t="s">
        <v>346</v>
      </c>
      <c r="C150" t="s">
        <v>347</v>
      </c>
      <c r="D150" t="s">
        <v>49</v>
      </c>
      <c r="E150" s="2">
        <v>3</v>
      </c>
      <c r="F150" s="3">
        <v>7500</v>
      </c>
      <c r="G150" s="3">
        <v>15000</v>
      </c>
    </row>
    <row r="151" spans="2:7" x14ac:dyDescent="0.3">
      <c r="B151" s="1" t="s">
        <v>348</v>
      </c>
      <c r="C151" t="s">
        <v>349</v>
      </c>
      <c r="D151" t="s">
        <v>49</v>
      </c>
      <c r="E151" s="2">
        <v>7</v>
      </c>
      <c r="F151" s="3">
        <v>7500</v>
      </c>
      <c r="G151" s="3">
        <v>15000</v>
      </c>
    </row>
    <row r="152" spans="2:7" x14ac:dyDescent="0.3">
      <c r="B152" s="1" t="s">
        <v>350</v>
      </c>
      <c r="C152" t="s">
        <v>351</v>
      </c>
      <c r="D152" t="s">
        <v>49</v>
      </c>
      <c r="E152" s="2">
        <v>4</v>
      </c>
      <c r="F152" s="3">
        <v>7500</v>
      </c>
      <c r="G152" s="3">
        <v>15000</v>
      </c>
    </row>
    <row r="153" spans="2:7" x14ac:dyDescent="0.3">
      <c r="B153" s="1" t="s">
        <v>174</v>
      </c>
      <c r="C153" t="s">
        <v>352</v>
      </c>
      <c r="D153" t="s">
        <v>49</v>
      </c>
      <c r="E153" s="2">
        <v>1</v>
      </c>
      <c r="F153" s="3">
        <v>12000</v>
      </c>
      <c r="G153" s="3">
        <v>25000</v>
      </c>
    </row>
    <row r="154" spans="2:7" x14ac:dyDescent="0.3">
      <c r="B154" s="1" t="s">
        <v>353</v>
      </c>
      <c r="C154" t="s">
        <v>354</v>
      </c>
      <c r="D154" t="s">
        <v>49</v>
      </c>
      <c r="E154" s="2">
        <v>0</v>
      </c>
      <c r="F154" s="3">
        <v>7500</v>
      </c>
      <c r="G154" s="3">
        <v>15000</v>
      </c>
    </row>
    <row r="155" spans="2:7" x14ac:dyDescent="0.3">
      <c r="B155" s="1" t="s">
        <v>355</v>
      </c>
      <c r="C155" t="s">
        <v>356</v>
      </c>
      <c r="D155" t="s">
        <v>49</v>
      </c>
      <c r="E155" s="2">
        <v>4</v>
      </c>
      <c r="F155" s="3">
        <v>7500</v>
      </c>
      <c r="G155" s="3">
        <v>15000</v>
      </c>
    </row>
    <row r="156" spans="2:7" x14ac:dyDescent="0.3">
      <c r="B156" s="1" t="s">
        <v>357</v>
      </c>
      <c r="C156" t="s">
        <v>358</v>
      </c>
      <c r="D156" t="s">
        <v>49</v>
      </c>
      <c r="E156" s="2">
        <v>1</v>
      </c>
      <c r="F156" s="3">
        <v>7500</v>
      </c>
      <c r="G156" s="3">
        <v>15000</v>
      </c>
    </row>
    <row r="157" spans="2:7" x14ac:dyDescent="0.3">
      <c r="B157" s="1" t="s">
        <v>359</v>
      </c>
      <c r="C157" t="s">
        <v>360</v>
      </c>
      <c r="D157" t="s">
        <v>49</v>
      </c>
      <c r="E157" s="2">
        <v>1</v>
      </c>
      <c r="F157" s="3">
        <v>6000</v>
      </c>
      <c r="G157" s="3">
        <v>10000</v>
      </c>
    </row>
    <row r="158" spans="2:7" x14ac:dyDescent="0.3">
      <c r="B158" s="1" t="s">
        <v>361</v>
      </c>
      <c r="C158" t="s">
        <v>362</v>
      </c>
      <c r="D158" t="s">
        <v>49</v>
      </c>
      <c r="E158" s="2">
        <v>1</v>
      </c>
      <c r="F158" s="3">
        <v>10000</v>
      </c>
      <c r="G158" s="3">
        <v>20000</v>
      </c>
    </row>
    <row r="159" spans="2:7" x14ac:dyDescent="0.3">
      <c r="B159" s="1" t="s">
        <v>363</v>
      </c>
      <c r="C159" t="s">
        <v>364</v>
      </c>
      <c r="D159" t="s">
        <v>49</v>
      </c>
      <c r="E159" s="2">
        <v>2</v>
      </c>
      <c r="F159" s="3">
        <v>7500</v>
      </c>
      <c r="G159" s="3">
        <v>15000</v>
      </c>
    </row>
    <row r="160" spans="2:7" x14ac:dyDescent="0.3">
      <c r="B160" s="1" t="s">
        <v>363</v>
      </c>
      <c r="C160" t="s">
        <v>365</v>
      </c>
      <c r="D160" t="s">
        <v>49</v>
      </c>
      <c r="E160" s="2">
        <v>3</v>
      </c>
      <c r="F160" s="3">
        <v>7500</v>
      </c>
      <c r="G160" s="3">
        <v>15000</v>
      </c>
    </row>
    <row r="161" spans="2:7" x14ac:dyDescent="0.3">
      <c r="B161" s="1" t="s">
        <v>366</v>
      </c>
      <c r="C161" t="s">
        <v>367</v>
      </c>
      <c r="D161" t="s">
        <v>49</v>
      </c>
      <c r="E161" s="2">
        <v>1</v>
      </c>
      <c r="F161" s="3">
        <v>7500</v>
      </c>
      <c r="G161" s="3">
        <v>15000</v>
      </c>
    </row>
    <row r="162" spans="2:7" x14ac:dyDescent="0.3">
      <c r="B162" s="1" t="s">
        <v>273</v>
      </c>
      <c r="C162" t="s">
        <v>368</v>
      </c>
      <c r="D162" t="s">
        <v>49</v>
      </c>
      <c r="E162" s="2">
        <v>1</v>
      </c>
      <c r="F162" s="3">
        <v>7500</v>
      </c>
      <c r="G162" s="3">
        <v>15000</v>
      </c>
    </row>
    <row r="163" spans="2:7" x14ac:dyDescent="0.3">
      <c r="B163" s="1" t="s">
        <v>363</v>
      </c>
      <c r="C163" t="s">
        <v>369</v>
      </c>
      <c r="D163" t="s">
        <v>49</v>
      </c>
      <c r="E163" s="2">
        <v>3</v>
      </c>
      <c r="F163" s="3">
        <v>7500</v>
      </c>
      <c r="G163" s="3">
        <v>15000</v>
      </c>
    </row>
    <row r="164" spans="2:7" x14ac:dyDescent="0.3">
      <c r="B164" s="1" t="s">
        <v>273</v>
      </c>
      <c r="C164" t="s">
        <v>370</v>
      </c>
      <c r="D164" t="s">
        <v>49</v>
      </c>
      <c r="E164" s="2">
        <v>9</v>
      </c>
      <c r="F164" s="3">
        <v>7500</v>
      </c>
      <c r="G164" s="3">
        <v>15000</v>
      </c>
    </row>
    <row r="165" spans="2:7" x14ac:dyDescent="0.3">
      <c r="B165" s="1" t="s">
        <v>371</v>
      </c>
      <c r="C165" t="s">
        <v>372</v>
      </c>
      <c r="D165" t="s">
        <v>49</v>
      </c>
      <c r="E165" s="2">
        <v>7</v>
      </c>
      <c r="F165" s="3">
        <v>7500</v>
      </c>
      <c r="G165" s="3">
        <v>15000</v>
      </c>
    </row>
    <row r="166" spans="2:7" x14ac:dyDescent="0.3">
      <c r="B166" s="1" t="s">
        <v>373</v>
      </c>
      <c r="C166" t="s">
        <v>374</v>
      </c>
      <c r="D166" t="s">
        <v>49</v>
      </c>
      <c r="E166" s="2">
        <v>3</v>
      </c>
      <c r="F166" s="3">
        <v>7500</v>
      </c>
      <c r="G166" s="3">
        <v>15000</v>
      </c>
    </row>
    <row r="167" spans="2:7" x14ac:dyDescent="0.3">
      <c r="B167" s="1" t="s">
        <v>363</v>
      </c>
      <c r="C167" t="s">
        <v>375</v>
      </c>
      <c r="D167" t="s">
        <v>49</v>
      </c>
      <c r="E167" s="2">
        <v>5</v>
      </c>
      <c r="F167" s="3">
        <v>5000</v>
      </c>
      <c r="G167" s="3">
        <v>10000</v>
      </c>
    </row>
    <row r="168" spans="2:7" x14ac:dyDescent="0.3">
      <c r="B168" s="1" t="s">
        <v>376</v>
      </c>
      <c r="C168" t="s">
        <v>377</v>
      </c>
      <c r="D168" t="s">
        <v>49</v>
      </c>
      <c r="E168" s="2">
        <v>0</v>
      </c>
      <c r="F168" s="3">
        <v>7500</v>
      </c>
      <c r="G168" s="3">
        <v>15000</v>
      </c>
    </row>
    <row r="169" spans="2:7" x14ac:dyDescent="0.3">
      <c r="B169" s="1" t="s">
        <v>378</v>
      </c>
      <c r="C169" t="s">
        <v>379</v>
      </c>
      <c r="D169" t="s">
        <v>49</v>
      </c>
      <c r="E169" s="2">
        <v>5</v>
      </c>
      <c r="F169" s="3">
        <v>7500</v>
      </c>
      <c r="G169" s="3">
        <v>15000</v>
      </c>
    </row>
    <row r="170" spans="2:7" x14ac:dyDescent="0.3">
      <c r="B170" s="1" t="s">
        <v>380</v>
      </c>
      <c r="C170" t="s">
        <v>381</v>
      </c>
      <c r="D170" t="s">
        <v>49</v>
      </c>
      <c r="E170" s="2">
        <v>2</v>
      </c>
      <c r="F170" s="3">
        <v>12000</v>
      </c>
      <c r="G170" s="3">
        <v>25000</v>
      </c>
    </row>
    <row r="171" spans="2:7" x14ac:dyDescent="0.3">
      <c r="B171" s="1" t="s">
        <v>361</v>
      </c>
      <c r="C171" t="s">
        <v>362</v>
      </c>
      <c r="D171" t="s">
        <v>49</v>
      </c>
      <c r="E171" s="2">
        <v>1</v>
      </c>
      <c r="F171" s="3">
        <v>10000</v>
      </c>
      <c r="G171" s="3">
        <v>20000</v>
      </c>
    </row>
    <row r="172" spans="2:7" x14ac:dyDescent="0.3">
      <c r="B172" s="1" t="s">
        <v>382</v>
      </c>
      <c r="C172" t="s">
        <v>383</v>
      </c>
      <c r="D172" t="s">
        <v>49</v>
      </c>
      <c r="E172" s="2">
        <v>5</v>
      </c>
      <c r="F172" s="3">
        <v>7500</v>
      </c>
      <c r="G172" s="3">
        <v>15000</v>
      </c>
    </row>
    <row r="173" spans="2:7" x14ac:dyDescent="0.3">
      <c r="B173" s="1" t="s">
        <v>384</v>
      </c>
      <c r="C173" t="s">
        <v>385</v>
      </c>
      <c r="D173" t="s">
        <v>49</v>
      </c>
      <c r="E173" s="2">
        <v>6</v>
      </c>
      <c r="F173" s="3">
        <v>7500</v>
      </c>
      <c r="G173" s="3">
        <v>15000</v>
      </c>
    </row>
    <row r="174" spans="2:7" x14ac:dyDescent="0.3">
      <c r="B174" s="1" t="s">
        <v>386</v>
      </c>
      <c r="C174" t="s">
        <v>387</v>
      </c>
      <c r="D174" t="s">
        <v>49</v>
      </c>
      <c r="E174" s="2">
        <v>3</v>
      </c>
      <c r="F174" s="3">
        <v>7500</v>
      </c>
      <c r="G174" s="3">
        <v>15000</v>
      </c>
    </row>
    <row r="175" spans="2:7" x14ac:dyDescent="0.3">
      <c r="B175" s="1" t="s">
        <v>378</v>
      </c>
      <c r="C175" t="s">
        <v>379</v>
      </c>
      <c r="D175" t="s">
        <v>49</v>
      </c>
      <c r="E175" s="2">
        <v>3</v>
      </c>
      <c r="F175" s="3">
        <v>7500</v>
      </c>
      <c r="G175" s="3">
        <v>15000</v>
      </c>
    </row>
    <row r="176" spans="2:7" x14ac:dyDescent="0.3">
      <c r="B176" s="1" t="s">
        <v>388</v>
      </c>
      <c r="C176" t="s">
        <v>389</v>
      </c>
      <c r="D176" t="s">
        <v>49</v>
      </c>
      <c r="E176" s="2">
        <v>4</v>
      </c>
      <c r="F176" s="3">
        <v>7500</v>
      </c>
      <c r="G176" s="3">
        <v>15000</v>
      </c>
    </row>
    <row r="177" spans="2:7" x14ac:dyDescent="0.3">
      <c r="B177" s="1" t="s">
        <v>390</v>
      </c>
      <c r="C177" t="s">
        <v>391</v>
      </c>
      <c r="D177" t="s">
        <v>49</v>
      </c>
      <c r="E177" s="2">
        <v>5</v>
      </c>
      <c r="F177" s="3">
        <v>7500</v>
      </c>
      <c r="G177" s="3">
        <v>15000</v>
      </c>
    </row>
    <row r="178" spans="2:7" x14ac:dyDescent="0.3">
      <c r="B178" s="1" t="s">
        <v>363</v>
      </c>
      <c r="C178" t="s">
        <v>392</v>
      </c>
      <c r="D178" t="s">
        <v>49</v>
      </c>
      <c r="E178" s="2">
        <v>2</v>
      </c>
      <c r="F178" s="3">
        <v>7500</v>
      </c>
      <c r="G178" s="3">
        <v>15000</v>
      </c>
    </row>
    <row r="179" spans="2:7" x14ac:dyDescent="0.3">
      <c r="B179" s="1" t="s">
        <v>393</v>
      </c>
      <c r="C179" t="s">
        <v>394</v>
      </c>
      <c r="D179" t="s">
        <v>49</v>
      </c>
      <c r="E179" s="2">
        <v>3</v>
      </c>
      <c r="F179" s="3">
        <v>7500</v>
      </c>
      <c r="G179" s="3">
        <v>15000</v>
      </c>
    </row>
    <row r="180" spans="2:7" x14ac:dyDescent="0.3">
      <c r="B180" s="1" t="s">
        <v>388</v>
      </c>
      <c r="C180" t="s">
        <v>389</v>
      </c>
      <c r="D180" t="s">
        <v>49</v>
      </c>
      <c r="E180" s="2">
        <v>4</v>
      </c>
      <c r="F180" s="3">
        <v>7500</v>
      </c>
      <c r="G180" s="3">
        <v>15000</v>
      </c>
    </row>
    <row r="181" spans="2:7" x14ac:dyDescent="0.3">
      <c r="B181" s="1" t="s">
        <v>395</v>
      </c>
      <c r="C181" t="s">
        <v>396</v>
      </c>
      <c r="D181" t="s">
        <v>49</v>
      </c>
      <c r="E181" s="2">
        <v>3</v>
      </c>
      <c r="F181" s="3">
        <v>7500</v>
      </c>
      <c r="G181" s="3">
        <v>15000</v>
      </c>
    </row>
    <row r="182" spans="2:7" x14ac:dyDescent="0.3">
      <c r="B182" s="1" t="s">
        <v>397</v>
      </c>
      <c r="C182" t="s">
        <v>398</v>
      </c>
      <c r="D182" t="s">
        <v>49</v>
      </c>
      <c r="E182" s="2">
        <v>7</v>
      </c>
      <c r="F182" s="3">
        <v>7500</v>
      </c>
      <c r="G182" s="3">
        <v>15000</v>
      </c>
    </row>
    <row r="183" spans="2:7" x14ac:dyDescent="0.3">
      <c r="B183" s="1" t="s">
        <v>399</v>
      </c>
      <c r="C183" t="s">
        <v>400</v>
      </c>
      <c r="D183" t="s">
        <v>49</v>
      </c>
      <c r="E183" s="2">
        <v>3</v>
      </c>
      <c r="F183" s="3">
        <v>7500</v>
      </c>
      <c r="G183" s="3">
        <v>15000</v>
      </c>
    </row>
    <row r="184" spans="2:7" x14ac:dyDescent="0.3">
      <c r="B184" s="1" t="s">
        <v>401</v>
      </c>
      <c r="C184" t="s">
        <v>402</v>
      </c>
      <c r="D184" t="s">
        <v>49</v>
      </c>
      <c r="E184" s="2">
        <v>2</v>
      </c>
      <c r="F184" s="3">
        <v>7500</v>
      </c>
      <c r="G184" s="3">
        <v>15000</v>
      </c>
    </row>
    <row r="185" spans="2:7" x14ac:dyDescent="0.3">
      <c r="B185" s="1" t="s">
        <v>403</v>
      </c>
      <c r="C185" t="s">
        <v>404</v>
      </c>
      <c r="D185" t="s">
        <v>49</v>
      </c>
      <c r="E185" s="2">
        <v>1</v>
      </c>
      <c r="F185" s="3">
        <v>12000</v>
      </c>
      <c r="G185" s="3">
        <v>25000</v>
      </c>
    </row>
    <row r="186" spans="2:7" x14ac:dyDescent="0.3">
      <c r="B186" s="1" t="s">
        <v>393</v>
      </c>
      <c r="C186" t="s">
        <v>405</v>
      </c>
      <c r="D186" t="s">
        <v>49</v>
      </c>
      <c r="E186" s="2">
        <v>2</v>
      </c>
      <c r="F186" s="3">
        <v>7500</v>
      </c>
      <c r="G186" s="3">
        <v>15000</v>
      </c>
    </row>
    <row r="187" spans="2:7" x14ac:dyDescent="0.3">
      <c r="B187" s="1" t="s">
        <v>406</v>
      </c>
      <c r="C187" t="s">
        <v>407</v>
      </c>
      <c r="D187" t="s">
        <v>49</v>
      </c>
      <c r="E187" s="2">
        <v>5</v>
      </c>
      <c r="F187" s="3">
        <v>7500</v>
      </c>
      <c r="G187" s="3">
        <v>15000</v>
      </c>
    </row>
    <row r="188" spans="2:7" x14ac:dyDescent="0.3">
      <c r="B188" s="1" t="s">
        <v>408</v>
      </c>
      <c r="C188" t="s">
        <v>409</v>
      </c>
      <c r="D188" t="s">
        <v>49</v>
      </c>
      <c r="E188" s="2">
        <v>2</v>
      </c>
      <c r="F188" s="3">
        <v>12000</v>
      </c>
      <c r="G188" s="3">
        <v>25000</v>
      </c>
    </row>
    <row r="189" spans="2:7" x14ac:dyDescent="0.3">
      <c r="B189" s="1" t="s">
        <v>334</v>
      </c>
      <c r="C189" t="s">
        <v>335</v>
      </c>
      <c r="D189" t="s">
        <v>49</v>
      </c>
      <c r="E189" s="2">
        <v>1</v>
      </c>
      <c r="F189" s="3">
        <v>7500</v>
      </c>
      <c r="G189" s="3">
        <v>15000</v>
      </c>
    </row>
    <row r="190" spans="2:7" x14ac:dyDescent="0.3">
      <c r="B190" s="1" t="s">
        <v>336</v>
      </c>
      <c r="C190" t="s">
        <v>410</v>
      </c>
      <c r="D190" t="s">
        <v>49</v>
      </c>
      <c r="E190" s="2">
        <v>3</v>
      </c>
      <c r="F190" s="3">
        <v>7500</v>
      </c>
      <c r="G190" s="3">
        <v>15000</v>
      </c>
    </row>
    <row r="191" spans="2:7" x14ac:dyDescent="0.3">
      <c r="B191" s="1" t="s">
        <v>411</v>
      </c>
      <c r="C191" t="s">
        <v>368</v>
      </c>
      <c r="D191" t="s">
        <v>49</v>
      </c>
      <c r="E191" s="2">
        <v>1</v>
      </c>
      <c r="F191" s="3">
        <v>7500</v>
      </c>
      <c r="G191" s="3">
        <v>15000</v>
      </c>
    </row>
    <row r="192" spans="2:7" x14ac:dyDescent="0.3">
      <c r="B192" s="1" t="s">
        <v>412</v>
      </c>
      <c r="C192" t="s">
        <v>413</v>
      </c>
      <c r="D192" t="s">
        <v>49</v>
      </c>
      <c r="E192" s="2">
        <v>1</v>
      </c>
      <c r="F192" s="3">
        <v>5000</v>
      </c>
      <c r="G192" s="3">
        <v>10000</v>
      </c>
    </row>
    <row r="193" spans="2:7" x14ac:dyDescent="0.3">
      <c r="B193" s="1" t="s">
        <v>414</v>
      </c>
      <c r="C193" t="s">
        <v>415</v>
      </c>
      <c r="D193" t="s">
        <v>49</v>
      </c>
      <c r="E193" s="2">
        <v>2</v>
      </c>
      <c r="F193" s="3">
        <v>7500</v>
      </c>
      <c r="G193" s="3">
        <v>15000</v>
      </c>
    </row>
    <row r="194" spans="2:7" x14ac:dyDescent="0.3">
      <c r="B194" s="1" t="s">
        <v>416</v>
      </c>
      <c r="C194" t="s">
        <v>417</v>
      </c>
      <c r="D194" t="s">
        <v>49</v>
      </c>
      <c r="E194" s="2">
        <v>1</v>
      </c>
      <c r="F194" s="3">
        <v>5000</v>
      </c>
      <c r="G194" s="3">
        <v>10000</v>
      </c>
    </row>
    <row r="195" spans="2:7" x14ac:dyDescent="0.3">
      <c r="B195" s="1" t="s">
        <v>273</v>
      </c>
      <c r="C195" t="s">
        <v>419</v>
      </c>
      <c r="D195" t="s">
        <v>49</v>
      </c>
      <c r="E195" s="2">
        <v>2</v>
      </c>
      <c r="F195" s="3">
        <v>5000</v>
      </c>
      <c r="G195" s="3">
        <v>10000</v>
      </c>
    </row>
    <row r="196" spans="2:7" x14ac:dyDescent="0.3">
      <c r="B196" s="1" t="s">
        <v>363</v>
      </c>
      <c r="C196" t="s">
        <v>420</v>
      </c>
      <c r="D196" t="s">
        <v>49</v>
      </c>
      <c r="E196" s="2">
        <v>2</v>
      </c>
      <c r="F196" s="3">
        <v>7500</v>
      </c>
      <c r="G196" s="3">
        <v>15000</v>
      </c>
    </row>
    <row r="197" spans="2:7" x14ac:dyDescent="0.3">
      <c r="B197" s="1" t="s">
        <v>363</v>
      </c>
      <c r="C197" t="s">
        <v>421</v>
      </c>
      <c r="D197" t="s">
        <v>49</v>
      </c>
      <c r="E197" s="2">
        <v>2</v>
      </c>
      <c r="F197" s="3">
        <v>7500</v>
      </c>
      <c r="G197" s="3">
        <v>15000</v>
      </c>
    </row>
    <row r="198" spans="2:7" x14ac:dyDescent="0.3">
      <c r="B198" s="1" t="s">
        <v>363</v>
      </c>
      <c r="C198" t="s">
        <v>422</v>
      </c>
      <c r="D198" t="s">
        <v>49</v>
      </c>
      <c r="E198" s="2">
        <v>5</v>
      </c>
      <c r="F198" s="3">
        <v>5000</v>
      </c>
      <c r="G198" s="3">
        <v>10000</v>
      </c>
    </row>
    <row r="199" spans="2:7" x14ac:dyDescent="0.3">
      <c r="B199" s="1" t="s">
        <v>363</v>
      </c>
      <c r="C199" t="s">
        <v>423</v>
      </c>
      <c r="D199" t="s">
        <v>49</v>
      </c>
      <c r="E199" s="2">
        <v>6</v>
      </c>
      <c r="F199" s="3">
        <v>5000</v>
      </c>
      <c r="G199" s="3">
        <v>10000</v>
      </c>
    </row>
    <row r="200" spans="2:7" x14ac:dyDescent="0.3">
      <c r="B200" s="1" t="s">
        <v>273</v>
      </c>
      <c r="C200" t="s">
        <v>424</v>
      </c>
      <c r="D200" t="s">
        <v>49</v>
      </c>
      <c r="E200" s="2">
        <v>3</v>
      </c>
      <c r="F200" s="3">
        <v>7500</v>
      </c>
      <c r="G200" s="3">
        <v>15000</v>
      </c>
    </row>
    <row r="201" spans="2:7" x14ac:dyDescent="0.3">
      <c r="B201" s="1" t="s">
        <v>273</v>
      </c>
      <c r="C201" t="s">
        <v>425</v>
      </c>
      <c r="D201" t="s">
        <v>49</v>
      </c>
      <c r="E201" s="2">
        <v>6</v>
      </c>
      <c r="F201" s="3">
        <v>7500</v>
      </c>
      <c r="G201" s="3">
        <v>15000</v>
      </c>
    </row>
    <row r="202" spans="2:7" x14ac:dyDescent="0.3">
      <c r="B202" s="1" t="s">
        <v>363</v>
      </c>
      <c r="C202" t="s">
        <v>188</v>
      </c>
      <c r="D202" t="s">
        <v>49</v>
      </c>
      <c r="E202" s="2">
        <v>2</v>
      </c>
      <c r="F202" s="3">
        <v>7500</v>
      </c>
      <c r="G202" s="3">
        <v>15000</v>
      </c>
    </row>
    <row r="203" spans="2:7" x14ac:dyDescent="0.3">
      <c r="B203" s="1" t="s">
        <v>273</v>
      </c>
      <c r="C203" t="s">
        <v>426</v>
      </c>
      <c r="D203" t="s">
        <v>49</v>
      </c>
      <c r="E203" s="2">
        <v>2</v>
      </c>
      <c r="F203" s="3">
        <v>7500</v>
      </c>
      <c r="G203" s="3">
        <v>15000</v>
      </c>
    </row>
    <row r="204" spans="2:7" x14ac:dyDescent="0.3">
      <c r="B204" s="1" t="s">
        <v>273</v>
      </c>
      <c r="C204" t="s">
        <v>427</v>
      </c>
      <c r="D204" t="s">
        <v>49</v>
      </c>
      <c r="E204" s="2">
        <v>2</v>
      </c>
      <c r="F204" s="3">
        <v>7500</v>
      </c>
      <c r="G204" s="3">
        <v>15000</v>
      </c>
    </row>
  </sheetData>
  <sortState xmlns:xlrd2="http://schemas.microsoft.com/office/spreadsheetml/2017/richdata2" ref="B4:G90">
    <sortCondition ref="B3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workbookViewId="0">
      <selection activeCell="E36" sqref="E36"/>
    </sheetView>
  </sheetViews>
  <sheetFormatPr defaultColWidth="9" defaultRowHeight="13.2" x14ac:dyDescent="0.3"/>
  <cols>
    <col min="1" max="1" width="12.109375" style="25" bestFit="1" customWidth="1"/>
    <col min="2" max="2" width="23.6640625" style="25" customWidth="1"/>
    <col min="3" max="3" width="10" style="31" customWidth="1"/>
    <col min="4" max="4" width="4" style="28" customWidth="1"/>
    <col min="5" max="5" width="12.33203125" style="31" customWidth="1"/>
    <col min="6" max="16384" width="9" style="25"/>
  </cols>
  <sheetData>
    <row r="1" spans="1:5" ht="13.8" thickBot="1" x14ac:dyDescent="0.35"/>
    <row r="2" spans="1:5" ht="39" x14ac:dyDescent="0.3">
      <c r="A2" s="107" t="s">
        <v>62</v>
      </c>
      <c r="B2" s="108"/>
      <c r="C2" s="108"/>
      <c r="D2" s="108"/>
      <c r="E2" s="109"/>
    </row>
    <row r="3" spans="1:5" ht="15.6" thickBot="1" x14ac:dyDescent="0.35">
      <c r="A3" s="110" t="s">
        <v>63</v>
      </c>
      <c r="B3" s="111"/>
      <c r="C3" s="111"/>
      <c r="D3" s="111"/>
      <c r="E3" s="112"/>
    </row>
    <row r="4" spans="1:5" ht="16.8" x14ac:dyDescent="0.3">
      <c r="A4" s="34"/>
      <c r="B4" s="34"/>
      <c r="C4" s="34"/>
      <c r="D4" s="34"/>
      <c r="E4" s="34"/>
    </row>
    <row r="5" spans="1:5" x14ac:dyDescent="0.3">
      <c r="A5" s="38" t="s">
        <v>18</v>
      </c>
      <c r="B5" s="41">
        <f>SUM($E$10:$E$1100)</f>
        <v>0</v>
      </c>
      <c r="C5" s="35" t="s">
        <v>26</v>
      </c>
      <c r="D5" s="113">
        <f>SUM(MENU!$L$8:$L$900)</f>
        <v>0</v>
      </c>
      <c r="E5" s="114"/>
    </row>
    <row r="6" spans="1:5" x14ac:dyDescent="0.3">
      <c r="A6" s="39" t="s">
        <v>20</v>
      </c>
      <c r="B6" s="43">
        <f>B5-D5</f>
        <v>0</v>
      </c>
      <c r="C6" s="36" t="s">
        <v>21</v>
      </c>
      <c r="D6" s="115">
        <f>MENU!$J$3</f>
        <v>0</v>
      </c>
      <c r="E6" s="116"/>
    </row>
    <row r="7" spans="1:5" x14ac:dyDescent="0.3">
      <c r="A7" s="40" t="s">
        <v>27</v>
      </c>
      <c r="B7" s="42">
        <f ca="1">TODAY()</f>
        <v>44470</v>
      </c>
      <c r="C7" s="37" t="s">
        <v>22</v>
      </c>
      <c r="D7" s="117">
        <f>D6-B6</f>
        <v>0</v>
      </c>
      <c r="E7" s="118"/>
    </row>
    <row r="9" spans="1:5" ht="13.8" thickBot="1" x14ac:dyDescent="0.35">
      <c r="A9" s="44" t="s">
        <v>1</v>
      </c>
      <c r="B9" s="44" t="s">
        <v>2</v>
      </c>
      <c r="C9" s="45" t="s">
        <v>24</v>
      </c>
      <c r="D9" s="44" t="s">
        <v>4</v>
      </c>
      <c r="E9" s="45" t="s">
        <v>25</v>
      </c>
    </row>
    <row r="10" spans="1:5" ht="13.8" thickTop="1" x14ac:dyDescent="0.3">
      <c r="A10" s="27" t="str">
        <f>IF(MENU!D8="","",MENU!D8)</f>
        <v/>
      </c>
      <c r="B10" s="27" t="str">
        <f>IF(MENU!F8="","",MENU!F8)</f>
        <v/>
      </c>
      <c r="C10" s="32" t="str">
        <f>IF(MENU!H8="","",MENU!H8)</f>
        <v/>
      </c>
      <c r="D10" s="29" t="str">
        <f>IF(MENU!J8="","",MENU!J8)</f>
        <v/>
      </c>
      <c r="E10" s="32" t="str">
        <f>IF(A10="","",C10*D10)</f>
        <v/>
      </c>
    </row>
    <row r="11" spans="1:5" x14ac:dyDescent="0.3">
      <c r="A11" s="27" t="str">
        <f>IF(MENU!D9="","",MENU!D9)</f>
        <v/>
      </c>
      <c r="B11" s="27" t="str">
        <f>IF(MENU!F9="","",MENU!F9)</f>
        <v/>
      </c>
      <c r="C11" s="32" t="str">
        <f>IF(MENU!H9="","",MENU!H9)</f>
        <v/>
      </c>
      <c r="D11" s="29" t="str">
        <f>IF(MENU!J9="","",MENU!J9)</f>
        <v/>
      </c>
      <c r="E11" s="32" t="str">
        <f t="shared" ref="E11:E23" si="0">IF(A11="","",C11*D11)</f>
        <v/>
      </c>
    </row>
    <row r="12" spans="1:5" x14ac:dyDescent="0.3">
      <c r="A12" s="27" t="str">
        <f>IF(MENU!D10="","",MENU!D10)</f>
        <v/>
      </c>
      <c r="B12" s="27" t="str">
        <f>IF(MENU!F10="","",MENU!F10)</f>
        <v/>
      </c>
      <c r="C12" s="32" t="str">
        <f>IF(MENU!H10="","",MENU!H10)</f>
        <v/>
      </c>
      <c r="D12" s="29" t="str">
        <f>IF(MENU!J10="","",MENU!J10)</f>
        <v/>
      </c>
      <c r="E12" s="32" t="str">
        <f t="shared" si="0"/>
        <v/>
      </c>
    </row>
    <row r="13" spans="1:5" x14ac:dyDescent="0.3">
      <c r="A13" s="27" t="str">
        <f>IF(MENU!D11="","",MENU!D11)</f>
        <v/>
      </c>
      <c r="B13" s="27" t="str">
        <f>IF(MENU!F11="","",MENU!F11)</f>
        <v/>
      </c>
      <c r="C13" s="32" t="str">
        <f>IF(MENU!H11="","",MENU!H11)</f>
        <v/>
      </c>
      <c r="D13" s="29" t="str">
        <f>IF(MENU!J11="","",MENU!J11)</f>
        <v/>
      </c>
      <c r="E13" s="32" t="str">
        <f t="shared" si="0"/>
        <v/>
      </c>
    </row>
    <row r="14" spans="1:5" x14ac:dyDescent="0.3">
      <c r="A14" s="27" t="str">
        <f>IF(MENU!D12="","",MENU!D12)</f>
        <v/>
      </c>
      <c r="B14" s="27" t="str">
        <f>IF(MENU!F12="","",MENU!F12)</f>
        <v/>
      </c>
      <c r="C14" s="32" t="str">
        <f>IF(MENU!H12="","",MENU!H12)</f>
        <v/>
      </c>
      <c r="D14" s="29" t="str">
        <f>IF(MENU!J12="","",MENU!J12)</f>
        <v/>
      </c>
      <c r="E14" s="32" t="str">
        <f t="shared" si="0"/>
        <v/>
      </c>
    </row>
    <row r="15" spans="1:5" x14ac:dyDescent="0.3">
      <c r="A15" s="27" t="str">
        <f>IF(MENU!D13="","",MENU!D13)</f>
        <v/>
      </c>
      <c r="B15" s="27" t="str">
        <f>IF(MENU!F13="","",MENU!F13)</f>
        <v/>
      </c>
      <c r="C15" s="32" t="str">
        <f>IF(MENU!H13="","",MENU!H13)</f>
        <v/>
      </c>
      <c r="D15" s="29" t="str">
        <f>IF(MENU!J13="","",MENU!J13)</f>
        <v/>
      </c>
      <c r="E15" s="32" t="str">
        <f t="shared" si="0"/>
        <v/>
      </c>
    </row>
    <row r="16" spans="1:5" x14ac:dyDescent="0.3">
      <c r="A16" s="27" t="str">
        <f>IF(MENU!D14="","",MENU!D14)</f>
        <v/>
      </c>
      <c r="B16" s="27" t="str">
        <f>IF(MENU!F14="","",MENU!F14)</f>
        <v/>
      </c>
      <c r="C16" s="32" t="str">
        <f>IF(MENU!H14="","",MENU!H14)</f>
        <v/>
      </c>
      <c r="D16" s="29" t="str">
        <f>IF(MENU!J14="","",MENU!J14)</f>
        <v/>
      </c>
      <c r="E16" s="32" t="str">
        <f t="shared" si="0"/>
        <v/>
      </c>
    </row>
    <row r="17" spans="1:5" x14ac:dyDescent="0.3">
      <c r="A17" s="27" t="str">
        <f>IF(MENU!D15="","",MENU!D15)</f>
        <v/>
      </c>
      <c r="B17" s="27" t="str">
        <f>IF(MENU!F15="","",MENU!F15)</f>
        <v/>
      </c>
      <c r="C17" s="32" t="str">
        <f>IF(MENU!H15="","",MENU!H15)</f>
        <v/>
      </c>
      <c r="D17" s="29" t="str">
        <f>IF(MENU!J15="","",MENU!J15)</f>
        <v/>
      </c>
      <c r="E17" s="32" t="str">
        <f t="shared" si="0"/>
        <v/>
      </c>
    </row>
    <row r="18" spans="1:5" x14ac:dyDescent="0.3">
      <c r="A18" s="27" t="str">
        <f>IF(MENU!D16="","",MENU!D16)</f>
        <v/>
      </c>
      <c r="B18" s="27" t="str">
        <f>IF(MENU!F16="","",MENU!F16)</f>
        <v/>
      </c>
      <c r="C18" s="32" t="str">
        <f>IF(MENU!H16="","",MENU!H16)</f>
        <v/>
      </c>
      <c r="D18" s="29" t="str">
        <f>IF(MENU!J16="","",MENU!J16)</f>
        <v/>
      </c>
      <c r="E18" s="32" t="str">
        <f t="shared" si="0"/>
        <v/>
      </c>
    </row>
    <row r="19" spans="1:5" x14ac:dyDescent="0.3">
      <c r="A19" s="27" t="str">
        <f>IF(MENU!D17="","",MENU!D17)</f>
        <v/>
      </c>
      <c r="B19" s="27" t="str">
        <f>IF(MENU!F17="","",MENU!F17)</f>
        <v/>
      </c>
      <c r="C19" s="32" t="str">
        <f>IF(MENU!H17="","",MENU!H17)</f>
        <v/>
      </c>
      <c r="D19" s="29" t="str">
        <f>IF(MENU!J17="","",MENU!J17)</f>
        <v/>
      </c>
      <c r="E19" s="32" t="str">
        <f t="shared" si="0"/>
        <v/>
      </c>
    </row>
    <row r="20" spans="1:5" x14ac:dyDescent="0.3">
      <c r="A20" s="27" t="str">
        <f>IF(MENU!D18="","",MENU!D18)</f>
        <v/>
      </c>
      <c r="B20" s="27" t="str">
        <f>IF(MENU!F18="","",MENU!F18)</f>
        <v/>
      </c>
      <c r="C20" s="32" t="str">
        <f>IF(MENU!H18="","",MENU!H18)</f>
        <v/>
      </c>
      <c r="D20" s="29" t="str">
        <f>IF(MENU!J18="","",MENU!J18)</f>
        <v/>
      </c>
      <c r="E20" s="32" t="str">
        <f t="shared" si="0"/>
        <v/>
      </c>
    </row>
    <row r="21" spans="1:5" x14ac:dyDescent="0.3">
      <c r="A21" s="27" t="str">
        <f>IF(MENU!D19="","",MENU!D19)</f>
        <v/>
      </c>
      <c r="B21" s="27" t="str">
        <f>IF(MENU!F19="","",MENU!F19)</f>
        <v/>
      </c>
      <c r="C21" s="32" t="str">
        <f>IF(MENU!H19="","",MENU!H19)</f>
        <v/>
      </c>
      <c r="D21" s="29" t="str">
        <f>IF(MENU!J19="","",MENU!J19)</f>
        <v/>
      </c>
      <c r="E21" s="32" t="str">
        <f t="shared" si="0"/>
        <v/>
      </c>
    </row>
    <row r="22" spans="1:5" x14ac:dyDescent="0.3">
      <c r="A22" s="27" t="str">
        <f>IF(MENU!D20="","",MENU!D20)</f>
        <v/>
      </c>
      <c r="B22" s="27" t="str">
        <f>IF(MENU!F20="","",MENU!F20)</f>
        <v/>
      </c>
      <c r="C22" s="32" t="str">
        <f>IF(MENU!H20="","",MENU!H20)</f>
        <v/>
      </c>
      <c r="D22" s="29" t="str">
        <f>IF(MENU!J20="","",MENU!J20)</f>
        <v/>
      </c>
      <c r="E22" s="32" t="str">
        <f t="shared" si="0"/>
        <v/>
      </c>
    </row>
    <row r="23" spans="1:5" x14ac:dyDescent="0.3">
      <c r="A23" s="27" t="str">
        <f>IF(MENU!D21="","",MENU!D21)</f>
        <v/>
      </c>
      <c r="B23" s="27" t="str">
        <f>IF(MENU!F21="","",MENU!F21)</f>
        <v/>
      </c>
      <c r="C23" s="32" t="str">
        <f>IF(MENU!H21="","",MENU!H21)</f>
        <v/>
      </c>
      <c r="D23" s="29" t="str">
        <f>IF(MENU!J21="","",MENU!J21)</f>
        <v/>
      </c>
      <c r="E23" s="32" t="str">
        <f t="shared" si="0"/>
        <v/>
      </c>
    </row>
    <row r="24" spans="1:5" x14ac:dyDescent="0.3">
      <c r="A24" s="27" t="str">
        <f>IF(MENU!D22="","",MENU!D22)</f>
        <v/>
      </c>
      <c r="B24" s="27" t="str">
        <f>IF(MENU!F22="","",MENU!F22)</f>
        <v/>
      </c>
      <c r="C24" s="32" t="str">
        <f>IF(MENU!H22="","",MENU!H22)</f>
        <v/>
      </c>
      <c r="D24" s="29" t="str">
        <f>IF(MENU!J22="","",MENU!J22)</f>
        <v/>
      </c>
      <c r="E24" s="32" t="str">
        <f t="shared" ref="E24:E41" si="1">IF(A24="","",C24*D24)</f>
        <v/>
      </c>
    </row>
    <row r="25" spans="1:5" x14ac:dyDescent="0.3">
      <c r="A25" s="27" t="str">
        <f>IF(MENU!D23="","",MENU!D23)</f>
        <v/>
      </c>
      <c r="B25" s="27" t="str">
        <f>IF(MENU!F23="","",MENU!F23)</f>
        <v/>
      </c>
      <c r="C25" s="32" t="str">
        <f>IF(MENU!H23="","",MENU!H23)</f>
        <v/>
      </c>
      <c r="D25" s="29" t="str">
        <f>IF(MENU!J23="","",MENU!J23)</f>
        <v/>
      </c>
      <c r="E25" s="32" t="str">
        <f t="shared" si="1"/>
        <v/>
      </c>
    </row>
    <row r="26" spans="1:5" x14ac:dyDescent="0.3">
      <c r="A26" s="27" t="str">
        <f>IF(MENU!D24="","",MENU!D24)</f>
        <v/>
      </c>
      <c r="B26" s="27" t="str">
        <f>IF(MENU!F24="","",MENU!F24)</f>
        <v/>
      </c>
      <c r="C26" s="32" t="str">
        <f>IF(MENU!H24="","",MENU!H24)</f>
        <v/>
      </c>
      <c r="D26" s="29" t="str">
        <f>IF(MENU!J24="","",MENU!J24)</f>
        <v/>
      </c>
      <c r="E26" s="32" t="str">
        <f t="shared" si="1"/>
        <v/>
      </c>
    </row>
    <row r="27" spans="1:5" x14ac:dyDescent="0.3">
      <c r="A27" s="27" t="str">
        <f>IF(MENU!D25="","",MENU!D25)</f>
        <v/>
      </c>
      <c r="B27" s="27" t="str">
        <f>IF(MENU!F25="","",MENU!F25)</f>
        <v/>
      </c>
      <c r="C27" s="32" t="str">
        <f>IF(MENU!H25="","",MENU!H25)</f>
        <v/>
      </c>
      <c r="D27" s="29" t="str">
        <f>IF(MENU!J25="","",MENU!J25)</f>
        <v/>
      </c>
      <c r="E27" s="32" t="str">
        <f t="shared" si="1"/>
        <v/>
      </c>
    </row>
    <row r="28" spans="1:5" x14ac:dyDescent="0.3">
      <c r="A28" s="27" t="str">
        <f>IF(MENU!D26="","",MENU!D26)</f>
        <v/>
      </c>
      <c r="B28" s="27" t="str">
        <f>IF(MENU!F26="","",MENU!F26)</f>
        <v/>
      </c>
      <c r="C28" s="32" t="str">
        <f>IF(MENU!H26="","",MENU!H26)</f>
        <v/>
      </c>
      <c r="D28" s="29" t="str">
        <f>IF(MENU!J26="","",MENU!J26)</f>
        <v/>
      </c>
      <c r="E28" s="32" t="str">
        <f t="shared" si="1"/>
        <v/>
      </c>
    </row>
    <row r="29" spans="1:5" x14ac:dyDescent="0.3">
      <c r="A29" s="27" t="str">
        <f>IF(MENU!D27="","",MENU!D27)</f>
        <v/>
      </c>
      <c r="B29" s="27" t="str">
        <f>IF(MENU!F27="","",MENU!F27)</f>
        <v/>
      </c>
      <c r="C29" s="32" t="str">
        <f>IF(MENU!H27="","",MENU!H27)</f>
        <v/>
      </c>
      <c r="D29" s="29" t="str">
        <f>IF(MENU!J27="","",MENU!J27)</f>
        <v/>
      </c>
      <c r="E29" s="32" t="str">
        <f t="shared" si="1"/>
        <v/>
      </c>
    </row>
    <row r="30" spans="1:5" x14ac:dyDescent="0.3">
      <c r="A30" s="27" t="str">
        <f>IF(MENU!D28="","",MENU!D28)</f>
        <v/>
      </c>
      <c r="B30" s="27" t="str">
        <f>IF(MENU!F28="","",MENU!F28)</f>
        <v/>
      </c>
      <c r="C30" s="32" t="str">
        <f>IF(MENU!H28="","",MENU!H28)</f>
        <v/>
      </c>
      <c r="D30" s="29" t="str">
        <f>IF(MENU!J28="","",MENU!J28)</f>
        <v/>
      </c>
      <c r="E30" s="32" t="str">
        <f t="shared" si="1"/>
        <v/>
      </c>
    </row>
    <row r="31" spans="1:5" x14ac:dyDescent="0.3">
      <c r="A31" s="27" t="str">
        <f>IF(MENU!D29="","",MENU!D29)</f>
        <v/>
      </c>
      <c r="B31" s="27" t="str">
        <f>IF(MENU!F29="","",MENU!F29)</f>
        <v/>
      </c>
      <c r="C31" s="32" t="str">
        <f>IF(MENU!H29="","",MENU!H29)</f>
        <v/>
      </c>
      <c r="D31" s="29" t="str">
        <f>IF(MENU!J29="","",MENU!J29)</f>
        <v/>
      </c>
      <c r="E31" s="32" t="str">
        <f t="shared" si="1"/>
        <v/>
      </c>
    </row>
    <row r="32" spans="1:5" x14ac:dyDescent="0.3">
      <c r="A32" s="27" t="str">
        <f>IF(MENU!D30="","",MENU!D30)</f>
        <v/>
      </c>
      <c r="B32" s="27" t="str">
        <f>IF(MENU!F30="","",MENU!F30)</f>
        <v/>
      </c>
      <c r="C32" s="32" t="str">
        <f>IF(MENU!H30="","",MENU!H30)</f>
        <v/>
      </c>
      <c r="D32" s="29" t="str">
        <f>IF(MENU!J30="","",MENU!J30)</f>
        <v/>
      </c>
      <c r="E32" s="32" t="str">
        <f t="shared" si="1"/>
        <v/>
      </c>
    </row>
    <row r="33" spans="1:5" x14ac:dyDescent="0.3">
      <c r="A33" s="27" t="str">
        <f>IF(MENU!D31="","",MENU!D31)</f>
        <v/>
      </c>
      <c r="B33" s="27" t="str">
        <f>IF(MENU!F31="","",MENU!F31)</f>
        <v/>
      </c>
      <c r="C33" s="32" t="str">
        <f>IF(MENU!H31="","",MENU!H31)</f>
        <v/>
      </c>
      <c r="D33" s="29" t="str">
        <f>IF(MENU!J31="","",MENU!J31)</f>
        <v/>
      </c>
      <c r="E33" s="32" t="str">
        <f t="shared" si="1"/>
        <v/>
      </c>
    </row>
    <row r="34" spans="1:5" x14ac:dyDescent="0.3">
      <c r="A34" s="27" t="str">
        <f>IF(MENU!D32="","",MENU!D32)</f>
        <v/>
      </c>
      <c r="B34" s="27" t="str">
        <f>IF(MENU!F32="","",MENU!F32)</f>
        <v/>
      </c>
      <c r="C34" s="32" t="str">
        <f>IF(MENU!H32="","",MENU!H32)</f>
        <v/>
      </c>
      <c r="D34" s="29" t="str">
        <f>IF(MENU!J32="","",MENU!J32)</f>
        <v/>
      </c>
      <c r="E34" s="32" t="str">
        <f t="shared" si="1"/>
        <v/>
      </c>
    </row>
    <row r="35" spans="1:5" x14ac:dyDescent="0.3">
      <c r="A35" s="27" t="str">
        <f>IF(MENU!D33="","",MENU!D33)</f>
        <v/>
      </c>
      <c r="B35" s="27" t="str">
        <f>IF(MENU!F33="","",MENU!F33)</f>
        <v/>
      </c>
      <c r="C35" s="32" t="str">
        <f>IF(MENU!H33="","",MENU!H33)</f>
        <v/>
      </c>
      <c r="D35" s="29" t="str">
        <f>IF(MENU!J33="","",MENU!J33)</f>
        <v/>
      </c>
      <c r="E35" s="32" t="str">
        <f t="shared" si="1"/>
        <v/>
      </c>
    </row>
    <row r="36" spans="1:5" x14ac:dyDescent="0.3">
      <c r="A36" s="27" t="str">
        <f>IF(MENU!D34="","",MENU!D34)</f>
        <v/>
      </c>
      <c r="B36" s="27" t="str">
        <f>IF(MENU!F34="","",MENU!F34)</f>
        <v/>
      </c>
      <c r="C36" s="32" t="str">
        <f>IF(MENU!H34="","",MENU!H34)</f>
        <v/>
      </c>
      <c r="D36" s="29" t="str">
        <f>IF(MENU!J34="","",MENU!J34)</f>
        <v/>
      </c>
      <c r="E36" s="32" t="str">
        <f t="shared" si="1"/>
        <v/>
      </c>
    </row>
    <row r="37" spans="1:5" x14ac:dyDescent="0.3">
      <c r="A37" s="27" t="str">
        <f>IF(MENU!D35="","",MENU!D35)</f>
        <v/>
      </c>
      <c r="B37" s="27" t="str">
        <f>IF(MENU!F35="","",MENU!F35)</f>
        <v/>
      </c>
      <c r="C37" s="32" t="str">
        <f>IF(MENU!H35="","",MENU!H35)</f>
        <v/>
      </c>
      <c r="D37" s="29" t="str">
        <f>IF(MENU!J35="","",MENU!J35)</f>
        <v/>
      </c>
      <c r="E37" s="32" t="str">
        <f t="shared" si="1"/>
        <v/>
      </c>
    </row>
    <row r="38" spans="1:5" x14ac:dyDescent="0.3">
      <c r="A38" s="27" t="str">
        <f>IF(MENU!D36="","",MENU!D36)</f>
        <v/>
      </c>
      <c r="B38" s="27" t="str">
        <f>IF(MENU!F36="","",MENU!F36)</f>
        <v/>
      </c>
      <c r="C38" s="32" t="str">
        <f>IF(MENU!H36="","",MENU!H36)</f>
        <v/>
      </c>
      <c r="D38" s="29" t="str">
        <f>IF(MENU!J36="","",MENU!J36)</f>
        <v/>
      </c>
      <c r="E38" s="32" t="str">
        <f t="shared" si="1"/>
        <v/>
      </c>
    </row>
    <row r="39" spans="1:5" x14ac:dyDescent="0.3">
      <c r="A39" s="27" t="str">
        <f>IF(MENU!D37="","",MENU!D37)</f>
        <v/>
      </c>
      <c r="B39" s="27" t="str">
        <f>IF(MENU!F37="","",MENU!F37)</f>
        <v/>
      </c>
      <c r="C39" s="32" t="str">
        <f>IF(MENU!H37="","",MENU!H37)</f>
        <v/>
      </c>
      <c r="D39" s="29" t="str">
        <f>IF(MENU!J37="","",MENU!J37)</f>
        <v/>
      </c>
      <c r="E39" s="32" t="str">
        <f t="shared" si="1"/>
        <v/>
      </c>
    </row>
    <row r="40" spans="1:5" x14ac:dyDescent="0.3">
      <c r="A40" s="27" t="str">
        <f>IF(MENU!D38="","",MENU!D38)</f>
        <v/>
      </c>
      <c r="B40" s="27" t="str">
        <f>IF(MENU!F38="","",MENU!F38)</f>
        <v/>
      </c>
      <c r="C40" s="32" t="str">
        <f>IF(MENU!H38="","",MENU!H38)</f>
        <v/>
      </c>
      <c r="D40" s="29" t="str">
        <f>IF(MENU!J38="","",MENU!J38)</f>
        <v/>
      </c>
      <c r="E40" s="32" t="str">
        <f t="shared" si="1"/>
        <v/>
      </c>
    </row>
    <row r="41" spans="1:5" x14ac:dyDescent="0.3">
      <c r="A41" s="27" t="str">
        <f>IF(MENU!D39="","",MENU!D39)</f>
        <v/>
      </c>
      <c r="B41" s="27" t="str">
        <f>IF(MENU!F39="","",MENU!F39)</f>
        <v/>
      </c>
      <c r="C41" s="32" t="str">
        <f>IF(MENU!H39="","",MENU!H39)</f>
        <v/>
      </c>
      <c r="D41" s="29" t="str">
        <f>IF(MENU!J39="","",MENU!J39)</f>
        <v/>
      </c>
      <c r="E41" s="32" t="str">
        <f t="shared" si="1"/>
        <v/>
      </c>
    </row>
    <row r="42" spans="1:5" x14ac:dyDescent="0.3">
      <c r="A42" s="27"/>
      <c r="B42" s="27"/>
      <c r="C42" s="32"/>
      <c r="D42" s="29"/>
      <c r="E42" s="32"/>
    </row>
    <row r="43" spans="1:5" x14ac:dyDescent="0.3">
      <c r="A43" s="27"/>
      <c r="B43" s="27"/>
      <c r="C43" s="32"/>
      <c r="D43" s="29"/>
      <c r="E43" s="32"/>
    </row>
    <row r="44" spans="1:5" x14ac:dyDescent="0.3">
      <c r="A44" s="27"/>
      <c r="B44" s="27"/>
      <c r="C44" s="32"/>
      <c r="D44" s="29"/>
      <c r="E44" s="32"/>
    </row>
    <row r="45" spans="1:5" x14ac:dyDescent="0.3">
      <c r="A45" s="27"/>
      <c r="B45" s="27"/>
      <c r="C45" s="32"/>
      <c r="D45" s="29"/>
      <c r="E45" s="32"/>
    </row>
    <row r="46" spans="1:5" x14ac:dyDescent="0.3">
      <c r="A46" s="27"/>
      <c r="B46" s="27"/>
      <c r="C46" s="32"/>
      <c r="D46" s="29"/>
      <c r="E46" s="32"/>
    </row>
    <row r="47" spans="1:5" x14ac:dyDescent="0.3">
      <c r="A47" s="27"/>
      <c r="B47" s="27"/>
      <c r="C47" s="32"/>
      <c r="D47" s="29"/>
      <c r="E47" s="32"/>
    </row>
    <row r="48" spans="1:5" x14ac:dyDescent="0.3">
      <c r="A48" s="27"/>
      <c r="B48" s="27"/>
      <c r="C48" s="32"/>
      <c r="D48" s="29"/>
      <c r="E48" s="32"/>
    </row>
    <row r="49" spans="1:5" x14ac:dyDescent="0.3">
      <c r="A49" s="27"/>
      <c r="B49" s="27"/>
      <c r="C49" s="32"/>
      <c r="D49" s="29"/>
      <c r="E49" s="32"/>
    </row>
    <row r="50" spans="1:5" x14ac:dyDescent="0.3">
      <c r="A50" s="27"/>
      <c r="B50" s="27"/>
      <c r="C50" s="32"/>
      <c r="D50" s="29"/>
      <c r="E50" s="32"/>
    </row>
    <row r="51" spans="1:5" x14ac:dyDescent="0.3">
      <c r="A51" s="27"/>
      <c r="B51" s="27"/>
      <c r="C51" s="32"/>
      <c r="D51" s="29"/>
      <c r="E51" s="32"/>
    </row>
    <row r="52" spans="1:5" x14ac:dyDescent="0.3">
      <c r="A52" s="27"/>
      <c r="B52" s="27"/>
      <c r="C52" s="32"/>
      <c r="D52" s="29"/>
      <c r="E52" s="32"/>
    </row>
    <row r="53" spans="1:5" x14ac:dyDescent="0.3">
      <c r="A53" s="27"/>
      <c r="B53" s="27"/>
      <c r="C53" s="32"/>
      <c r="D53" s="29"/>
      <c r="E53" s="32"/>
    </row>
    <row r="54" spans="1:5" x14ac:dyDescent="0.3">
      <c r="A54" s="27"/>
      <c r="B54" s="27"/>
      <c r="C54" s="32"/>
      <c r="D54" s="29"/>
      <c r="E54" s="32"/>
    </row>
    <row r="55" spans="1:5" x14ac:dyDescent="0.3">
      <c r="A55" s="27"/>
      <c r="B55" s="27"/>
      <c r="C55" s="32"/>
      <c r="D55" s="29"/>
      <c r="E55" s="32"/>
    </row>
    <row r="56" spans="1:5" x14ac:dyDescent="0.3">
      <c r="A56" s="27"/>
      <c r="B56" s="27"/>
      <c r="C56" s="32"/>
      <c r="D56" s="29"/>
      <c r="E56" s="32"/>
    </row>
    <row r="57" spans="1:5" x14ac:dyDescent="0.3">
      <c r="A57" s="27"/>
      <c r="B57" s="27"/>
      <c r="C57" s="32"/>
      <c r="D57" s="29"/>
      <c r="E57" s="32"/>
    </row>
    <row r="58" spans="1:5" x14ac:dyDescent="0.3">
      <c r="A58" s="27"/>
      <c r="B58" s="27"/>
      <c r="C58" s="32"/>
      <c r="D58" s="29"/>
      <c r="E58" s="32"/>
    </row>
    <row r="59" spans="1:5" x14ac:dyDescent="0.3">
      <c r="A59" s="27"/>
      <c r="B59" s="27"/>
      <c r="C59" s="32"/>
      <c r="D59" s="29"/>
      <c r="E59" s="32"/>
    </row>
    <row r="60" spans="1:5" x14ac:dyDescent="0.3">
      <c r="A60" s="27"/>
      <c r="B60" s="27"/>
      <c r="C60" s="32"/>
      <c r="D60" s="29"/>
      <c r="E60" s="32"/>
    </row>
    <row r="61" spans="1:5" x14ac:dyDescent="0.3">
      <c r="A61" s="27"/>
      <c r="B61" s="27"/>
      <c r="C61" s="32"/>
      <c r="D61" s="29"/>
      <c r="E61" s="32"/>
    </row>
    <row r="62" spans="1:5" x14ac:dyDescent="0.3">
      <c r="A62" s="27"/>
      <c r="B62" s="27"/>
      <c r="C62" s="32"/>
      <c r="D62" s="29"/>
      <c r="E62" s="32"/>
    </row>
    <row r="63" spans="1:5" x14ac:dyDescent="0.3">
      <c r="A63" s="27"/>
      <c r="B63" s="27"/>
      <c r="C63" s="32"/>
      <c r="D63" s="29"/>
      <c r="E63" s="32"/>
    </row>
    <row r="64" spans="1:5" x14ac:dyDescent="0.3">
      <c r="A64" s="27"/>
      <c r="B64" s="27"/>
      <c r="C64" s="32"/>
      <c r="D64" s="29"/>
      <c r="E64" s="32"/>
    </row>
    <row r="65" spans="1:5" x14ac:dyDescent="0.3">
      <c r="A65" s="27"/>
      <c r="B65" s="27"/>
      <c r="C65" s="32"/>
      <c r="D65" s="29"/>
      <c r="E65" s="32"/>
    </row>
    <row r="66" spans="1:5" x14ac:dyDescent="0.3">
      <c r="A66" s="27"/>
      <c r="B66" s="27"/>
      <c r="C66" s="32"/>
      <c r="D66" s="29"/>
      <c r="E66" s="32"/>
    </row>
    <row r="67" spans="1:5" x14ac:dyDescent="0.3">
      <c r="A67" s="27"/>
      <c r="B67" s="27"/>
      <c r="C67" s="32"/>
      <c r="D67" s="29"/>
      <c r="E67" s="32"/>
    </row>
    <row r="68" spans="1:5" x14ac:dyDescent="0.3">
      <c r="A68" s="27"/>
      <c r="B68" s="27"/>
      <c r="C68" s="32"/>
      <c r="D68" s="29"/>
      <c r="E68" s="32"/>
    </row>
    <row r="69" spans="1:5" x14ac:dyDescent="0.3">
      <c r="A69" s="27"/>
      <c r="B69" s="27"/>
      <c r="C69" s="32"/>
      <c r="D69" s="29"/>
      <c r="E69" s="32"/>
    </row>
    <row r="70" spans="1:5" x14ac:dyDescent="0.3">
      <c r="A70" s="27"/>
      <c r="B70" s="27"/>
      <c r="C70" s="32"/>
      <c r="D70" s="29"/>
      <c r="E70" s="32"/>
    </row>
    <row r="71" spans="1:5" x14ac:dyDescent="0.3">
      <c r="A71" s="27"/>
      <c r="B71" s="27"/>
      <c r="C71" s="32"/>
      <c r="D71" s="29"/>
      <c r="E71" s="32"/>
    </row>
    <row r="72" spans="1:5" x14ac:dyDescent="0.3">
      <c r="A72" s="27"/>
      <c r="B72" s="27"/>
      <c r="C72" s="32"/>
      <c r="D72" s="29"/>
      <c r="E72" s="32"/>
    </row>
    <row r="73" spans="1:5" x14ac:dyDescent="0.3">
      <c r="A73" s="27"/>
      <c r="B73" s="27"/>
      <c r="C73" s="32"/>
      <c r="D73" s="29"/>
      <c r="E73" s="32"/>
    </row>
    <row r="74" spans="1:5" x14ac:dyDescent="0.3">
      <c r="A74" s="27"/>
      <c r="B74" s="27"/>
      <c r="C74" s="32"/>
      <c r="D74" s="29"/>
      <c r="E74" s="32"/>
    </row>
    <row r="75" spans="1:5" x14ac:dyDescent="0.3">
      <c r="A75" s="27"/>
      <c r="B75" s="27"/>
      <c r="C75" s="32"/>
      <c r="D75" s="29"/>
      <c r="E75" s="32"/>
    </row>
    <row r="76" spans="1:5" x14ac:dyDescent="0.3">
      <c r="A76" s="27"/>
      <c r="B76" s="27"/>
      <c r="C76" s="32"/>
      <c r="D76" s="29"/>
      <c r="E76" s="32"/>
    </row>
    <row r="77" spans="1:5" x14ac:dyDescent="0.3">
      <c r="A77" s="27"/>
      <c r="B77" s="27"/>
      <c r="C77" s="32"/>
      <c r="D77" s="29"/>
      <c r="E77" s="32"/>
    </row>
    <row r="78" spans="1:5" x14ac:dyDescent="0.3">
      <c r="A78" s="27"/>
      <c r="B78" s="27"/>
      <c r="C78" s="32"/>
      <c r="D78" s="29"/>
      <c r="E78" s="32"/>
    </row>
    <row r="79" spans="1:5" x14ac:dyDescent="0.3">
      <c r="A79" s="27"/>
      <c r="B79" s="27"/>
      <c r="C79" s="32"/>
      <c r="D79" s="29"/>
      <c r="E79" s="32"/>
    </row>
    <row r="80" spans="1:5" x14ac:dyDescent="0.3">
      <c r="A80" s="27"/>
      <c r="B80" s="27"/>
      <c r="C80" s="32"/>
      <c r="D80" s="29"/>
      <c r="E80" s="32"/>
    </row>
    <row r="81" spans="1:5" x14ac:dyDescent="0.3">
      <c r="A81" s="27"/>
      <c r="B81" s="27"/>
      <c r="C81" s="32"/>
      <c r="D81" s="29"/>
      <c r="E81" s="32"/>
    </row>
    <row r="82" spans="1:5" x14ac:dyDescent="0.3">
      <c r="A82" s="27"/>
      <c r="B82" s="27"/>
      <c r="C82" s="32"/>
      <c r="D82" s="29"/>
      <c r="E82" s="32"/>
    </row>
    <row r="83" spans="1:5" x14ac:dyDescent="0.3">
      <c r="A83" s="27"/>
      <c r="B83" s="27"/>
      <c r="C83" s="32"/>
      <c r="D83" s="29"/>
      <c r="E83" s="32"/>
    </row>
    <row r="84" spans="1:5" x14ac:dyDescent="0.3">
      <c r="A84" s="27"/>
      <c r="B84" s="27"/>
      <c r="C84" s="32"/>
      <c r="D84" s="29"/>
      <c r="E84" s="32"/>
    </row>
    <row r="85" spans="1:5" x14ac:dyDescent="0.3">
      <c r="A85" s="27"/>
      <c r="B85" s="27"/>
      <c r="C85" s="32"/>
      <c r="D85" s="29"/>
      <c r="E85" s="32"/>
    </row>
    <row r="86" spans="1:5" x14ac:dyDescent="0.3">
      <c r="A86" s="27"/>
      <c r="B86" s="27"/>
      <c r="C86" s="32"/>
      <c r="D86" s="29"/>
      <c r="E86" s="32"/>
    </row>
    <row r="87" spans="1:5" x14ac:dyDescent="0.3">
      <c r="A87" s="27"/>
      <c r="B87" s="27"/>
      <c r="C87" s="32"/>
      <c r="D87" s="29"/>
      <c r="E87" s="32"/>
    </row>
    <row r="88" spans="1:5" x14ac:dyDescent="0.3">
      <c r="A88" s="27"/>
      <c r="B88" s="27"/>
      <c r="C88" s="32"/>
      <c r="D88" s="29"/>
      <c r="E88" s="32"/>
    </row>
    <row r="89" spans="1:5" x14ac:dyDescent="0.3">
      <c r="A89" s="27"/>
      <c r="B89" s="27"/>
      <c r="C89" s="32"/>
      <c r="D89" s="29"/>
      <c r="E89" s="32"/>
    </row>
    <row r="90" spans="1:5" x14ac:dyDescent="0.3">
      <c r="A90" s="27"/>
      <c r="B90" s="27"/>
      <c r="C90" s="32"/>
      <c r="D90" s="29"/>
      <c r="E90" s="32"/>
    </row>
    <row r="91" spans="1:5" x14ac:dyDescent="0.3">
      <c r="A91" s="27"/>
      <c r="B91" s="27"/>
      <c r="C91" s="32"/>
      <c r="D91" s="29"/>
      <c r="E91" s="32"/>
    </row>
    <row r="92" spans="1:5" x14ac:dyDescent="0.3">
      <c r="A92" s="27"/>
      <c r="B92" s="27"/>
      <c r="C92" s="32"/>
      <c r="D92" s="29"/>
      <c r="E92" s="32"/>
    </row>
    <row r="93" spans="1:5" x14ac:dyDescent="0.3">
      <c r="A93" s="27"/>
      <c r="B93" s="27"/>
      <c r="C93" s="32"/>
      <c r="D93" s="29"/>
      <c r="E93" s="32"/>
    </row>
    <row r="94" spans="1:5" x14ac:dyDescent="0.3">
      <c r="A94" s="27"/>
      <c r="B94" s="27"/>
      <c r="C94" s="32"/>
      <c r="D94" s="29"/>
      <c r="E94" s="32"/>
    </row>
    <row r="95" spans="1:5" x14ac:dyDescent="0.3">
      <c r="A95" s="27"/>
      <c r="B95" s="27"/>
      <c r="C95" s="32"/>
      <c r="D95" s="29"/>
      <c r="E95" s="32"/>
    </row>
    <row r="96" spans="1:5" x14ac:dyDescent="0.3">
      <c r="A96" s="27"/>
      <c r="B96" s="27"/>
      <c r="C96" s="32"/>
      <c r="D96" s="29"/>
      <c r="E96" s="32"/>
    </row>
    <row r="97" spans="1:5" x14ac:dyDescent="0.3">
      <c r="A97" s="27"/>
      <c r="B97" s="27"/>
      <c r="C97" s="32"/>
      <c r="D97" s="29"/>
      <c r="E97" s="32"/>
    </row>
    <row r="98" spans="1:5" x14ac:dyDescent="0.3">
      <c r="A98" s="27"/>
      <c r="B98" s="27"/>
      <c r="C98" s="32"/>
      <c r="D98" s="29"/>
      <c r="E98" s="32"/>
    </row>
    <row r="99" spans="1:5" x14ac:dyDescent="0.3">
      <c r="A99" s="27"/>
      <c r="B99" s="27"/>
      <c r="C99" s="32"/>
      <c r="D99" s="29"/>
      <c r="E99" s="32"/>
    </row>
    <row r="100" spans="1:5" x14ac:dyDescent="0.3">
      <c r="A100" s="27"/>
      <c r="B100" s="27"/>
      <c r="C100" s="32"/>
      <c r="D100" s="29"/>
      <c r="E100" s="32"/>
    </row>
    <row r="101" spans="1:5" x14ac:dyDescent="0.3">
      <c r="A101" s="27"/>
      <c r="B101" s="27"/>
      <c r="C101" s="32"/>
      <c r="D101" s="29"/>
      <c r="E101" s="32"/>
    </row>
    <row r="102" spans="1:5" x14ac:dyDescent="0.3">
      <c r="A102" s="27"/>
      <c r="B102" s="27"/>
      <c r="C102" s="32"/>
      <c r="D102" s="29"/>
      <c r="E102" s="32"/>
    </row>
    <row r="103" spans="1:5" x14ac:dyDescent="0.3">
      <c r="A103" s="27"/>
      <c r="B103" s="27"/>
      <c r="C103" s="32"/>
      <c r="D103" s="29"/>
      <c r="E103" s="32"/>
    </row>
    <row r="104" spans="1:5" x14ac:dyDescent="0.3">
      <c r="A104" s="27"/>
      <c r="B104" s="27"/>
      <c r="C104" s="32"/>
      <c r="D104" s="29"/>
      <c r="E104" s="32"/>
    </row>
    <row r="105" spans="1:5" x14ac:dyDescent="0.3">
      <c r="A105" s="27"/>
      <c r="B105" s="27"/>
      <c r="C105" s="32"/>
      <c r="D105" s="29"/>
      <c r="E105" s="32"/>
    </row>
    <row r="106" spans="1:5" x14ac:dyDescent="0.3">
      <c r="A106" s="27"/>
      <c r="B106" s="27"/>
      <c r="C106" s="32"/>
      <c r="D106" s="29"/>
      <c r="E106" s="32"/>
    </row>
    <row r="107" spans="1:5" x14ac:dyDescent="0.3">
      <c r="A107" s="27"/>
      <c r="B107" s="27"/>
      <c r="C107" s="32"/>
      <c r="D107" s="29"/>
      <c r="E107" s="32"/>
    </row>
    <row r="108" spans="1:5" x14ac:dyDescent="0.3">
      <c r="A108" s="27"/>
      <c r="B108" s="27"/>
      <c r="C108" s="32"/>
      <c r="D108" s="29"/>
      <c r="E108" s="32"/>
    </row>
    <row r="109" spans="1:5" x14ac:dyDescent="0.3">
      <c r="A109" s="27"/>
      <c r="B109" s="27"/>
      <c r="C109" s="32"/>
      <c r="D109" s="29"/>
      <c r="E109" s="32"/>
    </row>
    <row r="110" spans="1:5" x14ac:dyDescent="0.3">
      <c r="A110" s="27"/>
      <c r="B110" s="27"/>
      <c r="C110" s="32"/>
      <c r="D110" s="29"/>
      <c r="E110" s="32"/>
    </row>
    <row r="111" spans="1:5" x14ac:dyDescent="0.3">
      <c r="A111" s="27"/>
      <c r="B111" s="27"/>
      <c r="C111" s="32"/>
      <c r="D111" s="29"/>
      <c r="E111" s="32"/>
    </row>
    <row r="112" spans="1:5" x14ac:dyDescent="0.3">
      <c r="A112" s="27"/>
      <c r="B112" s="27"/>
      <c r="C112" s="32"/>
      <c r="D112" s="29"/>
      <c r="E112" s="32"/>
    </row>
    <row r="113" spans="1:5" x14ac:dyDescent="0.3">
      <c r="A113" s="27"/>
      <c r="B113" s="27"/>
      <c r="C113" s="32"/>
      <c r="D113" s="29"/>
      <c r="E113" s="32"/>
    </row>
    <row r="114" spans="1:5" x14ac:dyDescent="0.3">
      <c r="A114" s="27"/>
      <c r="B114" s="27"/>
      <c r="C114" s="32"/>
      <c r="D114" s="29"/>
      <c r="E114" s="32"/>
    </row>
    <row r="115" spans="1:5" x14ac:dyDescent="0.3">
      <c r="A115" s="27"/>
      <c r="B115" s="27"/>
      <c r="C115" s="32"/>
      <c r="D115" s="29"/>
      <c r="E115" s="32"/>
    </row>
    <row r="116" spans="1:5" x14ac:dyDescent="0.3">
      <c r="A116" s="27"/>
      <c r="B116" s="27"/>
      <c r="C116" s="32"/>
      <c r="D116" s="29"/>
      <c r="E116" s="32"/>
    </row>
    <row r="117" spans="1:5" x14ac:dyDescent="0.3">
      <c r="A117" s="27"/>
      <c r="B117" s="27"/>
      <c r="C117" s="32"/>
      <c r="D117" s="29"/>
      <c r="E117" s="32"/>
    </row>
    <row r="118" spans="1:5" x14ac:dyDescent="0.3">
      <c r="A118" s="27"/>
      <c r="B118" s="27"/>
      <c r="C118" s="32"/>
      <c r="D118" s="29"/>
      <c r="E118" s="32"/>
    </row>
    <row r="119" spans="1:5" x14ac:dyDescent="0.3">
      <c r="A119" s="27"/>
      <c r="B119" s="27"/>
      <c r="C119" s="32"/>
      <c r="D119" s="29"/>
      <c r="E119" s="32"/>
    </row>
    <row r="120" spans="1:5" x14ac:dyDescent="0.3">
      <c r="A120" s="27"/>
      <c r="B120" s="27"/>
      <c r="C120" s="32"/>
      <c r="D120" s="29"/>
      <c r="E120" s="32"/>
    </row>
    <row r="121" spans="1:5" x14ac:dyDescent="0.3">
      <c r="A121" s="27"/>
      <c r="B121" s="27"/>
      <c r="C121" s="32"/>
      <c r="D121" s="29"/>
      <c r="E121" s="32"/>
    </row>
    <row r="122" spans="1:5" x14ac:dyDescent="0.3">
      <c r="A122" s="27"/>
      <c r="B122" s="27"/>
      <c r="C122" s="32"/>
      <c r="D122" s="29"/>
      <c r="E122" s="32"/>
    </row>
    <row r="123" spans="1:5" x14ac:dyDescent="0.3">
      <c r="A123" s="27"/>
      <c r="B123" s="27"/>
      <c r="C123" s="32"/>
      <c r="D123" s="29"/>
      <c r="E123" s="32"/>
    </row>
    <row r="124" spans="1:5" x14ac:dyDescent="0.3">
      <c r="A124" s="27"/>
      <c r="B124" s="27"/>
      <c r="C124" s="32"/>
      <c r="D124" s="29"/>
      <c r="E124" s="32"/>
    </row>
    <row r="125" spans="1:5" x14ac:dyDescent="0.3">
      <c r="A125" s="27"/>
      <c r="B125" s="27"/>
      <c r="C125" s="32"/>
      <c r="D125" s="29"/>
      <c r="E125" s="32"/>
    </row>
    <row r="126" spans="1:5" x14ac:dyDescent="0.3">
      <c r="A126" s="27"/>
      <c r="B126" s="27"/>
      <c r="C126" s="32"/>
      <c r="D126" s="29"/>
      <c r="E126" s="32"/>
    </row>
    <row r="127" spans="1:5" x14ac:dyDescent="0.3">
      <c r="A127" s="27"/>
      <c r="B127" s="27"/>
      <c r="C127" s="32"/>
      <c r="D127" s="29"/>
      <c r="E127" s="32"/>
    </row>
    <row r="128" spans="1:5" x14ac:dyDescent="0.3">
      <c r="A128" s="27"/>
      <c r="B128" s="27"/>
      <c r="C128" s="32"/>
      <c r="D128" s="29"/>
      <c r="E128" s="32"/>
    </row>
    <row r="129" spans="1:5" x14ac:dyDescent="0.3">
      <c r="A129" s="27"/>
      <c r="B129" s="27"/>
      <c r="C129" s="32"/>
      <c r="D129" s="29"/>
      <c r="E129" s="32"/>
    </row>
    <row r="130" spans="1:5" x14ac:dyDescent="0.3">
      <c r="A130" s="27"/>
      <c r="B130" s="27"/>
      <c r="C130" s="32"/>
      <c r="D130" s="29"/>
      <c r="E130" s="32"/>
    </row>
    <row r="131" spans="1:5" x14ac:dyDescent="0.3">
      <c r="A131" s="27"/>
      <c r="B131" s="27"/>
      <c r="C131" s="32"/>
      <c r="D131" s="29"/>
      <c r="E131" s="32"/>
    </row>
    <row r="132" spans="1:5" x14ac:dyDescent="0.3">
      <c r="A132" s="27"/>
      <c r="B132" s="27"/>
      <c r="C132" s="32"/>
      <c r="D132" s="29"/>
      <c r="E132" s="32"/>
    </row>
    <row r="133" spans="1:5" x14ac:dyDescent="0.3">
      <c r="A133" s="27"/>
      <c r="B133" s="27"/>
      <c r="C133" s="32"/>
      <c r="D133" s="29"/>
      <c r="E133" s="32"/>
    </row>
    <row r="134" spans="1:5" x14ac:dyDescent="0.3">
      <c r="A134" s="27"/>
      <c r="B134" s="27"/>
      <c r="C134" s="32"/>
      <c r="D134" s="29"/>
      <c r="E134" s="32"/>
    </row>
    <row r="135" spans="1:5" x14ac:dyDescent="0.3">
      <c r="A135" s="27"/>
      <c r="B135" s="27"/>
      <c r="C135" s="32"/>
      <c r="D135" s="29"/>
      <c r="E135" s="32"/>
    </row>
    <row r="136" spans="1:5" x14ac:dyDescent="0.3">
      <c r="A136" s="27"/>
      <c r="B136" s="27"/>
      <c r="C136" s="32"/>
      <c r="D136" s="29"/>
      <c r="E136" s="32"/>
    </row>
    <row r="137" spans="1:5" x14ac:dyDescent="0.3">
      <c r="A137" s="27"/>
      <c r="B137" s="27"/>
      <c r="C137" s="32"/>
      <c r="D137" s="29"/>
      <c r="E137" s="32"/>
    </row>
    <row r="138" spans="1:5" x14ac:dyDescent="0.3">
      <c r="A138" s="27"/>
      <c r="B138" s="27"/>
      <c r="C138" s="32"/>
      <c r="D138" s="29"/>
      <c r="E138" s="32"/>
    </row>
    <row r="139" spans="1:5" x14ac:dyDescent="0.3">
      <c r="A139" s="27"/>
      <c r="B139" s="27"/>
      <c r="C139" s="32"/>
      <c r="D139" s="29"/>
      <c r="E139" s="32"/>
    </row>
    <row r="140" spans="1:5" x14ac:dyDescent="0.3">
      <c r="A140" s="27"/>
      <c r="B140" s="27"/>
      <c r="C140" s="32"/>
      <c r="D140" s="29"/>
      <c r="E140" s="32"/>
    </row>
    <row r="141" spans="1:5" x14ac:dyDescent="0.3">
      <c r="A141" s="27"/>
      <c r="B141" s="27"/>
      <c r="C141" s="32"/>
      <c r="D141" s="29"/>
      <c r="E141" s="32"/>
    </row>
    <row r="142" spans="1:5" x14ac:dyDescent="0.3">
      <c r="A142" s="27"/>
      <c r="B142" s="27"/>
      <c r="C142" s="32"/>
      <c r="D142" s="29"/>
      <c r="E142" s="32"/>
    </row>
    <row r="143" spans="1:5" x14ac:dyDescent="0.3">
      <c r="A143" s="27"/>
      <c r="B143" s="27"/>
      <c r="C143" s="32"/>
      <c r="D143" s="29"/>
      <c r="E143" s="32"/>
    </row>
    <row r="144" spans="1:5" x14ac:dyDescent="0.3">
      <c r="A144" s="27"/>
      <c r="B144" s="27"/>
      <c r="C144" s="32"/>
      <c r="D144" s="29"/>
      <c r="E144" s="32"/>
    </row>
    <row r="145" spans="1:5" x14ac:dyDescent="0.3">
      <c r="A145" s="27"/>
      <c r="B145" s="27"/>
      <c r="C145" s="32"/>
      <c r="D145" s="29"/>
      <c r="E145" s="32"/>
    </row>
    <row r="146" spans="1:5" x14ac:dyDescent="0.3">
      <c r="A146" s="27"/>
      <c r="B146" s="27"/>
      <c r="C146" s="32"/>
      <c r="D146" s="29"/>
      <c r="E146" s="32"/>
    </row>
    <row r="147" spans="1:5" x14ac:dyDescent="0.3">
      <c r="A147" s="27"/>
      <c r="B147" s="27"/>
      <c r="C147" s="32"/>
      <c r="D147" s="29"/>
      <c r="E147" s="32"/>
    </row>
    <row r="148" spans="1:5" x14ac:dyDescent="0.3">
      <c r="A148" s="27"/>
      <c r="B148" s="27"/>
      <c r="C148" s="32"/>
      <c r="D148" s="29"/>
      <c r="E148" s="32"/>
    </row>
    <row r="149" spans="1:5" x14ac:dyDescent="0.3">
      <c r="A149" s="27"/>
      <c r="B149" s="27"/>
      <c r="C149" s="32"/>
      <c r="D149" s="29"/>
      <c r="E149" s="32"/>
    </row>
    <row r="150" spans="1:5" x14ac:dyDescent="0.3">
      <c r="A150" s="27"/>
      <c r="B150" s="27"/>
      <c r="C150" s="32"/>
      <c r="D150" s="29"/>
      <c r="E150" s="32"/>
    </row>
    <row r="151" spans="1:5" x14ac:dyDescent="0.3">
      <c r="A151" s="27"/>
      <c r="B151" s="27"/>
      <c r="C151" s="32"/>
      <c r="D151" s="29"/>
      <c r="E151" s="32"/>
    </row>
    <row r="152" spans="1:5" x14ac:dyDescent="0.3">
      <c r="A152" s="27"/>
      <c r="B152" s="27"/>
      <c r="C152" s="32"/>
      <c r="D152" s="29"/>
      <c r="E152" s="32"/>
    </row>
    <row r="153" spans="1:5" x14ac:dyDescent="0.3">
      <c r="A153" s="27"/>
      <c r="B153" s="27"/>
      <c r="C153" s="32"/>
      <c r="D153" s="29"/>
      <c r="E153" s="32"/>
    </row>
    <row r="154" spans="1:5" x14ac:dyDescent="0.3">
      <c r="A154" s="27"/>
      <c r="B154" s="27"/>
      <c r="C154" s="32"/>
      <c r="D154" s="29"/>
      <c r="E154" s="32"/>
    </row>
    <row r="155" spans="1:5" x14ac:dyDescent="0.3">
      <c r="A155" s="27"/>
      <c r="B155" s="27"/>
      <c r="C155" s="32"/>
      <c r="D155" s="29"/>
      <c r="E155" s="32"/>
    </row>
    <row r="156" spans="1:5" x14ac:dyDescent="0.3">
      <c r="A156" s="27"/>
      <c r="B156" s="27"/>
      <c r="C156" s="32"/>
      <c r="D156" s="29"/>
      <c r="E156" s="32"/>
    </row>
    <row r="157" spans="1:5" x14ac:dyDescent="0.3">
      <c r="A157" s="27"/>
      <c r="B157" s="27"/>
      <c r="C157" s="32"/>
      <c r="D157" s="29"/>
      <c r="E157" s="32"/>
    </row>
    <row r="158" spans="1:5" x14ac:dyDescent="0.3">
      <c r="A158" s="27"/>
      <c r="B158" s="27"/>
      <c r="C158" s="32"/>
      <c r="D158" s="29"/>
      <c r="E158" s="32"/>
    </row>
    <row r="159" spans="1:5" x14ac:dyDescent="0.3">
      <c r="A159" s="27"/>
      <c r="B159" s="27"/>
      <c r="C159" s="32"/>
      <c r="D159" s="29"/>
      <c r="E159" s="32"/>
    </row>
    <row r="160" spans="1:5" x14ac:dyDescent="0.3">
      <c r="A160" s="27"/>
      <c r="B160" s="27"/>
      <c r="C160" s="32"/>
      <c r="D160" s="29"/>
      <c r="E160" s="32"/>
    </row>
    <row r="161" spans="1:5" x14ac:dyDescent="0.3">
      <c r="A161" s="27"/>
      <c r="B161" s="27"/>
      <c r="C161" s="32"/>
      <c r="D161" s="29"/>
      <c r="E161" s="32"/>
    </row>
    <row r="162" spans="1:5" x14ac:dyDescent="0.3">
      <c r="A162" s="27"/>
      <c r="B162" s="27"/>
      <c r="C162" s="32"/>
      <c r="D162" s="29"/>
      <c r="E162" s="32"/>
    </row>
    <row r="163" spans="1:5" x14ac:dyDescent="0.3">
      <c r="A163" s="27"/>
      <c r="B163" s="27"/>
      <c r="C163" s="32"/>
      <c r="D163" s="29"/>
      <c r="E163" s="32"/>
    </row>
    <row r="164" spans="1:5" x14ac:dyDescent="0.3">
      <c r="A164" s="27"/>
      <c r="B164" s="27"/>
      <c r="C164" s="32"/>
      <c r="D164" s="29"/>
      <c r="E164" s="32"/>
    </row>
    <row r="165" spans="1:5" x14ac:dyDescent="0.3">
      <c r="A165" s="27"/>
      <c r="B165" s="27"/>
      <c r="C165" s="32"/>
      <c r="D165" s="29"/>
      <c r="E165" s="32"/>
    </row>
    <row r="166" spans="1:5" x14ac:dyDescent="0.3">
      <c r="A166" s="27"/>
      <c r="B166" s="27"/>
      <c r="C166" s="32"/>
      <c r="D166" s="29"/>
      <c r="E166" s="32"/>
    </row>
    <row r="167" spans="1:5" x14ac:dyDescent="0.3">
      <c r="A167" s="27"/>
      <c r="B167" s="27"/>
      <c r="C167" s="32"/>
      <c r="D167" s="29"/>
      <c r="E167" s="32"/>
    </row>
    <row r="168" spans="1:5" x14ac:dyDescent="0.3">
      <c r="A168" s="27"/>
      <c r="B168" s="27"/>
      <c r="C168" s="32"/>
      <c r="D168" s="29"/>
      <c r="E168" s="32"/>
    </row>
    <row r="169" spans="1:5" x14ac:dyDescent="0.3">
      <c r="A169" s="27"/>
      <c r="B169" s="27"/>
      <c r="C169" s="32"/>
      <c r="D169" s="29"/>
      <c r="E169" s="32"/>
    </row>
    <row r="170" spans="1:5" x14ac:dyDescent="0.3">
      <c r="A170" s="27"/>
      <c r="B170" s="27"/>
      <c r="C170" s="32"/>
      <c r="D170" s="29"/>
      <c r="E170" s="32"/>
    </row>
    <row r="171" spans="1:5" x14ac:dyDescent="0.3">
      <c r="A171" s="27"/>
      <c r="B171" s="27"/>
      <c r="C171" s="32"/>
      <c r="D171" s="29"/>
      <c r="E171" s="32"/>
    </row>
    <row r="172" spans="1:5" x14ac:dyDescent="0.3">
      <c r="A172" s="27"/>
      <c r="B172" s="27"/>
      <c r="C172" s="32"/>
      <c r="D172" s="29"/>
      <c r="E172" s="32"/>
    </row>
    <row r="173" spans="1:5" x14ac:dyDescent="0.3">
      <c r="A173" s="27"/>
      <c r="B173" s="27"/>
      <c r="C173" s="32"/>
      <c r="D173" s="29"/>
      <c r="E173" s="32"/>
    </row>
    <row r="174" spans="1:5" x14ac:dyDescent="0.3">
      <c r="A174" s="27"/>
      <c r="B174" s="27"/>
      <c r="C174" s="32"/>
      <c r="D174" s="29"/>
      <c r="E174" s="32"/>
    </row>
    <row r="175" spans="1:5" x14ac:dyDescent="0.3">
      <c r="A175" s="27"/>
      <c r="B175" s="27"/>
      <c r="C175" s="32"/>
      <c r="D175" s="29"/>
      <c r="E175" s="32"/>
    </row>
    <row r="176" spans="1:5" x14ac:dyDescent="0.3">
      <c r="A176" s="27"/>
      <c r="B176" s="27"/>
      <c r="C176" s="32"/>
      <c r="D176" s="29"/>
      <c r="E176" s="32"/>
    </row>
    <row r="177" spans="1:5" x14ac:dyDescent="0.3">
      <c r="A177" s="27"/>
      <c r="B177" s="27"/>
      <c r="C177" s="32"/>
      <c r="D177" s="29"/>
      <c r="E177" s="32"/>
    </row>
    <row r="178" spans="1:5" x14ac:dyDescent="0.3">
      <c r="A178" s="27"/>
      <c r="B178" s="27"/>
      <c r="C178" s="32"/>
      <c r="D178" s="29"/>
      <c r="E178" s="32"/>
    </row>
    <row r="179" spans="1:5" x14ac:dyDescent="0.3">
      <c r="A179" s="27"/>
      <c r="B179" s="27"/>
      <c r="C179" s="32"/>
      <c r="D179" s="29"/>
      <c r="E179" s="32"/>
    </row>
    <row r="180" spans="1:5" x14ac:dyDescent="0.3">
      <c r="A180" s="27"/>
      <c r="B180" s="27"/>
      <c r="C180" s="32"/>
      <c r="D180" s="29"/>
      <c r="E180" s="32"/>
    </row>
    <row r="181" spans="1:5" x14ac:dyDescent="0.3">
      <c r="A181" s="27"/>
      <c r="B181" s="27"/>
      <c r="C181" s="32"/>
      <c r="D181" s="29"/>
      <c r="E181" s="32"/>
    </row>
    <row r="182" spans="1:5" x14ac:dyDescent="0.3">
      <c r="A182" s="27"/>
      <c r="B182" s="27"/>
      <c r="C182" s="32"/>
      <c r="D182" s="29"/>
      <c r="E182" s="32"/>
    </row>
    <row r="183" spans="1:5" x14ac:dyDescent="0.3">
      <c r="A183" s="27"/>
      <c r="B183" s="27"/>
      <c r="C183" s="32"/>
      <c r="D183" s="29"/>
      <c r="E183" s="32"/>
    </row>
    <row r="184" spans="1:5" x14ac:dyDescent="0.3">
      <c r="A184" s="27"/>
      <c r="B184" s="27"/>
      <c r="C184" s="32"/>
      <c r="D184" s="29"/>
      <c r="E184" s="32"/>
    </row>
    <row r="185" spans="1:5" x14ac:dyDescent="0.3">
      <c r="A185" s="27"/>
      <c r="B185" s="27"/>
      <c r="C185" s="32"/>
      <c r="D185" s="29"/>
      <c r="E185" s="32"/>
    </row>
    <row r="186" spans="1:5" x14ac:dyDescent="0.3">
      <c r="A186" s="27"/>
      <c r="B186" s="27"/>
      <c r="C186" s="32"/>
      <c r="D186" s="29"/>
      <c r="E186" s="32"/>
    </row>
    <row r="187" spans="1:5" x14ac:dyDescent="0.3">
      <c r="A187" s="27"/>
      <c r="B187" s="27"/>
      <c r="C187" s="32"/>
      <c r="D187" s="29"/>
      <c r="E187" s="32"/>
    </row>
    <row r="188" spans="1:5" x14ac:dyDescent="0.3">
      <c r="A188" s="27"/>
      <c r="B188" s="27"/>
      <c r="C188" s="32"/>
      <c r="D188" s="29"/>
      <c r="E188" s="32"/>
    </row>
    <row r="189" spans="1:5" x14ac:dyDescent="0.3">
      <c r="A189" s="27"/>
      <c r="B189" s="27"/>
      <c r="C189" s="32"/>
      <c r="D189" s="29"/>
      <c r="E189" s="32"/>
    </row>
    <row r="190" spans="1:5" x14ac:dyDescent="0.3">
      <c r="A190" s="27"/>
      <c r="B190" s="27"/>
      <c r="C190" s="32"/>
      <c r="D190" s="29"/>
      <c r="E190" s="32"/>
    </row>
    <row r="191" spans="1:5" x14ac:dyDescent="0.3">
      <c r="A191" s="27"/>
      <c r="B191" s="27"/>
      <c r="C191" s="32"/>
      <c r="D191" s="29"/>
      <c r="E191" s="32"/>
    </row>
    <row r="192" spans="1:5" x14ac:dyDescent="0.3">
      <c r="A192" s="27"/>
      <c r="B192" s="27"/>
      <c r="C192" s="32"/>
      <c r="D192" s="29"/>
      <c r="E192" s="32"/>
    </row>
    <row r="193" spans="1:5" x14ac:dyDescent="0.3">
      <c r="A193" s="27"/>
      <c r="B193" s="27"/>
      <c r="C193" s="32"/>
      <c r="D193" s="29"/>
      <c r="E193" s="32"/>
    </row>
    <row r="194" spans="1:5" x14ac:dyDescent="0.3">
      <c r="A194" s="27"/>
      <c r="B194" s="27"/>
      <c r="C194" s="32"/>
      <c r="D194" s="29"/>
      <c r="E194" s="32"/>
    </row>
    <row r="195" spans="1:5" x14ac:dyDescent="0.3">
      <c r="A195" s="27"/>
      <c r="B195" s="27"/>
      <c r="C195" s="32"/>
      <c r="D195" s="29"/>
      <c r="E195" s="32"/>
    </row>
    <row r="196" spans="1:5" x14ac:dyDescent="0.3">
      <c r="A196" s="27"/>
      <c r="B196" s="27"/>
      <c r="C196" s="32"/>
      <c r="D196" s="29"/>
      <c r="E196" s="32"/>
    </row>
    <row r="197" spans="1:5" x14ac:dyDescent="0.3">
      <c r="A197" s="27"/>
      <c r="B197" s="27"/>
      <c r="C197" s="32"/>
      <c r="D197" s="29"/>
      <c r="E197" s="32"/>
    </row>
    <row r="198" spans="1:5" x14ac:dyDescent="0.3">
      <c r="A198" s="27"/>
      <c r="B198" s="27"/>
      <c r="C198" s="32"/>
      <c r="D198" s="29"/>
      <c r="E198" s="32"/>
    </row>
    <row r="199" spans="1:5" x14ac:dyDescent="0.3">
      <c r="A199" s="27"/>
      <c r="B199" s="27"/>
      <c r="C199" s="32"/>
      <c r="D199" s="29"/>
      <c r="E199" s="32"/>
    </row>
    <row r="200" spans="1:5" x14ac:dyDescent="0.3">
      <c r="A200" s="27"/>
      <c r="B200" s="27"/>
      <c r="C200" s="32"/>
      <c r="D200" s="29"/>
      <c r="E200" s="32"/>
    </row>
    <row r="201" spans="1:5" x14ac:dyDescent="0.3">
      <c r="A201" s="27"/>
      <c r="B201" s="27"/>
      <c r="C201" s="32"/>
      <c r="D201" s="29"/>
      <c r="E201" s="32"/>
    </row>
    <row r="202" spans="1:5" x14ac:dyDescent="0.3">
      <c r="A202" s="27"/>
      <c r="B202" s="27"/>
      <c r="C202" s="32"/>
      <c r="D202" s="29"/>
      <c r="E202" s="32"/>
    </row>
    <row r="203" spans="1:5" x14ac:dyDescent="0.3">
      <c r="A203" s="27"/>
      <c r="B203" s="27"/>
      <c r="C203" s="32"/>
      <c r="D203" s="29"/>
      <c r="E203" s="32"/>
    </row>
    <row r="204" spans="1:5" x14ac:dyDescent="0.3">
      <c r="A204" s="27"/>
      <c r="B204" s="27"/>
      <c r="C204" s="32"/>
      <c r="D204" s="29"/>
      <c r="E204" s="32"/>
    </row>
    <row r="205" spans="1:5" x14ac:dyDescent="0.3">
      <c r="A205" s="27"/>
      <c r="B205" s="27"/>
      <c r="C205" s="32"/>
      <c r="D205" s="29"/>
      <c r="E205" s="32"/>
    </row>
    <row r="206" spans="1:5" x14ac:dyDescent="0.3">
      <c r="A206" s="27"/>
      <c r="B206" s="27"/>
      <c r="C206" s="32"/>
      <c r="D206" s="29"/>
      <c r="E206" s="32"/>
    </row>
    <row r="207" spans="1:5" x14ac:dyDescent="0.3">
      <c r="A207" s="27"/>
      <c r="B207" s="27"/>
      <c r="C207" s="32"/>
      <c r="D207" s="29"/>
      <c r="E207" s="32"/>
    </row>
    <row r="208" spans="1:5" x14ac:dyDescent="0.3">
      <c r="A208" s="27"/>
      <c r="B208" s="27"/>
      <c r="C208" s="32"/>
      <c r="D208" s="29"/>
      <c r="E208" s="32"/>
    </row>
    <row r="209" spans="1:5" x14ac:dyDescent="0.3">
      <c r="A209" s="27"/>
      <c r="B209" s="27"/>
      <c r="C209" s="32"/>
      <c r="D209" s="29"/>
      <c r="E209" s="32"/>
    </row>
    <row r="210" spans="1:5" x14ac:dyDescent="0.3">
      <c r="A210" s="27"/>
      <c r="B210" s="27"/>
      <c r="C210" s="32"/>
      <c r="D210" s="29"/>
      <c r="E210" s="32"/>
    </row>
    <row r="211" spans="1:5" x14ac:dyDescent="0.3">
      <c r="A211" s="27"/>
      <c r="B211" s="27"/>
      <c r="C211" s="32"/>
      <c r="D211" s="29"/>
      <c r="E211" s="32"/>
    </row>
    <row r="212" spans="1:5" x14ac:dyDescent="0.3">
      <c r="A212" s="27"/>
      <c r="B212" s="27"/>
      <c r="C212" s="32"/>
      <c r="D212" s="29"/>
      <c r="E212" s="32"/>
    </row>
    <row r="213" spans="1:5" x14ac:dyDescent="0.3">
      <c r="A213" s="27"/>
      <c r="B213" s="27"/>
      <c r="C213" s="32"/>
      <c r="D213" s="29"/>
      <c r="E213" s="32"/>
    </row>
    <row r="214" spans="1:5" x14ac:dyDescent="0.3">
      <c r="A214" s="27"/>
      <c r="B214" s="27"/>
      <c r="C214" s="32"/>
      <c r="D214" s="29"/>
      <c r="E214" s="32"/>
    </row>
    <row r="215" spans="1:5" x14ac:dyDescent="0.3">
      <c r="A215" s="27"/>
      <c r="B215" s="27"/>
      <c r="C215" s="32"/>
      <c r="D215" s="29"/>
      <c r="E215" s="32"/>
    </row>
    <row r="216" spans="1:5" x14ac:dyDescent="0.3">
      <c r="A216" s="27"/>
      <c r="B216" s="27"/>
      <c r="C216" s="32"/>
      <c r="D216" s="29"/>
      <c r="E216" s="32"/>
    </row>
    <row r="217" spans="1:5" x14ac:dyDescent="0.3">
      <c r="A217" s="27"/>
      <c r="B217" s="27"/>
      <c r="C217" s="32"/>
      <c r="D217" s="29"/>
      <c r="E217" s="32"/>
    </row>
    <row r="218" spans="1:5" x14ac:dyDescent="0.3">
      <c r="A218" s="27"/>
      <c r="B218" s="27"/>
      <c r="C218" s="32"/>
      <c r="D218" s="29"/>
      <c r="E218" s="32"/>
    </row>
    <row r="219" spans="1:5" x14ac:dyDescent="0.3">
      <c r="A219" s="27"/>
      <c r="B219" s="27"/>
      <c r="C219" s="32"/>
      <c r="D219" s="29"/>
      <c r="E219" s="32"/>
    </row>
    <row r="220" spans="1:5" x14ac:dyDescent="0.3">
      <c r="A220" s="27"/>
      <c r="B220" s="27"/>
      <c r="C220" s="32"/>
      <c r="D220" s="29"/>
      <c r="E220" s="32"/>
    </row>
    <row r="221" spans="1:5" x14ac:dyDescent="0.3">
      <c r="A221" s="27"/>
      <c r="B221" s="27"/>
      <c r="C221" s="32"/>
      <c r="D221" s="29"/>
      <c r="E221" s="32"/>
    </row>
    <row r="222" spans="1:5" x14ac:dyDescent="0.3">
      <c r="A222" s="27"/>
      <c r="B222" s="27"/>
      <c r="C222" s="32"/>
      <c r="D222" s="29"/>
      <c r="E222" s="32"/>
    </row>
    <row r="223" spans="1:5" x14ac:dyDescent="0.3">
      <c r="A223" s="27"/>
      <c r="B223" s="27"/>
      <c r="C223" s="32"/>
      <c r="D223" s="29"/>
      <c r="E223" s="32"/>
    </row>
    <row r="224" spans="1:5" x14ac:dyDescent="0.3">
      <c r="A224" s="27"/>
      <c r="B224" s="27"/>
      <c r="C224" s="32"/>
      <c r="D224" s="29"/>
      <c r="E224" s="32"/>
    </row>
    <row r="225" spans="1:5" x14ac:dyDescent="0.3">
      <c r="A225" s="27"/>
      <c r="B225" s="27"/>
      <c r="C225" s="32"/>
      <c r="D225" s="29"/>
      <c r="E225" s="32"/>
    </row>
    <row r="226" spans="1:5" x14ac:dyDescent="0.3">
      <c r="A226" s="27"/>
      <c r="B226" s="27"/>
      <c r="C226" s="32"/>
      <c r="D226" s="29"/>
      <c r="E226" s="32"/>
    </row>
    <row r="227" spans="1:5" x14ac:dyDescent="0.3">
      <c r="A227" s="27"/>
      <c r="B227" s="27"/>
      <c r="C227" s="32"/>
      <c r="D227" s="29"/>
      <c r="E227" s="32"/>
    </row>
    <row r="228" spans="1:5" x14ac:dyDescent="0.3">
      <c r="A228" s="27"/>
      <c r="B228" s="27"/>
      <c r="C228" s="32"/>
      <c r="D228" s="29"/>
      <c r="E228" s="32"/>
    </row>
    <row r="229" spans="1:5" x14ac:dyDescent="0.3">
      <c r="A229" s="27"/>
      <c r="B229" s="27"/>
      <c r="C229" s="32"/>
      <c r="D229" s="29"/>
      <c r="E229" s="32"/>
    </row>
    <row r="230" spans="1:5" x14ac:dyDescent="0.3">
      <c r="A230" s="27"/>
      <c r="B230" s="27"/>
      <c r="C230" s="32"/>
      <c r="D230" s="29"/>
      <c r="E230" s="32"/>
    </row>
    <row r="231" spans="1:5" x14ac:dyDescent="0.3">
      <c r="A231" s="27"/>
      <c r="B231" s="27"/>
      <c r="C231" s="32"/>
      <c r="D231" s="29"/>
      <c r="E231" s="32"/>
    </row>
    <row r="232" spans="1:5" x14ac:dyDescent="0.3">
      <c r="A232" s="27"/>
      <c r="B232" s="27"/>
      <c r="C232" s="32"/>
      <c r="D232" s="29"/>
      <c r="E232" s="32"/>
    </row>
    <row r="233" spans="1:5" x14ac:dyDescent="0.3">
      <c r="A233" s="27"/>
      <c r="B233" s="27"/>
      <c r="C233" s="32"/>
      <c r="D233" s="29"/>
      <c r="E233" s="32"/>
    </row>
    <row r="234" spans="1:5" x14ac:dyDescent="0.3">
      <c r="A234" s="27"/>
      <c r="B234" s="27"/>
      <c r="C234" s="32"/>
      <c r="D234" s="29"/>
      <c r="E234" s="32"/>
    </row>
    <row r="235" spans="1:5" x14ac:dyDescent="0.3">
      <c r="A235" s="27"/>
      <c r="B235" s="27"/>
      <c r="C235" s="32"/>
      <c r="D235" s="29"/>
      <c r="E235" s="32"/>
    </row>
    <row r="236" spans="1:5" x14ac:dyDescent="0.3">
      <c r="A236" s="27"/>
      <c r="B236" s="27"/>
      <c r="C236" s="32"/>
      <c r="D236" s="29"/>
      <c r="E236" s="32"/>
    </row>
    <row r="237" spans="1:5" x14ac:dyDescent="0.3">
      <c r="A237" s="27"/>
      <c r="B237" s="27"/>
      <c r="C237" s="32"/>
      <c r="D237" s="29"/>
      <c r="E237" s="32"/>
    </row>
    <row r="238" spans="1:5" x14ac:dyDescent="0.3">
      <c r="A238" s="27"/>
      <c r="B238" s="27"/>
      <c r="C238" s="32"/>
      <c r="D238" s="29"/>
      <c r="E238" s="32"/>
    </row>
    <row r="239" spans="1:5" x14ac:dyDescent="0.3">
      <c r="A239" s="27"/>
      <c r="B239" s="27"/>
      <c r="C239" s="32"/>
      <c r="D239" s="29"/>
      <c r="E239" s="32"/>
    </row>
    <row r="240" spans="1:5" x14ac:dyDescent="0.3">
      <c r="A240" s="27"/>
      <c r="B240" s="27"/>
      <c r="C240" s="32"/>
      <c r="D240" s="29"/>
      <c r="E240" s="32"/>
    </row>
    <row r="241" spans="1:5" x14ac:dyDescent="0.3">
      <c r="A241" s="27"/>
      <c r="B241" s="27"/>
      <c r="C241" s="32"/>
      <c r="D241" s="29"/>
      <c r="E241" s="32"/>
    </row>
    <row r="242" spans="1:5" x14ac:dyDescent="0.3">
      <c r="A242" s="27"/>
      <c r="B242" s="27"/>
      <c r="C242" s="32"/>
      <c r="D242" s="29"/>
      <c r="E242" s="32"/>
    </row>
    <row r="243" spans="1:5" x14ac:dyDescent="0.3">
      <c r="A243" s="27"/>
      <c r="B243" s="27"/>
      <c r="C243" s="32"/>
      <c r="D243" s="29"/>
      <c r="E243" s="32"/>
    </row>
    <row r="244" spans="1:5" x14ac:dyDescent="0.3">
      <c r="A244" s="27"/>
      <c r="B244" s="27"/>
      <c r="C244" s="32"/>
      <c r="D244" s="29"/>
      <c r="E244" s="32"/>
    </row>
    <row r="245" spans="1:5" x14ac:dyDescent="0.3">
      <c r="A245" s="27"/>
      <c r="B245" s="27"/>
      <c r="C245" s="32"/>
      <c r="D245" s="29"/>
      <c r="E245" s="32"/>
    </row>
    <row r="246" spans="1:5" x14ac:dyDescent="0.3">
      <c r="A246" s="27"/>
      <c r="B246" s="27"/>
      <c r="C246" s="32"/>
      <c r="D246" s="29"/>
      <c r="E246" s="32"/>
    </row>
    <row r="247" spans="1:5" x14ac:dyDescent="0.3">
      <c r="A247" s="27"/>
      <c r="B247" s="27"/>
      <c r="C247" s="32"/>
      <c r="D247" s="29"/>
      <c r="E247" s="32"/>
    </row>
    <row r="248" spans="1:5" x14ac:dyDescent="0.3">
      <c r="A248" s="27"/>
      <c r="B248" s="27"/>
      <c r="C248" s="32"/>
      <c r="D248" s="29"/>
      <c r="E248" s="32"/>
    </row>
    <row r="249" spans="1:5" x14ac:dyDescent="0.3">
      <c r="A249" s="27"/>
      <c r="B249" s="27"/>
      <c r="C249" s="32"/>
      <c r="D249" s="29"/>
      <c r="E249" s="32"/>
    </row>
    <row r="250" spans="1:5" x14ac:dyDescent="0.3">
      <c r="A250" s="27"/>
      <c r="B250" s="27"/>
      <c r="C250" s="32"/>
      <c r="D250" s="29"/>
      <c r="E250" s="32"/>
    </row>
    <row r="251" spans="1:5" x14ac:dyDescent="0.3">
      <c r="A251" s="27"/>
      <c r="B251" s="27"/>
      <c r="C251" s="32"/>
      <c r="D251" s="29"/>
      <c r="E251" s="32"/>
    </row>
    <row r="252" spans="1:5" x14ac:dyDescent="0.3">
      <c r="A252" s="27"/>
      <c r="B252" s="27"/>
      <c r="C252" s="32"/>
      <c r="D252" s="29"/>
      <c r="E252" s="32"/>
    </row>
    <row r="253" spans="1:5" x14ac:dyDescent="0.3">
      <c r="A253" s="27"/>
      <c r="B253" s="27"/>
      <c r="C253" s="32"/>
      <c r="D253" s="29"/>
      <c r="E253" s="32"/>
    </row>
    <row r="254" spans="1:5" x14ac:dyDescent="0.3">
      <c r="A254" s="27"/>
      <c r="B254" s="27"/>
      <c r="C254" s="32"/>
      <c r="D254" s="29"/>
      <c r="E254" s="32"/>
    </row>
    <row r="255" spans="1:5" x14ac:dyDescent="0.3">
      <c r="A255" s="27"/>
      <c r="B255" s="27"/>
      <c r="C255" s="32"/>
      <c r="D255" s="29"/>
      <c r="E255" s="32"/>
    </row>
    <row r="256" spans="1:5" x14ac:dyDescent="0.3">
      <c r="A256" s="27"/>
      <c r="B256" s="27"/>
      <c r="C256" s="32"/>
      <c r="D256" s="29"/>
      <c r="E256" s="32"/>
    </row>
    <row r="257" spans="1:5" x14ac:dyDescent="0.3">
      <c r="A257" s="27"/>
      <c r="B257" s="27"/>
      <c r="C257" s="32"/>
      <c r="D257" s="29"/>
      <c r="E257" s="32"/>
    </row>
    <row r="258" spans="1:5" x14ac:dyDescent="0.3">
      <c r="A258" s="27"/>
      <c r="B258" s="27"/>
      <c r="C258" s="32"/>
      <c r="D258" s="29"/>
      <c r="E258" s="32"/>
    </row>
    <row r="259" spans="1:5" x14ac:dyDescent="0.3">
      <c r="A259" s="27"/>
      <c r="B259" s="27"/>
      <c r="C259" s="32"/>
      <c r="D259" s="29"/>
      <c r="E259" s="32"/>
    </row>
    <row r="260" spans="1:5" x14ac:dyDescent="0.3">
      <c r="A260" s="27"/>
      <c r="B260" s="27"/>
      <c r="C260" s="32"/>
      <c r="D260" s="29"/>
      <c r="E260" s="32"/>
    </row>
    <row r="261" spans="1:5" x14ac:dyDescent="0.3">
      <c r="A261" s="27"/>
      <c r="B261" s="27"/>
      <c r="C261" s="32"/>
      <c r="D261" s="29"/>
      <c r="E261" s="32"/>
    </row>
    <row r="262" spans="1:5" x14ac:dyDescent="0.3">
      <c r="A262" s="27"/>
      <c r="B262" s="27"/>
      <c r="C262" s="32"/>
      <c r="D262" s="29"/>
      <c r="E262" s="32"/>
    </row>
    <row r="263" spans="1:5" x14ac:dyDescent="0.3">
      <c r="A263" s="27"/>
      <c r="B263" s="27"/>
      <c r="C263" s="32"/>
      <c r="D263" s="29"/>
      <c r="E263" s="32"/>
    </row>
    <row r="264" spans="1:5" x14ac:dyDescent="0.3">
      <c r="A264" s="27"/>
      <c r="B264" s="27"/>
      <c r="C264" s="32"/>
      <c r="D264" s="29"/>
      <c r="E264" s="32"/>
    </row>
    <row r="265" spans="1:5" x14ac:dyDescent="0.3">
      <c r="A265" s="27"/>
      <c r="B265" s="27"/>
      <c r="C265" s="32"/>
      <c r="D265" s="29"/>
      <c r="E265" s="32"/>
    </row>
    <row r="266" spans="1:5" x14ac:dyDescent="0.3">
      <c r="A266" s="27"/>
      <c r="B266" s="27"/>
      <c r="C266" s="32"/>
      <c r="D266" s="29"/>
      <c r="E266" s="32"/>
    </row>
    <row r="267" spans="1:5" x14ac:dyDescent="0.3">
      <c r="A267" s="27"/>
      <c r="B267" s="27"/>
      <c r="C267" s="32"/>
      <c r="D267" s="29"/>
      <c r="E267" s="32"/>
    </row>
    <row r="268" spans="1:5" x14ac:dyDescent="0.3">
      <c r="A268" s="27"/>
      <c r="B268" s="27"/>
      <c r="C268" s="32"/>
      <c r="D268" s="29"/>
      <c r="E268" s="32"/>
    </row>
    <row r="269" spans="1:5" x14ac:dyDescent="0.3">
      <c r="A269" s="27"/>
      <c r="B269" s="27"/>
      <c r="C269" s="32"/>
      <c r="D269" s="29"/>
      <c r="E269" s="32"/>
    </row>
    <row r="270" spans="1:5" x14ac:dyDescent="0.3">
      <c r="A270" s="27"/>
      <c r="B270" s="27"/>
      <c r="C270" s="32"/>
      <c r="D270" s="29"/>
      <c r="E270" s="32"/>
    </row>
    <row r="271" spans="1:5" x14ac:dyDescent="0.3">
      <c r="A271" s="27"/>
      <c r="B271" s="27"/>
      <c r="C271" s="32"/>
      <c r="D271" s="29"/>
      <c r="E271" s="32"/>
    </row>
    <row r="272" spans="1:5" x14ac:dyDescent="0.3">
      <c r="A272" s="27"/>
      <c r="B272" s="27"/>
      <c r="C272" s="32"/>
      <c r="D272" s="29"/>
      <c r="E272" s="32"/>
    </row>
    <row r="273" spans="1:5" x14ac:dyDescent="0.3">
      <c r="A273" s="27"/>
      <c r="B273" s="27"/>
      <c r="C273" s="32"/>
      <c r="D273" s="29"/>
      <c r="E273" s="32"/>
    </row>
    <row r="274" spans="1:5" x14ac:dyDescent="0.3">
      <c r="A274" s="27"/>
      <c r="B274" s="27"/>
      <c r="C274" s="32"/>
      <c r="D274" s="29"/>
      <c r="E274" s="32"/>
    </row>
    <row r="275" spans="1:5" x14ac:dyDescent="0.3">
      <c r="A275" s="27"/>
      <c r="B275" s="27"/>
      <c r="C275" s="32"/>
      <c r="D275" s="29"/>
      <c r="E275" s="32"/>
    </row>
    <row r="276" spans="1:5" x14ac:dyDescent="0.3">
      <c r="A276" s="27"/>
      <c r="B276" s="27"/>
      <c r="C276" s="32"/>
      <c r="D276" s="29"/>
      <c r="E276" s="32"/>
    </row>
    <row r="277" spans="1:5" x14ac:dyDescent="0.3">
      <c r="A277" s="27"/>
      <c r="B277" s="27"/>
      <c r="C277" s="32"/>
      <c r="D277" s="29"/>
      <c r="E277" s="32"/>
    </row>
    <row r="278" spans="1:5" x14ac:dyDescent="0.3">
      <c r="A278" s="27"/>
      <c r="B278" s="27"/>
      <c r="C278" s="32"/>
      <c r="D278" s="29"/>
      <c r="E278" s="32"/>
    </row>
    <row r="279" spans="1:5" x14ac:dyDescent="0.3">
      <c r="A279" s="27"/>
      <c r="B279" s="27"/>
      <c r="C279" s="32"/>
      <c r="D279" s="29"/>
      <c r="E279" s="32"/>
    </row>
    <row r="280" spans="1:5" x14ac:dyDescent="0.3">
      <c r="A280" s="27"/>
      <c r="B280" s="27"/>
      <c r="C280" s="32"/>
      <c r="D280" s="29"/>
      <c r="E280" s="32"/>
    </row>
    <row r="281" spans="1:5" x14ac:dyDescent="0.3">
      <c r="A281" s="27"/>
      <c r="B281" s="27"/>
      <c r="C281" s="32"/>
      <c r="D281" s="29"/>
      <c r="E281" s="32"/>
    </row>
    <row r="282" spans="1:5" x14ac:dyDescent="0.3">
      <c r="A282" s="27"/>
      <c r="B282" s="27"/>
      <c r="C282" s="32"/>
      <c r="D282" s="29"/>
      <c r="E282" s="32"/>
    </row>
    <row r="283" spans="1:5" x14ac:dyDescent="0.3">
      <c r="A283" s="27"/>
      <c r="B283" s="27"/>
      <c r="C283" s="32"/>
      <c r="D283" s="29"/>
      <c r="E283" s="32"/>
    </row>
    <row r="284" spans="1:5" x14ac:dyDescent="0.3">
      <c r="A284" s="27"/>
      <c r="B284" s="27"/>
      <c r="C284" s="32"/>
      <c r="D284" s="29"/>
      <c r="E284" s="32"/>
    </row>
    <row r="285" spans="1:5" x14ac:dyDescent="0.3">
      <c r="A285" s="27"/>
      <c r="B285" s="27"/>
      <c r="C285" s="32"/>
      <c r="D285" s="29"/>
      <c r="E285" s="32"/>
    </row>
    <row r="286" spans="1:5" x14ac:dyDescent="0.3">
      <c r="A286" s="27"/>
      <c r="B286" s="27"/>
      <c r="C286" s="32"/>
      <c r="D286" s="29"/>
      <c r="E286" s="32"/>
    </row>
    <row r="287" spans="1:5" x14ac:dyDescent="0.3">
      <c r="A287" s="27"/>
      <c r="B287" s="27"/>
      <c r="C287" s="32"/>
      <c r="D287" s="29"/>
      <c r="E287" s="32"/>
    </row>
    <row r="288" spans="1:5" x14ac:dyDescent="0.3">
      <c r="A288" s="27"/>
      <c r="B288" s="27"/>
      <c r="C288" s="32"/>
      <c r="D288" s="29"/>
      <c r="E288" s="32"/>
    </row>
    <row r="289" spans="1:5" x14ac:dyDescent="0.3">
      <c r="A289" s="27"/>
      <c r="B289" s="27"/>
      <c r="C289" s="32"/>
      <c r="D289" s="29"/>
      <c r="E289" s="32"/>
    </row>
    <row r="290" spans="1:5" x14ac:dyDescent="0.3">
      <c r="A290" s="27"/>
      <c r="B290" s="27"/>
      <c r="C290" s="32"/>
      <c r="D290" s="29"/>
      <c r="E290" s="32"/>
    </row>
    <row r="291" spans="1:5" x14ac:dyDescent="0.3">
      <c r="A291" s="27"/>
      <c r="B291" s="27"/>
      <c r="C291" s="32"/>
      <c r="D291" s="29"/>
      <c r="E291" s="32"/>
    </row>
    <row r="292" spans="1:5" x14ac:dyDescent="0.3">
      <c r="A292" s="27"/>
      <c r="B292" s="27"/>
      <c r="C292" s="32"/>
      <c r="D292" s="29"/>
      <c r="E292" s="32"/>
    </row>
    <row r="293" spans="1:5" x14ac:dyDescent="0.3">
      <c r="A293" s="27"/>
      <c r="B293" s="27"/>
      <c r="C293" s="32"/>
      <c r="D293" s="29"/>
      <c r="E293" s="32"/>
    </row>
    <row r="294" spans="1:5" x14ac:dyDescent="0.3">
      <c r="A294" s="27"/>
      <c r="B294" s="27"/>
      <c r="C294" s="32"/>
      <c r="D294" s="29"/>
      <c r="E294" s="32"/>
    </row>
    <row r="295" spans="1:5" x14ac:dyDescent="0.3">
      <c r="A295" s="27"/>
      <c r="B295" s="27"/>
      <c r="C295" s="32"/>
      <c r="D295" s="29"/>
      <c r="E295" s="32"/>
    </row>
    <row r="296" spans="1:5" x14ac:dyDescent="0.3">
      <c r="A296" s="27"/>
      <c r="B296" s="27"/>
      <c r="C296" s="32"/>
      <c r="D296" s="29"/>
      <c r="E296" s="32"/>
    </row>
    <row r="297" spans="1:5" x14ac:dyDescent="0.3">
      <c r="A297" s="27"/>
      <c r="B297" s="27"/>
      <c r="C297" s="32"/>
      <c r="D297" s="29"/>
      <c r="E297" s="32"/>
    </row>
    <row r="298" spans="1:5" x14ac:dyDescent="0.3">
      <c r="A298" s="27"/>
      <c r="B298" s="27"/>
      <c r="C298" s="32"/>
      <c r="D298" s="29"/>
      <c r="E298" s="32"/>
    </row>
    <row r="299" spans="1:5" x14ac:dyDescent="0.3">
      <c r="A299" s="27"/>
      <c r="B299" s="27"/>
      <c r="C299" s="32"/>
      <c r="D299" s="29"/>
      <c r="E299" s="32"/>
    </row>
    <row r="300" spans="1:5" x14ac:dyDescent="0.3">
      <c r="A300" s="27"/>
      <c r="B300" s="27"/>
      <c r="C300" s="32"/>
      <c r="D300" s="29"/>
      <c r="E300" s="32"/>
    </row>
    <row r="301" spans="1:5" x14ac:dyDescent="0.3">
      <c r="A301" s="27"/>
      <c r="B301" s="27"/>
      <c r="C301" s="32"/>
      <c r="D301" s="29"/>
      <c r="E301" s="32"/>
    </row>
    <row r="302" spans="1:5" x14ac:dyDescent="0.3">
      <c r="A302" s="27"/>
      <c r="B302" s="27"/>
      <c r="C302" s="32"/>
      <c r="D302" s="29"/>
      <c r="E302" s="32"/>
    </row>
    <row r="303" spans="1:5" x14ac:dyDescent="0.3">
      <c r="A303" s="27"/>
      <c r="B303" s="27"/>
      <c r="C303" s="32"/>
      <c r="D303" s="29"/>
      <c r="E303" s="32"/>
    </row>
    <row r="304" spans="1:5" x14ac:dyDescent="0.3">
      <c r="A304" s="27"/>
      <c r="B304" s="27"/>
      <c r="C304" s="32"/>
      <c r="D304" s="29"/>
      <c r="E304" s="32"/>
    </row>
    <row r="305" spans="1:5" x14ac:dyDescent="0.3">
      <c r="A305" s="27"/>
      <c r="B305" s="27"/>
      <c r="C305" s="32"/>
      <c r="D305" s="29"/>
      <c r="E305" s="32"/>
    </row>
    <row r="306" spans="1:5" x14ac:dyDescent="0.3">
      <c r="A306" s="27"/>
      <c r="B306" s="27"/>
      <c r="C306" s="32"/>
      <c r="D306" s="29"/>
      <c r="E306" s="32"/>
    </row>
    <row r="307" spans="1:5" x14ac:dyDescent="0.3">
      <c r="A307" s="27"/>
      <c r="B307" s="27"/>
      <c r="C307" s="32"/>
      <c r="D307" s="29"/>
      <c r="E307" s="32"/>
    </row>
    <row r="308" spans="1:5" x14ac:dyDescent="0.3">
      <c r="A308" s="27"/>
      <c r="B308" s="27"/>
      <c r="C308" s="32"/>
      <c r="D308" s="29"/>
      <c r="E308" s="32"/>
    </row>
    <row r="309" spans="1:5" x14ac:dyDescent="0.3">
      <c r="A309" s="27"/>
      <c r="B309" s="27"/>
      <c r="C309" s="32"/>
      <c r="D309" s="29"/>
      <c r="E309" s="32"/>
    </row>
    <row r="310" spans="1:5" x14ac:dyDescent="0.3">
      <c r="A310" s="27"/>
      <c r="B310" s="27"/>
      <c r="C310" s="32"/>
      <c r="D310" s="29"/>
      <c r="E310" s="32"/>
    </row>
    <row r="311" spans="1:5" x14ac:dyDescent="0.3">
      <c r="A311" s="27"/>
      <c r="B311" s="27"/>
      <c r="C311" s="32"/>
      <c r="D311" s="29"/>
      <c r="E311" s="32"/>
    </row>
    <row r="312" spans="1:5" x14ac:dyDescent="0.3">
      <c r="A312" s="27"/>
      <c r="B312" s="27"/>
      <c r="C312" s="32"/>
      <c r="D312" s="29"/>
      <c r="E312" s="32"/>
    </row>
    <row r="313" spans="1:5" x14ac:dyDescent="0.3">
      <c r="A313" s="27"/>
      <c r="B313" s="27"/>
      <c r="C313" s="32"/>
      <c r="D313" s="29"/>
      <c r="E313" s="32"/>
    </row>
    <row r="314" spans="1:5" x14ac:dyDescent="0.3">
      <c r="A314" s="27"/>
      <c r="B314" s="27"/>
      <c r="C314" s="32"/>
      <c r="D314" s="29"/>
      <c r="E314" s="32"/>
    </row>
    <row r="315" spans="1:5" x14ac:dyDescent="0.3">
      <c r="A315" s="27"/>
      <c r="B315" s="27"/>
      <c r="C315" s="32"/>
      <c r="D315" s="29"/>
      <c r="E315" s="32"/>
    </row>
    <row r="316" spans="1:5" x14ac:dyDescent="0.3">
      <c r="A316" s="27"/>
      <c r="B316" s="27"/>
      <c r="C316" s="32"/>
      <c r="D316" s="29"/>
      <c r="E316" s="32"/>
    </row>
    <row r="317" spans="1:5" x14ac:dyDescent="0.3">
      <c r="A317" s="27"/>
      <c r="B317" s="27"/>
      <c r="C317" s="32"/>
      <c r="D317" s="29"/>
      <c r="E317" s="32"/>
    </row>
    <row r="318" spans="1:5" x14ac:dyDescent="0.3">
      <c r="A318" s="27"/>
      <c r="B318" s="27"/>
      <c r="C318" s="32"/>
      <c r="D318" s="29"/>
      <c r="E318" s="32"/>
    </row>
    <row r="319" spans="1:5" x14ac:dyDescent="0.3">
      <c r="A319" s="27"/>
      <c r="B319" s="27"/>
      <c r="C319" s="32"/>
      <c r="D319" s="29"/>
      <c r="E319" s="32"/>
    </row>
    <row r="320" spans="1:5" x14ac:dyDescent="0.3">
      <c r="A320" s="27"/>
      <c r="B320" s="27"/>
      <c r="C320" s="32"/>
      <c r="D320" s="29"/>
      <c r="E320" s="32"/>
    </row>
    <row r="321" spans="1:5" x14ac:dyDescent="0.3">
      <c r="A321" s="27"/>
      <c r="B321" s="27"/>
      <c r="C321" s="32"/>
      <c r="D321" s="29"/>
      <c r="E321" s="32"/>
    </row>
    <row r="322" spans="1:5" x14ac:dyDescent="0.3">
      <c r="A322" s="27"/>
      <c r="B322" s="27"/>
      <c r="C322" s="32"/>
      <c r="D322" s="29"/>
      <c r="E322" s="32"/>
    </row>
    <row r="323" spans="1:5" x14ac:dyDescent="0.3">
      <c r="A323" s="27"/>
      <c r="B323" s="27"/>
      <c r="C323" s="32"/>
      <c r="D323" s="29"/>
      <c r="E323" s="32"/>
    </row>
    <row r="324" spans="1:5" x14ac:dyDescent="0.3">
      <c r="A324" s="27"/>
      <c r="B324" s="27"/>
      <c r="C324" s="32"/>
      <c r="D324" s="29"/>
      <c r="E324" s="32"/>
    </row>
    <row r="325" spans="1:5" x14ac:dyDescent="0.3">
      <c r="A325" s="27"/>
      <c r="B325" s="27"/>
      <c r="C325" s="32"/>
      <c r="D325" s="29"/>
      <c r="E325" s="32"/>
    </row>
    <row r="326" spans="1:5" x14ac:dyDescent="0.3">
      <c r="A326" s="27"/>
      <c r="B326" s="27"/>
      <c r="C326" s="32"/>
      <c r="D326" s="29"/>
      <c r="E326" s="32"/>
    </row>
    <row r="327" spans="1:5" x14ac:dyDescent="0.3">
      <c r="A327" s="27"/>
      <c r="B327" s="27"/>
      <c r="C327" s="32"/>
      <c r="D327" s="29"/>
      <c r="E327" s="32"/>
    </row>
    <row r="328" spans="1:5" x14ac:dyDescent="0.3">
      <c r="A328" s="27"/>
      <c r="B328" s="27"/>
      <c r="C328" s="32"/>
      <c r="D328" s="29"/>
      <c r="E328" s="32"/>
    </row>
    <row r="329" spans="1:5" x14ac:dyDescent="0.3">
      <c r="A329" s="27"/>
      <c r="B329" s="27"/>
      <c r="C329" s="32"/>
      <c r="D329" s="29"/>
      <c r="E329" s="32"/>
    </row>
    <row r="330" spans="1:5" x14ac:dyDescent="0.3">
      <c r="A330" s="27"/>
      <c r="B330" s="27"/>
      <c r="C330" s="32"/>
      <c r="D330" s="29"/>
      <c r="E330" s="32"/>
    </row>
    <row r="331" spans="1:5" x14ac:dyDescent="0.3">
      <c r="A331" s="27"/>
      <c r="B331" s="27"/>
      <c r="C331" s="32"/>
      <c r="D331" s="29"/>
      <c r="E331" s="32"/>
    </row>
    <row r="332" spans="1:5" x14ac:dyDescent="0.3">
      <c r="A332" s="27"/>
      <c r="B332" s="27"/>
      <c r="C332" s="32"/>
      <c r="D332" s="29"/>
      <c r="E332" s="32"/>
    </row>
    <row r="333" spans="1:5" x14ac:dyDescent="0.3">
      <c r="A333" s="27"/>
      <c r="B333" s="27"/>
      <c r="C333" s="32"/>
      <c r="D333" s="29"/>
      <c r="E333" s="32"/>
    </row>
    <row r="334" spans="1:5" x14ac:dyDescent="0.3">
      <c r="A334" s="27"/>
      <c r="B334" s="27"/>
      <c r="C334" s="32"/>
      <c r="D334" s="29"/>
      <c r="E334" s="32"/>
    </row>
    <row r="335" spans="1:5" x14ac:dyDescent="0.3">
      <c r="A335" s="27"/>
      <c r="B335" s="27"/>
      <c r="C335" s="32"/>
      <c r="D335" s="29"/>
      <c r="E335" s="32"/>
    </row>
    <row r="336" spans="1:5" x14ac:dyDescent="0.3">
      <c r="A336" s="27"/>
      <c r="B336" s="27"/>
      <c r="C336" s="32"/>
      <c r="D336" s="29"/>
      <c r="E336" s="32"/>
    </row>
    <row r="337" spans="1:5" x14ac:dyDescent="0.3">
      <c r="A337" s="27"/>
      <c r="B337" s="27"/>
      <c r="C337" s="32"/>
      <c r="D337" s="29"/>
      <c r="E337" s="32"/>
    </row>
    <row r="338" spans="1:5" x14ac:dyDescent="0.3">
      <c r="A338" s="27"/>
      <c r="B338" s="27"/>
      <c r="C338" s="32"/>
      <c r="D338" s="29"/>
      <c r="E338" s="32"/>
    </row>
    <row r="339" spans="1:5" x14ac:dyDescent="0.3">
      <c r="A339" s="27"/>
      <c r="B339" s="27"/>
      <c r="C339" s="32"/>
      <c r="D339" s="29"/>
      <c r="E339" s="32"/>
    </row>
    <row r="340" spans="1:5" x14ac:dyDescent="0.3">
      <c r="A340" s="27"/>
      <c r="B340" s="27"/>
      <c r="C340" s="32"/>
      <c r="D340" s="29"/>
      <c r="E340" s="32"/>
    </row>
    <row r="341" spans="1:5" x14ac:dyDescent="0.3">
      <c r="A341" s="27"/>
      <c r="B341" s="27"/>
      <c r="C341" s="32"/>
      <c r="D341" s="29"/>
      <c r="E341" s="32"/>
    </row>
    <row r="342" spans="1:5" x14ac:dyDescent="0.3">
      <c r="A342" s="27"/>
      <c r="B342" s="27"/>
      <c r="C342" s="32"/>
      <c r="D342" s="29"/>
      <c r="E342" s="32"/>
    </row>
    <row r="343" spans="1:5" x14ac:dyDescent="0.3">
      <c r="A343" s="27"/>
      <c r="B343" s="27"/>
      <c r="C343" s="32"/>
      <c r="D343" s="29"/>
      <c r="E343" s="32"/>
    </row>
    <row r="344" spans="1:5" x14ac:dyDescent="0.3">
      <c r="A344" s="27"/>
      <c r="B344" s="27"/>
      <c r="C344" s="32"/>
      <c r="D344" s="29"/>
      <c r="E344" s="32"/>
    </row>
    <row r="345" spans="1:5" x14ac:dyDescent="0.3">
      <c r="A345" s="27"/>
      <c r="B345" s="27"/>
      <c r="C345" s="32"/>
      <c r="D345" s="29"/>
      <c r="E345" s="32"/>
    </row>
    <row r="346" spans="1:5" x14ac:dyDescent="0.3">
      <c r="A346" s="27"/>
      <c r="B346" s="27"/>
      <c r="C346" s="32"/>
      <c r="D346" s="29"/>
      <c r="E346" s="32"/>
    </row>
    <row r="347" spans="1:5" x14ac:dyDescent="0.3">
      <c r="A347" s="27"/>
      <c r="B347" s="27"/>
      <c r="C347" s="32"/>
      <c r="D347" s="29"/>
      <c r="E347" s="32"/>
    </row>
    <row r="348" spans="1:5" x14ac:dyDescent="0.3">
      <c r="A348" s="27"/>
      <c r="B348" s="27"/>
      <c r="C348" s="32"/>
      <c r="D348" s="29"/>
      <c r="E348" s="32"/>
    </row>
    <row r="349" spans="1:5" x14ac:dyDescent="0.3">
      <c r="A349" s="27"/>
      <c r="B349" s="27"/>
      <c r="C349" s="32"/>
      <c r="D349" s="29"/>
      <c r="E349" s="32"/>
    </row>
    <row r="350" spans="1:5" x14ac:dyDescent="0.3">
      <c r="A350" s="27"/>
      <c r="B350" s="27"/>
      <c r="C350" s="32"/>
      <c r="D350" s="29"/>
      <c r="E350" s="32"/>
    </row>
    <row r="351" spans="1:5" x14ac:dyDescent="0.3">
      <c r="A351" s="27"/>
      <c r="B351" s="27"/>
      <c r="C351" s="32"/>
      <c r="D351" s="29"/>
      <c r="E351" s="32"/>
    </row>
    <row r="352" spans="1:5" x14ac:dyDescent="0.3">
      <c r="A352" s="27"/>
      <c r="B352" s="27"/>
      <c r="C352" s="32"/>
      <c r="D352" s="29"/>
      <c r="E352" s="32"/>
    </row>
    <row r="353" spans="1:5" x14ac:dyDescent="0.3">
      <c r="A353" s="27"/>
      <c r="B353" s="27"/>
      <c r="C353" s="32"/>
      <c r="D353" s="29"/>
      <c r="E353" s="32"/>
    </row>
    <row r="354" spans="1:5" x14ac:dyDescent="0.3">
      <c r="A354" s="27"/>
      <c r="B354" s="27"/>
      <c r="C354" s="32"/>
      <c r="D354" s="29"/>
      <c r="E354" s="32"/>
    </row>
    <row r="355" spans="1:5" x14ac:dyDescent="0.3">
      <c r="A355" s="27"/>
      <c r="B355" s="27"/>
      <c r="C355" s="32"/>
      <c r="D355" s="29"/>
      <c r="E355" s="32"/>
    </row>
    <row r="356" spans="1:5" x14ac:dyDescent="0.3">
      <c r="A356" s="27"/>
      <c r="B356" s="27"/>
      <c r="C356" s="32"/>
      <c r="D356" s="29"/>
      <c r="E356" s="32"/>
    </row>
    <row r="357" spans="1:5" x14ac:dyDescent="0.3">
      <c r="A357" s="27"/>
      <c r="B357" s="27"/>
      <c r="C357" s="32"/>
      <c r="D357" s="29"/>
      <c r="E357" s="32"/>
    </row>
    <row r="358" spans="1:5" x14ac:dyDescent="0.3">
      <c r="A358" s="27"/>
      <c r="B358" s="27"/>
      <c r="C358" s="32"/>
      <c r="D358" s="29"/>
      <c r="E358" s="32"/>
    </row>
    <row r="359" spans="1:5" x14ac:dyDescent="0.3">
      <c r="A359" s="27"/>
      <c r="B359" s="27"/>
      <c r="C359" s="32"/>
      <c r="D359" s="29"/>
      <c r="E359" s="32"/>
    </row>
    <row r="360" spans="1:5" x14ac:dyDescent="0.3">
      <c r="A360" s="27"/>
      <c r="B360" s="27"/>
      <c r="C360" s="32"/>
      <c r="D360" s="29"/>
      <c r="E360" s="32"/>
    </row>
    <row r="361" spans="1:5" x14ac:dyDescent="0.3">
      <c r="A361" s="27"/>
      <c r="B361" s="27"/>
      <c r="C361" s="32"/>
      <c r="D361" s="29"/>
      <c r="E361" s="32"/>
    </row>
    <row r="362" spans="1:5" x14ac:dyDescent="0.3">
      <c r="A362" s="27"/>
      <c r="B362" s="27"/>
      <c r="C362" s="32"/>
      <c r="D362" s="29"/>
      <c r="E362" s="32"/>
    </row>
    <row r="363" spans="1:5" x14ac:dyDescent="0.3">
      <c r="A363" s="27"/>
      <c r="B363" s="27"/>
      <c r="C363" s="32"/>
      <c r="D363" s="29"/>
      <c r="E363" s="32"/>
    </row>
    <row r="364" spans="1:5" x14ac:dyDescent="0.3">
      <c r="A364" s="27"/>
      <c r="B364" s="27"/>
      <c r="C364" s="32"/>
      <c r="D364" s="29"/>
      <c r="E364" s="32"/>
    </row>
    <row r="365" spans="1:5" x14ac:dyDescent="0.3">
      <c r="A365" s="27"/>
      <c r="B365" s="27"/>
      <c r="C365" s="32"/>
      <c r="D365" s="29"/>
      <c r="E365" s="32"/>
    </row>
    <row r="366" spans="1:5" x14ac:dyDescent="0.3">
      <c r="A366" s="27"/>
      <c r="B366" s="27"/>
      <c r="C366" s="32"/>
      <c r="D366" s="29"/>
      <c r="E366" s="32"/>
    </row>
    <row r="367" spans="1:5" x14ac:dyDescent="0.3">
      <c r="A367" s="27"/>
      <c r="B367" s="27"/>
      <c r="C367" s="32"/>
      <c r="D367" s="29"/>
      <c r="E367" s="32"/>
    </row>
    <row r="368" spans="1:5" x14ac:dyDescent="0.3">
      <c r="A368" s="27"/>
      <c r="B368" s="27"/>
      <c r="C368" s="32"/>
      <c r="D368" s="29"/>
      <c r="E368" s="32"/>
    </row>
    <row r="369" spans="1:5" x14ac:dyDescent="0.3">
      <c r="A369" s="26"/>
      <c r="B369" s="26"/>
      <c r="C369" s="33"/>
      <c r="D369" s="30"/>
      <c r="E369" s="33"/>
    </row>
    <row r="370" spans="1:5" x14ac:dyDescent="0.3">
      <c r="A370" s="26"/>
      <c r="B370" s="26"/>
      <c r="C370" s="33"/>
      <c r="D370" s="30"/>
      <c r="E370" s="33"/>
    </row>
    <row r="371" spans="1:5" x14ac:dyDescent="0.3">
      <c r="A371" s="26"/>
      <c r="B371" s="26"/>
      <c r="C371" s="33"/>
      <c r="D371" s="30"/>
      <c r="E371" s="33"/>
    </row>
    <row r="372" spans="1:5" x14ac:dyDescent="0.3">
      <c r="A372" s="26"/>
      <c r="B372" s="26"/>
      <c r="C372" s="33"/>
      <c r="D372" s="30"/>
      <c r="E372" s="33"/>
    </row>
    <row r="373" spans="1:5" x14ac:dyDescent="0.3">
      <c r="A373" s="26"/>
      <c r="B373" s="26"/>
      <c r="C373" s="33"/>
      <c r="D373" s="30"/>
      <c r="E373" s="33"/>
    </row>
    <row r="374" spans="1:5" x14ac:dyDescent="0.3">
      <c r="A374" s="26"/>
      <c r="B374" s="26"/>
      <c r="C374" s="33"/>
      <c r="D374" s="30"/>
      <c r="E374" s="33"/>
    </row>
    <row r="375" spans="1:5" x14ac:dyDescent="0.3">
      <c r="A375" s="26"/>
      <c r="B375" s="26"/>
      <c r="C375" s="33"/>
      <c r="D375" s="30"/>
      <c r="E375" s="33"/>
    </row>
    <row r="376" spans="1:5" x14ac:dyDescent="0.3">
      <c r="A376" s="26"/>
      <c r="B376" s="26"/>
      <c r="C376" s="33"/>
      <c r="D376" s="30"/>
      <c r="E376" s="33"/>
    </row>
    <row r="377" spans="1:5" x14ac:dyDescent="0.3">
      <c r="A377" s="26"/>
      <c r="B377" s="26"/>
      <c r="C377" s="33"/>
      <c r="D377" s="30"/>
      <c r="E377" s="33"/>
    </row>
    <row r="378" spans="1:5" x14ac:dyDescent="0.3">
      <c r="A378" s="26"/>
      <c r="B378" s="26"/>
      <c r="C378" s="33"/>
      <c r="D378" s="30"/>
      <c r="E378" s="33"/>
    </row>
  </sheetData>
  <mergeCells count="5">
    <mergeCell ref="A2:E2"/>
    <mergeCell ref="A3:E3"/>
    <mergeCell ref="D5:E5"/>
    <mergeCell ref="D6:E6"/>
    <mergeCell ref="D7:E7"/>
  </mergeCells>
  <conditionalFormatting sqref="A10:E49">
    <cfRule type="expression" dxfId="0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4:AA69"/>
  <sheetViews>
    <sheetView showGridLines="0" workbookViewId="0">
      <selection activeCell="A7" sqref="A7:J7"/>
    </sheetView>
  </sheetViews>
  <sheetFormatPr defaultRowHeight="14.4" x14ac:dyDescent="0.3"/>
  <cols>
    <col min="1" max="1" width="15.21875" bestFit="1" customWidth="1"/>
    <col min="2" max="2" width="13.33203125" style="69" customWidth="1"/>
    <col min="3" max="3" width="35" customWidth="1"/>
    <col min="4" max="4" width="9.109375" customWidth="1"/>
    <col min="5" max="5" width="13" style="71" customWidth="1"/>
    <col min="6" max="6" width="6.33203125" style="83" customWidth="1"/>
    <col min="7" max="7" width="5.33203125" style="83" customWidth="1"/>
    <col min="8" max="8" width="7.5546875" style="84" bestFit="1" customWidth="1"/>
    <col min="9" max="9" width="11.88671875" style="71" bestFit="1" customWidth="1"/>
    <col min="10" max="10" width="14" style="71" bestFit="1" customWidth="1"/>
    <col min="12" max="12" width="10.88671875" style="2" customWidth="1"/>
    <col min="13" max="13" width="9.109375" style="2"/>
    <col min="15" max="16" width="12.109375" bestFit="1" customWidth="1"/>
    <col min="18" max="18" width="15.21875" bestFit="1" customWidth="1"/>
    <col min="19" max="19" width="10.77734375" bestFit="1" customWidth="1"/>
    <col min="20" max="20" width="28.21875" bestFit="1" customWidth="1"/>
    <col min="21" max="21" width="6" bestFit="1" customWidth="1"/>
    <col min="22" max="22" width="12.109375" bestFit="1" customWidth="1"/>
    <col min="23" max="23" width="4.33203125" bestFit="1" customWidth="1"/>
    <col min="24" max="24" width="3.6640625" bestFit="1" customWidth="1"/>
    <col min="25" max="25" width="7.5546875" bestFit="1" customWidth="1"/>
    <col min="26" max="26" width="9.5546875" bestFit="1" customWidth="1"/>
    <col min="27" max="27" width="11.33203125" bestFit="1" customWidth="1"/>
  </cols>
  <sheetData>
    <row r="4" spans="1:27" ht="15" x14ac:dyDescent="0.35">
      <c r="A4" s="12" t="s">
        <v>1</v>
      </c>
      <c r="B4" s="68" t="s">
        <v>28</v>
      </c>
      <c r="C4" s="12" t="s">
        <v>2</v>
      </c>
      <c r="D4" s="12" t="s">
        <v>13</v>
      </c>
      <c r="E4" s="70" t="s">
        <v>3</v>
      </c>
      <c r="F4" s="81" t="s">
        <v>5</v>
      </c>
      <c r="G4" s="81" t="s">
        <v>4</v>
      </c>
      <c r="H4" s="82" t="s">
        <v>15</v>
      </c>
      <c r="I4" s="70" t="s">
        <v>16</v>
      </c>
      <c r="J4" s="70" t="s">
        <v>6</v>
      </c>
      <c r="L4" s="63" t="s">
        <v>29</v>
      </c>
      <c r="M4" s="63" t="s">
        <v>31</v>
      </c>
      <c r="O4" s="85" t="s">
        <v>28</v>
      </c>
      <c r="P4" s="85" t="s">
        <v>28</v>
      </c>
      <c r="R4" s="12" t="s">
        <v>1</v>
      </c>
      <c r="S4" s="68" t="s">
        <v>28</v>
      </c>
      <c r="T4" s="12" t="s">
        <v>2</v>
      </c>
      <c r="U4" s="12" t="s">
        <v>13</v>
      </c>
      <c r="V4" s="70" t="s">
        <v>3</v>
      </c>
      <c r="W4" s="81" t="s">
        <v>5</v>
      </c>
      <c r="X4" s="81" t="s">
        <v>4</v>
      </c>
      <c r="Y4" s="82" t="s">
        <v>15</v>
      </c>
      <c r="Z4" s="70" t="s">
        <v>16</v>
      </c>
      <c r="AA4" s="70" t="s">
        <v>6</v>
      </c>
    </row>
    <row r="5" spans="1:27" x14ac:dyDescent="0.3">
      <c r="A5" t="s">
        <v>64</v>
      </c>
      <c r="B5" s="69">
        <v>44469</v>
      </c>
      <c r="C5" t="s">
        <v>65</v>
      </c>
      <c r="D5" t="s">
        <v>49</v>
      </c>
      <c r="E5" s="71">
        <v>70000</v>
      </c>
      <c r="F5" s="83">
        <v>5</v>
      </c>
      <c r="G5" s="83">
        <v>1</v>
      </c>
      <c r="H5" s="84">
        <v>0</v>
      </c>
      <c r="I5" s="71">
        <v>0</v>
      </c>
      <c r="J5" s="71">
        <v>70000</v>
      </c>
      <c r="L5" s="2" t="str">
        <f>IF(B5="","",TEXT(B5,"MMM"))</f>
        <v>Sep</v>
      </c>
      <c r="M5" s="2">
        <f>IF(B5="","",YEAR(B5))</f>
        <v>2021</v>
      </c>
      <c r="O5" s="69"/>
      <c r="P5" s="69"/>
      <c r="R5" t="s">
        <v>7</v>
      </c>
      <c r="S5" s="69">
        <v>44236</v>
      </c>
      <c r="T5" t="s">
        <v>8</v>
      </c>
      <c r="U5" t="s">
        <v>14</v>
      </c>
      <c r="V5" s="71">
        <v>20000</v>
      </c>
      <c r="W5" s="83">
        <v>8</v>
      </c>
      <c r="X5" s="83">
        <v>5</v>
      </c>
      <c r="Y5" s="84">
        <v>0</v>
      </c>
      <c r="Z5" s="71">
        <v>0</v>
      </c>
      <c r="AA5" s="71">
        <v>100000</v>
      </c>
    </row>
    <row r="6" spans="1:27" x14ac:dyDescent="0.3">
      <c r="A6" t="s">
        <v>64</v>
      </c>
      <c r="B6" s="69">
        <v>44469</v>
      </c>
      <c r="C6" t="s">
        <v>65</v>
      </c>
      <c r="D6" t="s">
        <v>49</v>
      </c>
      <c r="E6" s="71">
        <v>70000</v>
      </c>
      <c r="F6" s="83">
        <v>5</v>
      </c>
      <c r="G6" s="83">
        <v>1</v>
      </c>
      <c r="H6" s="84">
        <v>0</v>
      </c>
      <c r="I6" s="71">
        <v>0</v>
      </c>
      <c r="J6" s="71">
        <v>70000</v>
      </c>
      <c r="L6" s="2" t="str">
        <f t="shared" ref="L6:L69" si="0">IF(B6="","",TEXT(B6,"MMM"))</f>
        <v>Sep</v>
      </c>
      <c r="M6" s="2">
        <f t="shared" ref="M6:M69" si="1">IF(B6="","",YEAR(B6))</f>
        <v>2021</v>
      </c>
      <c r="R6" t="s">
        <v>9</v>
      </c>
      <c r="S6" s="69">
        <v>44237</v>
      </c>
      <c r="T6" t="s">
        <v>10</v>
      </c>
      <c r="U6" t="s">
        <v>14</v>
      </c>
      <c r="V6" s="71">
        <v>26000</v>
      </c>
      <c r="W6" s="83">
        <v>6</v>
      </c>
      <c r="X6" s="83">
        <v>3</v>
      </c>
      <c r="Y6" s="84">
        <v>0</v>
      </c>
      <c r="Z6" s="71">
        <v>0</v>
      </c>
      <c r="AA6" s="71">
        <v>78000</v>
      </c>
    </row>
    <row r="7" spans="1:27" x14ac:dyDescent="0.3">
      <c r="A7" t="s">
        <v>94</v>
      </c>
      <c r="B7" s="69">
        <v>44470</v>
      </c>
      <c r="C7" t="s">
        <v>95</v>
      </c>
      <c r="D7" t="s">
        <v>49</v>
      </c>
      <c r="E7" s="71">
        <v>47000</v>
      </c>
      <c r="F7" s="83">
        <v>1</v>
      </c>
      <c r="G7" s="83">
        <v>1</v>
      </c>
      <c r="H7" s="84">
        <v>0</v>
      </c>
      <c r="I7" s="71">
        <v>0</v>
      </c>
      <c r="J7" s="71">
        <v>47000</v>
      </c>
      <c r="L7" s="2" t="str">
        <f t="shared" si="0"/>
        <v>Oct</v>
      </c>
      <c r="M7" s="2">
        <f t="shared" si="1"/>
        <v>2021</v>
      </c>
      <c r="R7" t="s">
        <v>7</v>
      </c>
      <c r="S7" s="69">
        <v>44266</v>
      </c>
      <c r="T7" t="s">
        <v>8</v>
      </c>
      <c r="U7" t="s">
        <v>14</v>
      </c>
      <c r="V7" s="71">
        <v>20000</v>
      </c>
      <c r="W7" s="83">
        <v>8</v>
      </c>
      <c r="X7" s="83">
        <v>5</v>
      </c>
      <c r="Y7" s="84">
        <v>0</v>
      </c>
      <c r="Z7" s="71">
        <v>0</v>
      </c>
      <c r="AA7" s="71">
        <v>100000</v>
      </c>
    </row>
    <row r="8" spans="1:27" x14ac:dyDescent="0.3">
      <c r="L8" s="2" t="str">
        <f t="shared" si="0"/>
        <v/>
      </c>
      <c r="M8" s="2" t="str">
        <f t="shared" si="1"/>
        <v/>
      </c>
      <c r="R8" t="s">
        <v>9</v>
      </c>
      <c r="S8" s="69">
        <v>44267</v>
      </c>
      <c r="T8" t="s">
        <v>10</v>
      </c>
      <c r="U8" t="s">
        <v>14</v>
      </c>
      <c r="V8" s="71">
        <v>26000</v>
      </c>
      <c r="W8" s="83">
        <v>6</v>
      </c>
      <c r="X8" s="83">
        <v>3</v>
      </c>
      <c r="Y8" s="84">
        <v>0</v>
      </c>
      <c r="Z8" s="71">
        <v>0</v>
      </c>
      <c r="AA8" s="71">
        <v>78000</v>
      </c>
    </row>
    <row r="9" spans="1:27" x14ac:dyDescent="0.3">
      <c r="L9" s="2" t="str">
        <f t="shared" si="0"/>
        <v/>
      </c>
      <c r="M9" s="2" t="str">
        <f t="shared" si="1"/>
        <v/>
      </c>
      <c r="R9" t="s">
        <v>7</v>
      </c>
      <c r="S9" s="69">
        <v>44299</v>
      </c>
      <c r="T9" t="s">
        <v>8</v>
      </c>
      <c r="U9" t="s">
        <v>14</v>
      </c>
      <c r="V9" s="71">
        <v>20000</v>
      </c>
      <c r="W9" s="83">
        <v>3</v>
      </c>
      <c r="X9" s="83">
        <v>2</v>
      </c>
      <c r="Y9" s="84">
        <v>0.2</v>
      </c>
      <c r="Z9" s="71">
        <v>8000</v>
      </c>
      <c r="AA9" s="71">
        <v>32000</v>
      </c>
    </row>
    <row r="10" spans="1:27" x14ac:dyDescent="0.3">
      <c r="L10" s="2" t="str">
        <f t="shared" si="0"/>
        <v/>
      </c>
      <c r="M10" s="2" t="str">
        <f t="shared" si="1"/>
        <v/>
      </c>
      <c r="R10" t="s">
        <v>7</v>
      </c>
      <c r="S10" s="69">
        <v>44301</v>
      </c>
      <c r="T10" t="s">
        <v>8</v>
      </c>
      <c r="U10" t="s">
        <v>14</v>
      </c>
      <c r="V10" s="71">
        <v>20000</v>
      </c>
      <c r="W10" s="83">
        <v>50</v>
      </c>
      <c r="X10" s="83">
        <v>1</v>
      </c>
      <c r="Y10" s="84">
        <v>0</v>
      </c>
      <c r="Z10" s="71">
        <v>0</v>
      </c>
      <c r="AA10" s="71">
        <v>20000</v>
      </c>
    </row>
    <row r="11" spans="1:27" x14ac:dyDescent="0.3">
      <c r="L11" s="2" t="str">
        <f t="shared" si="0"/>
        <v/>
      </c>
      <c r="M11" s="2" t="str">
        <f t="shared" si="1"/>
        <v/>
      </c>
      <c r="R11" t="s">
        <v>7</v>
      </c>
      <c r="S11" s="69">
        <v>44301</v>
      </c>
      <c r="T11" t="s">
        <v>8</v>
      </c>
      <c r="U11" t="s">
        <v>14</v>
      </c>
      <c r="V11" s="71">
        <v>20000</v>
      </c>
      <c r="W11" s="83">
        <v>50</v>
      </c>
      <c r="X11" s="83">
        <v>1</v>
      </c>
      <c r="Y11" s="84">
        <v>0</v>
      </c>
      <c r="Z11" s="71">
        <v>0</v>
      </c>
      <c r="AA11" s="71">
        <v>20000</v>
      </c>
    </row>
    <row r="12" spans="1:27" x14ac:dyDescent="0.3">
      <c r="L12" s="2" t="str">
        <f t="shared" si="0"/>
        <v/>
      </c>
      <c r="M12" s="2" t="str">
        <f t="shared" si="1"/>
        <v/>
      </c>
      <c r="R12" t="s">
        <v>9</v>
      </c>
      <c r="S12" s="69">
        <v>44301</v>
      </c>
      <c r="T12" t="s">
        <v>10</v>
      </c>
      <c r="U12" t="s">
        <v>14</v>
      </c>
      <c r="V12" s="71">
        <v>26000</v>
      </c>
      <c r="W12" s="83">
        <v>50</v>
      </c>
      <c r="X12" s="83">
        <v>1</v>
      </c>
      <c r="Y12" s="84">
        <v>0</v>
      </c>
      <c r="Z12" s="71">
        <v>0</v>
      </c>
      <c r="AA12" s="71">
        <v>26000</v>
      </c>
    </row>
    <row r="13" spans="1:27" x14ac:dyDescent="0.3">
      <c r="L13" s="2" t="str">
        <f t="shared" si="0"/>
        <v/>
      </c>
      <c r="M13" s="2" t="str">
        <f t="shared" si="1"/>
        <v/>
      </c>
      <c r="R13" t="s">
        <v>9</v>
      </c>
      <c r="S13" s="69">
        <v>44301</v>
      </c>
      <c r="T13" t="s">
        <v>10</v>
      </c>
      <c r="U13" t="s">
        <v>14</v>
      </c>
      <c r="V13" s="71">
        <v>26000</v>
      </c>
      <c r="W13" s="83">
        <v>50</v>
      </c>
      <c r="X13" s="83">
        <v>1</v>
      </c>
      <c r="Y13" s="84">
        <v>0</v>
      </c>
      <c r="Z13" s="71">
        <v>0</v>
      </c>
      <c r="AA13" s="71">
        <v>26000</v>
      </c>
    </row>
    <row r="14" spans="1:27" x14ac:dyDescent="0.3">
      <c r="L14" s="2" t="str">
        <f t="shared" si="0"/>
        <v/>
      </c>
      <c r="M14" s="2" t="str">
        <f t="shared" si="1"/>
        <v/>
      </c>
      <c r="R14" t="s">
        <v>9</v>
      </c>
      <c r="S14" s="69">
        <v>44301</v>
      </c>
      <c r="T14" t="s">
        <v>10</v>
      </c>
      <c r="U14" t="s">
        <v>14</v>
      </c>
      <c r="V14" s="71">
        <v>26000</v>
      </c>
      <c r="W14" s="83">
        <v>50</v>
      </c>
      <c r="X14" s="83">
        <v>1</v>
      </c>
      <c r="Y14" s="84">
        <v>0</v>
      </c>
      <c r="Z14" s="71">
        <v>0</v>
      </c>
      <c r="AA14" s="71">
        <v>26000</v>
      </c>
    </row>
    <row r="15" spans="1:27" x14ac:dyDescent="0.3">
      <c r="L15" s="2" t="str">
        <f t="shared" si="0"/>
        <v/>
      </c>
      <c r="M15" s="2" t="str">
        <f t="shared" si="1"/>
        <v/>
      </c>
      <c r="R15" t="s">
        <v>52</v>
      </c>
      <c r="S15" s="69">
        <v>44302</v>
      </c>
      <c r="T15" t="s">
        <v>50</v>
      </c>
      <c r="U15" t="s">
        <v>51</v>
      </c>
      <c r="V15" s="71">
        <v>20000</v>
      </c>
      <c r="W15" s="83">
        <v>35</v>
      </c>
      <c r="X15" s="83">
        <v>5</v>
      </c>
      <c r="Y15" s="84">
        <v>0</v>
      </c>
      <c r="Z15" s="71">
        <v>0</v>
      </c>
      <c r="AA15" s="71">
        <v>100000</v>
      </c>
    </row>
    <row r="16" spans="1:27" x14ac:dyDescent="0.3">
      <c r="L16" s="2" t="str">
        <f t="shared" si="0"/>
        <v/>
      </c>
      <c r="M16" s="2" t="str">
        <f t="shared" si="1"/>
        <v/>
      </c>
      <c r="R16" t="s">
        <v>9</v>
      </c>
      <c r="S16" s="69">
        <v>44302</v>
      </c>
      <c r="T16" t="s">
        <v>10</v>
      </c>
      <c r="U16" t="s">
        <v>14</v>
      </c>
      <c r="V16" s="71">
        <v>26000</v>
      </c>
      <c r="W16" s="83">
        <v>107</v>
      </c>
      <c r="X16" s="83">
        <v>20</v>
      </c>
      <c r="Y16" s="84">
        <v>0</v>
      </c>
      <c r="Z16" s="71">
        <v>0</v>
      </c>
      <c r="AA16" s="71">
        <v>520000</v>
      </c>
    </row>
    <row r="17" spans="12:27" x14ac:dyDescent="0.3">
      <c r="L17" s="2" t="str">
        <f t="shared" si="0"/>
        <v/>
      </c>
      <c r="M17" s="2" t="str">
        <f t="shared" si="1"/>
        <v/>
      </c>
      <c r="R17" t="s">
        <v>53</v>
      </c>
      <c r="S17" s="69">
        <v>44302</v>
      </c>
      <c r="T17" t="s">
        <v>54</v>
      </c>
      <c r="U17" t="s">
        <v>14</v>
      </c>
      <c r="V17" s="71">
        <v>20000</v>
      </c>
      <c r="W17" s="83">
        <v>36</v>
      </c>
      <c r="X17" s="83">
        <v>1</v>
      </c>
      <c r="Y17" s="84">
        <v>0</v>
      </c>
      <c r="Z17" s="71">
        <v>0</v>
      </c>
      <c r="AA17" s="71">
        <v>20000</v>
      </c>
    </row>
    <row r="18" spans="12:27" x14ac:dyDescent="0.3">
      <c r="L18" s="2" t="str">
        <f t="shared" si="0"/>
        <v/>
      </c>
      <c r="M18" s="2" t="str">
        <f t="shared" si="1"/>
        <v/>
      </c>
      <c r="R18" t="s">
        <v>59</v>
      </c>
      <c r="S18" s="69">
        <v>44302</v>
      </c>
      <c r="T18" t="s">
        <v>60</v>
      </c>
      <c r="U18" t="s">
        <v>14</v>
      </c>
      <c r="V18" s="71">
        <v>25000</v>
      </c>
      <c r="W18" s="83">
        <v>50</v>
      </c>
      <c r="X18" s="83">
        <v>1</v>
      </c>
      <c r="Y18" s="84">
        <v>0</v>
      </c>
      <c r="Z18" s="71">
        <v>0</v>
      </c>
      <c r="AA18" s="71">
        <v>25000</v>
      </c>
    </row>
    <row r="19" spans="12:27" x14ac:dyDescent="0.3">
      <c r="L19" s="2" t="str">
        <f t="shared" si="0"/>
        <v/>
      </c>
      <c r="M19" s="2" t="str">
        <f t="shared" si="1"/>
        <v/>
      </c>
      <c r="R19" t="s">
        <v>7</v>
      </c>
      <c r="S19" s="69">
        <v>44302</v>
      </c>
      <c r="T19" t="s">
        <v>8</v>
      </c>
      <c r="U19" t="s">
        <v>14</v>
      </c>
      <c r="V19" s="71">
        <v>20000</v>
      </c>
      <c r="W19" s="83">
        <v>78</v>
      </c>
      <c r="X19" s="83">
        <v>1</v>
      </c>
      <c r="Y19" s="84">
        <v>0</v>
      </c>
      <c r="Z19" s="71">
        <v>0</v>
      </c>
      <c r="AA19" s="71">
        <v>20000</v>
      </c>
    </row>
    <row r="20" spans="12:27" x14ac:dyDescent="0.3">
      <c r="L20" s="2" t="str">
        <f t="shared" si="0"/>
        <v/>
      </c>
      <c r="M20" s="2" t="str">
        <f t="shared" si="1"/>
        <v/>
      </c>
      <c r="R20" t="s">
        <v>57</v>
      </c>
      <c r="S20" s="69">
        <v>44302</v>
      </c>
      <c r="T20" t="s">
        <v>58</v>
      </c>
      <c r="U20" t="s">
        <v>14</v>
      </c>
      <c r="V20" s="71">
        <v>15000</v>
      </c>
      <c r="W20" s="83">
        <v>25</v>
      </c>
      <c r="X20" s="83">
        <v>1</v>
      </c>
      <c r="Y20" s="84">
        <v>0</v>
      </c>
      <c r="Z20" s="71">
        <v>0</v>
      </c>
      <c r="AA20" s="71">
        <v>15000</v>
      </c>
    </row>
    <row r="21" spans="12:27" x14ac:dyDescent="0.3">
      <c r="L21" s="2" t="str">
        <f t="shared" si="0"/>
        <v/>
      </c>
      <c r="M21" s="2" t="str">
        <f t="shared" si="1"/>
        <v/>
      </c>
      <c r="R21" t="s">
        <v>55</v>
      </c>
      <c r="S21" s="69">
        <v>44302</v>
      </c>
      <c r="T21" t="s">
        <v>56</v>
      </c>
      <c r="U21" t="s">
        <v>49</v>
      </c>
      <c r="V21" s="71">
        <v>7000</v>
      </c>
      <c r="W21" s="83">
        <v>50</v>
      </c>
      <c r="X21" s="83">
        <v>1</v>
      </c>
      <c r="Y21" s="84">
        <v>0</v>
      </c>
      <c r="Z21" s="71">
        <v>0</v>
      </c>
      <c r="AA21" s="71">
        <v>7000</v>
      </c>
    </row>
    <row r="22" spans="12:27" x14ac:dyDescent="0.3">
      <c r="L22" s="2" t="str">
        <f t="shared" si="0"/>
        <v/>
      </c>
      <c r="M22" s="2" t="str">
        <f t="shared" si="1"/>
        <v/>
      </c>
      <c r="R22" t="s">
        <v>57</v>
      </c>
      <c r="S22" s="69">
        <v>44302</v>
      </c>
      <c r="T22" t="s">
        <v>58</v>
      </c>
      <c r="U22" t="s">
        <v>14</v>
      </c>
      <c r="V22" s="71">
        <v>15000</v>
      </c>
      <c r="W22" s="83">
        <v>24</v>
      </c>
      <c r="X22" s="83">
        <v>1</v>
      </c>
      <c r="Y22" s="84">
        <v>0</v>
      </c>
      <c r="Z22" s="71">
        <v>0</v>
      </c>
      <c r="AA22" s="71">
        <v>15000</v>
      </c>
    </row>
    <row r="23" spans="12:27" x14ac:dyDescent="0.3">
      <c r="L23" s="2" t="str">
        <f t="shared" si="0"/>
        <v/>
      </c>
      <c r="M23" s="2" t="str">
        <f t="shared" si="1"/>
        <v/>
      </c>
      <c r="R23" t="s">
        <v>61</v>
      </c>
      <c r="S23" s="69">
        <v>44469</v>
      </c>
      <c r="T23" t="s">
        <v>60</v>
      </c>
      <c r="U23" t="s">
        <v>14</v>
      </c>
      <c r="V23" s="71">
        <v>25000</v>
      </c>
      <c r="W23" s="83">
        <v>49</v>
      </c>
      <c r="X23" s="83">
        <v>1</v>
      </c>
      <c r="Y23" s="84">
        <v>0</v>
      </c>
      <c r="Z23" s="71">
        <v>0</v>
      </c>
      <c r="AA23" s="71">
        <v>25000</v>
      </c>
    </row>
    <row r="24" spans="12:27" x14ac:dyDescent="0.3">
      <c r="L24" s="2" t="str">
        <f t="shared" si="0"/>
        <v/>
      </c>
      <c r="M24" s="2" t="str">
        <f t="shared" si="1"/>
        <v/>
      </c>
    </row>
    <row r="25" spans="12:27" x14ac:dyDescent="0.3">
      <c r="L25" s="2" t="str">
        <f t="shared" si="0"/>
        <v/>
      </c>
      <c r="M25" s="2" t="str">
        <f t="shared" si="1"/>
        <v/>
      </c>
    </row>
    <row r="26" spans="12:27" x14ac:dyDescent="0.3">
      <c r="L26" s="2" t="str">
        <f t="shared" si="0"/>
        <v/>
      </c>
      <c r="M26" s="2" t="str">
        <f t="shared" si="1"/>
        <v/>
      </c>
    </row>
    <row r="27" spans="12:27" x14ac:dyDescent="0.3">
      <c r="L27" s="2" t="str">
        <f t="shared" si="0"/>
        <v/>
      </c>
      <c r="M27" s="2" t="str">
        <f t="shared" si="1"/>
        <v/>
      </c>
    </row>
    <row r="28" spans="12:27" x14ac:dyDescent="0.3">
      <c r="L28" s="2" t="str">
        <f t="shared" si="0"/>
        <v/>
      </c>
      <c r="M28" s="2" t="str">
        <f t="shared" si="1"/>
        <v/>
      </c>
    </row>
    <row r="29" spans="12:27" x14ac:dyDescent="0.3">
      <c r="L29" s="2" t="str">
        <f t="shared" si="0"/>
        <v/>
      </c>
      <c r="M29" s="2" t="str">
        <f t="shared" si="1"/>
        <v/>
      </c>
    </row>
    <row r="30" spans="12:27" x14ac:dyDescent="0.3">
      <c r="L30" s="2" t="str">
        <f t="shared" si="0"/>
        <v/>
      </c>
      <c r="M30" s="2" t="str">
        <f t="shared" si="1"/>
        <v/>
      </c>
    </row>
    <row r="31" spans="12:27" x14ac:dyDescent="0.3">
      <c r="L31" s="2" t="str">
        <f t="shared" si="0"/>
        <v/>
      </c>
      <c r="M31" s="2" t="str">
        <f t="shared" si="1"/>
        <v/>
      </c>
    </row>
    <row r="32" spans="12:27" x14ac:dyDescent="0.3">
      <c r="L32" s="2" t="str">
        <f t="shared" si="0"/>
        <v/>
      </c>
      <c r="M32" s="2" t="str">
        <f t="shared" si="1"/>
        <v/>
      </c>
    </row>
    <row r="33" spans="12:13" x14ac:dyDescent="0.3">
      <c r="L33" s="2" t="str">
        <f t="shared" si="0"/>
        <v/>
      </c>
      <c r="M33" s="2" t="str">
        <f t="shared" si="1"/>
        <v/>
      </c>
    </row>
    <row r="34" spans="12:13" x14ac:dyDescent="0.3">
      <c r="L34" s="2" t="str">
        <f t="shared" si="0"/>
        <v/>
      </c>
      <c r="M34" s="2" t="str">
        <f t="shared" si="1"/>
        <v/>
      </c>
    </row>
    <row r="35" spans="12:13" x14ac:dyDescent="0.3">
      <c r="L35" s="2" t="str">
        <f t="shared" si="0"/>
        <v/>
      </c>
      <c r="M35" s="2" t="str">
        <f t="shared" si="1"/>
        <v/>
      </c>
    </row>
    <row r="36" spans="12:13" x14ac:dyDescent="0.3">
      <c r="L36" s="2" t="str">
        <f t="shared" si="0"/>
        <v/>
      </c>
      <c r="M36" s="2" t="str">
        <f t="shared" si="1"/>
        <v/>
      </c>
    </row>
    <row r="37" spans="12:13" x14ac:dyDescent="0.3">
      <c r="L37" s="2" t="str">
        <f t="shared" si="0"/>
        <v/>
      </c>
      <c r="M37" s="2" t="str">
        <f t="shared" si="1"/>
        <v/>
      </c>
    </row>
    <row r="38" spans="12:13" x14ac:dyDescent="0.3">
      <c r="L38" s="2" t="str">
        <f t="shared" si="0"/>
        <v/>
      </c>
      <c r="M38" s="2" t="str">
        <f t="shared" si="1"/>
        <v/>
      </c>
    </row>
    <row r="39" spans="12:13" x14ac:dyDescent="0.3">
      <c r="L39" s="2" t="str">
        <f t="shared" si="0"/>
        <v/>
      </c>
      <c r="M39" s="2" t="str">
        <f t="shared" si="1"/>
        <v/>
      </c>
    </row>
    <row r="40" spans="12:13" x14ac:dyDescent="0.3">
      <c r="L40" s="2" t="str">
        <f t="shared" si="0"/>
        <v/>
      </c>
      <c r="M40" s="2" t="str">
        <f t="shared" si="1"/>
        <v/>
      </c>
    </row>
    <row r="41" spans="12:13" x14ac:dyDescent="0.3">
      <c r="L41" s="2" t="str">
        <f t="shared" si="0"/>
        <v/>
      </c>
      <c r="M41" s="2" t="str">
        <f t="shared" si="1"/>
        <v/>
      </c>
    </row>
    <row r="42" spans="12:13" x14ac:dyDescent="0.3">
      <c r="L42" s="2" t="str">
        <f t="shared" si="0"/>
        <v/>
      </c>
      <c r="M42" s="2" t="str">
        <f t="shared" si="1"/>
        <v/>
      </c>
    </row>
    <row r="43" spans="12:13" x14ac:dyDescent="0.3">
      <c r="L43" s="2" t="str">
        <f t="shared" si="0"/>
        <v/>
      </c>
      <c r="M43" s="2" t="str">
        <f t="shared" si="1"/>
        <v/>
      </c>
    </row>
    <row r="44" spans="12:13" x14ac:dyDescent="0.3">
      <c r="L44" s="2" t="str">
        <f t="shared" si="0"/>
        <v/>
      </c>
      <c r="M44" s="2" t="str">
        <f t="shared" si="1"/>
        <v/>
      </c>
    </row>
    <row r="45" spans="12:13" x14ac:dyDescent="0.3">
      <c r="L45" s="2" t="str">
        <f t="shared" si="0"/>
        <v/>
      </c>
      <c r="M45" s="2" t="str">
        <f t="shared" si="1"/>
        <v/>
      </c>
    </row>
    <row r="46" spans="12:13" x14ac:dyDescent="0.3">
      <c r="L46" s="2" t="str">
        <f t="shared" si="0"/>
        <v/>
      </c>
      <c r="M46" s="2" t="str">
        <f t="shared" si="1"/>
        <v/>
      </c>
    </row>
    <row r="47" spans="12:13" x14ac:dyDescent="0.3">
      <c r="L47" s="2" t="str">
        <f t="shared" si="0"/>
        <v/>
      </c>
      <c r="M47" s="2" t="str">
        <f t="shared" si="1"/>
        <v/>
      </c>
    </row>
    <row r="48" spans="12:13" x14ac:dyDescent="0.3">
      <c r="L48" s="2" t="str">
        <f t="shared" si="0"/>
        <v/>
      </c>
      <c r="M48" s="2" t="str">
        <f t="shared" si="1"/>
        <v/>
      </c>
    </row>
    <row r="49" spans="12:13" x14ac:dyDescent="0.3">
      <c r="L49" s="2" t="str">
        <f t="shared" si="0"/>
        <v/>
      </c>
      <c r="M49" s="2" t="str">
        <f t="shared" si="1"/>
        <v/>
      </c>
    </row>
    <row r="50" spans="12:13" x14ac:dyDescent="0.3">
      <c r="L50" s="2" t="str">
        <f t="shared" si="0"/>
        <v/>
      </c>
      <c r="M50" s="2" t="str">
        <f t="shared" si="1"/>
        <v/>
      </c>
    </row>
    <row r="51" spans="12:13" x14ac:dyDescent="0.3">
      <c r="L51" s="2" t="str">
        <f t="shared" si="0"/>
        <v/>
      </c>
      <c r="M51" s="2" t="str">
        <f t="shared" si="1"/>
        <v/>
      </c>
    </row>
    <row r="52" spans="12:13" x14ac:dyDescent="0.3">
      <c r="L52" s="2" t="str">
        <f t="shared" si="0"/>
        <v/>
      </c>
      <c r="M52" s="2" t="str">
        <f t="shared" si="1"/>
        <v/>
      </c>
    </row>
    <row r="53" spans="12:13" x14ac:dyDescent="0.3">
      <c r="L53" s="2" t="str">
        <f t="shared" si="0"/>
        <v/>
      </c>
      <c r="M53" s="2" t="str">
        <f t="shared" si="1"/>
        <v/>
      </c>
    </row>
    <row r="54" spans="12:13" x14ac:dyDescent="0.3">
      <c r="L54" s="2" t="str">
        <f t="shared" si="0"/>
        <v/>
      </c>
      <c r="M54" s="2" t="str">
        <f t="shared" si="1"/>
        <v/>
      </c>
    </row>
    <row r="55" spans="12:13" x14ac:dyDescent="0.3">
      <c r="L55" s="2" t="str">
        <f t="shared" si="0"/>
        <v/>
      </c>
      <c r="M55" s="2" t="str">
        <f t="shared" si="1"/>
        <v/>
      </c>
    </row>
    <row r="56" spans="12:13" x14ac:dyDescent="0.3">
      <c r="L56" s="2" t="str">
        <f t="shared" si="0"/>
        <v/>
      </c>
      <c r="M56" s="2" t="str">
        <f t="shared" si="1"/>
        <v/>
      </c>
    </row>
    <row r="57" spans="12:13" x14ac:dyDescent="0.3">
      <c r="L57" s="2" t="str">
        <f t="shared" si="0"/>
        <v/>
      </c>
      <c r="M57" s="2" t="str">
        <f t="shared" si="1"/>
        <v/>
      </c>
    </row>
    <row r="58" spans="12:13" x14ac:dyDescent="0.3">
      <c r="L58" s="2" t="str">
        <f t="shared" si="0"/>
        <v/>
      </c>
      <c r="M58" s="2" t="str">
        <f t="shared" si="1"/>
        <v/>
      </c>
    </row>
    <row r="59" spans="12:13" x14ac:dyDescent="0.3">
      <c r="L59" s="2" t="str">
        <f t="shared" si="0"/>
        <v/>
      </c>
      <c r="M59" s="2" t="str">
        <f t="shared" si="1"/>
        <v/>
      </c>
    </row>
    <row r="60" spans="12:13" x14ac:dyDescent="0.3">
      <c r="L60" s="2" t="str">
        <f t="shared" si="0"/>
        <v/>
      </c>
      <c r="M60" s="2" t="str">
        <f t="shared" si="1"/>
        <v/>
      </c>
    </row>
    <row r="61" spans="12:13" x14ac:dyDescent="0.3">
      <c r="L61" s="2" t="str">
        <f t="shared" si="0"/>
        <v/>
      </c>
      <c r="M61" s="2" t="str">
        <f t="shared" si="1"/>
        <v/>
      </c>
    </row>
    <row r="62" spans="12:13" x14ac:dyDescent="0.3">
      <c r="L62" s="2" t="str">
        <f t="shared" si="0"/>
        <v/>
      </c>
      <c r="M62" s="2" t="str">
        <f t="shared" si="1"/>
        <v/>
      </c>
    </row>
    <row r="63" spans="12:13" x14ac:dyDescent="0.3">
      <c r="L63" s="2" t="str">
        <f t="shared" si="0"/>
        <v/>
      </c>
      <c r="M63" s="2" t="str">
        <f t="shared" si="1"/>
        <v/>
      </c>
    </row>
    <row r="64" spans="12:13" x14ac:dyDescent="0.3">
      <c r="L64" s="2" t="str">
        <f t="shared" si="0"/>
        <v/>
      </c>
      <c r="M64" s="2" t="str">
        <f t="shared" si="1"/>
        <v/>
      </c>
    </row>
    <row r="65" spans="12:13" x14ac:dyDescent="0.3">
      <c r="L65" s="2" t="str">
        <f t="shared" si="0"/>
        <v/>
      </c>
      <c r="M65" s="2" t="str">
        <f t="shared" si="1"/>
        <v/>
      </c>
    </row>
    <row r="66" spans="12:13" x14ac:dyDescent="0.3">
      <c r="L66" s="2" t="str">
        <f t="shared" si="0"/>
        <v/>
      </c>
      <c r="M66" s="2" t="str">
        <f t="shared" si="1"/>
        <v/>
      </c>
    </row>
    <row r="67" spans="12:13" x14ac:dyDescent="0.3">
      <c r="L67" s="2" t="str">
        <f t="shared" si="0"/>
        <v/>
      </c>
      <c r="M67" s="2" t="str">
        <f t="shared" si="1"/>
        <v/>
      </c>
    </row>
    <row r="68" spans="12:13" x14ac:dyDescent="0.3">
      <c r="L68" s="2" t="str">
        <f t="shared" si="0"/>
        <v/>
      </c>
      <c r="M68" s="2" t="str">
        <f t="shared" si="1"/>
        <v/>
      </c>
    </row>
    <row r="69" spans="12:13" x14ac:dyDescent="0.3">
      <c r="L69" s="2" t="str">
        <f t="shared" si="0"/>
        <v/>
      </c>
      <c r="M69" s="2" t="str">
        <f t="shared" si="1"/>
        <v/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57"/>
  <sheetViews>
    <sheetView workbookViewId="0">
      <selection activeCell="H3" sqref="H3"/>
    </sheetView>
  </sheetViews>
  <sheetFormatPr defaultRowHeight="14.4" x14ac:dyDescent="0.3"/>
  <cols>
    <col min="1" max="1" width="15.21875" bestFit="1" customWidth="1"/>
    <col min="2" max="2" width="28.21875" bestFit="1" customWidth="1"/>
    <col min="3" max="3" width="7.44140625" bestFit="1" customWidth="1"/>
    <col min="4" max="4" width="4.33203125" bestFit="1" customWidth="1"/>
    <col min="5" max="6" width="10.21875" bestFit="1" customWidth="1"/>
    <col min="8" max="8" width="12.5546875" bestFit="1" customWidth="1"/>
  </cols>
  <sheetData>
    <row r="1" spans="1:8" ht="15" x14ac:dyDescent="0.3">
      <c r="A1" s="12" t="s">
        <v>1</v>
      </c>
      <c r="B1" s="13" t="s">
        <v>2</v>
      </c>
      <c r="C1" s="14" t="s">
        <v>13</v>
      </c>
      <c r="D1" s="15" t="s">
        <v>5</v>
      </c>
      <c r="E1" s="15" t="s">
        <v>11</v>
      </c>
      <c r="F1" s="16" t="s">
        <v>12</v>
      </c>
      <c r="H1" t="s">
        <v>2</v>
      </c>
    </row>
    <row r="2" spans="1:8" x14ac:dyDescent="0.3">
      <c r="A2" s="1" t="s">
        <v>348</v>
      </c>
      <c r="B2" t="s">
        <v>349</v>
      </c>
      <c r="C2" t="s">
        <v>49</v>
      </c>
      <c r="D2" s="2">
        <v>4</v>
      </c>
      <c r="E2" s="3">
        <v>7500</v>
      </c>
      <c r="F2" s="3">
        <v>15000</v>
      </c>
      <c r="H2" t="s">
        <v>418</v>
      </c>
    </row>
    <row r="3" spans="1:8" x14ac:dyDescent="0.3">
      <c r="A3" s="1" t="s">
        <v>174</v>
      </c>
      <c r="B3" t="s">
        <v>352</v>
      </c>
      <c r="C3" t="s">
        <v>49</v>
      </c>
      <c r="D3" s="2">
        <v>1</v>
      </c>
      <c r="E3" s="3">
        <v>12000</v>
      </c>
      <c r="F3" s="3">
        <v>25000</v>
      </c>
    </row>
    <row r="4" spans="1:8" x14ac:dyDescent="0.3">
      <c r="A4" s="1" t="s">
        <v>363</v>
      </c>
      <c r="B4" t="s">
        <v>364</v>
      </c>
      <c r="C4" t="s">
        <v>49</v>
      </c>
      <c r="D4" s="2">
        <v>2</v>
      </c>
      <c r="E4" s="3">
        <v>7500</v>
      </c>
      <c r="F4" s="3">
        <v>15000</v>
      </c>
    </row>
    <row r="5" spans="1:8" x14ac:dyDescent="0.3">
      <c r="A5" s="1"/>
      <c r="D5" s="2"/>
      <c r="E5" s="3"/>
      <c r="F5" s="3"/>
    </row>
    <row r="6" spans="1:8" x14ac:dyDescent="0.3">
      <c r="A6" s="1"/>
      <c r="D6" s="2"/>
      <c r="E6" s="3"/>
      <c r="F6" s="3"/>
    </row>
    <row r="7" spans="1:8" x14ac:dyDescent="0.3">
      <c r="A7" s="1"/>
      <c r="D7" s="2"/>
      <c r="E7" s="3"/>
      <c r="F7" s="3"/>
    </row>
    <row r="8" spans="1:8" x14ac:dyDescent="0.3">
      <c r="A8" s="1"/>
      <c r="D8" s="2"/>
      <c r="E8" s="3"/>
      <c r="F8" s="3"/>
    </row>
    <row r="9" spans="1:8" x14ac:dyDescent="0.3">
      <c r="A9" s="1"/>
      <c r="D9" s="2"/>
      <c r="E9" s="3"/>
      <c r="F9" s="3"/>
    </row>
    <row r="10" spans="1:8" x14ac:dyDescent="0.3">
      <c r="A10" s="1"/>
      <c r="D10" s="2"/>
      <c r="E10" s="3"/>
      <c r="F10" s="3"/>
    </row>
    <row r="11" spans="1:8" x14ac:dyDescent="0.3">
      <c r="A11" s="1"/>
      <c r="D11" s="2"/>
      <c r="E11" s="3"/>
      <c r="F11" s="3"/>
    </row>
    <row r="12" spans="1:8" x14ac:dyDescent="0.3">
      <c r="A12" s="1"/>
      <c r="D12" s="2"/>
      <c r="E12" s="3"/>
      <c r="F12" s="3"/>
    </row>
    <row r="13" spans="1:8" x14ac:dyDescent="0.3">
      <c r="A13" s="1"/>
      <c r="D13" s="2"/>
      <c r="E13" s="3"/>
      <c r="F13" s="3"/>
    </row>
    <row r="14" spans="1:8" x14ac:dyDescent="0.3">
      <c r="A14" s="1"/>
      <c r="D14" s="2"/>
      <c r="E14" s="3"/>
      <c r="F14" s="3"/>
    </row>
    <row r="15" spans="1:8" x14ac:dyDescent="0.3">
      <c r="A15" s="1"/>
      <c r="D15" s="2"/>
      <c r="E15" s="3"/>
      <c r="F15" s="3"/>
    </row>
    <row r="16" spans="1:8" x14ac:dyDescent="0.3">
      <c r="A16" s="1"/>
      <c r="D16" s="2"/>
      <c r="E16" s="3"/>
      <c r="F16" s="3"/>
    </row>
    <row r="17" spans="1:6" x14ac:dyDescent="0.3">
      <c r="A17" s="1"/>
      <c r="D17" s="2"/>
      <c r="E17" s="3"/>
      <c r="F17" s="3"/>
    </row>
    <row r="18" spans="1:6" x14ac:dyDescent="0.3">
      <c r="A18" s="1"/>
      <c r="D18" s="2"/>
      <c r="E18" s="3"/>
      <c r="F18" s="3"/>
    </row>
    <row r="19" spans="1:6" x14ac:dyDescent="0.3">
      <c r="A19" s="1"/>
      <c r="D19" s="2"/>
      <c r="E19" s="3"/>
      <c r="F19" s="3"/>
    </row>
    <row r="20" spans="1:6" x14ac:dyDescent="0.3">
      <c r="A20" s="1"/>
      <c r="D20" s="2"/>
      <c r="E20" s="3"/>
      <c r="F20" s="3"/>
    </row>
    <row r="21" spans="1:6" x14ac:dyDescent="0.3">
      <c r="A21" s="1"/>
      <c r="D21" s="2"/>
      <c r="E21" s="3"/>
      <c r="F21" s="3"/>
    </row>
    <row r="22" spans="1:6" x14ac:dyDescent="0.3">
      <c r="A22" s="1"/>
      <c r="D22" s="2"/>
      <c r="E22" s="3"/>
      <c r="F22" s="3"/>
    </row>
    <row r="23" spans="1:6" x14ac:dyDescent="0.3">
      <c r="A23" s="1"/>
      <c r="D23" s="2"/>
      <c r="E23" s="3"/>
      <c r="F23" s="3"/>
    </row>
    <row r="24" spans="1:6" x14ac:dyDescent="0.3">
      <c r="A24" s="1"/>
      <c r="D24" s="2"/>
      <c r="E24" s="3"/>
      <c r="F24" s="3"/>
    </row>
    <row r="25" spans="1:6" x14ac:dyDescent="0.3">
      <c r="A25" s="1"/>
      <c r="D25" s="2"/>
      <c r="E25" s="3"/>
      <c r="F25" s="3"/>
    </row>
    <row r="26" spans="1:6" x14ac:dyDescent="0.3">
      <c r="A26" s="1"/>
      <c r="D26" s="2"/>
      <c r="E26" s="3"/>
      <c r="F26" s="3"/>
    </row>
    <row r="27" spans="1:6" x14ac:dyDescent="0.3">
      <c r="A27" s="1"/>
      <c r="D27" s="2"/>
      <c r="E27" s="3"/>
      <c r="F27" s="3"/>
    </row>
    <row r="28" spans="1:6" x14ac:dyDescent="0.3">
      <c r="A28" s="1"/>
      <c r="D28" s="2"/>
      <c r="E28" s="3"/>
      <c r="F28" s="3"/>
    </row>
    <row r="29" spans="1:6" x14ac:dyDescent="0.3">
      <c r="A29" s="1"/>
      <c r="D29" s="2"/>
      <c r="E29" s="3"/>
      <c r="F29" s="3"/>
    </row>
    <row r="30" spans="1:6" x14ac:dyDescent="0.3">
      <c r="A30" s="1"/>
      <c r="D30" s="2"/>
      <c r="E30" s="3"/>
      <c r="F30" s="3"/>
    </row>
    <row r="31" spans="1:6" x14ac:dyDescent="0.3">
      <c r="A31" s="1"/>
      <c r="D31" s="2"/>
      <c r="E31" s="3"/>
      <c r="F31" s="3"/>
    </row>
    <row r="32" spans="1:6" x14ac:dyDescent="0.3">
      <c r="A32" s="1"/>
      <c r="D32" s="2"/>
      <c r="E32" s="3"/>
      <c r="F32" s="3"/>
    </row>
    <row r="33" spans="1:6" x14ac:dyDescent="0.3">
      <c r="A33" s="1"/>
      <c r="D33" s="2"/>
      <c r="E33" s="3"/>
      <c r="F33" s="3"/>
    </row>
    <row r="34" spans="1:6" x14ac:dyDescent="0.3">
      <c r="A34" s="1"/>
      <c r="D34" s="2"/>
      <c r="E34" s="3"/>
      <c r="F34" s="3"/>
    </row>
    <row r="35" spans="1:6" x14ac:dyDescent="0.3">
      <c r="A35" s="1"/>
      <c r="D35" s="2"/>
      <c r="E35" s="3"/>
      <c r="F35" s="3"/>
    </row>
    <row r="36" spans="1:6" x14ac:dyDescent="0.3">
      <c r="A36" s="1"/>
      <c r="D36" s="2"/>
      <c r="E36" s="3"/>
      <c r="F36" s="3"/>
    </row>
    <row r="37" spans="1:6" x14ac:dyDescent="0.3">
      <c r="A37" s="1"/>
      <c r="D37" s="2"/>
      <c r="E37" s="3"/>
      <c r="F37" s="3"/>
    </row>
    <row r="38" spans="1:6" x14ac:dyDescent="0.3">
      <c r="A38" s="1"/>
      <c r="D38" s="2"/>
      <c r="E38" s="3"/>
      <c r="F38" s="3"/>
    </row>
    <row r="39" spans="1:6" x14ac:dyDescent="0.3">
      <c r="A39" s="1"/>
      <c r="D39" s="2"/>
      <c r="E39" s="3"/>
      <c r="F39" s="3"/>
    </row>
    <row r="40" spans="1:6" x14ac:dyDescent="0.3">
      <c r="A40" s="1"/>
      <c r="D40" s="2"/>
      <c r="E40" s="3"/>
      <c r="F40" s="3"/>
    </row>
    <row r="41" spans="1:6" x14ac:dyDescent="0.3">
      <c r="A41" s="1"/>
      <c r="D41" s="2"/>
      <c r="E41" s="3"/>
      <c r="F41" s="3"/>
    </row>
    <row r="42" spans="1:6" x14ac:dyDescent="0.3">
      <c r="A42" s="1"/>
      <c r="D42" s="2"/>
      <c r="E42" s="3"/>
      <c r="F42" s="3"/>
    </row>
    <row r="43" spans="1:6" x14ac:dyDescent="0.3">
      <c r="A43" s="1"/>
      <c r="D43" s="2"/>
      <c r="E43" s="3"/>
      <c r="F43" s="3"/>
    </row>
    <row r="44" spans="1:6" x14ac:dyDescent="0.3">
      <c r="A44" s="1"/>
      <c r="D44" s="2"/>
      <c r="E44" s="3"/>
      <c r="F44" s="3"/>
    </row>
    <row r="45" spans="1:6" x14ac:dyDescent="0.3">
      <c r="A45" s="1"/>
      <c r="D45" s="2"/>
      <c r="E45" s="3"/>
      <c r="F45" s="3"/>
    </row>
    <row r="46" spans="1:6" x14ac:dyDescent="0.3">
      <c r="A46" s="1"/>
      <c r="D46" s="2"/>
      <c r="E46" s="3"/>
      <c r="F46" s="3"/>
    </row>
    <row r="47" spans="1:6" x14ac:dyDescent="0.3">
      <c r="A47" s="1"/>
      <c r="D47" s="2"/>
      <c r="E47" s="3"/>
      <c r="F47" s="3"/>
    </row>
    <row r="48" spans="1:6" x14ac:dyDescent="0.3">
      <c r="A48" s="1"/>
      <c r="D48" s="2"/>
      <c r="E48" s="3"/>
      <c r="F48" s="3"/>
    </row>
    <row r="49" spans="1:6" x14ac:dyDescent="0.3">
      <c r="A49" s="1"/>
      <c r="D49" s="2"/>
      <c r="E49" s="3"/>
      <c r="F49" s="3"/>
    </row>
    <row r="50" spans="1:6" x14ac:dyDescent="0.3">
      <c r="A50" s="1"/>
      <c r="D50" s="2"/>
      <c r="E50" s="3"/>
      <c r="F50" s="3"/>
    </row>
    <row r="51" spans="1:6" x14ac:dyDescent="0.3">
      <c r="A51" s="1"/>
      <c r="D51" s="2"/>
      <c r="E51" s="3"/>
      <c r="F51" s="3"/>
    </row>
    <row r="52" spans="1:6" x14ac:dyDescent="0.3">
      <c r="A52" s="1"/>
      <c r="D52" s="2"/>
      <c r="E52" s="3"/>
      <c r="F52" s="3"/>
    </row>
    <row r="53" spans="1:6" x14ac:dyDescent="0.3">
      <c r="A53" s="1"/>
      <c r="D53" s="2"/>
      <c r="E53" s="3"/>
      <c r="F53" s="3"/>
    </row>
    <row r="54" spans="1:6" x14ac:dyDescent="0.3">
      <c r="A54" s="1"/>
      <c r="D54" s="2"/>
      <c r="E54" s="3"/>
      <c r="F54" s="3"/>
    </row>
    <row r="55" spans="1:6" x14ac:dyDescent="0.3">
      <c r="A55" s="1"/>
      <c r="D55" s="2"/>
      <c r="E55" s="3"/>
      <c r="F55" s="3"/>
    </row>
    <row r="56" spans="1:6" x14ac:dyDescent="0.3">
      <c r="A56" s="1"/>
      <c r="D56" s="2"/>
      <c r="E56" s="3"/>
      <c r="F56" s="3"/>
    </row>
    <row r="57" spans="1:6" x14ac:dyDescent="0.3">
      <c r="A57" s="1"/>
      <c r="D57" s="2"/>
      <c r="E57" s="3"/>
      <c r="F57" s="3"/>
    </row>
    <row r="58" spans="1:6" x14ac:dyDescent="0.3">
      <c r="A58" s="1"/>
      <c r="D58" s="2"/>
      <c r="E58" s="3"/>
      <c r="F58" s="3"/>
    </row>
    <row r="59" spans="1:6" x14ac:dyDescent="0.3">
      <c r="A59" s="1"/>
      <c r="D59" s="2"/>
      <c r="E59" s="3"/>
      <c r="F59" s="3"/>
    </row>
    <row r="60" spans="1:6" x14ac:dyDescent="0.3">
      <c r="A60" s="1"/>
      <c r="D60" s="2"/>
      <c r="E60" s="3"/>
      <c r="F60" s="3"/>
    </row>
    <row r="61" spans="1:6" x14ac:dyDescent="0.3">
      <c r="A61" s="1"/>
      <c r="D61" s="2"/>
      <c r="E61" s="3"/>
      <c r="F61" s="3"/>
    </row>
    <row r="62" spans="1:6" x14ac:dyDescent="0.3">
      <c r="A62" s="1"/>
      <c r="D62" s="2"/>
      <c r="E62" s="3"/>
      <c r="F62" s="3"/>
    </row>
    <row r="63" spans="1:6" x14ac:dyDescent="0.3">
      <c r="A63" s="1"/>
      <c r="D63" s="2"/>
      <c r="E63" s="3"/>
      <c r="F63" s="3"/>
    </row>
    <row r="64" spans="1:6" x14ac:dyDescent="0.3">
      <c r="A64" s="1"/>
      <c r="D64" s="2"/>
      <c r="E64" s="3"/>
      <c r="F64" s="3"/>
    </row>
    <row r="65" spans="1:6" x14ac:dyDescent="0.3">
      <c r="A65" s="1"/>
      <c r="D65" s="2"/>
      <c r="E65" s="3"/>
      <c r="F65" s="3"/>
    </row>
    <row r="66" spans="1:6" x14ac:dyDescent="0.3">
      <c r="A66" s="1"/>
      <c r="D66" s="2"/>
      <c r="E66" s="3"/>
      <c r="F66" s="3"/>
    </row>
    <row r="67" spans="1:6" x14ac:dyDescent="0.3">
      <c r="A67" s="1"/>
      <c r="D67" s="2"/>
      <c r="E67" s="3"/>
      <c r="F67" s="3"/>
    </row>
    <row r="68" spans="1:6" x14ac:dyDescent="0.3">
      <c r="A68" s="1"/>
      <c r="D68" s="2"/>
      <c r="E68" s="3"/>
      <c r="F68" s="3"/>
    </row>
    <row r="69" spans="1:6" x14ac:dyDescent="0.3">
      <c r="A69" s="1"/>
      <c r="D69" s="2"/>
      <c r="E69" s="3"/>
      <c r="F69" s="3"/>
    </row>
    <row r="70" spans="1:6" x14ac:dyDescent="0.3">
      <c r="A70" s="1"/>
      <c r="D70" s="2"/>
      <c r="E70" s="3"/>
      <c r="F70" s="3"/>
    </row>
    <row r="71" spans="1:6" x14ac:dyDescent="0.3">
      <c r="A71" s="1"/>
      <c r="D71" s="2"/>
      <c r="E71" s="3"/>
      <c r="F71" s="3"/>
    </row>
    <row r="72" spans="1:6" x14ac:dyDescent="0.3">
      <c r="A72" s="1"/>
      <c r="D72" s="2"/>
      <c r="E72" s="3"/>
      <c r="F72" s="3"/>
    </row>
    <row r="73" spans="1:6" x14ac:dyDescent="0.3">
      <c r="A73" s="1"/>
      <c r="D73" s="2"/>
      <c r="E73" s="3"/>
      <c r="F73" s="3"/>
    </row>
    <row r="74" spans="1:6" x14ac:dyDescent="0.3">
      <c r="A74" s="1"/>
      <c r="D74" s="2"/>
      <c r="E74" s="3"/>
      <c r="F74" s="3"/>
    </row>
    <row r="75" spans="1:6" x14ac:dyDescent="0.3">
      <c r="A75" s="1"/>
      <c r="D75" s="2"/>
      <c r="E75" s="3"/>
      <c r="F75" s="3"/>
    </row>
    <row r="76" spans="1:6" x14ac:dyDescent="0.3">
      <c r="A76" s="1"/>
      <c r="D76" s="2"/>
      <c r="E76" s="3"/>
      <c r="F76" s="3"/>
    </row>
    <row r="77" spans="1:6" x14ac:dyDescent="0.3">
      <c r="A77" s="1"/>
      <c r="D77" s="2"/>
      <c r="E77" s="3"/>
      <c r="F77" s="3"/>
    </row>
    <row r="78" spans="1:6" x14ac:dyDescent="0.3">
      <c r="A78" s="1"/>
      <c r="D78" s="2"/>
      <c r="E78" s="3"/>
      <c r="F78" s="3"/>
    </row>
    <row r="79" spans="1:6" x14ac:dyDescent="0.3">
      <c r="A79" s="1"/>
      <c r="D79" s="2"/>
      <c r="E79" s="3"/>
      <c r="F79" s="3"/>
    </row>
    <row r="80" spans="1:6" x14ac:dyDescent="0.3">
      <c r="A80" s="1"/>
      <c r="D80" s="2"/>
      <c r="E80" s="3"/>
      <c r="F80" s="3"/>
    </row>
    <row r="81" spans="1:6" x14ac:dyDescent="0.3">
      <c r="A81" s="1"/>
      <c r="D81" s="2"/>
      <c r="E81" s="3"/>
      <c r="F81" s="3"/>
    </row>
    <row r="82" spans="1:6" x14ac:dyDescent="0.3">
      <c r="A82" s="1"/>
      <c r="D82" s="2"/>
      <c r="E82" s="3"/>
      <c r="F82" s="3"/>
    </row>
    <row r="83" spans="1:6" x14ac:dyDescent="0.3">
      <c r="A83" s="1"/>
      <c r="D83" s="2"/>
      <c r="E83" s="3"/>
      <c r="F83" s="3"/>
    </row>
    <row r="84" spans="1:6" x14ac:dyDescent="0.3">
      <c r="A84" s="1"/>
      <c r="D84" s="2"/>
      <c r="E84" s="3"/>
      <c r="F84" s="3"/>
    </row>
    <row r="85" spans="1:6" x14ac:dyDescent="0.3">
      <c r="A85" s="1"/>
      <c r="D85" s="2"/>
      <c r="E85" s="3"/>
      <c r="F85" s="3"/>
    </row>
    <row r="86" spans="1:6" x14ac:dyDescent="0.3">
      <c r="A86" s="1"/>
      <c r="D86" s="2"/>
      <c r="E86" s="3"/>
      <c r="F86" s="3"/>
    </row>
    <row r="87" spans="1:6" x14ac:dyDescent="0.3">
      <c r="A87" s="1"/>
      <c r="D87" s="2"/>
      <c r="E87" s="3"/>
      <c r="F87" s="3"/>
    </row>
    <row r="88" spans="1:6" x14ac:dyDescent="0.3">
      <c r="A88" s="1"/>
      <c r="D88" s="2"/>
      <c r="E88" s="3"/>
      <c r="F88" s="3"/>
    </row>
    <row r="89" spans="1:6" x14ac:dyDescent="0.3">
      <c r="A89" s="1"/>
      <c r="D89" s="2"/>
      <c r="E89" s="3"/>
      <c r="F89" s="3"/>
    </row>
    <row r="90" spans="1:6" x14ac:dyDescent="0.3">
      <c r="A90" s="1"/>
      <c r="D90" s="2"/>
      <c r="E90" s="3"/>
      <c r="F90" s="3"/>
    </row>
    <row r="91" spans="1:6" x14ac:dyDescent="0.3">
      <c r="A91" s="1"/>
      <c r="D91" s="2"/>
      <c r="E91" s="3"/>
      <c r="F91" s="3"/>
    </row>
    <row r="92" spans="1:6" x14ac:dyDescent="0.3">
      <c r="A92" s="1"/>
      <c r="D92" s="2"/>
      <c r="E92" s="3"/>
      <c r="F92" s="3"/>
    </row>
    <row r="93" spans="1:6" x14ac:dyDescent="0.3">
      <c r="A93" s="1"/>
      <c r="D93" s="2"/>
      <c r="E93" s="3"/>
      <c r="F93" s="3"/>
    </row>
    <row r="94" spans="1:6" x14ac:dyDescent="0.3">
      <c r="A94" s="1"/>
      <c r="D94" s="2"/>
      <c r="E94" s="3"/>
      <c r="F94" s="3"/>
    </row>
    <row r="95" spans="1:6" x14ac:dyDescent="0.3">
      <c r="A95" s="1"/>
      <c r="D95" s="2"/>
      <c r="E95" s="3"/>
      <c r="F95" s="3"/>
    </row>
    <row r="96" spans="1:6" x14ac:dyDescent="0.3">
      <c r="A96" s="1"/>
      <c r="D96" s="2"/>
      <c r="E96" s="3"/>
      <c r="F96" s="3"/>
    </row>
    <row r="97" spans="1:6" x14ac:dyDescent="0.3">
      <c r="A97" s="1"/>
      <c r="D97" s="2"/>
      <c r="E97" s="3"/>
      <c r="F97" s="3"/>
    </row>
    <row r="98" spans="1:6" x14ac:dyDescent="0.3">
      <c r="A98" s="1"/>
      <c r="D98" s="2"/>
      <c r="E98" s="3"/>
      <c r="F98" s="3"/>
    </row>
    <row r="99" spans="1:6" x14ac:dyDescent="0.3">
      <c r="A99" s="1"/>
      <c r="D99" s="2"/>
      <c r="E99" s="3"/>
      <c r="F99" s="3"/>
    </row>
    <row r="100" spans="1:6" x14ac:dyDescent="0.3">
      <c r="A100" s="1"/>
      <c r="D100" s="2"/>
      <c r="E100" s="3"/>
      <c r="F100" s="3"/>
    </row>
    <row r="101" spans="1:6" x14ac:dyDescent="0.3">
      <c r="A101" s="1"/>
      <c r="D101" s="2"/>
      <c r="E101" s="3"/>
      <c r="F101" s="3"/>
    </row>
    <row r="102" spans="1:6" x14ac:dyDescent="0.3">
      <c r="A102" s="1"/>
      <c r="D102" s="2"/>
      <c r="E102" s="3"/>
      <c r="F102" s="3"/>
    </row>
    <row r="103" spans="1:6" x14ac:dyDescent="0.3">
      <c r="A103" s="1"/>
      <c r="D103" s="2"/>
      <c r="E103" s="3"/>
      <c r="F103" s="3"/>
    </row>
    <row r="104" spans="1:6" x14ac:dyDescent="0.3">
      <c r="A104" s="1"/>
      <c r="D104" s="2"/>
      <c r="E104" s="3"/>
      <c r="F104" s="3"/>
    </row>
    <row r="105" spans="1:6" x14ac:dyDescent="0.3">
      <c r="A105" s="1"/>
      <c r="D105" s="2"/>
      <c r="E105" s="3"/>
      <c r="F105" s="3"/>
    </row>
    <row r="106" spans="1:6" x14ac:dyDescent="0.3">
      <c r="A106" s="1"/>
      <c r="D106" s="2"/>
      <c r="E106" s="3"/>
      <c r="F106" s="3"/>
    </row>
    <row r="107" spans="1:6" x14ac:dyDescent="0.3">
      <c r="A107" s="1"/>
      <c r="D107" s="2"/>
      <c r="E107" s="3"/>
      <c r="F107" s="3"/>
    </row>
    <row r="108" spans="1:6" x14ac:dyDescent="0.3">
      <c r="A108" s="1"/>
      <c r="D108" s="2"/>
      <c r="E108" s="3"/>
      <c r="F108" s="3"/>
    </row>
    <row r="109" spans="1:6" x14ac:dyDescent="0.3">
      <c r="A109" s="1"/>
      <c r="D109" s="2"/>
      <c r="E109" s="3"/>
      <c r="F109" s="3"/>
    </row>
    <row r="110" spans="1:6" x14ac:dyDescent="0.3">
      <c r="A110" s="1"/>
      <c r="D110" s="2"/>
      <c r="E110" s="3"/>
      <c r="F110" s="3"/>
    </row>
    <row r="111" spans="1:6" x14ac:dyDescent="0.3">
      <c r="A111" s="1"/>
      <c r="D111" s="2"/>
      <c r="E111" s="3"/>
      <c r="F111" s="3"/>
    </row>
    <row r="112" spans="1:6" x14ac:dyDescent="0.3">
      <c r="A112" s="1"/>
      <c r="D112" s="2"/>
      <c r="E112" s="3"/>
      <c r="F112" s="3"/>
    </row>
    <row r="113" spans="1:6" x14ac:dyDescent="0.3">
      <c r="A113" s="1"/>
      <c r="D113" s="2"/>
      <c r="E113" s="3"/>
      <c r="F113" s="3"/>
    </row>
    <row r="114" spans="1:6" x14ac:dyDescent="0.3">
      <c r="A114" s="1"/>
      <c r="D114" s="2"/>
      <c r="E114" s="3"/>
      <c r="F114" s="3"/>
    </row>
    <row r="115" spans="1:6" x14ac:dyDescent="0.3">
      <c r="A115" s="1"/>
      <c r="D115" s="2"/>
      <c r="E115" s="3"/>
      <c r="F115" s="3"/>
    </row>
    <row r="116" spans="1:6" x14ac:dyDescent="0.3">
      <c r="A116" s="1"/>
      <c r="D116" s="2"/>
      <c r="E116" s="3"/>
      <c r="F116" s="3"/>
    </row>
    <row r="117" spans="1:6" x14ac:dyDescent="0.3">
      <c r="A117" s="1"/>
      <c r="D117" s="2"/>
      <c r="E117" s="3"/>
      <c r="F117" s="3"/>
    </row>
    <row r="118" spans="1:6" x14ac:dyDescent="0.3">
      <c r="A118" s="1"/>
      <c r="D118" s="2"/>
      <c r="E118" s="3"/>
      <c r="F118" s="3"/>
    </row>
    <row r="119" spans="1:6" x14ac:dyDescent="0.3">
      <c r="A119" s="1"/>
      <c r="D119" s="2"/>
      <c r="E119" s="3"/>
      <c r="F119" s="3"/>
    </row>
    <row r="120" spans="1:6" x14ac:dyDescent="0.3">
      <c r="A120" s="1"/>
      <c r="D120" s="2"/>
      <c r="E120" s="3"/>
      <c r="F120" s="3"/>
    </row>
    <row r="121" spans="1:6" x14ac:dyDescent="0.3">
      <c r="A121" s="1"/>
      <c r="D121" s="2"/>
      <c r="E121" s="3"/>
      <c r="F121" s="3"/>
    </row>
    <row r="122" spans="1:6" x14ac:dyDescent="0.3">
      <c r="A122" s="1"/>
      <c r="D122" s="2"/>
      <c r="E122" s="3"/>
      <c r="F122" s="3"/>
    </row>
    <row r="123" spans="1:6" x14ac:dyDescent="0.3">
      <c r="A123" s="1"/>
      <c r="D123" s="2"/>
      <c r="E123" s="3"/>
      <c r="F123" s="3"/>
    </row>
    <row r="124" spans="1:6" x14ac:dyDescent="0.3">
      <c r="A124" s="1"/>
      <c r="D124" s="2"/>
      <c r="E124" s="3"/>
      <c r="F124" s="3"/>
    </row>
    <row r="125" spans="1:6" x14ac:dyDescent="0.3">
      <c r="A125" s="1"/>
      <c r="D125" s="2"/>
      <c r="E125" s="3"/>
      <c r="F125" s="3"/>
    </row>
    <row r="126" spans="1:6" x14ac:dyDescent="0.3">
      <c r="A126" s="1"/>
      <c r="D126" s="2"/>
      <c r="E126" s="3"/>
      <c r="F126" s="3"/>
    </row>
    <row r="127" spans="1:6" x14ac:dyDescent="0.3">
      <c r="A127" s="1"/>
      <c r="D127" s="2"/>
      <c r="E127" s="3"/>
      <c r="F127" s="3"/>
    </row>
    <row r="128" spans="1:6" x14ac:dyDescent="0.3">
      <c r="A128" s="1"/>
      <c r="D128" s="2"/>
      <c r="E128" s="3"/>
      <c r="F128" s="3"/>
    </row>
    <row r="129" spans="1:6" x14ac:dyDescent="0.3">
      <c r="A129" s="1"/>
      <c r="D129" s="2"/>
      <c r="E129" s="3"/>
      <c r="F129" s="3"/>
    </row>
    <row r="130" spans="1:6" x14ac:dyDescent="0.3">
      <c r="A130" s="1"/>
      <c r="D130" s="2"/>
      <c r="E130" s="3"/>
      <c r="F130" s="3"/>
    </row>
    <row r="131" spans="1:6" x14ac:dyDescent="0.3">
      <c r="A131" s="1"/>
      <c r="D131" s="2"/>
      <c r="E131" s="3"/>
      <c r="F131" s="3"/>
    </row>
    <row r="132" spans="1:6" x14ac:dyDescent="0.3">
      <c r="A132" s="1"/>
      <c r="D132" s="2"/>
      <c r="E132" s="3"/>
      <c r="F132" s="3"/>
    </row>
    <row r="133" spans="1:6" x14ac:dyDescent="0.3">
      <c r="A133" s="1"/>
      <c r="D133" s="2"/>
      <c r="E133" s="3"/>
      <c r="F133" s="3"/>
    </row>
    <row r="134" spans="1:6" x14ac:dyDescent="0.3">
      <c r="A134" s="1"/>
      <c r="D134" s="2"/>
      <c r="E134" s="3"/>
      <c r="F134" s="3"/>
    </row>
    <row r="135" spans="1:6" x14ac:dyDescent="0.3">
      <c r="A135" s="1"/>
      <c r="D135" s="2"/>
      <c r="E135" s="3"/>
      <c r="F135" s="3"/>
    </row>
    <row r="136" spans="1:6" x14ac:dyDescent="0.3">
      <c r="A136" s="1"/>
      <c r="D136" s="2"/>
      <c r="E136" s="3"/>
      <c r="F136" s="3"/>
    </row>
    <row r="137" spans="1:6" x14ac:dyDescent="0.3">
      <c r="A137" s="1"/>
      <c r="D137" s="2"/>
      <c r="E137" s="3"/>
      <c r="F137" s="3"/>
    </row>
    <row r="138" spans="1:6" x14ac:dyDescent="0.3">
      <c r="A138" s="1"/>
      <c r="D138" s="2"/>
      <c r="E138" s="3"/>
      <c r="F138" s="3"/>
    </row>
    <row r="139" spans="1:6" x14ac:dyDescent="0.3">
      <c r="A139" s="1"/>
      <c r="D139" s="2"/>
      <c r="E139" s="3"/>
      <c r="F139" s="3"/>
    </row>
    <row r="140" spans="1:6" x14ac:dyDescent="0.3">
      <c r="A140" s="1"/>
      <c r="D140" s="2"/>
      <c r="E140" s="3"/>
      <c r="F140" s="3"/>
    </row>
    <row r="141" spans="1:6" x14ac:dyDescent="0.3">
      <c r="A141" s="1"/>
      <c r="D141" s="2"/>
      <c r="E141" s="3"/>
      <c r="F141" s="3"/>
    </row>
    <row r="142" spans="1:6" x14ac:dyDescent="0.3">
      <c r="A142" s="1"/>
      <c r="D142" s="2"/>
      <c r="E142" s="3"/>
      <c r="F142" s="3"/>
    </row>
    <row r="143" spans="1:6" x14ac:dyDescent="0.3">
      <c r="A143" s="1"/>
      <c r="D143" s="2"/>
      <c r="E143" s="3"/>
      <c r="F143" s="3"/>
    </row>
    <row r="144" spans="1:6" x14ac:dyDescent="0.3">
      <c r="A144" s="1"/>
      <c r="D144" s="2"/>
      <c r="E144" s="3"/>
      <c r="F144" s="3"/>
    </row>
    <row r="145" spans="1:6" x14ac:dyDescent="0.3">
      <c r="A145" s="1"/>
      <c r="D145" s="2"/>
      <c r="E145" s="3"/>
      <c r="F145" s="3"/>
    </row>
    <row r="146" spans="1:6" x14ac:dyDescent="0.3">
      <c r="A146" s="1"/>
      <c r="D146" s="2"/>
      <c r="E146" s="3"/>
      <c r="F146" s="3"/>
    </row>
    <row r="147" spans="1:6" x14ac:dyDescent="0.3">
      <c r="A147" s="1"/>
      <c r="D147" s="2"/>
      <c r="E147" s="3"/>
      <c r="F147" s="3"/>
    </row>
    <row r="148" spans="1:6" x14ac:dyDescent="0.3">
      <c r="A148" s="1"/>
      <c r="D148" s="2"/>
      <c r="E148" s="3"/>
      <c r="F148" s="3"/>
    </row>
    <row r="149" spans="1:6" x14ac:dyDescent="0.3">
      <c r="A149" s="1"/>
      <c r="D149" s="2"/>
      <c r="E149" s="3"/>
      <c r="F149" s="3"/>
    </row>
    <row r="150" spans="1:6" x14ac:dyDescent="0.3">
      <c r="A150" s="1"/>
      <c r="D150" s="2"/>
      <c r="E150" s="3"/>
      <c r="F150" s="3"/>
    </row>
    <row r="151" spans="1:6" x14ac:dyDescent="0.3">
      <c r="A151" s="1"/>
      <c r="D151" s="2"/>
      <c r="E151" s="3"/>
      <c r="F151" s="3"/>
    </row>
    <row r="152" spans="1:6" x14ac:dyDescent="0.3">
      <c r="A152" s="1"/>
      <c r="D152" s="2"/>
      <c r="E152" s="3"/>
      <c r="F152" s="3"/>
    </row>
    <row r="153" spans="1:6" x14ac:dyDescent="0.3">
      <c r="A153" s="1"/>
      <c r="D153" s="2"/>
      <c r="E153" s="3"/>
      <c r="F153" s="3"/>
    </row>
    <row r="154" spans="1:6" x14ac:dyDescent="0.3">
      <c r="A154" s="1"/>
      <c r="D154" s="2"/>
      <c r="E154" s="3"/>
      <c r="F154" s="3"/>
    </row>
    <row r="155" spans="1:6" x14ac:dyDescent="0.3">
      <c r="A155" s="1"/>
      <c r="D155" s="2"/>
      <c r="E155" s="3"/>
      <c r="F155" s="3"/>
    </row>
    <row r="156" spans="1:6" x14ac:dyDescent="0.3">
      <c r="A156" s="1"/>
      <c r="D156" s="2"/>
      <c r="E156" s="3"/>
      <c r="F156" s="3"/>
    </row>
    <row r="157" spans="1:6" x14ac:dyDescent="0.3">
      <c r="A157" s="1"/>
      <c r="D157" s="2"/>
      <c r="E157" s="3"/>
      <c r="F157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4:I19"/>
  <sheetViews>
    <sheetView showGridLines="0" workbookViewId="0">
      <selection activeCell="I15" sqref="I15"/>
    </sheetView>
  </sheetViews>
  <sheetFormatPr defaultRowHeight="14.4" x14ac:dyDescent="0.3"/>
  <cols>
    <col min="2" max="2" width="14.88671875" customWidth="1"/>
    <col min="3" max="3" width="16" style="2" customWidth="1"/>
    <col min="4" max="4" width="14.44140625" style="2" customWidth="1"/>
    <col min="6" max="6" width="5.33203125" style="2" customWidth="1"/>
    <col min="7" max="7" width="16" customWidth="1"/>
    <col min="8" max="8" width="14.44140625" style="2" customWidth="1"/>
    <col min="9" max="9" width="13" customWidth="1"/>
  </cols>
  <sheetData>
    <row r="4" spans="2:9" x14ac:dyDescent="0.3">
      <c r="B4" s="51" t="s">
        <v>33</v>
      </c>
      <c r="C4" s="52"/>
      <c r="D4" s="52">
        <v>2021</v>
      </c>
      <c r="F4" s="78" t="s">
        <v>34</v>
      </c>
      <c r="I4" s="77">
        <f ca="1">TODAY()</f>
        <v>44470</v>
      </c>
    </row>
    <row r="6" spans="2:9" x14ac:dyDescent="0.3">
      <c r="B6" s="72" t="s">
        <v>29</v>
      </c>
      <c r="C6" s="73" t="s">
        <v>30</v>
      </c>
      <c r="D6" s="73" t="s">
        <v>6</v>
      </c>
      <c r="F6" s="73" t="s">
        <v>36</v>
      </c>
      <c r="G6" s="73" t="s">
        <v>28</v>
      </c>
      <c r="H6" s="73" t="s">
        <v>30</v>
      </c>
      <c r="I6" s="72" t="s">
        <v>35</v>
      </c>
    </row>
    <row r="7" spans="2:9" x14ac:dyDescent="0.3">
      <c r="B7" s="74" t="s">
        <v>37</v>
      </c>
      <c r="C7" s="75">
        <f>SUMIFS(TRANSAKSI!$G$5:$G$90000,TRANSAKSI!$L$5:$L$90000,REKAPITULASI!B7,TRANSAKSI!$M$5:$M$90000,REKAPITULASI!$D$4)</f>
        <v>0</v>
      </c>
      <c r="D7" s="76">
        <f>SUMIFS(TRANSAKSI!$J$5:$J$90000,TRANSAKSI!$L$5:$L$90000,REKAPITULASI!B7,TRANSAKSI!$M$5:$M$90000,REKAPITULASI!$D$4)</f>
        <v>0</v>
      </c>
      <c r="F7" s="86">
        <v>1</v>
      </c>
      <c r="G7" s="87">
        <f ca="1">I4-6</f>
        <v>44464</v>
      </c>
      <c r="H7" s="86">
        <f ca="1">SUMIF(TRANSAKSI!$B$5:$B$90000,REKAPITULASI!G7,TRANSAKSI!$G$5:$G$90000)</f>
        <v>0</v>
      </c>
      <c r="I7" s="88">
        <f ca="1">SUMIF(TRANSAKSI!$B$5:$B$90000,REKAPITULASI!G7,TRANSAKSI!$J$5:$J$90000)</f>
        <v>0</v>
      </c>
    </row>
    <row r="8" spans="2:9" x14ac:dyDescent="0.3">
      <c r="B8" s="74" t="s">
        <v>38</v>
      </c>
      <c r="C8" s="75">
        <f>SUMIFS(TRANSAKSI!$G$5:$G$90000,TRANSAKSI!$L$5:$L$90000,REKAPITULASI!B8,TRANSAKSI!$M$5:$M$90000,REKAPITULASI!$D$4)</f>
        <v>0</v>
      </c>
      <c r="D8" s="76">
        <f>SUMIFS(TRANSAKSI!$J$5:$J$90000,TRANSAKSI!$L$5:$L$90000,REKAPITULASI!B8,TRANSAKSI!$M$5:$M$90000,REKAPITULASI!$D$4)</f>
        <v>0</v>
      </c>
      <c r="F8" s="86">
        <v>2</v>
      </c>
      <c r="G8" s="87">
        <f t="shared" ref="G8:G13" ca="1" si="0">G7+1</f>
        <v>44465</v>
      </c>
      <c r="H8" s="86">
        <f ca="1">SUMIF(TRANSAKSI!$B$5:$B$90000,REKAPITULASI!G8,TRANSAKSI!$G$5:$G$90000)</f>
        <v>0</v>
      </c>
      <c r="I8" s="88">
        <f ca="1">SUMIF(TRANSAKSI!$B$5:$B$90000,REKAPITULASI!G8,TRANSAKSI!$J$5:$J$90000)</f>
        <v>0</v>
      </c>
    </row>
    <row r="9" spans="2:9" x14ac:dyDescent="0.3">
      <c r="B9" s="74" t="s">
        <v>39</v>
      </c>
      <c r="C9" s="75">
        <f>SUMIFS(TRANSAKSI!$G$5:$G$90000,TRANSAKSI!$L$5:$L$90000,REKAPITULASI!B9,TRANSAKSI!$M$5:$M$90000,REKAPITULASI!$D$4)</f>
        <v>0</v>
      </c>
      <c r="D9" s="76">
        <f>SUMIFS(TRANSAKSI!$J$5:$J$90000,TRANSAKSI!$L$5:$L$90000,REKAPITULASI!B9,TRANSAKSI!$M$5:$M$90000,REKAPITULASI!$D$4)</f>
        <v>0</v>
      </c>
      <c r="F9" s="86">
        <v>3</v>
      </c>
      <c r="G9" s="87">
        <f t="shared" ca="1" si="0"/>
        <v>44466</v>
      </c>
      <c r="H9" s="86">
        <f ca="1">SUMIF(TRANSAKSI!$B$5:$B$90000,REKAPITULASI!G9,TRANSAKSI!$G$5:$G$90000)</f>
        <v>0</v>
      </c>
      <c r="I9" s="88">
        <f ca="1">SUMIF(TRANSAKSI!$B$5:$B$90000,REKAPITULASI!G9,TRANSAKSI!$J$5:$J$90000)</f>
        <v>0</v>
      </c>
    </row>
    <row r="10" spans="2:9" x14ac:dyDescent="0.3">
      <c r="B10" s="74" t="s">
        <v>40</v>
      </c>
      <c r="C10" s="75">
        <f>SUMIFS(TRANSAKSI!$G$5:$G$90000,TRANSAKSI!$L$5:$L$90000,REKAPITULASI!B10,TRANSAKSI!$M$5:$M$90000,REKAPITULASI!$D$4)</f>
        <v>0</v>
      </c>
      <c r="D10" s="76">
        <f>SUMIFS(TRANSAKSI!$J$5:$J$90000,TRANSAKSI!$L$5:$L$90000,REKAPITULASI!B10,TRANSAKSI!$M$5:$M$90000,REKAPITULASI!$D$4)</f>
        <v>0</v>
      </c>
      <c r="F10" s="86">
        <v>4</v>
      </c>
      <c r="G10" s="87">
        <f t="shared" ca="1" si="0"/>
        <v>44467</v>
      </c>
      <c r="H10" s="86">
        <f ca="1">SUMIF(TRANSAKSI!$B$5:$B$90000,REKAPITULASI!G10,TRANSAKSI!$G$5:$G$90000)</f>
        <v>0</v>
      </c>
      <c r="I10" s="88">
        <f ca="1">SUMIF(TRANSAKSI!$B$5:$B$90000,REKAPITULASI!G10,TRANSAKSI!$J$5:$J$90000)</f>
        <v>0</v>
      </c>
    </row>
    <row r="11" spans="2:9" x14ac:dyDescent="0.3">
      <c r="B11" s="74" t="s">
        <v>32</v>
      </c>
      <c r="C11" s="75">
        <f>SUMIFS(TRANSAKSI!$G$5:$G$90000,TRANSAKSI!$L$5:$L$90000,REKAPITULASI!B11,TRANSAKSI!$M$5:$M$90000,REKAPITULASI!$D$4)</f>
        <v>0</v>
      </c>
      <c r="D11" s="76">
        <f>SUMIFS(TRANSAKSI!$J$5:$J$90000,TRANSAKSI!$L$5:$L$90000,REKAPITULASI!B11,TRANSAKSI!$M$5:$M$90000,REKAPITULASI!$D$4)</f>
        <v>0</v>
      </c>
      <c r="F11" s="86">
        <v>5</v>
      </c>
      <c r="G11" s="87">
        <f t="shared" ca="1" si="0"/>
        <v>44468</v>
      </c>
      <c r="H11" s="86">
        <f ca="1">SUMIF(TRANSAKSI!$B$5:$B$90000,REKAPITULASI!G11,TRANSAKSI!$G$5:$G$90000)</f>
        <v>0</v>
      </c>
      <c r="I11" s="88">
        <f ca="1">SUMIF(TRANSAKSI!$B$5:$B$90000,REKAPITULASI!G11,TRANSAKSI!$J$5:$J$90000)</f>
        <v>0</v>
      </c>
    </row>
    <row r="12" spans="2:9" x14ac:dyDescent="0.3">
      <c r="B12" s="74" t="s">
        <v>41</v>
      </c>
      <c r="C12" s="75">
        <f>SUMIFS(TRANSAKSI!$G$5:$G$90000,TRANSAKSI!$L$5:$L$90000,REKAPITULASI!B12,TRANSAKSI!$M$5:$M$90000,REKAPITULASI!$D$4)</f>
        <v>0</v>
      </c>
      <c r="D12" s="76">
        <f>SUMIFS(TRANSAKSI!$J$5:$J$90000,TRANSAKSI!$L$5:$L$90000,REKAPITULASI!B12,TRANSAKSI!$M$5:$M$90000,REKAPITULASI!$D$4)</f>
        <v>0</v>
      </c>
      <c r="F12" s="86">
        <v>6</v>
      </c>
      <c r="G12" s="87">
        <f t="shared" ca="1" si="0"/>
        <v>44469</v>
      </c>
      <c r="H12" s="86">
        <f ca="1">SUMIF(TRANSAKSI!$B$5:$B$90000,REKAPITULASI!G12,TRANSAKSI!$G$5:$G$90000)</f>
        <v>2</v>
      </c>
      <c r="I12" s="88">
        <f ca="1">SUMIF(TRANSAKSI!$B$5:$B$90000,REKAPITULASI!G12,TRANSAKSI!$J$5:$J$90000)</f>
        <v>140000</v>
      </c>
    </row>
    <row r="13" spans="2:9" x14ac:dyDescent="0.3">
      <c r="B13" s="74" t="s">
        <v>42</v>
      </c>
      <c r="C13" s="75">
        <f>SUMIFS(TRANSAKSI!$G$5:$G$90000,TRANSAKSI!$L$5:$L$90000,REKAPITULASI!B13,TRANSAKSI!$M$5:$M$90000,REKAPITULASI!$D$4)</f>
        <v>0</v>
      </c>
      <c r="D13" s="76">
        <f>SUMIFS(TRANSAKSI!$J$5:$J$90000,TRANSAKSI!$L$5:$L$90000,REKAPITULASI!B13,TRANSAKSI!$M$5:$M$90000,REKAPITULASI!$D$4)</f>
        <v>0</v>
      </c>
      <c r="F13" s="86">
        <v>7</v>
      </c>
      <c r="G13" s="87">
        <f t="shared" ca="1" si="0"/>
        <v>44470</v>
      </c>
      <c r="H13" s="86">
        <f ca="1">SUMIF(TRANSAKSI!$B$5:$B$90000,REKAPITULASI!G13,TRANSAKSI!$G$5:$G$90000)</f>
        <v>1</v>
      </c>
      <c r="I13" s="88">
        <f ca="1">SUMIF(TRANSAKSI!$B$5:$B$90000,REKAPITULASI!G13,TRANSAKSI!$J$5:$J$90000)</f>
        <v>47000</v>
      </c>
    </row>
    <row r="14" spans="2:9" x14ac:dyDescent="0.3">
      <c r="B14" s="74" t="s">
        <v>43</v>
      </c>
      <c r="C14" s="75">
        <f>SUMIFS(TRANSAKSI!$G$5:$G$90000,TRANSAKSI!$L$5:$L$90000,REKAPITULASI!B14,TRANSAKSI!$M$5:$M$90000,REKAPITULASI!$D$4)</f>
        <v>0</v>
      </c>
      <c r="D14" s="76">
        <f>SUMIFS(TRANSAKSI!$J$5:$J$90000,TRANSAKSI!$L$5:$L$90000,REKAPITULASI!B14,TRANSAKSI!$M$5:$M$90000,REKAPITULASI!$D$4)</f>
        <v>0</v>
      </c>
      <c r="I14" s="80"/>
    </row>
    <row r="15" spans="2:9" x14ac:dyDescent="0.3">
      <c r="B15" s="74" t="s">
        <v>44</v>
      </c>
      <c r="C15" s="75">
        <f>SUMIFS(TRANSAKSI!$G$5:$G$90000,TRANSAKSI!$L$5:$L$90000,REKAPITULASI!B15,TRANSAKSI!$M$5:$M$90000,REKAPITULASI!$D$4)</f>
        <v>2</v>
      </c>
      <c r="D15" s="76">
        <f>SUMIFS(TRANSAKSI!$J$5:$J$90000,TRANSAKSI!$L$5:$L$90000,REKAPITULASI!B15,TRANSAKSI!$M$5:$M$90000,REKAPITULASI!$D$4)</f>
        <v>140000</v>
      </c>
      <c r="G15" t="s">
        <v>48</v>
      </c>
      <c r="H15" s="2">
        <f ca="1">SUM(H7:H13)</f>
        <v>3</v>
      </c>
      <c r="I15" s="79">
        <f ca="1">SUM(I7:I13)</f>
        <v>187000</v>
      </c>
    </row>
    <row r="16" spans="2:9" x14ac:dyDescent="0.3">
      <c r="B16" s="74" t="s">
        <v>45</v>
      </c>
      <c r="C16" s="75">
        <f>SUMIFS(TRANSAKSI!$G$5:$G$90000,TRANSAKSI!$L$5:$L$90000,REKAPITULASI!B16,TRANSAKSI!$M$5:$M$90000,REKAPITULASI!$D$4)</f>
        <v>0</v>
      </c>
      <c r="D16" s="76">
        <f>SUMIFS(TRANSAKSI!$J$5:$J$90000,TRANSAKSI!$L$5:$L$90000,REKAPITULASI!B16,TRANSAKSI!$M$5:$M$90000,REKAPITULASI!$D$4)</f>
        <v>0</v>
      </c>
    </row>
    <row r="17" spans="2:4" x14ac:dyDescent="0.3">
      <c r="B17" s="74" t="s">
        <v>46</v>
      </c>
      <c r="C17" s="75">
        <f>SUMIFS(TRANSAKSI!$G$5:$G$90000,TRANSAKSI!$L$5:$L$90000,REKAPITULASI!B17,TRANSAKSI!$M$5:$M$90000,REKAPITULASI!$D$4)</f>
        <v>0</v>
      </c>
      <c r="D17" s="76">
        <f>SUMIFS(TRANSAKSI!$J$5:$J$90000,TRANSAKSI!$L$5:$L$90000,REKAPITULASI!B17,TRANSAKSI!$M$5:$M$90000,REKAPITULASI!$D$4)</f>
        <v>0</v>
      </c>
    </row>
    <row r="18" spans="2:4" x14ac:dyDescent="0.3">
      <c r="B18" s="74" t="s">
        <v>47</v>
      </c>
      <c r="C18" s="75">
        <f>SUMIFS(TRANSAKSI!$G$5:$G$90000,TRANSAKSI!$L$5:$L$90000,REKAPITULASI!B18,TRANSAKSI!$M$5:$M$90000,REKAPITULASI!$D$4)</f>
        <v>0</v>
      </c>
      <c r="D18" s="76">
        <f>SUMIFS(TRANSAKSI!$J$5:$J$90000,TRANSAKSI!$L$5:$L$90000,REKAPITULASI!B18,TRANSAKSI!$M$5:$M$90000,REKAPITULASI!$D$4)</f>
        <v>0</v>
      </c>
    </row>
    <row r="19" spans="2:4" x14ac:dyDescent="0.3">
      <c r="B19" s="74" t="s">
        <v>25</v>
      </c>
      <c r="C19" s="75">
        <f>SUM(C7:C18)</f>
        <v>2</v>
      </c>
      <c r="D19" s="76">
        <f>SUM(D7:D18)</f>
        <v>140000</v>
      </c>
    </row>
  </sheetData>
  <phoneticPr fontId="1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MENU</vt:lpstr>
      <vt:lpstr>DATABARANG</vt:lpstr>
      <vt:lpstr>Struk</vt:lpstr>
      <vt:lpstr>TRANSAKSI</vt:lpstr>
      <vt:lpstr>CARIBARANG</vt:lpstr>
      <vt:lpstr>REKAPITULASI</vt:lpstr>
      <vt:lpstr>CARIBARANG!Criteria</vt:lpstr>
      <vt:lpstr>TRANSAKSI!Criteria</vt:lpstr>
      <vt:lpstr>CARIBARANG!Extract</vt:lpstr>
      <vt:lpstr>TRANSAKSI!Extract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FARIDSATRIA</cp:lastModifiedBy>
  <cp:lastPrinted>2021-10-01T12:56:26Z</cp:lastPrinted>
  <dcterms:created xsi:type="dcterms:W3CDTF">2021-04-14T11:12:43Z</dcterms:created>
  <dcterms:modified xsi:type="dcterms:W3CDTF">2021-10-01T15:38:27Z</dcterms:modified>
</cp:coreProperties>
</file>