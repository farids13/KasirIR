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"/>
    </mc:Choice>
  </mc:AlternateContent>
  <xr:revisionPtr revIDLastSave="0" documentId="13_ncr:1_{30CEC7F2-DDBF-4EE8-983C-936CF487CF77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DATABARANG!$A$3:$G$87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3" l="1"/>
  <c r="E24" i="3" s="1"/>
  <c r="B24" i="3"/>
  <c r="C24" i="3"/>
  <c r="D24" i="3"/>
  <c r="A25" i="3"/>
  <c r="E25" i="3" s="1"/>
  <c r="B25" i="3"/>
  <c r="C25" i="3"/>
  <c r="D25" i="3"/>
  <c r="A26" i="3"/>
  <c r="E26" i="3" s="1"/>
  <c r="B26" i="3"/>
  <c r="C26" i="3"/>
  <c r="D26" i="3"/>
  <c r="A27" i="3"/>
  <c r="E27" i="3" s="1"/>
  <c r="B27" i="3"/>
  <c r="C27" i="3"/>
  <c r="D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5" i="4"/>
  <c r="I4" i="6"/>
  <c r="G7" i="6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5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C7" i="6"/>
  <c r="D7" i="6"/>
  <c r="D8" i="6"/>
  <c r="C11" i="6"/>
  <c r="C12" i="6"/>
  <c r="D15" i="6"/>
  <c r="C15" i="6"/>
  <c r="D11" i="6"/>
  <c r="C14" i="6"/>
  <c r="C10" i="6"/>
  <c r="D18" i="6"/>
  <c r="D14" i="6"/>
  <c r="C17" i="6"/>
  <c r="C13" i="6"/>
  <c r="C9" i="6"/>
  <c r="D17" i="6"/>
  <c r="D13" i="6"/>
  <c r="D9" i="6"/>
  <c r="C18" i="6"/>
  <c r="D10" i="6"/>
  <c r="C16" i="6"/>
  <c r="C8" i="6"/>
  <c r="D16" i="6"/>
  <c r="D12" i="6"/>
  <c r="B7" i="3"/>
  <c r="A11" i="3"/>
  <c r="A12" i="3"/>
  <c r="E12" i="3" s="1"/>
  <c r="A13" i="3"/>
  <c r="E13" i="3" s="1"/>
  <c r="A14" i="3"/>
  <c r="E14" i="3" s="1"/>
  <c r="A15" i="3"/>
  <c r="E15" i="3" s="1"/>
  <c r="A16" i="3"/>
  <c r="E16" i="3" s="1"/>
  <c r="A17" i="3"/>
  <c r="E17" i="3" s="1"/>
  <c r="A18" i="3"/>
  <c r="E18" i="3" s="1"/>
  <c r="A19" i="3"/>
  <c r="E19" i="3" s="1"/>
  <c r="A20" i="3"/>
  <c r="E20" i="3" s="1"/>
  <c r="A21" i="3"/>
  <c r="E21" i="3" s="1"/>
  <c r="A22" i="3"/>
  <c r="E22" i="3" s="1"/>
  <c r="A23" i="3"/>
  <c r="E23" i="3" s="1"/>
  <c r="A10" i="3"/>
  <c r="A27" i="1"/>
  <c r="A28" i="1" s="1"/>
  <c r="D19" i="6"/>
  <c r="C19" i="6"/>
  <c r="D6" i="3"/>
  <c r="E11" i="3" l="1"/>
  <c r="E10" i="3"/>
  <c r="E3" i="1"/>
  <c r="F3" i="1"/>
  <c r="D5" i="3"/>
  <c r="I7" i="6"/>
  <c r="G8" i="6"/>
  <c r="H7" i="6"/>
  <c r="B5" i="3" l="1"/>
  <c r="B6" i="3" s="1"/>
  <c r="D7" i="3" s="1"/>
  <c r="G3" i="1"/>
  <c r="M3" i="1" s="1"/>
  <c r="H8" i="6"/>
  <c r="I8" i="6"/>
  <c r="G9" i="6"/>
  <c r="I9" i="6" l="1"/>
  <c r="G10" i="6"/>
  <c r="H9" i="6"/>
  <c r="H10" i="6" l="1"/>
  <c r="I10" i="6"/>
  <c r="G11" i="6"/>
  <c r="I11" i="6" l="1"/>
  <c r="H11" i="6"/>
  <c r="G12" i="6"/>
  <c r="G13" i="6" l="1"/>
  <c r="H12" i="6"/>
  <c r="I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<sst xmlns="http://schemas.openxmlformats.org/spreadsheetml/2006/main" count="417" uniqueCount="230">
  <si>
    <t>Scan Barang</t>
  </si>
  <si>
    <t>Kode Barang</t>
  </si>
  <si>
    <t>Nama Barang</t>
  </si>
  <si>
    <t>Harga Satuan</t>
  </si>
  <si>
    <t>Qty</t>
  </si>
  <si>
    <t>Stok</t>
  </si>
  <si>
    <t>Total Harga</t>
  </si>
  <si>
    <t>8999999556327</t>
  </si>
  <si>
    <t>Sariwangi The Celup Asli 30 PC</t>
  </si>
  <si>
    <t>8998667401051</t>
  </si>
  <si>
    <t>Minyak Kayu Putih Konicare</t>
  </si>
  <si>
    <t>Harga Beli</t>
  </si>
  <si>
    <t>Harga Jual</t>
  </si>
  <si>
    <t>Satuan</t>
  </si>
  <si>
    <t>Buah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</si>
  <si>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</si>
  <si>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</si>
  <si>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</si>
  <si>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</si>
  <si>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</si>
  <si>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</si>
  <si>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</si>
  <si>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</si>
  <si>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</si>
  <si>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</si>
  <si>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</si>
  <si>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</si>
  <si>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</si>
  <si>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</si>
  <si>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</si>
  <si>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</si>
  <si>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</si>
  <si>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</si>
  <si>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</si>
  <si>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</si>
  <si>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</si>
  <si>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</si>
  <si>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</si>
  <si>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</si>
  <si>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</si>
  <si>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</si>
  <si>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</si>
  <si>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</si>
  <si>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</si>
  <si>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</si>
  <si>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</si>
  <si>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</si>
  <si>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</si>
  <si>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</si>
  <si>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</si>
  <si>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Kotak Pensil</t>
  </si>
  <si>
    <t>Kg</t>
  </si>
  <si>
    <t>23634647455245</t>
  </si>
  <si>
    <t>8994096216419</t>
  </si>
  <si>
    <t>Meises Mix 90g</t>
  </si>
  <si>
    <t>8996001440124</t>
  </si>
  <si>
    <t>Energen Susu Vanila</t>
  </si>
  <si>
    <t>8992933652215</t>
  </si>
  <si>
    <t>La Pasta Spicy Barbeque</t>
  </si>
  <si>
    <t>8992222054980</t>
  </si>
  <si>
    <t>Gatsby Stayling Pomade</t>
  </si>
  <si>
    <t>8</t>
  </si>
  <si>
    <t>IR CELL</t>
  </si>
  <si>
    <t>Jl. KUSUMA BANGSA NO 31 (BONG MERENG) KEC, BURNEH KAB,BANGKALAN</t>
  </si>
  <si>
    <t>6987125632788</t>
  </si>
  <si>
    <t>Tang Ampere</t>
  </si>
  <si>
    <t>11077359</t>
  </si>
  <si>
    <t>OTG USB TYPE C EXCELLENT</t>
  </si>
  <si>
    <t>11077358</t>
  </si>
  <si>
    <t>OTG USB MICRO EXCELLENT</t>
  </si>
  <si>
    <t>11074781</t>
  </si>
  <si>
    <t>USB DONGLE BLUETOOTH MUSIC RECEIVE CAR WIRELESS</t>
  </si>
  <si>
    <t>6869869745811</t>
  </si>
  <si>
    <t>AUX CABLE HK 3.5 HK-AUX2</t>
  </si>
  <si>
    <t>11082030</t>
  </si>
  <si>
    <t>CHARGER MICRO ALDOUS EXCELLENT 18 W 3A QC 3.0</t>
  </si>
  <si>
    <t>11074410</t>
  </si>
  <si>
    <t>CHARGER MICRO EXCELLENT 2 PORT WHITE 2.1 A</t>
  </si>
  <si>
    <t>11077350</t>
  </si>
  <si>
    <t>CHARGER MICRO EXCELLENT BRUNO 2 USB</t>
  </si>
  <si>
    <t>11077357</t>
  </si>
  <si>
    <t>CHARGER MICRO EXCELLENT LED 2A 2 USB</t>
  </si>
  <si>
    <t>6951758864243</t>
  </si>
  <si>
    <t>CHAGER MICRO HK 2 USB HK TC-D8</t>
  </si>
  <si>
    <t>6921762247875</t>
  </si>
  <si>
    <t>CHARGER MICOR REALME 20 W SUPER VOOC DL 118</t>
  </si>
  <si>
    <t>11082924</t>
  </si>
  <si>
    <t xml:space="preserve">CHARGER MICRO SAMSUNG QC 3.0 </t>
  </si>
  <si>
    <t>11080396</t>
  </si>
  <si>
    <t>CHARGER MICRO XIAOMI FC -118 QC 3.0 18 W</t>
  </si>
  <si>
    <t>11077315</t>
  </si>
  <si>
    <t>KABEL DATA TYPE C EXCELLENT ASOKA 100CM FAST</t>
  </si>
  <si>
    <t>01267017</t>
  </si>
  <si>
    <t>CHARGER MICRO SAMSUNG 15 W FAST CHARGING</t>
  </si>
  <si>
    <t>11083102</t>
  </si>
  <si>
    <t>CHARGER MICRO OPPO F11 VOOC 4A AK 779</t>
  </si>
  <si>
    <t>6971548136152</t>
  </si>
  <si>
    <t>CHARGER TYPE C VIVAN QC 3.0 POWER OVAL 3.0</t>
  </si>
  <si>
    <t>6971548136213</t>
  </si>
  <si>
    <t>CHARGER VIVAN 2A POWER OVAL II</t>
  </si>
  <si>
    <t>57984018</t>
  </si>
  <si>
    <t>CHARGER MICRO ARGUS 2 USB 2USB</t>
  </si>
  <si>
    <t>11077083</t>
  </si>
  <si>
    <t xml:space="preserve">CHARGER MICRO EXCELLENT ALPHA 2 USB </t>
  </si>
  <si>
    <t>11074992</t>
  </si>
  <si>
    <t>CHARGER MICRO EXCELLENT EUDORA 2 USB</t>
  </si>
  <si>
    <t>11076291</t>
  </si>
  <si>
    <t>CHARGER TYPE C EXCELLENT RUBY QC 3.0 18 W</t>
  </si>
  <si>
    <t>11076289</t>
  </si>
  <si>
    <t>CHARGER MICRO EXCELLENT RUBY QC 3.0 18 W</t>
  </si>
  <si>
    <t>11076290</t>
  </si>
  <si>
    <t>CHARGER LIGHTNING EXCELLENT RUBY QC 3.0 18 W</t>
  </si>
  <si>
    <t>6969743955876</t>
  </si>
  <si>
    <t>CHARGER TYPE C OPPO 65 W DL 118</t>
  </si>
  <si>
    <t>885909627349</t>
  </si>
  <si>
    <t>CHARGER LIGHTNING USB POWER ADAPTER IPHONE ORI</t>
  </si>
  <si>
    <t>8629498465225</t>
  </si>
  <si>
    <t>CHARGER TYPE C TO C SAMSUNG ORI 45 W</t>
  </si>
  <si>
    <t>11079925</t>
  </si>
  <si>
    <t>TEMPERED VIVO V9</t>
  </si>
  <si>
    <t>11077990</t>
  </si>
  <si>
    <t>TEMPERED VIVO V5</t>
  </si>
  <si>
    <t>11082334</t>
  </si>
  <si>
    <t>TEMPERED VIVO Y20/Y12S</t>
  </si>
  <si>
    <t>11080335</t>
  </si>
  <si>
    <t>TEMPERED VIVO Y30</t>
  </si>
  <si>
    <t>11080336</t>
  </si>
  <si>
    <t>TEMPERED VIVO Y50</t>
  </si>
  <si>
    <t>11078248</t>
  </si>
  <si>
    <t>TEMPERED VIVO Y19</t>
  </si>
  <si>
    <t>11079757</t>
  </si>
  <si>
    <t>TEMPERED VIVO Y19 BLUE</t>
  </si>
  <si>
    <t>11082642</t>
  </si>
  <si>
    <t>TEMPERED VIVO V20 PRO</t>
  </si>
  <si>
    <t>11077986</t>
  </si>
  <si>
    <t xml:space="preserve">TEMPERED VIVO V17 </t>
  </si>
  <si>
    <t>11077983</t>
  </si>
  <si>
    <t>TEMPERED VIVO Y91/93/95</t>
  </si>
  <si>
    <t>11077726</t>
  </si>
  <si>
    <t>TEMPERED VIVO Y91</t>
  </si>
  <si>
    <t>11082607</t>
  </si>
  <si>
    <t>TEMPERED VIVO Y30I</t>
  </si>
  <si>
    <t>11077730</t>
  </si>
  <si>
    <t>TEMPERED VIVO Y12/15/17</t>
  </si>
  <si>
    <t>11082608</t>
  </si>
  <si>
    <t>TEMPERED VIVO V20</t>
  </si>
  <si>
    <t>11077728</t>
  </si>
  <si>
    <t>TEMPERED VIVO V15</t>
  </si>
  <si>
    <t>11077987</t>
  </si>
  <si>
    <t>TEMPERED VIVO 15 PRO</t>
  </si>
  <si>
    <t>11082609</t>
  </si>
  <si>
    <t>TEMPERED VIVO V20SE</t>
  </si>
  <si>
    <t>11077724</t>
  </si>
  <si>
    <t>TEMPERED VIVO V11</t>
  </si>
  <si>
    <t>11077992</t>
  </si>
  <si>
    <t>TEMPERED VIVO V7 PLUS</t>
  </si>
  <si>
    <t>11078247</t>
  </si>
  <si>
    <t>TEMPERED VIVO S1 PRO</t>
  </si>
  <si>
    <t>11079887</t>
  </si>
  <si>
    <t>TEMPERED VIVO V19</t>
  </si>
  <si>
    <t>11076452</t>
  </si>
  <si>
    <t>TEMPERED VIVO V11 PRO BENING</t>
  </si>
  <si>
    <t>11078085</t>
  </si>
  <si>
    <t>TEMPERED SAMSUNG M30S</t>
  </si>
  <si>
    <t>11080332</t>
  </si>
  <si>
    <t>TEMPERED SAMSUNG A11</t>
  </si>
  <si>
    <t>11079480</t>
  </si>
  <si>
    <t>TEMPERED SAMSUNG A71</t>
  </si>
  <si>
    <t>11079491</t>
  </si>
  <si>
    <t>TEMPERED SAMSUNG J3 PRO</t>
  </si>
  <si>
    <t>11079492</t>
  </si>
  <si>
    <t>TEMPERED SAMSUNG J5 PRO</t>
  </si>
  <si>
    <t>11077132</t>
  </si>
  <si>
    <t>TEMPERED SAMSUNG A50 BENING</t>
  </si>
  <si>
    <t>11083559</t>
  </si>
  <si>
    <t>TEMPERED SAMSUNG A12 MATTE</t>
  </si>
  <si>
    <t>11083558</t>
  </si>
  <si>
    <t>TEMPERED SAMSUNG A02S MATTE</t>
  </si>
  <si>
    <t>11078082</t>
  </si>
  <si>
    <t>TEMPERED SAMSUNG A20S</t>
  </si>
  <si>
    <t>11083919</t>
  </si>
  <si>
    <t>06429821</t>
  </si>
  <si>
    <t>TEMPERED SAMSUNG A02 MATTE</t>
  </si>
  <si>
    <t>11083628</t>
  </si>
  <si>
    <t>TEMPERED SAMSUNG A02</t>
  </si>
  <si>
    <t>11078083</t>
  </si>
  <si>
    <t>TEMPERED SAMSUNG A30S</t>
  </si>
  <si>
    <t>11083630</t>
  </si>
  <si>
    <t>TEMPERED SAMSUNG A52</t>
  </si>
  <si>
    <t>11077731</t>
  </si>
  <si>
    <t>TEMPERED SAMSUNG J2 PRIME</t>
  </si>
  <si>
    <t>11078000</t>
  </si>
  <si>
    <t>TEMPERED SAMSUNG J7 PRO</t>
  </si>
  <si>
    <t>11079932</t>
  </si>
  <si>
    <t>TEMPERED SAMSUNG A01</t>
  </si>
  <si>
    <t>11077994</t>
  </si>
  <si>
    <t xml:space="preserve">TEMPERED SAMSUNG J2 PRO </t>
  </si>
  <si>
    <t>11080333</t>
  </si>
  <si>
    <t xml:space="preserve">TEMPERED SAMSUNG A21S </t>
  </si>
  <si>
    <t>11079563</t>
  </si>
  <si>
    <t xml:space="preserve">TEMPERED SAMSUNG A20 </t>
  </si>
  <si>
    <t>11079495</t>
  </si>
  <si>
    <t>TEMPERED XIAOMI REDMI 6 PRO</t>
  </si>
  <si>
    <t>11079496</t>
  </si>
  <si>
    <t>TEMPERED XIAOMI NOTE 6</t>
  </si>
  <si>
    <t>11079505</t>
  </si>
  <si>
    <t xml:space="preserve">TAMPERED XIAOMI NOTE 4X </t>
  </si>
  <si>
    <t>11070720</t>
  </si>
  <si>
    <t>TEMPERED SAMSUNG J1 BENING</t>
  </si>
  <si>
    <t>11077129</t>
  </si>
  <si>
    <t>TEMPERED SAMSUNG A10 BENING</t>
  </si>
  <si>
    <t>11076214</t>
  </si>
  <si>
    <t>TEMPERED SAMSUNG J8 2018 BENING</t>
  </si>
  <si>
    <t>11077995</t>
  </si>
  <si>
    <t>TEMPERED SAMSUNG J310</t>
  </si>
  <si>
    <t>11083565</t>
  </si>
  <si>
    <t>TEMPERED SAMSUNG S21 MATTE</t>
  </si>
  <si>
    <t>11079721</t>
  </si>
  <si>
    <t>TEMPERED SAMSUNG A20S BLUE</t>
  </si>
  <si>
    <t>11079485</t>
  </si>
  <si>
    <t xml:space="preserve">TEMPERED SAMSUNG M20 </t>
  </si>
  <si>
    <t>11077126</t>
  </si>
  <si>
    <t xml:space="preserve">TEMPERED SAMSUNG M10 BENING </t>
  </si>
  <si>
    <t>11082444</t>
  </si>
  <si>
    <t>TEMPERED XIOAMI REDMI 9C</t>
  </si>
  <si>
    <t>*9C*</t>
  </si>
  <si>
    <t>11082643</t>
  </si>
  <si>
    <t xml:space="preserve">TEMPERED XIAOMI 9A </t>
  </si>
  <si>
    <t>11078086</t>
  </si>
  <si>
    <t>TEMPERED XIAOMI NOTE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</si>
</sst>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</fills>
  <borders count="33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right" vertical="center"/>
    </xf>
    <xf numFmtId="166" fontId="6" fillId="0" borderId="0" xfId="0" applyNumberFormat="1" applyFont="1" applyBorder="1" applyAlignment="1">
      <alignment horizontal="right" vertical="center"/>
    </xf>
    <xf numFmtId="166" fontId="6" fillId="0" borderId="20" xfId="0" applyNumberFormat="1" applyFont="1" applyBorder="1" applyAlignment="1">
      <alignment horizontal="right" vertical="center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166" fontId="6" fillId="0" borderId="15" xfId="0" applyNumberFormat="1" applyFont="1" applyBorder="1" applyAlignment="1">
      <alignment horizontal="left"/>
    </xf>
    <xf numFmtId="14" fontId="6" fillId="0" borderId="20" xfId="0" applyNumberFormat="1" applyFont="1" applyBorder="1" applyAlignment="1">
      <alignment horizontal="left"/>
    </xf>
    <xf numFmtId="166" fontId="6" fillId="0" borderId="0" xfId="0" applyNumberFormat="1" applyFont="1" applyBorder="1" applyAlignment="1">
      <alignment horizontal="left"/>
    </xf>
    <xf numFmtId="0" fontId="8" fillId="0" borderId="22" xfId="0" applyFont="1" applyBorder="1" applyAlignment="1">
      <alignment horizontal="center" vertical="center"/>
    </xf>
    <xf numFmtId="166" fontId="8" fillId="0" borderId="22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49" fontId="11" fillId="3" borderId="0" xfId="0" applyNumberFormat="1" applyFont="1" applyFill="1"/>
    <xf numFmtId="0" fontId="11" fillId="3" borderId="0" xfId="0" applyFont="1" applyFill="1"/>
    <xf numFmtId="0" fontId="11" fillId="3" borderId="0" xfId="0" applyFont="1" applyFill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5" fontId="4" fillId="2" borderId="0" xfId="0" applyNumberFormat="1" applyFont="1" applyFill="1" applyAlignment="1">
      <alignment vertical="center"/>
    </xf>
    <xf numFmtId="165" fontId="0" fillId="0" borderId="0" xfId="0" applyNumberFormat="1"/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1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3" fillId="3" borderId="0" xfId="0" applyFont="1" applyFill="1" applyAlignment="1">
      <alignment vertical="center"/>
    </xf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5" fillId="0" borderId="32" xfId="0" applyNumberFormat="1" applyFont="1" applyFill="1" applyBorder="1" applyAlignment="1">
      <alignment vertical="center"/>
    </xf>
    <xf numFmtId="49" fontId="16" fillId="0" borderId="25" xfId="0" applyNumberFormat="1" applyFont="1" applyFill="1" applyBorder="1"/>
    <xf numFmtId="0" fontId="16" fillId="0" borderId="26" xfId="0" applyFont="1" applyFill="1" applyBorder="1"/>
    <xf numFmtId="164" fontId="16" fillId="0" borderId="26" xfId="1" applyFont="1" applyFill="1" applyBorder="1"/>
    <xf numFmtId="9" fontId="16" fillId="0" borderId="26" xfId="2" applyFont="1" applyFill="1" applyBorder="1" applyAlignment="1">
      <alignment horizontal="center" vertical="center"/>
    </xf>
    <xf numFmtId="164" fontId="16" fillId="0" borderId="27" xfId="1" applyFont="1" applyFill="1" applyBorder="1"/>
    <xf numFmtId="1" fontId="17" fillId="0" borderId="28" xfId="0" applyNumberFormat="1" applyFont="1" applyFill="1" applyBorder="1" applyAlignment="1">
      <alignment horizontal="left" vertical="center"/>
    </xf>
    <xf numFmtId="166" fontId="17" fillId="0" borderId="29" xfId="0" applyNumberFormat="1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165" fontId="17" fillId="0" borderId="29" xfId="2" applyNumberFormat="1" applyFont="1" applyFill="1" applyBorder="1" applyAlignment="1">
      <alignment horizontal="center" vertical="center"/>
    </xf>
    <xf numFmtId="166" fontId="17" fillId="0" borderId="30" xfId="1" applyNumberFormat="1" applyFont="1" applyFill="1" applyBorder="1" applyAlignment="1">
      <alignment horizontal="left" vertical="center"/>
    </xf>
    <xf numFmtId="49" fontId="7" fillId="5" borderId="3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left" vertical="center"/>
    </xf>
    <xf numFmtId="166" fontId="6" fillId="0" borderId="16" xfId="0" applyNumberFormat="1" applyFont="1" applyBorder="1" applyAlignment="1">
      <alignment horizontal="left" vertical="center"/>
    </xf>
    <xf numFmtId="166" fontId="6" fillId="0" borderId="0" xfId="0" applyNumberFormat="1" applyFont="1" applyBorder="1" applyAlignment="1">
      <alignment horizontal="left" vertical="center"/>
    </xf>
    <xf numFmtId="166" fontId="6" fillId="0" borderId="18" xfId="0" applyNumberFormat="1" applyFont="1" applyBorder="1" applyAlignment="1">
      <alignment horizontal="left" vertical="center"/>
    </xf>
    <xf numFmtId="166" fontId="6" fillId="0" borderId="20" xfId="0" applyNumberFormat="1" applyFont="1" applyBorder="1" applyAlignment="1">
      <alignment horizontal="left" vertical="center"/>
    </xf>
    <xf numFmtId="166" fontId="6" fillId="0" borderId="21" xfId="0" applyNumberFormat="1" applyFont="1" applyBorder="1" applyAlignment="1">
      <alignment horizontal="left" vertical="center"/>
    </xf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16800"/>
        <c:axId val="283417360"/>
        <c:axId val="0"/>
      </c:bar3DChart>
      <c:catAx>
        <c:axId val="2834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7360"/>
        <c:crosses val="autoZero"/>
        <c:auto val="1"/>
        <c:lblAlgn val="ctr"/>
        <c:lblOffset val="100"/>
        <c:noMultiLvlLbl val="0"/>
      </c:catAx>
      <c:valAx>
        <c:axId val="2834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20160"/>
        <c:axId val="283420720"/>
        <c:axId val="0"/>
      </c:bar3DChart>
      <c:catAx>
        <c:axId val="28342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720"/>
        <c:crosses val="autoZero"/>
        <c:auto val="1"/>
        <c:lblAlgn val="ctr"/>
        <c:lblOffset val="100"/>
        <c:noMultiLvlLbl val="0"/>
      </c:catAx>
      <c:valAx>
        <c:axId val="2834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1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44464</c:v>
                </c:pt>
                <c:pt idx="1">
                  <c:v>44465</c:v>
                </c:pt>
                <c:pt idx="2">
                  <c:v>44466</c:v>
                </c:pt>
                <c:pt idx="3">
                  <c:v>44467</c:v>
                </c:pt>
                <c:pt idx="4">
                  <c:v>44468</c:v>
                </c:pt>
                <c:pt idx="5">
                  <c:v>44469</c:v>
                </c:pt>
                <c:pt idx="6">
                  <c:v>44470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322176"/>
        <c:axId val="288322736"/>
      </c:lineChart>
      <c:dateAx>
        <c:axId val="28832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736"/>
        <c:crosses val="autoZero"/>
        <c:auto val="1"/>
        <c:lblOffset val="100"/>
        <c:baseTimeUnit val="days"/>
      </c:dateAx>
      <c:valAx>
        <c:axId val="2883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chart" Target="../charts/chart2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4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chart" Target="../charts/chart1.xml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svg"/><Relationship Id="rId27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175964</xdr:colOff>
      <xdr:row>0</xdr:row>
      <xdr:rowOff>1393</xdr:rowOff>
    </xdr:from>
    <xdr:to>
      <xdr:col>20</xdr:col>
      <xdr:colOff>159454</xdr:colOff>
      <xdr:row>8</xdr:row>
      <xdr:rowOff>136990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09081" y="1393"/>
          <a:ext cx="3724217" cy="1827831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10</xdr:col>
      <xdr:colOff>98518</xdr:colOff>
      <xdr:row>3</xdr:row>
      <xdr:rowOff>148946</xdr:rowOff>
    </xdr:from>
    <xdr:to>
      <xdr:col>12</xdr:col>
      <xdr:colOff>540271</xdr:colOff>
      <xdr:row>4</xdr:row>
      <xdr:rowOff>280738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687583" y="828120"/>
          <a:ext cx="1733840" cy="305727"/>
          <a:chOff x="3803431" y="4953657"/>
          <a:chExt cx="1649663" cy="342900"/>
        </a:xfrm>
        <a:effectLst/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822623</xdr:colOff>
      <xdr:row>3</xdr:row>
      <xdr:rowOff>157051</xdr:rowOff>
    </xdr:from>
    <xdr:to>
      <xdr:col>10</xdr:col>
      <xdr:colOff>9810</xdr:colOff>
      <xdr:row>5</xdr:row>
      <xdr:rowOff>3681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647493" y="836225"/>
          <a:ext cx="951382" cy="302173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138958</xdr:colOff>
      <xdr:row>3</xdr:row>
      <xdr:rowOff>169931</xdr:rowOff>
    </xdr:from>
    <xdr:to>
      <xdr:col>3</xdr:col>
      <xdr:colOff>949697</xdr:colOff>
      <xdr:row>5</xdr:row>
      <xdr:rowOff>13455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54067" y="849105"/>
          <a:ext cx="951543" cy="299067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398004</xdr:colOff>
      <xdr:row>3</xdr:row>
      <xdr:rowOff>161816</xdr:rowOff>
    </xdr:from>
    <xdr:to>
      <xdr:col>7</xdr:col>
      <xdr:colOff>695511</xdr:colOff>
      <xdr:row>5</xdr:row>
      <xdr:rowOff>1370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518852" y="840990"/>
          <a:ext cx="1001529" cy="295097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171088</xdr:colOff>
      <xdr:row>8</xdr:row>
      <xdr:rowOff>186723</xdr:rowOff>
    </xdr:from>
    <xdr:to>
      <xdr:col>20</xdr:col>
      <xdr:colOff>154578</xdr:colOff>
      <xdr:row>17</xdr:row>
      <xdr:rowOff>177198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1304205" y="1878957"/>
          <a:ext cx="3724217" cy="168270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181316</xdr:colOff>
      <xdr:row>18</xdr:row>
      <xdr:rowOff>24830</xdr:rowOff>
    </xdr:from>
    <xdr:to>
      <xdr:col>20</xdr:col>
      <xdr:colOff>164806</xdr:colOff>
      <xdr:row>27</xdr:row>
      <xdr:rowOff>5779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187488</xdr:colOff>
      <xdr:row>28</xdr:row>
      <xdr:rowOff>5268</xdr:rowOff>
    </xdr:from>
    <xdr:to>
      <xdr:col>20</xdr:col>
      <xdr:colOff>180504</xdr:colOff>
      <xdr:row>33</xdr:row>
      <xdr:rowOff>96710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1321155" y="5550935"/>
          <a:ext cx="3739516" cy="105452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309858</xdr:colOff>
      <xdr:row>28</xdr:row>
      <xdr:rowOff>149182</xdr:rowOff>
    </xdr:from>
    <xdr:to>
      <xdr:col>17</xdr:col>
      <xdr:colOff>230195</xdr:colOff>
      <xdr:row>32</xdr:row>
      <xdr:rowOff>62327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449967" y="5673682"/>
          <a:ext cx="1783924" cy="675145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pPr algn="l"/>
              <a:t> Rp140.000 </a:t>
            </a:fld>
            <a:endParaRPr lang="en-US" sz="1400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341652</xdr:colOff>
      <xdr:row>28</xdr:row>
      <xdr:rowOff>136959</xdr:rowOff>
    </xdr:from>
    <xdr:to>
      <xdr:col>20</xdr:col>
      <xdr:colOff>153857</xdr:colOff>
      <xdr:row>32</xdr:row>
      <xdr:rowOff>50104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3345348" y="5661459"/>
          <a:ext cx="1675792" cy="675145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pPr algn="l"/>
              <a:t> Rp140.000 </a:t>
            </a:fld>
            <a:endParaRPr lang="en-US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25292"/>
          <a:ext cx="1540979" cy="400050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523875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582517"/>
          <a:ext cx="1540979" cy="400050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402807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Sale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239742"/>
          <a:ext cx="1540979" cy="400050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896967"/>
          <a:ext cx="1540979" cy="400050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143236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227614</xdr:colOff>
      <xdr:row>0</xdr:row>
      <xdr:rowOff>65567</xdr:rowOff>
    </xdr:from>
    <xdr:to>
      <xdr:col>20</xdr:col>
      <xdr:colOff>340059</xdr:colOff>
      <xdr:row>9</xdr:row>
      <xdr:rowOff>4649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F54DDB5-9E8C-4030-81DD-656FA090AA56}"/>
            </a:ext>
          </a:extLst>
        </xdr:cNvPr>
        <xdr:cNvGrpSpPr/>
      </xdr:nvGrpSpPr>
      <xdr:grpSpPr>
        <a:xfrm>
          <a:off x="11367723" y="65567"/>
          <a:ext cx="3839619" cy="1835799"/>
          <a:chOff x="10668000" y="16217"/>
          <a:chExt cx="3853172" cy="1819212"/>
        </a:xfrm>
      </xdr:grpSpPr>
      <xdr:pic>
        <xdr:nvPicPr>
          <xdr:cNvPr id="27" name="Graphic 26" descr="Bar graph with upward trend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757779" y="22913"/>
            <a:ext cx="273900" cy="27048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101905" y="16217"/>
            <a:ext cx="2991850" cy="289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JUMLAH BARANG TERJUAL BULANAN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03DD8CFC-1091-4A74-8732-87F218B434E7}"/>
              </a:ext>
            </a:extLst>
          </xdr:cNvPr>
          <xdr:cNvGraphicFramePr>
            <a:graphicFrameLocks/>
          </xdr:cNvGraphicFramePr>
        </xdr:nvGraphicFramePr>
        <xdr:xfrm>
          <a:off x="10668000" y="323662"/>
          <a:ext cx="3853172" cy="1511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>
    <xdr:from>
      <xdr:col>14</xdr:col>
      <xdr:colOff>197992</xdr:colOff>
      <xdr:row>9</xdr:row>
      <xdr:rowOff>49285</xdr:rowOff>
    </xdr:from>
    <xdr:to>
      <xdr:col>20</xdr:col>
      <xdr:colOff>289248</xdr:colOff>
      <xdr:row>18</xdr:row>
      <xdr:rowOff>50142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F858F7E-4DD0-4986-89B0-76331C0F719A}"/>
            </a:ext>
          </a:extLst>
        </xdr:cNvPr>
        <xdr:cNvGrpSpPr/>
      </xdr:nvGrpSpPr>
      <xdr:grpSpPr>
        <a:xfrm>
          <a:off x="11338101" y="1946002"/>
          <a:ext cx="3818430" cy="1715357"/>
          <a:chOff x="10648274" y="1899721"/>
          <a:chExt cx="3831984" cy="1693228"/>
        </a:xfrm>
      </xdr:grpSpPr>
      <xdr:pic>
        <xdr:nvPicPr>
          <xdr:cNvPr id="60" name="Graphic 59" descr="Pie chart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763418" y="1899721"/>
            <a:ext cx="295275" cy="291523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11123583" y="1904617"/>
            <a:ext cx="2990162" cy="2914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PENDAPATAN</a:t>
            </a:r>
            <a:r>
              <a:rPr lang="en-US" sz="12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PENJUALAN BULANAN 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:a16="http://schemas.microsoft.com/office/drawing/2014/main" id="{D9CD0A9B-EFEC-45AD-A86E-E6612D1EE97F}"/>
              </a:ext>
            </a:extLst>
          </xdr:cNvPr>
          <xdr:cNvGraphicFramePr>
            <a:graphicFrameLocks/>
          </xdr:cNvGraphicFramePr>
        </xdr:nvGraphicFramePr>
        <xdr:xfrm>
          <a:off x="10648274" y="2169870"/>
          <a:ext cx="3831984" cy="14230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>
    <xdr:from>
      <xdr:col>14</xdr:col>
      <xdr:colOff>169561</xdr:colOff>
      <xdr:row>18</xdr:row>
      <xdr:rowOff>101601</xdr:rowOff>
    </xdr:from>
    <xdr:to>
      <xdr:col>20</xdr:col>
      <xdr:colOff>149040</xdr:colOff>
      <xdr:row>27</xdr:row>
      <xdr:rowOff>15342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F61629C2-62DC-48F5-8BD3-8FDE8ABBE7E5}"/>
            </a:ext>
          </a:extLst>
        </xdr:cNvPr>
        <xdr:cNvGrpSpPr/>
      </xdr:nvGrpSpPr>
      <xdr:grpSpPr>
        <a:xfrm>
          <a:off x="11309670" y="3712818"/>
          <a:ext cx="3706653" cy="1636524"/>
          <a:chOff x="10708912" y="3674549"/>
          <a:chExt cx="3720206" cy="1615416"/>
        </a:xfrm>
      </xdr:grpSpPr>
      <xdr:pic>
        <xdr:nvPicPr>
          <xdr:cNvPr id="65" name="Graphic 64" descr="Bar graph with upward trend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933809" y="3686399"/>
            <a:ext cx="273900" cy="26895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11253101" y="3674549"/>
            <a:ext cx="2156860" cy="291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PENJUALAN MINGGUAN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C5318C0A-5831-46DB-878F-5678441167ED}"/>
              </a:ext>
            </a:extLst>
          </xdr:cNvPr>
          <xdr:cNvGraphicFramePr>
            <a:graphicFrameLocks/>
          </xdr:cNvGraphicFramePr>
        </xdr:nvGraphicFramePr>
        <xdr:xfrm>
          <a:off x="10708912" y="3919055"/>
          <a:ext cx="3720206" cy="13709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92" zoomScaleNormal="99" workbookViewId="0">
      <selection activeCell="F5" sqref="F5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15.33203125" style="9" customWidth="1"/>
    <col min="5" max="5" width="15.88671875" style="61" customWidth="1"/>
    <col min="6" max="6" width="32.33203125" style="10" customWidth="1"/>
    <col min="7" max="7" width="10.21875" style="11" customWidth="1"/>
    <col min="8" max="8" width="13.88671875" style="62" customWidth="1"/>
    <col min="9" max="9" width="5.88671875" style="66" customWidth="1"/>
    <col min="10" max="10" width="5.88671875" style="59" customWidth="1"/>
    <col min="11" max="11" width="8.44140625" style="59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64"/>
      <c r="J1" s="4"/>
      <c r="K1" s="56"/>
      <c r="L1" s="56"/>
      <c r="M1" s="56"/>
    </row>
    <row r="2" spans="4:13" ht="19.8" thickTop="1" x14ac:dyDescent="0.4">
      <c r="D2" s="91" t="s">
        <v>17</v>
      </c>
      <c r="E2" s="92" t="s">
        <v>18</v>
      </c>
      <c r="F2" s="93" t="s">
        <v>19</v>
      </c>
      <c r="G2" s="104" t="s">
        <v>20</v>
      </c>
      <c r="H2" s="104"/>
      <c r="I2" s="94"/>
      <c r="J2" s="93" t="s">
        <v>21</v>
      </c>
      <c r="K2" s="93"/>
      <c r="L2" s="92"/>
      <c r="M2" s="95" t="s">
        <v>22</v>
      </c>
    </row>
    <row r="3" spans="4:13" ht="18" customHeight="1" thickBot="1" x14ac:dyDescent="0.4">
      <c r="D3" s="96">
        <f>SUM($J$8:$J$90)</f>
        <v>0</v>
      </c>
      <c r="E3" s="97">
        <f>SUM($M$8:$M$90)</f>
        <v>0</v>
      </c>
      <c r="F3" s="98">
        <f>SUM($L$8:$L$90)</f>
        <v>0</v>
      </c>
      <c r="G3" s="105">
        <f>E3-F3</f>
        <v>0</v>
      </c>
      <c r="H3" s="105"/>
      <c r="I3" s="99"/>
      <c r="J3" s="105"/>
      <c r="K3" s="105"/>
      <c r="L3" s="105"/>
      <c r="M3" s="100">
        <f>J3-G3</f>
        <v>0</v>
      </c>
    </row>
    <row r="4" spans="4:13" ht="14.25" customHeight="1" thickTop="1" thickBot="1" x14ac:dyDescent="0.4">
      <c r="D4" s="56"/>
      <c r="E4" s="57"/>
      <c r="F4" s="55"/>
      <c r="G4" s="58"/>
      <c r="H4" s="18"/>
      <c r="I4" s="19"/>
      <c r="J4" s="55"/>
      <c r="K4" s="55"/>
    </row>
    <row r="5" spans="4:13" ht="22.5" customHeight="1" thickBot="1" x14ac:dyDescent="0.4">
      <c r="E5" s="101" t="s">
        <v>0</v>
      </c>
      <c r="F5" s="90"/>
      <c r="G5" s="18"/>
      <c r="H5" s="18"/>
      <c r="I5" s="19"/>
      <c r="J5" s="20"/>
      <c r="K5" s="20"/>
    </row>
    <row r="6" spans="4:13" x14ac:dyDescent="0.35">
      <c r="D6" s="4"/>
      <c r="E6" s="5"/>
      <c r="F6" s="6"/>
      <c r="G6" s="7"/>
      <c r="H6" s="8"/>
      <c r="I6" s="65"/>
      <c r="J6" s="6"/>
      <c r="K6" s="6"/>
    </row>
    <row r="7" spans="4:13" x14ac:dyDescent="0.35">
      <c r="D7" s="12" t="s">
        <v>1</v>
      </c>
      <c r="E7" s="12" t="s">
        <v>28</v>
      </c>
      <c r="F7" s="12" t="s">
        <v>2</v>
      </c>
      <c r="G7" s="63" t="s">
        <v>13</v>
      </c>
      <c r="H7" s="12" t="s">
        <v>3</v>
      </c>
      <c r="I7" s="63" t="s">
        <v>5</v>
      </c>
      <c r="J7" s="63" t="s">
        <v>4</v>
      </c>
      <c r="K7" s="12" t="s">
        <v>15</v>
      </c>
      <c r="L7" s="12" t="s">
        <v>16</v>
      </c>
      <c r="M7" s="12" t="s">
        <v>6</v>
      </c>
    </row>
    <row r="8" spans="4:13" x14ac:dyDescent="0.35">
      <c r="E8" s="60"/>
      <c r="K8" s="67"/>
      <c r="L8" s="10" t="str">
        <f>IF(D8="","",K8*H8*J8)</f>
        <v/>
      </c>
      <c r="M8" s="10" t="str">
        <f>IF(D8="","",IF(AND(G8="",L8=""),H8*J8,H8*J8-L8))</f>
        <v/>
      </c>
    </row>
    <row r="9" spans="4:13" x14ac:dyDescent="0.35">
      <c r="E9" s="60"/>
      <c r="K9" s="67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 x14ac:dyDescent="0.35">
      <c r="E10" s="60"/>
      <c r="K10" s="67"/>
      <c r="L10" s="10" t="str">
        <f t="shared" si="0"/>
        <v/>
      </c>
      <c r="M10" s="10" t="str">
        <f t="shared" si="1"/>
        <v/>
      </c>
    </row>
    <row r="11" spans="4:13" x14ac:dyDescent="0.35">
      <c r="E11" s="60"/>
      <c r="K11" s="67"/>
      <c r="L11" s="10" t="str">
        <f t="shared" si="0"/>
        <v/>
      </c>
      <c r="M11" s="10" t="str">
        <f t="shared" si="1"/>
        <v/>
      </c>
    </row>
    <row r="12" spans="4:13" x14ac:dyDescent="0.35">
      <c r="E12" s="60"/>
      <c r="K12" s="67"/>
      <c r="L12" s="10" t="str">
        <f t="shared" si="0"/>
        <v/>
      </c>
      <c r="M12" s="10" t="str">
        <f t="shared" si="1"/>
        <v/>
      </c>
    </row>
    <row r="13" spans="4:13" x14ac:dyDescent="0.35">
      <c r="K13" s="67"/>
      <c r="L13" s="10" t="str">
        <f t="shared" si="0"/>
        <v/>
      </c>
      <c r="M13" s="10" t="str">
        <f t="shared" si="1"/>
        <v/>
      </c>
    </row>
    <row r="14" spans="4:13" x14ac:dyDescent="0.35">
      <c r="K14" s="67"/>
      <c r="L14" s="10" t="str">
        <f t="shared" si="0"/>
        <v/>
      </c>
      <c r="M14" s="10" t="str">
        <f t="shared" si="1"/>
        <v/>
      </c>
    </row>
    <row r="15" spans="4:13" x14ac:dyDescent="0.35">
      <c r="K15" s="67"/>
      <c r="L15" s="10" t="str">
        <f t="shared" si="0"/>
        <v/>
      </c>
      <c r="M15" s="10" t="str">
        <f t="shared" si="1"/>
        <v/>
      </c>
    </row>
    <row r="16" spans="4:13" x14ac:dyDescent="0.35">
      <c r="K16" s="67"/>
      <c r="L16" s="10" t="str">
        <f t="shared" si="0"/>
        <v/>
      </c>
      <c r="M16" s="10" t="str">
        <f t="shared" si="1"/>
        <v/>
      </c>
    </row>
    <row r="17" spans="1:13" x14ac:dyDescent="0.35">
      <c r="K17" s="67"/>
      <c r="L17" s="10" t="str">
        <f t="shared" si="0"/>
        <v/>
      </c>
      <c r="M17" s="10" t="str">
        <f t="shared" si="1"/>
        <v/>
      </c>
    </row>
    <row r="18" spans="1:13" x14ac:dyDescent="0.35">
      <c r="K18" s="67"/>
      <c r="L18" s="10" t="str">
        <f t="shared" si="0"/>
        <v/>
      </c>
      <c r="M18" s="10" t="str">
        <f t="shared" si="1"/>
        <v/>
      </c>
    </row>
    <row r="19" spans="1:13" x14ac:dyDescent="0.35">
      <c r="K19" s="67"/>
      <c r="L19" s="10" t="str">
        <f t="shared" si="0"/>
        <v/>
      </c>
      <c r="M19" s="10" t="str">
        <f t="shared" si="1"/>
        <v/>
      </c>
    </row>
    <row r="20" spans="1:13" x14ac:dyDescent="0.35">
      <c r="K20" s="67"/>
      <c r="L20" s="10" t="str">
        <f t="shared" si="0"/>
        <v/>
      </c>
      <c r="M20" s="10" t="str">
        <f t="shared" si="1"/>
        <v/>
      </c>
    </row>
    <row r="21" spans="1:13" x14ac:dyDescent="0.35">
      <c r="K21" s="67"/>
      <c r="L21" s="10" t="str">
        <f t="shared" si="0"/>
        <v/>
      </c>
      <c r="M21" s="10" t="str">
        <f t="shared" si="1"/>
        <v/>
      </c>
    </row>
    <row r="22" spans="1:13" x14ac:dyDescent="0.35">
      <c r="K22" s="67"/>
      <c r="L22" s="10" t="str">
        <f t="shared" si="0"/>
        <v/>
      </c>
      <c r="M22" s="10" t="str">
        <f t="shared" si="1"/>
        <v/>
      </c>
    </row>
    <row r="23" spans="1:13" x14ac:dyDescent="0.35">
      <c r="K23" s="67"/>
      <c r="L23" s="10" t="str">
        <f t="shared" si="0"/>
        <v/>
      </c>
      <c r="M23" s="10" t="str">
        <f t="shared" si="1"/>
        <v/>
      </c>
    </row>
    <row r="24" spans="1:13" x14ac:dyDescent="0.35">
      <c r="K24" s="67"/>
      <c r="L24" s="10" t="str">
        <f t="shared" si="0"/>
        <v/>
      </c>
      <c r="M24" s="10" t="str">
        <f t="shared" si="1"/>
        <v/>
      </c>
    </row>
    <row r="25" spans="1:13" ht="15.75" customHeight="1" thickBot="1" x14ac:dyDescent="0.4">
      <c r="A25" s="106" t="s">
        <v>23</v>
      </c>
      <c r="B25" s="106"/>
      <c r="K25" s="67"/>
      <c r="L25" s="10" t="str">
        <f t="shared" si="0"/>
        <v/>
      </c>
      <c r="M25" s="10" t="str">
        <f t="shared" si="1"/>
        <v/>
      </c>
    </row>
    <row r="26" spans="1:13" x14ac:dyDescent="0.35">
      <c r="A26" s="48"/>
      <c r="B26" s="47"/>
      <c r="K26" s="67"/>
      <c r="L26" s="10" t="str">
        <f t="shared" si="0"/>
        <v/>
      </c>
      <c r="M26" s="10" t="str">
        <f t="shared" si="1"/>
        <v/>
      </c>
    </row>
    <row r="27" spans="1:13" x14ac:dyDescent="0.35">
      <c r="A27" s="49">
        <f>IFERROR(INDEX($D$8:$D$43,$A$26),"")</f>
        <v>0</v>
      </c>
      <c r="B27" s="46"/>
      <c r="K27" s="67"/>
      <c r="L27" s="10" t="str">
        <f t="shared" si="0"/>
        <v/>
      </c>
      <c r="M27" s="10" t="str">
        <f t="shared" si="1"/>
        <v/>
      </c>
    </row>
    <row r="28" spans="1:13" x14ac:dyDescent="0.35">
      <c r="A28" s="49" t="str">
        <f>IFERROR(VLOOKUP($A$27,$D$8:$M$46,7,0),"")</f>
        <v/>
      </c>
      <c r="B28" s="46"/>
      <c r="K28" s="67"/>
      <c r="L28" s="10" t="str">
        <f t="shared" si="0"/>
        <v/>
      </c>
      <c r="M28" s="10" t="str">
        <f t="shared" si="1"/>
        <v/>
      </c>
    </row>
    <row r="29" spans="1:13" x14ac:dyDescent="0.35">
      <c r="A29" s="102"/>
      <c r="B29" s="103"/>
      <c r="C29" s="5" t="s">
        <v>49</v>
      </c>
      <c r="K29" s="67"/>
      <c r="L29" s="10" t="str">
        <f t="shared" si="0"/>
        <v/>
      </c>
      <c r="M29" s="10" t="str">
        <f t="shared" si="1"/>
        <v/>
      </c>
    </row>
    <row r="30" spans="1:13" x14ac:dyDescent="0.35">
      <c r="A30" s="21"/>
      <c r="B30" s="22"/>
      <c r="K30" s="67"/>
      <c r="L30" s="10" t="str">
        <f t="shared" si="0"/>
        <v/>
      </c>
      <c r="M30" s="10" t="str">
        <f t="shared" si="1"/>
        <v/>
      </c>
    </row>
    <row r="31" spans="1:13" x14ac:dyDescent="0.35">
      <c r="A31" s="54"/>
      <c r="B31" s="22"/>
      <c r="K31" s="67"/>
      <c r="L31" s="10" t="str">
        <f t="shared" si="0"/>
        <v/>
      </c>
      <c r="M31" s="10" t="str">
        <f t="shared" si="1"/>
        <v/>
      </c>
    </row>
    <row r="32" spans="1:13" x14ac:dyDescent="0.35">
      <c r="A32" s="21"/>
      <c r="B32" s="22"/>
      <c r="K32" s="67"/>
      <c r="L32" s="10" t="str">
        <f t="shared" si="0"/>
        <v/>
      </c>
      <c r="M32" s="10" t="str">
        <f t="shared" si="1"/>
        <v/>
      </c>
    </row>
    <row r="33" spans="1:13" ht="15.6" thickBot="1" x14ac:dyDescent="0.4">
      <c r="A33" s="23"/>
      <c r="B33" s="24"/>
      <c r="K33" s="67"/>
      <c r="L33" s="10" t="str">
        <f t="shared" si="0"/>
        <v/>
      </c>
      <c r="M33" s="10" t="str">
        <f t="shared" si="1"/>
        <v/>
      </c>
    </row>
    <row r="34" spans="1:13" x14ac:dyDescent="0.35">
      <c r="K34" s="67"/>
      <c r="L34" s="10" t="str">
        <f t="shared" si="0"/>
        <v/>
      </c>
      <c r="M34" s="10" t="str">
        <f t="shared" si="1"/>
        <v/>
      </c>
    </row>
    <row r="35" spans="1:13" x14ac:dyDescent="0.35">
      <c r="K35" s="67"/>
      <c r="L35" s="10" t="str">
        <f t="shared" si="0"/>
        <v/>
      </c>
      <c r="M35" s="10" t="str">
        <f t="shared" si="1"/>
        <v/>
      </c>
    </row>
    <row r="36" spans="1:13" x14ac:dyDescent="0.35">
      <c r="K36" s="67"/>
    </row>
    <row r="37" spans="1:13" x14ac:dyDescent="0.35">
      <c r="A37" s="89"/>
      <c r="B37" s="89"/>
      <c r="K37" s="67"/>
    </row>
    <row r="38" spans="1:13" x14ac:dyDescent="0.35">
      <c r="K38" s="67"/>
    </row>
    <row r="39" spans="1:13" x14ac:dyDescent="0.35">
      <c r="K39" s="67"/>
    </row>
    <row r="40" spans="1:13" x14ac:dyDescent="0.35">
      <c r="K40" s="67"/>
    </row>
    <row r="41" spans="1:13" x14ac:dyDescent="0.35">
      <c r="K41" s="67"/>
    </row>
    <row r="42" spans="1:13" x14ac:dyDescent="0.35">
      <c r="K42" s="67"/>
    </row>
    <row r="43" spans="1:13" x14ac:dyDescent="0.35">
      <c r="K43" s="67"/>
    </row>
    <row r="44" spans="1:13" x14ac:dyDescent="0.35">
      <c r="K44" s="67"/>
    </row>
    <row r="45" spans="1:13" x14ac:dyDescent="0.35">
      <c r="K45" s="67"/>
    </row>
    <row r="46" spans="1:13" x14ac:dyDescent="0.35">
      <c r="K46" s="67"/>
    </row>
    <row r="47" spans="1:13" x14ac:dyDescent="0.35">
      <c r="K47" s="67"/>
    </row>
    <row r="48" spans="1:13" x14ac:dyDescent="0.35">
      <c r="K48" s="67"/>
    </row>
    <row r="49" spans="11:11" x14ac:dyDescent="0.35">
      <c r="K49" s="67"/>
    </row>
    <row r="50" spans="11:11" x14ac:dyDescent="0.35">
      <c r="K50" s="67"/>
    </row>
    <row r="51" spans="11:11" x14ac:dyDescent="0.35">
      <c r="K51" s="67"/>
    </row>
    <row r="52" spans="11:11" x14ac:dyDescent="0.35">
      <c r="K52" s="67"/>
    </row>
    <row r="53" spans="11:11" x14ac:dyDescent="0.35">
      <c r="K53" s="67"/>
    </row>
    <row r="54" spans="11:11" x14ac:dyDescent="0.35">
      <c r="K54" s="67"/>
    </row>
    <row r="55" spans="11:11" x14ac:dyDescent="0.35">
      <c r="K55" s="67"/>
    </row>
    <row r="56" spans="11:11" x14ac:dyDescent="0.35">
      <c r="K56" s="67"/>
    </row>
    <row r="57" spans="11:11" x14ac:dyDescent="0.35">
      <c r="K57" s="67"/>
    </row>
    <row r="58" spans="11:11" x14ac:dyDescent="0.35">
      <c r="K58" s="67"/>
    </row>
    <row r="59" spans="11:11" x14ac:dyDescent="0.35">
      <c r="K59" s="67"/>
    </row>
    <row r="60" spans="11:11" x14ac:dyDescent="0.35">
      <c r="K60" s="67"/>
    </row>
    <row r="61" spans="11:11" x14ac:dyDescent="0.35">
      <c r="K61" s="67"/>
    </row>
    <row r="62" spans="11:11" x14ac:dyDescent="0.35">
      <c r="K62" s="67"/>
    </row>
    <row r="63" spans="11:11" x14ac:dyDescent="0.35">
      <c r="K63" s="67"/>
    </row>
    <row r="64" spans="11:11" x14ac:dyDescent="0.35">
      <c r="K64" s="67"/>
    </row>
    <row r="65" spans="11:11" x14ac:dyDescent="0.35">
      <c r="K65" s="67"/>
    </row>
    <row r="66" spans="11:11" x14ac:dyDescent="0.35">
      <c r="K66" s="67"/>
    </row>
    <row r="67" spans="11:11" x14ac:dyDescent="0.35">
      <c r="K67" s="67"/>
    </row>
    <row r="68" spans="11:11" x14ac:dyDescent="0.35">
      <c r="K68" s="67"/>
    </row>
    <row r="69" spans="11:11" x14ac:dyDescent="0.35">
      <c r="K69" s="67"/>
    </row>
    <row r="70" spans="11:11" x14ac:dyDescent="0.35">
      <c r="K70" s="67"/>
    </row>
    <row r="71" spans="11:11" x14ac:dyDescent="0.35">
      <c r="K71" s="67"/>
    </row>
    <row r="72" spans="11:11" x14ac:dyDescent="0.35">
      <c r="K72" s="67"/>
    </row>
    <row r="73" spans="11:11" x14ac:dyDescent="0.35">
      <c r="K73" s="67"/>
    </row>
    <row r="74" spans="11:11" x14ac:dyDescent="0.35">
      <c r="K74" s="67"/>
    </row>
    <row r="75" spans="11:11" x14ac:dyDescent="0.35">
      <c r="K75" s="67"/>
    </row>
    <row r="76" spans="11:11" x14ac:dyDescent="0.35">
      <c r="K76" s="67"/>
    </row>
    <row r="77" spans="11:11" x14ac:dyDescent="0.35">
      <c r="K77" s="67"/>
    </row>
    <row r="78" spans="11:11" x14ac:dyDescent="0.35">
      <c r="K78" s="67"/>
    </row>
    <row r="79" spans="11:11" x14ac:dyDescent="0.35">
      <c r="K79" s="67"/>
    </row>
    <row r="80" spans="11:11" x14ac:dyDescent="0.35">
      <c r="K80" s="67"/>
    </row>
    <row r="81" spans="11:11" x14ac:dyDescent="0.35">
      <c r="K81" s="67"/>
    </row>
    <row r="82" spans="11:11" x14ac:dyDescent="0.35">
      <c r="K82" s="67"/>
    </row>
    <row r="83" spans="11:11" x14ac:dyDescent="0.35">
      <c r="K83" s="67"/>
    </row>
    <row r="84" spans="11:11" x14ac:dyDescent="0.35">
      <c r="K84" s="67"/>
    </row>
    <row r="85" spans="11:11" x14ac:dyDescent="0.35">
      <c r="K85" s="67"/>
    </row>
    <row r="86" spans="11:11" x14ac:dyDescent="0.35">
      <c r="K86" s="67"/>
    </row>
    <row r="87" spans="11:11" x14ac:dyDescent="0.35">
      <c r="K87" s="67"/>
    </row>
    <row r="88" spans="11:11" x14ac:dyDescent="0.35">
      <c r="K88" s="67"/>
    </row>
    <row r="89" spans="11:11" x14ac:dyDescent="0.35">
      <c r="K89" s="67"/>
    </row>
    <row r="90" spans="11:11" x14ac:dyDescent="0.35">
      <c r="K90" s="67"/>
    </row>
    <row r="91" spans="11:11" x14ac:dyDescent="0.35">
      <c r="K91" s="67"/>
    </row>
    <row r="92" spans="11:11" x14ac:dyDescent="0.35">
      <c r="K92" s="67"/>
    </row>
    <row r="93" spans="11:11" x14ac:dyDescent="0.35">
      <c r="K93" s="67"/>
    </row>
    <row r="94" spans="11:11" x14ac:dyDescent="0.35">
      <c r="K94" s="67"/>
    </row>
    <row r="95" spans="11:11" x14ac:dyDescent="0.35">
      <c r="K95" s="67"/>
    </row>
    <row r="96" spans="11:11" x14ac:dyDescent="0.35">
      <c r="K96" s="67"/>
    </row>
    <row r="97" spans="11:11" x14ac:dyDescent="0.35">
      <c r="K97" s="67"/>
    </row>
    <row r="98" spans="11:11" x14ac:dyDescent="0.35">
      <c r="K98" s="67"/>
    </row>
    <row r="99" spans="11:11" x14ac:dyDescent="0.35">
      <c r="K99" s="67"/>
    </row>
    <row r="100" spans="11:11" x14ac:dyDescent="0.35">
      <c r="K100" s="67"/>
    </row>
    <row r="101" spans="11:11" x14ac:dyDescent="0.35">
      <c r="K101" s="67"/>
    </row>
    <row r="102" spans="11:11" x14ac:dyDescent="0.35">
      <c r="K102" s="67"/>
    </row>
    <row r="103" spans="11:11" x14ac:dyDescent="0.35">
      <c r="K103" s="67"/>
    </row>
    <row r="104" spans="11:11" x14ac:dyDescent="0.35">
      <c r="K104" s="67"/>
    </row>
    <row r="105" spans="11:11" x14ac:dyDescent="0.35">
      <c r="K105" s="67"/>
    </row>
    <row r="106" spans="11:11" x14ac:dyDescent="0.35">
      <c r="K106" s="67"/>
    </row>
    <row r="107" spans="11:11" x14ac:dyDescent="0.35">
      <c r="K107" s="67"/>
    </row>
    <row r="108" spans="11:11" x14ac:dyDescent="0.35">
      <c r="K108" s="67"/>
    </row>
    <row r="109" spans="11:11" x14ac:dyDescent="0.35">
      <c r="K109" s="67"/>
    </row>
    <row r="110" spans="11:11" x14ac:dyDescent="0.35">
      <c r="K110" s="67"/>
    </row>
    <row r="111" spans="11:11" x14ac:dyDescent="0.35">
      <c r="K111" s="67"/>
    </row>
    <row r="112" spans="11:11" x14ac:dyDescent="0.35">
      <c r="K112" s="67"/>
    </row>
    <row r="113" spans="11:11" x14ac:dyDescent="0.35">
      <c r="K113" s="67"/>
    </row>
    <row r="114" spans="11:11" x14ac:dyDescent="0.35">
      <c r="K114" s="67"/>
    </row>
    <row r="115" spans="11:11" x14ac:dyDescent="0.35">
      <c r="K115" s="67"/>
    </row>
    <row r="116" spans="11:11" x14ac:dyDescent="0.35">
      <c r="K116" s="67"/>
    </row>
    <row r="117" spans="11:11" x14ac:dyDescent="0.35">
      <c r="K117" s="67"/>
    </row>
    <row r="118" spans="11:11" x14ac:dyDescent="0.35">
      <c r="K118" s="67"/>
    </row>
    <row r="119" spans="11:11" x14ac:dyDescent="0.35">
      <c r="K119" s="67"/>
    </row>
    <row r="120" spans="11:11" x14ac:dyDescent="0.35">
      <c r="K120" s="67"/>
    </row>
    <row r="121" spans="11:11" x14ac:dyDescent="0.35">
      <c r="K121" s="67"/>
    </row>
    <row r="122" spans="11:11" x14ac:dyDescent="0.35">
      <c r="K122" s="67"/>
    </row>
    <row r="123" spans="11:11" x14ac:dyDescent="0.35">
      <c r="K123" s="67"/>
    </row>
    <row r="124" spans="11:11" x14ac:dyDescent="0.35">
      <c r="K124" s="67"/>
    </row>
    <row r="125" spans="11:11" x14ac:dyDescent="0.35">
      <c r="K125" s="67"/>
    </row>
    <row r="126" spans="11:11" x14ac:dyDescent="0.35">
      <c r="K126" s="67"/>
    </row>
    <row r="127" spans="11:11" x14ac:dyDescent="0.35">
      <c r="K127" s="67"/>
    </row>
    <row r="128" spans="11:11" x14ac:dyDescent="0.35">
      <c r="K128" s="67"/>
    </row>
    <row r="129" spans="11:11" x14ac:dyDescent="0.35">
      <c r="K129" s="67"/>
    </row>
    <row r="130" spans="11:11" x14ac:dyDescent="0.35">
      <c r="K130" s="67"/>
    </row>
    <row r="131" spans="11:11" x14ac:dyDescent="0.35">
      <c r="K131" s="67"/>
    </row>
    <row r="132" spans="11:11" x14ac:dyDescent="0.35">
      <c r="K132" s="67"/>
    </row>
    <row r="133" spans="11:11" x14ac:dyDescent="0.35">
      <c r="K133" s="67"/>
    </row>
    <row r="134" spans="11:11" x14ac:dyDescent="0.35">
      <c r="K134" s="67"/>
    </row>
    <row r="135" spans="11:11" x14ac:dyDescent="0.35">
      <c r="K135" s="67"/>
    </row>
    <row r="136" spans="11:11" x14ac:dyDescent="0.35">
      <c r="K136" s="67"/>
    </row>
    <row r="137" spans="11:11" x14ac:dyDescent="0.35">
      <c r="K137" s="67"/>
    </row>
    <row r="138" spans="11:11" x14ac:dyDescent="0.35">
      <c r="K138" s="67"/>
    </row>
    <row r="139" spans="11:11" x14ac:dyDescent="0.35">
      <c r="K139" s="67"/>
    </row>
    <row r="140" spans="11:11" x14ac:dyDescent="0.35">
      <c r="K140" s="67"/>
    </row>
    <row r="141" spans="11:11" x14ac:dyDescent="0.35">
      <c r="K141" s="67"/>
    </row>
    <row r="142" spans="11:11" x14ac:dyDescent="0.35">
      <c r="K142" s="67"/>
    </row>
    <row r="143" spans="11:11" x14ac:dyDescent="0.35">
      <c r="K143" s="67"/>
    </row>
    <row r="144" spans="11:11" x14ac:dyDescent="0.35">
      <c r="K144" s="67"/>
    </row>
    <row r="145" spans="11:11" x14ac:dyDescent="0.35">
      <c r="K145" s="67"/>
    </row>
    <row r="146" spans="11:11" x14ac:dyDescent="0.35">
      <c r="K146" s="67"/>
    </row>
    <row r="147" spans="11:11" x14ac:dyDescent="0.35">
      <c r="K147" s="67"/>
    </row>
    <row r="148" spans="11:11" x14ac:dyDescent="0.35">
      <c r="K148" s="67"/>
    </row>
    <row r="149" spans="11:11" x14ac:dyDescent="0.35">
      <c r="K149" s="67"/>
    </row>
    <row r="150" spans="11:11" x14ac:dyDescent="0.35">
      <c r="K150" s="67"/>
    </row>
    <row r="151" spans="11:11" x14ac:dyDescent="0.35">
      <c r="K151" s="67"/>
    </row>
    <row r="152" spans="11:11" x14ac:dyDescent="0.35">
      <c r="K152" s="67"/>
    </row>
    <row r="153" spans="11:11" x14ac:dyDescent="0.35">
      <c r="K153" s="67"/>
    </row>
    <row r="154" spans="11:11" x14ac:dyDescent="0.35">
      <c r="K154" s="67"/>
    </row>
    <row r="155" spans="11:11" x14ac:dyDescent="0.35">
      <c r="K155" s="67"/>
    </row>
    <row r="156" spans="11:11" x14ac:dyDescent="0.35">
      <c r="K156" s="67"/>
    </row>
    <row r="157" spans="11:11" x14ac:dyDescent="0.35">
      <c r="K157" s="67"/>
    </row>
    <row r="158" spans="11:11" x14ac:dyDescent="0.35">
      <c r="K158" s="67"/>
    </row>
    <row r="159" spans="11:11" x14ac:dyDescent="0.35">
      <c r="K159" s="67"/>
    </row>
    <row r="160" spans="11:11" x14ac:dyDescent="0.35">
      <c r="K160" s="67"/>
    </row>
    <row r="161" spans="11:11" x14ac:dyDescent="0.35">
      <c r="K161" s="67"/>
    </row>
    <row r="162" spans="11:11" x14ac:dyDescent="0.35">
      <c r="K162" s="67"/>
    </row>
    <row r="163" spans="11:11" x14ac:dyDescent="0.35">
      <c r="K163" s="67"/>
    </row>
    <row r="164" spans="11:11" x14ac:dyDescent="0.35">
      <c r="K164" s="67"/>
    </row>
    <row r="165" spans="11:11" x14ac:dyDescent="0.35">
      <c r="K165" s="67"/>
    </row>
    <row r="166" spans="11:11" x14ac:dyDescent="0.35">
      <c r="K166" s="67"/>
    </row>
    <row r="167" spans="11:11" x14ac:dyDescent="0.35">
      <c r="K167" s="67"/>
    </row>
    <row r="168" spans="11:11" x14ac:dyDescent="0.35">
      <c r="K168" s="67"/>
    </row>
    <row r="169" spans="11:11" x14ac:dyDescent="0.35">
      <c r="K169" s="67"/>
    </row>
    <row r="170" spans="11:11" x14ac:dyDescent="0.35">
      <c r="K170" s="67"/>
    </row>
    <row r="171" spans="11:11" x14ac:dyDescent="0.35">
      <c r="K171" s="67"/>
    </row>
    <row r="172" spans="11:11" x14ac:dyDescent="0.35">
      <c r="K172" s="67"/>
    </row>
    <row r="173" spans="11:11" x14ac:dyDescent="0.35">
      <c r="K173" s="67"/>
    </row>
    <row r="174" spans="11:11" x14ac:dyDescent="0.35">
      <c r="K174" s="67"/>
    </row>
    <row r="175" spans="11:11" x14ac:dyDescent="0.35">
      <c r="K175" s="67"/>
    </row>
    <row r="176" spans="11:11" x14ac:dyDescent="0.35">
      <c r="K176" s="67"/>
    </row>
    <row r="177" spans="11:11" x14ac:dyDescent="0.35">
      <c r="K177" s="67"/>
    </row>
    <row r="178" spans="11:11" x14ac:dyDescent="0.35">
      <c r="K178" s="67"/>
    </row>
    <row r="179" spans="11:11" x14ac:dyDescent="0.35">
      <c r="K179" s="67"/>
    </row>
    <row r="180" spans="11:11" x14ac:dyDescent="0.35">
      <c r="K180" s="67"/>
    </row>
    <row r="181" spans="11:11" x14ac:dyDescent="0.35">
      <c r="K181" s="67"/>
    </row>
    <row r="182" spans="11:11" x14ac:dyDescent="0.35">
      <c r="K182" s="67"/>
    </row>
    <row r="183" spans="11:11" x14ac:dyDescent="0.35">
      <c r="K183" s="67"/>
    </row>
    <row r="184" spans="11:11" x14ac:dyDescent="0.35">
      <c r="K184" s="67"/>
    </row>
    <row r="185" spans="11:11" x14ac:dyDescent="0.35">
      <c r="K185" s="67"/>
    </row>
    <row r="186" spans="11:11" x14ac:dyDescent="0.35">
      <c r="K186" s="67"/>
    </row>
    <row r="187" spans="11:11" x14ac:dyDescent="0.35">
      <c r="K187" s="67"/>
    </row>
    <row r="188" spans="11:11" x14ac:dyDescent="0.35">
      <c r="K188" s="67"/>
    </row>
    <row r="189" spans="11:11" x14ac:dyDescent="0.35">
      <c r="K189" s="67"/>
    </row>
    <row r="190" spans="11:11" x14ac:dyDescent="0.35">
      <c r="K190" s="67"/>
    </row>
    <row r="191" spans="11:11" x14ac:dyDescent="0.35">
      <c r="K191" s="67"/>
    </row>
    <row r="192" spans="11:11" x14ac:dyDescent="0.35">
      <c r="K192" s="67"/>
    </row>
    <row r="193" spans="11:11" x14ac:dyDescent="0.35">
      <c r="K193" s="67"/>
    </row>
    <row r="194" spans="11:11" x14ac:dyDescent="0.35">
      <c r="K194" s="67"/>
    </row>
    <row r="195" spans="11:11" x14ac:dyDescent="0.35">
      <c r="K195" s="67"/>
    </row>
    <row r="196" spans="11:11" x14ac:dyDescent="0.35">
      <c r="K196" s="67"/>
    </row>
    <row r="197" spans="11:11" x14ac:dyDescent="0.35">
      <c r="K197" s="67"/>
    </row>
    <row r="198" spans="11:11" x14ac:dyDescent="0.35">
      <c r="K198" s="67"/>
    </row>
    <row r="199" spans="11:11" x14ac:dyDescent="0.35">
      <c r="K199" s="67"/>
    </row>
    <row r="200" spans="11:11" x14ac:dyDescent="0.35">
      <c r="K200" s="67"/>
    </row>
    <row r="201" spans="11:11" x14ac:dyDescent="0.35">
      <c r="K201" s="67"/>
    </row>
    <row r="202" spans="11:11" x14ac:dyDescent="0.35">
      <c r="K202" s="67"/>
    </row>
    <row r="203" spans="11:11" x14ac:dyDescent="0.35">
      <c r="K203" s="67"/>
    </row>
    <row r="204" spans="11:11" x14ac:dyDescent="0.35">
      <c r="K204" s="67"/>
    </row>
    <row r="205" spans="11:11" x14ac:dyDescent="0.35">
      <c r="K205" s="67"/>
    </row>
    <row r="206" spans="11:11" x14ac:dyDescent="0.35">
      <c r="K206" s="67"/>
    </row>
    <row r="207" spans="11:11" x14ac:dyDescent="0.35">
      <c r="K207" s="67"/>
    </row>
    <row r="208" spans="11:11" x14ac:dyDescent="0.35">
      <c r="K208" s="67"/>
    </row>
    <row r="209" spans="11:11" x14ac:dyDescent="0.35">
      <c r="K209" s="67"/>
    </row>
    <row r="210" spans="11:11" x14ac:dyDescent="0.35">
      <c r="K210" s="67"/>
    </row>
    <row r="211" spans="11:11" x14ac:dyDescent="0.35">
      <c r="K211" s="67"/>
    </row>
    <row r="212" spans="11:11" x14ac:dyDescent="0.35">
      <c r="K212" s="67"/>
    </row>
    <row r="213" spans="11:11" x14ac:dyDescent="0.35">
      <c r="K213" s="67"/>
    </row>
    <row r="214" spans="11:11" x14ac:dyDescent="0.35">
      <c r="K214" s="67"/>
    </row>
    <row r="215" spans="11:11" x14ac:dyDescent="0.35">
      <c r="K215" s="67"/>
    </row>
    <row r="216" spans="11:11" x14ac:dyDescent="0.35">
      <c r="K216" s="67"/>
    </row>
    <row r="217" spans="11:11" x14ac:dyDescent="0.35">
      <c r="K217" s="67"/>
    </row>
    <row r="218" spans="11:11" x14ac:dyDescent="0.35">
      <c r="K218" s="67"/>
    </row>
    <row r="219" spans="11:11" x14ac:dyDescent="0.35">
      <c r="K219" s="67"/>
    </row>
  </sheetData>
  <sortState xmlns:xlrd2="http://schemas.microsoft.com/office/spreadsheetml/2017/richdata2" ref="D9:K221">
    <sortCondition ref="D8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89"/>
  <sheetViews>
    <sheetView showGridLines="0" topLeftCell="B51" workbookViewId="0">
      <selection activeCell="B87" sqref="B87:G87"/>
    </sheetView>
  </sheetViews>
  <sheetFormatPr defaultRowHeight="14.4" x14ac:dyDescent="0.3"/>
  <cols>
    <col min="2" max="2" width="16.77734375" style="1" customWidth="1"/>
    <col min="3" max="3" width="28.21875" bestFit="1" customWidth="1"/>
    <col min="4" max="4" width="10.33203125" customWidth="1"/>
    <col min="5" max="5" width="9.109375" style="2" customWidth="1"/>
    <col min="6" max="6" width="12.21875" style="3" customWidth="1"/>
    <col min="7" max="7" width="12.6640625" style="3" customWidth="1"/>
  </cols>
  <sheetData>
    <row r="3" spans="2:7" s="51" customFormat="1" x14ac:dyDescent="0.3">
      <c r="B3" s="50" t="s">
        <v>1</v>
      </c>
      <c r="C3" s="51" t="s">
        <v>2</v>
      </c>
      <c r="D3" s="51" t="s">
        <v>13</v>
      </c>
      <c r="E3" s="52" t="s">
        <v>5</v>
      </c>
      <c r="F3" s="53" t="s">
        <v>11</v>
      </c>
      <c r="G3" s="53" t="s">
        <v>12</v>
      </c>
    </row>
    <row r="4" spans="2:7" x14ac:dyDescent="0.3">
      <c r="B4" s="1" t="s">
        <v>92</v>
      </c>
      <c r="C4" t="s">
        <v>93</v>
      </c>
      <c r="D4" t="s">
        <v>49</v>
      </c>
      <c r="E4" s="2">
        <v>1</v>
      </c>
      <c r="F4" s="3">
        <v>17000</v>
      </c>
      <c r="G4" s="3">
        <v>25000</v>
      </c>
    </row>
    <row r="5" spans="2:7" x14ac:dyDescent="0.3">
      <c r="B5" s="1" t="s">
        <v>76</v>
      </c>
      <c r="C5" t="s">
        <v>77</v>
      </c>
      <c r="D5" t="s">
        <v>49</v>
      </c>
      <c r="E5" s="2">
        <v>3</v>
      </c>
      <c r="F5" s="3">
        <v>22500</v>
      </c>
      <c r="G5" s="3">
        <v>35000</v>
      </c>
    </row>
    <row r="6" spans="2:7" x14ac:dyDescent="0.3">
      <c r="B6" s="1" t="s">
        <v>70</v>
      </c>
      <c r="C6" t="s">
        <v>71</v>
      </c>
      <c r="D6" t="s">
        <v>49</v>
      </c>
      <c r="E6" s="2">
        <v>4</v>
      </c>
      <c r="F6" s="3">
        <v>15000</v>
      </c>
      <c r="G6" s="3">
        <v>20000</v>
      </c>
    </row>
    <row r="7" spans="2:7" x14ac:dyDescent="0.3">
      <c r="B7" s="1" t="s">
        <v>104</v>
      </c>
      <c r="C7" t="s">
        <v>105</v>
      </c>
      <c r="D7" t="s">
        <v>49</v>
      </c>
      <c r="E7" s="2">
        <v>3</v>
      </c>
      <c r="F7" s="3">
        <v>44000</v>
      </c>
      <c r="G7" s="3">
        <v>65000</v>
      </c>
    </row>
    <row r="8" spans="2:7" x14ac:dyDescent="0.3">
      <c r="B8" s="1" t="s">
        <v>108</v>
      </c>
      <c r="C8" t="s">
        <v>109</v>
      </c>
      <c r="D8" t="s">
        <v>49</v>
      </c>
      <c r="E8" s="2">
        <v>2</v>
      </c>
      <c r="F8" s="3">
        <v>60000</v>
      </c>
      <c r="G8" s="3">
        <v>80000</v>
      </c>
    </row>
    <row r="9" spans="2:7" x14ac:dyDescent="0.3">
      <c r="B9" s="1" t="s">
        <v>110</v>
      </c>
      <c r="C9" t="s">
        <v>111</v>
      </c>
      <c r="D9" t="s">
        <v>49</v>
      </c>
      <c r="E9" s="2">
        <v>3</v>
      </c>
      <c r="F9" s="3">
        <v>70000</v>
      </c>
      <c r="G9" s="3">
        <v>80000</v>
      </c>
    </row>
    <row r="10" spans="2:7" x14ac:dyDescent="0.3">
      <c r="B10" s="1" t="s">
        <v>106</v>
      </c>
      <c r="C10" t="s">
        <v>107</v>
      </c>
      <c r="D10" t="s">
        <v>49</v>
      </c>
      <c r="E10" s="2">
        <v>3</v>
      </c>
      <c r="F10" s="3">
        <v>60000</v>
      </c>
      <c r="G10" s="3">
        <v>85000</v>
      </c>
    </row>
    <row r="11" spans="2:7" x14ac:dyDescent="0.3">
      <c r="B11" s="1" t="s">
        <v>102</v>
      </c>
      <c r="C11" t="s">
        <v>103</v>
      </c>
      <c r="D11" t="s">
        <v>49</v>
      </c>
      <c r="E11" s="2">
        <v>4</v>
      </c>
      <c r="F11" s="3">
        <v>55000</v>
      </c>
      <c r="G11" s="3">
        <v>73000</v>
      </c>
    </row>
    <row r="12" spans="2:7" x14ac:dyDescent="0.3">
      <c r="B12" s="1" t="s">
        <v>90</v>
      </c>
      <c r="C12" t="s">
        <v>91</v>
      </c>
      <c r="D12" t="s">
        <v>49</v>
      </c>
      <c r="E12" s="2">
        <v>5</v>
      </c>
      <c r="F12" s="3">
        <v>24000</v>
      </c>
      <c r="G12" s="3">
        <v>32000</v>
      </c>
    </row>
    <row r="13" spans="2:7" x14ac:dyDescent="0.3">
      <c r="B13" s="1" t="s">
        <v>78</v>
      </c>
      <c r="C13" t="s">
        <v>79</v>
      </c>
      <c r="D13" t="s">
        <v>49</v>
      </c>
      <c r="E13" s="2">
        <v>1</v>
      </c>
      <c r="F13" s="3">
        <v>24000</v>
      </c>
      <c r="G13" s="3">
        <v>38000</v>
      </c>
    </row>
    <row r="14" spans="2:7" x14ac:dyDescent="0.3">
      <c r="B14" s="1" t="s">
        <v>80</v>
      </c>
      <c r="C14" t="s">
        <v>81</v>
      </c>
      <c r="D14" t="s">
        <v>49</v>
      </c>
      <c r="E14" s="2">
        <v>2</v>
      </c>
      <c r="F14" s="3">
        <v>29000</v>
      </c>
      <c r="G14" s="3">
        <v>45000</v>
      </c>
    </row>
    <row r="15" spans="2:7" x14ac:dyDescent="0.3">
      <c r="B15" s="1" t="s">
        <v>68</v>
      </c>
      <c r="C15" t="s">
        <v>69</v>
      </c>
      <c r="D15" t="s">
        <v>49</v>
      </c>
      <c r="E15" s="2">
        <v>8</v>
      </c>
      <c r="F15" s="3">
        <v>12000</v>
      </c>
      <c r="G15" s="3">
        <v>17000</v>
      </c>
    </row>
    <row r="16" spans="2:7" x14ac:dyDescent="0.3">
      <c r="B16" s="1" t="s">
        <v>66</v>
      </c>
      <c r="C16" t="s">
        <v>67</v>
      </c>
      <c r="D16" t="s">
        <v>49</v>
      </c>
      <c r="E16" s="2">
        <v>4</v>
      </c>
      <c r="F16" s="3">
        <v>13000</v>
      </c>
      <c r="G16" s="3">
        <v>18000</v>
      </c>
    </row>
    <row r="17" spans="2:7" x14ac:dyDescent="0.3">
      <c r="B17" s="1" t="s">
        <v>88</v>
      </c>
      <c r="C17" t="s">
        <v>89</v>
      </c>
      <c r="D17" t="s">
        <v>49</v>
      </c>
      <c r="E17" s="2">
        <v>3</v>
      </c>
      <c r="F17" s="3">
        <v>42000</v>
      </c>
      <c r="G17" s="3">
        <v>60000</v>
      </c>
    </row>
    <row r="18" spans="2:7" x14ac:dyDescent="0.3">
      <c r="B18" s="1" t="s">
        <v>74</v>
      </c>
      <c r="C18" t="s">
        <v>75</v>
      </c>
      <c r="D18" t="s">
        <v>49</v>
      </c>
      <c r="E18" s="2">
        <v>5</v>
      </c>
      <c r="F18" s="3">
        <v>35000</v>
      </c>
      <c r="G18" s="3">
        <v>50000</v>
      </c>
    </row>
    <row r="19" spans="2:7" x14ac:dyDescent="0.3">
      <c r="B19" s="1" t="s">
        <v>86</v>
      </c>
      <c r="C19" t="s">
        <v>87</v>
      </c>
      <c r="D19" t="s">
        <v>49</v>
      </c>
      <c r="E19" s="2">
        <v>3</v>
      </c>
      <c r="F19" s="3">
        <v>26000</v>
      </c>
      <c r="G19" s="3">
        <v>40000</v>
      </c>
    </row>
    <row r="20" spans="2:7" x14ac:dyDescent="0.3">
      <c r="B20" s="1" t="s">
        <v>94</v>
      </c>
      <c r="C20" t="s">
        <v>95</v>
      </c>
      <c r="D20" t="s">
        <v>49</v>
      </c>
      <c r="E20" s="2">
        <v>1</v>
      </c>
      <c r="F20" s="3">
        <v>40000</v>
      </c>
      <c r="G20" s="3">
        <v>47000</v>
      </c>
    </row>
    <row r="21" spans="2:7" x14ac:dyDescent="0.3">
      <c r="B21" s="1" t="s">
        <v>100</v>
      </c>
      <c r="C21" t="s">
        <v>101</v>
      </c>
      <c r="D21" t="s">
        <v>49</v>
      </c>
      <c r="E21" s="2">
        <v>3</v>
      </c>
      <c r="F21" s="3">
        <v>50000</v>
      </c>
      <c r="G21" s="3">
        <v>65000</v>
      </c>
    </row>
    <row r="22" spans="2:7" x14ac:dyDescent="0.3">
      <c r="B22" s="1" t="s">
        <v>72</v>
      </c>
      <c r="C22" t="s">
        <v>73</v>
      </c>
      <c r="D22" t="s">
        <v>49</v>
      </c>
      <c r="E22" s="2">
        <v>5</v>
      </c>
      <c r="F22" s="3">
        <v>19500</v>
      </c>
      <c r="G22" s="3">
        <v>28000</v>
      </c>
    </row>
    <row r="23" spans="2:7" x14ac:dyDescent="0.3">
      <c r="B23" s="1" t="s">
        <v>84</v>
      </c>
      <c r="C23" t="s">
        <v>85</v>
      </c>
      <c r="D23" t="s">
        <v>49</v>
      </c>
      <c r="E23" s="2">
        <v>3</v>
      </c>
      <c r="F23" s="3">
        <v>30000</v>
      </c>
      <c r="G23" s="3">
        <v>45000</v>
      </c>
    </row>
    <row r="24" spans="2:7" x14ac:dyDescent="0.3">
      <c r="B24" s="1" t="s">
        <v>82</v>
      </c>
      <c r="C24" t="s">
        <v>83</v>
      </c>
      <c r="D24" t="s">
        <v>49</v>
      </c>
      <c r="E24" s="2">
        <v>3</v>
      </c>
      <c r="F24" s="3">
        <v>35000</v>
      </c>
      <c r="G24" s="3">
        <v>45000</v>
      </c>
    </row>
    <row r="25" spans="2:7" x14ac:dyDescent="0.3">
      <c r="B25" s="1" t="s">
        <v>112</v>
      </c>
      <c r="C25" t="s">
        <v>113</v>
      </c>
      <c r="D25" t="s">
        <v>49</v>
      </c>
      <c r="E25" s="2">
        <v>3</v>
      </c>
      <c r="F25" s="3">
        <v>70000</v>
      </c>
      <c r="G25" s="3">
        <v>95000</v>
      </c>
    </row>
    <row r="26" spans="2:7" x14ac:dyDescent="0.3">
      <c r="B26" s="1" t="s">
        <v>96</v>
      </c>
      <c r="C26" t="s">
        <v>97</v>
      </c>
      <c r="D26" t="s">
        <v>49</v>
      </c>
      <c r="E26" s="2">
        <v>3</v>
      </c>
      <c r="F26" s="3">
        <v>65000</v>
      </c>
      <c r="G26" s="3">
        <v>80000</v>
      </c>
    </row>
    <row r="27" spans="2:7" x14ac:dyDescent="0.3">
      <c r="B27" s="1" t="s">
        <v>98</v>
      </c>
      <c r="C27" t="s">
        <v>99</v>
      </c>
      <c r="D27" t="s">
        <v>49</v>
      </c>
      <c r="E27" s="2">
        <v>2</v>
      </c>
      <c r="F27" s="3">
        <v>65000</v>
      </c>
      <c r="G27" s="3">
        <v>80000</v>
      </c>
    </row>
    <row r="28" spans="2:7" x14ac:dyDescent="0.3">
      <c r="B28" s="1" t="s">
        <v>64</v>
      </c>
      <c r="C28" t="s">
        <v>65</v>
      </c>
      <c r="D28" t="s">
        <v>49</v>
      </c>
      <c r="E28" s="2">
        <v>3</v>
      </c>
      <c r="F28" s="3">
        <v>60000</v>
      </c>
      <c r="G28" s="3">
        <v>70000</v>
      </c>
    </row>
    <row r="29" spans="2:7" x14ac:dyDescent="0.3">
      <c r="B29" s="1" t="s">
        <v>116</v>
      </c>
      <c r="C29" t="s">
        <v>117</v>
      </c>
      <c r="D29" t="s">
        <v>49</v>
      </c>
      <c r="E29" s="2">
        <v>2</v>
      </c>
      <c r="F29" s="3">
        <v>60000</v>
      </c>
      <c r="G29" s="3">
        <v>85000</v>
      </c>
    </row>
    <row r="30" spans="2:7" x14ac:dyDescent="0.3">
      <c r="B30" s="1" t="s">
        <v>114</v>
      </c>
      <c r="C30" t="s">
        <v>115</v>
      </c>
      <c r="D30" t="s">
        <v>49</v>
      </c>
      <c r="E30" s="2">
        <v>2</v>
      </c>
      <c r="F30" s="3">
        <v>60000</v>
      </c>
      <c r="G30" s="3">
        <v>80000</v>
      </c>
    </row>
    <row r="31" spans="2:7" x14ac:dyDescent="0.3">
      <c r="B31" s="1" t="s">
        <v>118</v>
      </c>
      <c r="C31" t="s">
        <v>119</v>
      </c>
      <c r="D31" t="s">
        <v>49</v>
      </c>
      <c r="E31" s="2">
        <v>3</v>
      </c>
      <c r="F31" s="3">
        <v>5000</v>
      </c>
      <c r="G31" s="3">
        <v>15000</v>
      </c>
    </row>
    <row r="32" spans="2:7" x14ac:dyDescent="0.3">
      <c r="B32" s="1" t="s">
        <v>120</v>
      </c>
      <c r="C32" t="s">
        <v>121</v>
      </c>
      <c r="D32" t="s">
        <v>49</v>
      </c>
      <c r="E32" s="2">
        <v>2</v>
      </c>
      <c r="F32" s="3">
        <v>5000</v>
      </c>
      <c r="G32" s="3">
        <v>15000</v>
      </c>
    </row>
    <row r="33" spans="2:7" x14ac:dyDescent="0.3">
      <c r="B33" s="1" t="s">
        <v>122</v>
      </c>
      <c r="C33" t="s">
        <v>123</v>
      </c>
      <c r="D33" t="s">
        <v>49</v>
      </c>
      <c r="E33" s="2">
        <v>9</v>
      </c>
      <c r="F33" s="3">
        <v>5000</v>
      </c>
      <c r="G33" s="3">
        <v>15000</v>
      </c>
    </row>
    <row r="34" spans="2:7" x14ac:dyDescent="0.3">
      <c r="B34" s="1" t="s">
        <v>124</v>
      </c>
      <c r="C34" t="s">
        <v>125</v>
      </c>
      <c r="D34" t="s">
        <v>49</v>
      </c>
      <c r="E34" s="2">
        <v>4</v>
      </c>
      <c r="F34" s="3">
        <v>5000</v>
      </c>
      <c r="G34" s="3">
        <v>15000</v>
      </c>
    </row>
    <row r="35" spans="2:7" x14ac:dyDescent="0.3">
      <c r="B35" s="1" t="s">
        <v>126</v>
      </c>
      <c r="C35" t="s">
        <v>127</v>
      </c>
      <c r="D35" t="s">
        <v>49</v>
      </c>
      <c r="E35" s="2">
        <v>5</v>
      </c>
      <c r="F35" s="3">
        <v>5000</v>
      </c>
      <c r="G35" s="3">
        <v>15000</v>
      </c>
    </row>
    <row r="36" spans="2:7" x14ac:dyDescent="0.3">
      <c r="B36" s="1" t="s">
        <v>128</v>
      </c>
      <c r="C36" t="s">
        <v>129</v>
      </c>
      <c r="D36" t="s">
        <v>49</v>
      </c>
      <c r="E36" s="2">
        <v>8</v>
      </c>
      <c r="F36" s="3">
        <v>5000</v>
      </c>
      <c r="G36" s="3">
        <v>15000</v>
      </c>
    </row>
    <row r="37" spans="2:7" x14ac:dyDescent="0.3">
      <c r="B37" s="1" t="s">
        <v>130</v>
      </c>
      <c r="C37" t="s">
        <v>131</v>
      </c>
      <c r="D37" t="s">
        <v>49</v>
      </c>
      <c r="E37" s="2">
        <v>4</v>
      </c>
      <c r="F37" s="3">
        <v>10000</v>
      </c>
      <c r="G37" s="3">
        <v>20000</v>
      </c>
    </row>
    <row r="38" spans="2:7" x14ac:dyDescent="0.3">
      <c r="B38" s="1" t="s">
        <v>132</v>
      </c>
      <c r="C38" t="s">
        <v>133</v>
      </c>
      <c r="D38" t="s">
        <v>49</v>
      </c>
      <c r="E38" s="2">
        <v>2</v>
      </c>
      <c r="F38" s="3">
        <v>5000</v>
      </c>
      <c r="G38" s="3">
        <v>15000</v>
      </c>
    </row>
    <row r="39" spans="2:7" x14ac:dyDescent="0.3">
      <c r="B39" s="1" t="s">
        <v>134</v>
      </c>
      <c r="C39" t="s">
        <v>135</v>
      </c>
      <c r="D39" t="s">
        <v>49</v>
      </c>
      <c r="E39" s="2">
        <v>2</v>
      </c>
      <c r="F39" s="3">
        <v>5000</v>
      </c>
      <c r="G39" s="3">
        <v>15000</v>
      </c>
    </row>
    <row r="40" spans="2:7" x14ac:dyDescent="0.3">
      <c r="B40" s="1" t="s">
        <v>136</v>
      </c>
      <c r="C40" t="s">
        <v>137</v>
      </c>
      <c r="D40" t="s">
        <v>49</v>
      </c>
      <c r="E40" s="2">
        <v>7</v>
      </c>
      <c r="F40" s="3">
        <v>5000</v>
      </c>
      <c r="G40" s="3">
        <v>15000</v>
      </c>
    </row>
    <row r="41" spans="2:7" x14ac:dyDescent="0.3">
      <c r="B41" s="1" t="s">
        <v>138</v>
      </c>
      <c r="C41" t="s">
        <v>139</v>
      </c>
      <c r="D41" t="s">
        <v>49</v>
      </c>
      <c r="E41" s="2">
        <v>1</v>
      </c>
      <c r="F41" s="3">
        <v>5000</v>
      </c>
      <c r="G41" s="3">
        <v>15000</v>
      </c>
    </row>
    <row r="42" spans="2:7" x14ac:dyDescent="0.3">
      <c r="B42" s="1" t="s">
        <v>140</v>
      </c>
      <c r="C42" t="s">
        <v>141</v>
      </c>
      <c r="D42" t="s">
        <v>49</v>
      </c>
      <c r="E42" s="2">
        <v>4</v>
      </c>
      <c r="F42" s="3">
        <v>5000</v>
      </c>
      <c r="G42" s="3">
        <v>15000</v>
      </c>
    </row>
    <row r="43" spans="2:7" x14ac:dyDescent="0.3">
      <c r="B43" s="1" t="s">
        <v>142</v>
      </c>
      <c r="C43" t="s">
        <v>143</v>
      </c>
      <c r="D43" t="s">
        <v>49</v>
      </c>
      <c r="E43" s="2">
        <v>10</v>
      </c>
      <c r="F43" s="3">
        <v>5000</v>
      </c>
      <c r="G43" s="3">
        <v>15000</v>
      </c>
    </row>
    <row r="44" spans="2:7" x14ac:dyDescent="0.3">
      <c r="B44" s="1" t="s">
        <v>144</v>
      </c>
      <c r="C44" t="s">
        <v>145</v>
      </c>
      <c r="D44" t="s">
        <v>49</v>
      </c>
      <c r="E44" s="2">
        <v>3</v>
      </c>
      <c r="F44" s="3">
        <v>5000</v>
      </c>
      <c r="G44" s="3">
        <v>15000</v>
      </c>
    </row>
    <row r="45" spans="2:7" x14ac:dyDescent="0.3">
      <c r="B45" s="1" t="s">
        <v>146</v>
      </c>
      <c r="C45" t="s">
        <v>147</v>
      </c>
      <c r="D45" t="s">
        <v>49</v>
      </c>
      <c r="E45" s="2">
        <v>2</v>
      </c>
      <c r="F45" s="3">
        <v>5000</v>
      </c>
      <c r="G45" s="3">
        <v>15000</v>
      </c>
    </row>
    <row r="46" spans="2:7" x14ac:dyDescent="0.3">
      <c r="B46" s="1" t="s">
        <v>148</v>
      </c>
      <c r="C46" t="s">
        <v>149</v>
      </c>
      <c r="D46" t="s">
        <v>49</v>
      </c>
      <c r="E46" s="2">
        <v>2</v>
      </c>
      <c r="F46" s="3">
        <v>5000</v>
      </c>
      <c r="G46" s="3">
        <v>15000</v>
      </c>
    </row>
    <row r="47" spans="2:7" x14ac:dyDescent="0.3">
      <c r="B47" s="1" t="s">
        <v>150</v>
      </c>
      <c r="C47" t="s">
        <v>151</v>
      </c>
      <c r="D47" t="s">
        <v>49</v>
      </c>
      <c r="E47" s="2">
        <v>3</v>
      </c>
      <c r="F47" s="3">
        <v>5000</v>
      </c>
      <c r="G47" s="3">
        <v>15000</v>
      </c>
    </row>
    <row r="48" spans="2:7" x14ac:dyDescent="0.3">
      <c r="B48" s="1" t="s">
        <v>152</v>
      </c>
      <c r="C48" t="s">
        <v>153</v>
      </c>
      <c r="D48" t="s">
        <v>49</v>
      </c>
      <c r="E48" s="2">
        <v>3</v>
      </c>
      <c r="F48" s="3">
        <v>5000</v>
      </c>
      <c r="G48" s="3">
        <v>15000</v>
      </c>
    </row>
    <row r="49" spans="2:7" x14ac:dyDescent="0.3">
      <c r="B49" s="1" t="s">
        <v>154</v>
      </c>
      <c r="C49" t="s">
        <v>155</v>
      </c>
      <c r="D49" t="s">
        <v>49</v>
      </c>
      <c r="E49" s="2">
        <v>1</v>
      </c>
      <c r="F49" s="3">
        <v>5000</v>
      </c>
      <c r="G49" s="3">
        <v>15000</v>
      </c>
    </row>
    <row r="50" spans="2:7" x14ac:dyDescent="0.3">
      <c r="B50" s="1" t="s">
        <v>156</v>
      </c>
      <c r="C50" t="s">
        <v>157</v>
      </c>
      <c r="D50" t="s">
        <v>49</v>
      </c>
      <c r="E50" s="2">
        <v>1</v>
      </c>
      <c r="F50" s="3">
        <v>5000</v>
      </c>
      <c r="G50" s="3">
        <v>15000</v>
      </c>
    </row>
    <row r="51" spans="2:7" x14ac:dyDescent="0.3">
      <c r="B51" s="1" t="s">
        <v>158</v>
      </c>
      <c r="C51" t="s">
        <v>159</v>
      </c>
      <c r="D51" t="s">
        <v>49</v>
      </c>
      <c r="E51" s="2">
        <v>1</v>
      </c>
      <c r="F51" s="3">
        <v>5000</v>
      </c>
      <c r="G51" s="3">
        <v>15000</v>
      </c>
    </row>
    <row r="52" spans="2:7" x14ac:dyDescent="0.3">
      <c r="B52" s="1" t="s">
        <v>160</v>
      </c>
      <c r="C52" t="s">
        <v>161</v>
      </c>
      <c r="D52" t="s">
        <v>49</v>
      </c>
      <c r="E52" s="2">
        <v>5</v>
      </c>
      <c r="F52" s="3">
        <v>6000</v>
      </c>
      <c r="G52" s="3">
        <v>10000</v>
      </c>
    </row>
    <row r="53" spans="2:7" x14ac:dyDescent="0.3">
      <c r="B53" s="1" t="s">
        <v>174</v>
      </c>
      <c r="C53" t="s">
        <v>175</v>
      </c>
      <c r="D53" t="s">
        <v>49</v>
      </c>
      <c r="E53" s="2">
        <v>4</v>
      </c>
      <c r="F53" s="3">
        <v>12000</v>
      </c>
      <c r="G53" s="3">
        <v>25000</v>
      </c>
    </row>
    <row r="54" spans="2:7" x14ac:dyDescent="0.3">
      <c r="B54" s="1" t="s">
        <v>162</v>
      </c>
      <c r="C54" t="s">
        <v>163</v>
      </c>
      <c r="D54" t="s">
        <v>49</v>
      </c>
      <c r="E54" s="2">
        <v>4</v>
      </c>
      <c r="F54" s="3">
        <v>5000</v>
      </c>
      <c r="G54" s="3">
        <v>15000</v>
      </c>
    </row>
    <row r="55" spans="2:7" x14ac:dyDescent="0.3">
      <c r="B55" s="1" t="s">
        <v>164</v>
      </c>
      <c r="C55" t="s">
        <v>165</v>
      </c>
      <c r="D55" t="s">
        <v>49</v>
      </c>
      <c r="E55" s="2">
        <v>1</v>
      </c>
      <c r="F55" s="3">
        <v>5000</v>
      </c>
      <c r="G55" s="3">
        <v>15000</v>
      </c>
    </row>
    <row r="56" spans="2:7" x14ac:dyDescent="0.3">
      <c r="B56" s="1" t="s">
        <v>166</v>
      </c>
      <c r="C56" t="s">
        <v>167</v>
      </c>
      <c r="D56" t="s">
        <v>49</v>
      </c>
      <c r="E56" s="2">
        <v>8</v>
      </c>
      <c r="F56" s="3">
        <v>7500</v>
      </c>
      <c r="G56" s="3">
        <v>15000</v>
      </c>
    </row>
    <row r="57" spans="2:7" x14ac:dyDescent="0.3">
      <c r="B57" s="1" t="s">
        <v>168</v>
      </c>
      <c r="C57" t="s">
        <v>169</v>
      </c>
      <c r="D57" t="s">
        <v>49</v>
      </c>
      <c r="E57" s="2">
        <v>2</v>
      </c>
      <c r="F57" s="3">
        <v>7500</v>
      </c>
      <c r="G57" s="3">
        <v>15000</v>
      </c>
    </row>
    <row r="58" spans="2:7" x14ac:dyDescent="0.3">
      <c r="B58" s="1" t="s">
        <v>170</v>
      </c>
      <c r="C58" t="s">
        <v>171</v>
      </c>
      <c r="D58" t="s">
        <v>49</v>
      </c>
      <c r="E58" s="2">
        <v>11</v>
      </c>
      <c r="F58" s="3">
        <v>7500</v>
      </c>
      <c r="G58" s="3">
        <v>15000</v>
      </c>
    </row>
    <row r="59" spans="2:7" x14ac:dyDescent="0.3">
      <c r="B59" s="1" t="s">
        <v>172</v>
      </c>
      <c r="C59" t="s">
        <v>173</v>
      </c>
      <c r="D59" t="s">
        <v>49</v>
      </c>
      <c r="E59" s="2">
        <v>2</v>
      </c>
      <c r="F59" s="3">
        <v>6000</v>
      </c>
      <c r="G59" s="3">
        <v>10000</v>
      </c>
    </row>
    <row r="60" spans="2:7" x14ac:dyDescent="0.3">
      <c r="B60" s="1" t="s">
        <v>174</v>
      </c>
      <c r="C60" t="s">
        <v>175</v>
      </c>
      <c r="D60" t="s">
        <v>49</v>
      </c>
      <c r="E60" s="2">
        <v>4</v>
      </c>
      <c r="F60" s="3">
        <v>12000</v>
      </c>
      <c r="G60" s="3">
        <v>25000</v>
      </c>
    </row>
    <row r="61" spans="2:7" x14ac:dyDescent="0.3">
      <c r="B61" s="1" t="s">
        <v>176</v>
      </c>
      <c r="C61" t="s">
        <v>177</v>
      </c>
      <c r="D61" t="s">
        <v>49</v>
      </c>
      <c r="E61" s="2">
        <v>2</v>
      </c>
      <c r="F61" s="3">
        <v>12000</v>
      </c>
      <c r="G61" s="3">
        <v>25000</v>
      </c>
    </row>
    <row r="62" spans="2:7" x14ac:dyDescent="0.3">
      <c r="B62" s="1" t="s">
        <v>178</v>
      </c>
      <c r="C62" t="s">
        <v>179</v>
      </c>
      <c r="D62" t="s">
        <v>49</v>
      </c>
      <c r="E62" s="2">
        <v>2</v>
      </c>
      <c r="F62" s="3">
        <v>7500</v>
      </c>
      <c r="G62" s="3">
        <v>15000</v>
      </c>
    </row>
    <row r="63" spans="2:7" x14ac:dyDescent="0.3">
      <c r="B63" s="1" t="s">
        <v>180</v>
      </c>
      <c r="C63" t="s">
        <v>177</v>
      </c>
      <c r="D63" t="s">
        <v>49</v>
      </c>
      <c r="E63" s="2">
        <v>1</v>
      </c>
      <c r="F63" s="3">
        <v>12000</v>
      </c>
      <c r="G63" s="3">
        <v>25000</v>
      </c>
    </row>
    <row r="64" spans="2:7" x14ac:dyDescent="0.3">
      <c r="B64" s="1" t="s">
        <v>181</v>
      </c>
      <c r="C64" t="s">
        <v>182</v>
      </c>
      <c r="D64" t="s">
        <v>49</v>
      </c>
      <c r="E64" s="2">
        <v>1</v>
      </c>
      <c r="F64" s="3">
        <v>12000</v>
      </c>
      <c r="G64" s="3">
        <v>25000</v>
      </c>
    </row>
    <row r="65" spans="2:7" x14ac:dyDescent="0.3">
      <c r="B65" s="1" t="s">
        <v>183</v>
      </c>
      <c r="C65" t="s">
        <v>184</v>
      </c>
      <c r="D65" t="s">
        <v>49</v>
      </c>
      <c r="E65" s="2">
        <v>3</v>
      </c>
      <c r="F65" s="3">
        <v>7500</v>
      </c>
      <c r="G65" s="3">
        <v>15000</v>
      </c>
    </row>
    <row r="66" spans="2:7" x14ac:dyDescent="0.3">
      <c r="B66" s="1" t="s">
        <v>185</v>
      </c>
      <c r="C66" t="s">
        <v>186</v>
      </c>
      <c r="D66" t="s">
        <v>49</v>
      </c>
      <c r="E66" s="2">
        <v>4</v>
      </c>
      <c r="F66" s="3">
        <v>7500</v>
      </c>
      <c r="G66" s="3">
        <v>15000</v>
      </c>
    </row>
    <row r="67" spans="2:7" x14ac:dyDescent="0.3">
      <c r="B67" s="1" t="s">
        <v>187</v>
      </c>
      <c r="C67" t="s">
        <v>188</v>
      </c>
      <c r="D67" t="s">
        <v>49</v>
      </c>
      <c r="E67" s="2">
        <v>2</v>
      </c>
      <c r="F67" s="3">
        <v>7500</v>
      </c>
      <c r="G67" s="3">
        <v>15000</v>
      </c>
    </row>
    <row r="68" spans="2:7" x14ac:dyDescent="0.3">
      <c r="B68" s="1" t="s">
        <v>189</v>
      </c>
      <c r="C68" t="s">
        <v>190</v>
      </c>
      <c r="D68" t="s">
        <v>49</v>
      </c>
      <c r="E68" s="2">
        <v>0</v>
      </c>
      <c r="F68" s="3">
        <v>7500</v>
      </c>
      <c r="G68" s="3">
        <v>15000</v>
      </c>
    </row>
    <row r="69" spans="2:7" x14ac:dyDescent="0.3">
      <c r="B69" s="1" t="s">
        <v>191</v>
      </c>
      <c r="C69" t="s">
        <v>192</v>
      </c>
      <c r="D69" t="s">
        <v>49</v>
      </c>
      <c r="E69" s="2">
        <v>3</v>
      </c>
      <c r="F69" s="3">
        <v>7500</v>
      </c>
      <c r="G69" s="3">
        <v>15000</v>
      </c>
    </row>
    <row r="70" spans="2:7" x14ac:dyDescent="0.3">
      <c r="B70" s="1" t="s">
        <v>193</v>
      </c>
      <c r="C70" t="s">
        <v>194</v>
      </c>
      <c r="D70" t="s">
        <v>49</v>
      </c>
      <c r="E70" s="2">
        <v>3</v>
      </c>
      <c r="F70" s="3">
        <v>7500</v>
      </c>
      <c r="G70" s="3">
        <v>15000</v>
      </c>
    </row>
    <row r="71" spans="2:7" x14ac:dyDescent="0.3">
      <c r="B71" s="1" t="s">
        <v>195</v>
      </c>
      <c r="C71" t="s">
        <v>196</v>
      </c>
      <c r="D71" t="s">
        <v>49</v>
      </c>
      <c r="E71" s="2">
        <v>0</v>
      </c>
      <c r="F71" s="3">
        <v>6000</v>
      </c>
      <c r="G71" s="3">
        <v>10000</v>
      </c>
    </row>
    <row r="72" spans="2:7" x14ac:dyDescent="0.3">
      <c r="B72" s="1" t="s">
        <v>197</v>
      </c>
      <c r="C72" t="s">
        <v>198</v>
      </c>
      <c r="D72" t="s">
        <v>49</v>
      </c>
      <c r="E72" s="2">
        <v>3</v>
      </c>
      <c r="F72" s="3">
        <v>7500</v>
      </c>
      <c r="G72" s="3">
        <v>15000</v>
      </c>
    </row>
    <row r="73" spans="2:7" x14ac:dyDescent="0.3">
      <c r="B73" s="1" t="s">
        <v>199</v>
      </c>
      <c r="C73" t="s">
        <v>200</v>
      </c>
      <c r="D73" t="s">
        <v>49</v>
      </c>
      <c r="E73" s="2">
        <v>4</v>
      </c>
      <c r="F73" s="3">
        <v>7500</v>
      </c>
      <c r="G73" s="3">
        <v>15000</v>
      </c>
    </row>
    <row r="74" spans="2:7" x14ac:dyDescent="0.3">
      <c r="B74" s="1" t="s">
        <v>201</v>
      </c>
      <c r="C74" t="s">
        <v>202</v>
      </c>
      <c r="D74" t="s">
        <v>49</v>
      </c>
      <c r="E74" s="2">
        <v>13</v>
      </c>
      <c r="F74" s="3">
        <v>7500</v>
      </c>
      <c r="G74" s="3">
        <v>15000</v>
      </c>
    </row>
    <row r="75" spans="2:7" x14ac:dyDescent="0.3">
      <c r="B75" s="1" t="s">
        <v>203</v>
      </c>
      <c r="C75" t="s">
        <v>204</v>
      </c>
      <c r="D75" t="s">
        <v>49</v>
      </c>
      <c r="E75" s="2">
        <v>1</v>
      </c>
      <c r="F75" s="3">
        <v>7500</v>
      </c>
      <c r="G75" s="3">
        <v>15000</v>
      </c>
    </row>
    <row r="76" spans="2:7" x14ac:dyDescent="0.3">
      <c r="B76" s="1" t="s">
        <v>205</v>
      </c>
      <c r="C76" t="s">
        <v>206</v>
      </c>
      <c r="D76" t="s">
        <v>49</v>
      </c>
      <c r="E76" s="2">
        <v>16</v>
      </c>
      <c r="F76" s="3">
        <v>7500</v>
      </c>
      <c r="G76" s="3">
        <v>15000</v>
      </c>
    </row>
    <row r="77" spans="2:7" x14ac:dyDescent="0.3">
      <c r="B77" s="1" t="s">
        <v>166</v>
      </c>
      <c r="C77" t="s">
        <v>167</v>
      </c>
      <c r="D77" t="s">
        <v>49</v>
      </c>
      <c r="E77" s="2">
        <v>1</v>
      </c>
      <c r="F77" s="3">
        <v>7500</v>
      </c>
      <c r="G77" s="3">
        <v>15000</v>
      </c>
    </row>
    <row r="78" spans="2:7" x14ac:dyDescent="0.3">
      <c r="B78" s="1" t="s">
        <v>207</v>
      </c>
      <c r="C78" t="s">
        <v>208</v>
      </c>
      <c r="D78" t="s">
        <v>49</v>
      </c>
      <c r="E78" s="2">
        <v>1</v>
      </c>
      <c r="F78" s="3">
        <v>6000</v>
      </c>
      <c r="G78" s="3">
        <v>10000</v>
      </c>
    </row>
    <row r="79" spans="2:7" x14ac:dyDescent="0.3">
      <c r="B79" s="1" t="s">
        <v>168</v>
      </c>
      <c r="C79" t="s">
        <v>169</v>
      </c>
      <c r="D79" t="s">
        <v>49</v>
      </c>
      <c r="E79" s="2">
        <v>1</v>
      </c>
      <c r="F79" s="3">
        <v>7500</v>
      </c>
      <c r="G79" s="3">
        <v>15000</v>
      </c>
    </row>
    <row r="80" spans="2:7" x14ac:dyDescent="0.3">
      <c r="B80" s="1" t="s">
        <v>209</v>
      </c>
      <c r="C80" t="s">
        <v>210</v>
      </c>
      <c r="D80" t="s">
        <v>49</v>
      </c>
      <c r="E80" s="2">
        <v>1</v>
      </c>
      <c r="F80" s="3">
        <v>6000</v>
      </c>
      <c r="G80" s="3">
        <v>10000</v>
      </c>
    </row>
    <row r="81" spans="2:7" x14ac:dyDescent="0.3">
      <c r="B81" s="1" t="s">
        <v>211</v>
      </c>
      <c r="C81" t="s">
        <v>212</v>
      </c>
      <c r="D81" t="s">
        <v>49</v>
      </c>
      <c r="E81" s="2">
        <v>1</v>
      </c>
      <c r="F81" s="3">
        <v>6000</v>
      </c>
      <c r="G81" s="3">
        <v>15000</v>
      </c>
    </row>
    <row r="82" spans="2:7" x14ac:dyDescent="0.3">
      <c r="B82" s="1" t="s">
        <v>213</v>
      </c>
      <c r="C82" t="s">
        <v>214</v>
      </c>
      <c r="D82" t="s">
        <v>49</v>
      </c>
      <c r="E82" s="2">
        <v>1</v>
      </c>
      <c r="F82" s="3">
        <v>7500</v>
      </c>
      <c r="G82" s="3">
        <v>15000</v>
      </c>
    </row>
    <row r="83" spans="2:7" x14ac:dyDescent="0.3">
      <c r="B83" s="1" t="s">
        <v>215</v>
      </c>
      <c r="C83" t="s">
        <v>216</v>
      </c>
      <c r="D83" t="s">
        <v>49</v>
      </c>
      <c r="E83" s="2">
        <v>1</v>
      </c>
      <c r="F83" s="3">
        <v>12000</v>
      </c>
      <c r="G83" s="3">
        <v>25000</v>
      </c>
    </row>
    <row r="84" spans="2:7" x14ac:dyDescent="0.3">
      <c r="B84" s="1" t="s">
        <v>217</v>
      </c>
      <c r="C84" t="s">
        <v>218</v>
      </c>
      <c r="D84" t="s">
        <v>49</v>
      </c>
      <c r="E84" s="2">
        <v>1</v>
      </c>
      <c r="F84" s="3">
        <v>10000</v>
      </c>
      <c r="G84" s="3">
        <v>20000</v>
      </c>
    </row>
    <row r="85" spans="2:7" x14ac:dyDescent="0.3">
      <c r="B85" s="1" t="s">
        <v>219</v>
      </c>
      <c r="C85" t="s">
        <v>220</v>
      </c>
      <c r="D85" t="s">
        <v>49</v>
      </c>
      <c r="E85" s="2">
        <v>1</v>
      </c>
      <c r="F85" s="3">
        <v>7500</v>
      </c>
      <c r="G85" s="3">
        <v>15000</v>
      </c>
    </row>
    <row r="86" spans="2:7" x14ac:dyDescent="0.3">
      <c r="B86" s="1" t="s">
        <v>221</v>
      </c>
      <c r="C86" t="s">
        <v>222</v>
      </c>
      <c r="D86" t="s">
        <v>49</v>
      </c>
      <c r="E86" s="2">
        <v>1</v>
      </c>
      <c r="F86" s="3">
        <v>6000</v>
      </c>
      <c r="G86" s="3">
        <v>10000</v>
      </c>
    </row>
    <row r="87" spans="2:7" x14ac:dyDescent="0.3">
      <c r="B87" s="1" t="s">
        <v>223</v>
      </c>
      <c r="C87" t="s">
        <v>224</v>
      </c>
      <c r="D87" t="s">
        <v>49</v>
      </c>
      <c r="E87" s="2">
        <v>3</v>
      </c>
      <c r="F87" s="3">
        <v>7500</v>
      </c>
      <c r="G87" s="3">
        <v>15000</v>
      </c>
    </row>
    <row r="88" spans="2:7" x14ac:dyDescent="0.3">
      <c r="B88" s="1" t="s">
        <v>226</v>
      </c>
      <c r="C88" t="s">
        <v>227</v>
      </c>
      <c r="D88" t="s">
        <v>49</v>
      </c>
      <c r="E88" s="2">
        <v>1</v>
      </c>
      <c r="F88" s="3">
        <v>7500</v>
      </c>
      <c r="G88" s="3">
        <v>15000</v>
      </c>
    </row>
    <row r="89" spans="2:7" x14ac:dyDescent="0.3">
      <c r="B89" s="1" t="s">
        <v>228</v>
      </c>
      <c r="C89" t="s">
        <v>229</v>
      </c>
      <c r="D89" t="s">
        <v>49</v>
      </c>
      <c r="E89" s="2">
        <v>4</v>
      </c>
      <c r="F89" s="3">
        <v>7500</v>
      </c>
      <c r="G89" s="3">
        <v>15000</v>
      </c>
    </row>
  </sheetData>
  <sortState xmlns:xlrd2="http://schemas.microsoft.com/office/spreadsheetml/2017/richdata2" ref="B4:G31">
    <sortCondition ref="B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6" sqref="E36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07" t="s">
        <v>62</v>
      </c>
      <c r="B2" s="108"/>
      <c r="C2" s="108"/>
      <c r="D2" s="108"/>
      <c r="E2" s="109"/>
    </row>
    <row r="3" spans="1:5" ht="15.6" thickBot="1" x14ac:dyDescent="0.35">
      <c r="A3" s="110" t="s">
        <v>63</v>
      </c>
      <c r="B3" s="111"/>
      <c r="C3" s="111"/>
      <c r="D3" s="111"/>
      <c r="E3" s="112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18</v>
      </c>
      <c r="B5" s="41">
        <f>SUM($E$10:$E$1100)</f>
        <v>0</v>
      </c>
      <c r="C5" s="35" t="s">
        <v>26</v>
      </c>
      <c r="D5" s="113">
        <f>SUM(MENU!$L$8:$L$900)</f>
        <v>0</v>
      </c>
      <c r="E5" s="114"/>
    </row>
    <row r="6" spans="1:5" x14ac:dyDescent="0.3">
      <c r="A6" s="39" t="s">
        <v>20</v>
      </c>
      <c r="B6" s="43">
        <f>B5-D5</f>
        <v>0</v>
      </c>
      <c r="C6" s="36" t="s">
        <v>21</v>
      </c>
      <c r="D6" s="115">
        <f>MENU!$J$3</f>
        <v>0</v>
      </c>
      <c r="E6" s="116"/>
    </row>
    <row r="7" spans="1:5" x14ac:dyDescent="0.3">
      <c r="A7" s="40" t="s">
        <v>27</v>
      </c>
      <c r="B7" s="42">
        <f ca="1">TODAY()</f>
        <v>44470</v>
      </c>
      <c r="C7" s="37" t="s">
        <v>22</v>
      </c>
      <c r="D7" s="117">
        <f>D6-B6</f>
        <v>0</v>
      </c>
      <c r="E7" s="118"/>
    </row>
    <row r="9" spans="1:5" ht="13.8" thickBot="1" x14ac:dyDescent="0.35">
      <c r="A9" s="44" t="s">
        <v>1</v>
      </c>
      <c r="B9" s="44" t="s">
        <v>2</v>
      </c>
      <c r="C9" s="45" t="s">
        <v>24</v>
      </c>
      <c r="D9" s="44" t="s">
        <v>4</v>
      </c>
      <c r="E9" s="45" t="s">
        <v>25</v>
      </c>
    </row>
    <row r="10" spans="1:5" ht="13.8" thickTop="1" x14ac:dyDescent="0.3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 x14ac:dyDescent="0.3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 x14ac:dyDescent="0.3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 x14ac:dyDescent="0.3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 x14ac:dyDescent="0.3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 x14ac:dyDescent="0.3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 x14ac:dyDescent="0.3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AA69"/>
  <sheetViews>
    <sheetView showGridLines="0" workbookViewId="0">
      <selection activeCell="A5" sqref="A5:J6"/>
    </sheetView>
  </sheetViews>
  <sheetFormatPr defaultRowHeight="14.4" x14ac:dyDescent="0.3"/>
  <cols>
    <col min="1" max="1" width="15.21875" bestFit="1" customWidth="1"/>
    <col min="2" max="2" width="13.33203125" style="69" customWidth="1"/>
    <col min="3" max="3" width="35" customWidth="1"/>
    <col min="4" max="4" width="9.109375" customWidth="1"/>
    <col min="5" max="5" width="13" style="71" customWidth="1"/>
    <col min="6" max="6" width="6.33203125" style="83" customWidth="1"/>
    <col min="7" max="7" width="5.33203125" style="83" customWidth="1"/>
    <col min="8" max="8" width="7.5546875" style="84" bestFit="1" customWidth="1"/>
    <col min="9" max="9" width="11.88671875" style="71" bestFit="1" customWidth="1"/>
    <col min="10" max="10" width="14" style="71" bestFit="1" customWidth="1"/>
    <col min="12" max="12" width="10.88671875" style="2" customWidth="1"/>
    <col min="13" max="13" width="9.109375" style="2"/>
    <col min="15" max="16" width="12.109375" bestFit="1" customWidth="1"/>
    <col min="18" max="18" width="15.21875" bestFit="1" customWidth="1"/>
    <col min="19" max="19" width="10.77734375" bestFit="1" customWidth="1"/>
    <col min="20" max="20" width="28.21875" bestFit="1" customWidth="1"/>
    <col min="21" max="21" width="6" bestFit="1" customWidth="1"/>
    <col min="22" max="22" width="12.109375" bestFit="1" customWidth="1"/>
    <col min="23" max="23" width="4.33203125" bestFit="1" customWidth="1"/>
    <col min="24" max="24" width="3.6640625" bestFit="1" customWidth="1"/>
    <col min="25" max="25" width="7.5546875" bestFit="1" customWidth="1"/>
    <col min="26" max="26" width="9.5546875" bestFit="1" customWidth="1"/>
    <col min="27" max="27" width="11.33203125" bestFit="1" customWidth="1"/>
  </cols>
  <sheetData>
    <row r="4" spans="1:27" ht="15" x14ac:dyDescent="0.35">
      <c r="A4" s="12" t="s">
        <v>1</v>
      </c>
      <c r="B4" s="68" t="s">
        <v>28</v>
      </c>
      <c r="C4" s="12" t="s">
        <v>2</v>
      </c>
      <c r="D4" s="12" t="s">
        <v>13</v>
      </c>
      <c r="E4" s="70" t="s">
        <v>3</v>
      </c>
      <c r="F4" s="81" t="s">
        <v>5</v>
      </c>
      <c r="G4" s="81" t="s">
        <v>4</v>
      </c>
      <c r="H4" s="82" t="s">
        <v>15</v>
      </c>
      <c r="I4" s="70" t="s">
        <v>16</v>
      </c>
      <c r="J4" s="70" t="s">
        <v>6</v>
      </c>
      <c r="L4" s="63" t="s">
        <v>29</v>
      </c>
      <c r="M4" s="63" t="s">
        <v>31</v>
      </c>
      <c r="O4" s="85" t="s">
        <v>28</v>
      </c>
      <c r="P4" s="85" t="s">
        <v>28</v>
      </c>
      <c r="R4" s="12" t="s">
        <v>1</v>
      </c>
      <c r="S4" s="68" t="s">
        <v>28</v>
      </c>
      <c r="T4" s="12" t="s">
        <v>2</v>
      </c>
      <c r="U4" s="12" t="s">
        <v>13</v>
      </c>
      <c r="V4" s="70" t="s">
        <v>3</v>
      </c>
      <c r="W4" s="81" t="s">
        <v>5</v>
      </c>
      <c r="X4" s="81" t="s">
        <v>4</v>
      </c>
      <c r="Y4" s="82" t="s">
        <v>15</v>
      </c>
      <c r="Z4" s="70" t="s">
        <v>16</v>
      </c>
      <c r="AA4" s="70" t="s">
        <v>6</v>
      </c>
    </row>
    <row r="5" spans="1:27" x14ac:dyDescent="0.3">
      <c r="A5" t="s">
        <v>64</v>
      </c>
      <c r="B5" s="69">
        <v>44469</v>
      </c>
      <c r="C5" t="s">
        <v>65</v>
      </c>
      <c r="D5" t="s">
        <v>49</v>
      </c>
      <c r="E5" s="71">
        <v>70000</v>
      </c>
      <c r="F5" s="83">
        <v>5</v>
      </c>
      <c r="G5" s="83">
        <v>1</v>
      </c>
      <c r="H5" s="84">
        <v>0</v>
      </c>
      <c r="I5" s="71">
        <v>0</v>
      </c>
      <c r="J5" s="71">
        <v>70000</v>
      </c>
      <c r="L5" s="2" t="str">
        <f>IF(B5="","",TEXT(B5,"MMM"))</f>
        <v>Sep</v>
      </c>
      <c r="M5" s="2">
        <f>IF(B5="","",YEAR(B5))</f>
        <v>2021</v>
      </c>
      <c r="O5" s="69"/>
      <c r="P5" s="69"/>
      <c r="R5" t="s">
        <v>7</v>
      </c>
      <c r="S5" s="69">
        <v>44236</v>
      </c>
      <c r="T5" t="s">
        <v>8</v>
      </c>
      <c r="U5" t="s">
        <v>14</v>
      </c>
      <c r="V5" s="71">
        <v>20000</v>
      </c>
      <c r="W5" s="83">
        <v>8</v>
      </c>
      <c r="X5" s="83">
        <v>5</v>
      </c>
      <c r="Y5" s="84">
        <v>0</v>
      </c>
      <c r="Z5" s="71">
        <v>0</v>
      </c>
      <c r="AA5" s="71">
        <v>100000</v>
      </c>
    </row>
    <row r="6" spans="1:27" x14ac:dyDescent="0.3">
      <c r="A6" t="s">
        <v>64</v>
      </c>
      <c r="B6" s="69">
        <v>44469</v>
      </c>
      <c r="C6" t="s">
        <v>65</v>
      </c>
      <c r="D6" t="s">
        <v>49</v>
      </c>
      <c r="E6" s="71">
        <v>70000</v>
      </c>
      <c r="F6" s="83">
        <v>5</v>
      </c>
      <c r="G6" s="83">
        <v>1</v>
      </c>
      <c r="H6" s="84">
        <v>0</v>
      </c>
      <c r="I6" s="71">
        <v>0</v>
      </c>
      <c r="J6" s="71">
        <v>70000</v>
      </c>
      <c r="L6" s="2" t="str">
        <f t="shared" ref="L6:L69" si="0">IF(B6="","",TEXT(B6,"MMM"))</f>
        <v>Sep</v>
      </c>
      <c r="M6" s="2">
        <f t="shared" ref="M6:M69" si="1">IF(B6="","",YEAR(B6))</f>
        <v>2021</v>
      </c>
      <c r="R6" t="s">
        <v>9</v>
      </c>
      <c r="S6" s="69">
        <v>44237</v>
      </c>
      <c r="T6" t="s">
        <v>10</v>
      </c>
      <c r="U6" t="s">
        <v>14</v>
      </c>
      <c r="V6" s="71">
        <v>26000</v>
      </c>
      <c r="W6" s="83">
        <v>6</v>
      </c>
      <c r="X6" s="83">
        <v>3</v>
      </c>
      <c r="Y6" s="84">
        <v>0</v>
      </c>
      <c r="Z6" s="71">
        <v>0</v>
      </c>
      <c r="AA6" s="71">
        <v>78000</v>
      </c>
    </row>
    <row r="7" spans="1:27" x14ac:dyDescent="0.3">
      <c r="L7" s="2" t="str">
        <f t="shared" si="0"/>
        <v/>
      </c>
      <c r="M7" s="2" t="str">
        <f t="shared" si="1"/>
        <v/>
      </c>
      <c r="R7" t="s">
        <v>7</v>
      </c>
      <c r="S7" s="69">
        <v>44266</v>
      </c>
      <c r="T7" t="s">
        <v>8</v>
      </c>
      <c r="U7" t="s">
        <v>14</v>
      </c>
      <c r="V7" s="71">
        <v>20000</v>
      </c>
      <c r="W7" s="83">
        <v>8</v>
      </c>
      <c r="X7" s="83">
        <v>5</v>
      </c>
      <c r="Y7" s="84">
        <v>0</v>
      </c>
      <c r="Z7" s="71">
        <v>0</v>
      </c>
      <c r="AA7" s="71">
        <v>100000</v>
      </c>
    </row>
    <row r="8" spans="1:27" x14ac:dyDescent="0.3">
      <c r="L8" s="2" t="str">
        <f t="shared" si="0"/>
        <v/>
      </c>
      <c r="M8" s="2" t="str">
        <f t="shared" si="1"/>
        <v/>
      </c>
      <c r="R8" t="s">
        <v>9</v>
      </c>
      <c r="S8" s="69">
        <v>44267</v>
      </c>
      <c r="T8" t="s">
        <v>10</v>
      </c>
      <c r="U8" t="s">
        <v>14</v>
      </c>
      <c r="V8" s="71">
        <v>26000</v>
      </c>
      <c r="W8" s="83">
        <v>6</v>
      </c>
      <c r="X8" s="83">
        <v>3</v>
      </c>
      <c r="Y8" s="84">
        <v>0</v>
      </c>
      <c r="Z8" s="71">
        <v>0</v>
      </c>
      <c r="AA8" s="71">
        <v>78000</v>
      </c>
    </row>
    <row r="9" spans="1:27" x14ac:dyDescent="0.3">
      <c r="L9" s="2" t="str">
        <f t="shared" si="0"/>
        <v/>
      </c>
      <c r="M9" s="2" t="str">
        <f t="shared" si="1"/>
        <v/>
      </c>
      <c r="R9" t="s">
        <v>7</v>
      </c>
      <c r="S9" s="69">
        <v>44299</v>
      </c>
      <c r="T9" t="s">
        <v>8</v>
      </c>
      <c r="U9" t="s">
        <v>14</v>
      </c>
      <c r="V9" s="71">
        <v>20000</v>
      </c>
      <c r="W9" s="83">
        <v>3</v>
      </c>
      <c r="X9" s="83">
        <v>2</v>
      </c>
      <c r="Y9" s="84">
        <v>0.2</v>
      </c>
      <c r="Z9" s="71">
        <v>8000</v>
      </c>
      <c r="AA9" s="71">
        <v>32000</v>
      </c>
    </row>
    <row r="10" spans="1:27" x14ac:dyDescent="0.3">
      <c r="L10" s="2" t="str">
        <f t="shared" si="0"/>
        <v/>
      </c>
      <c r="M10" s="2" t="str">
        <f t="shared" si="1"/>
        <v/>
      </c>
      <c r="R10" t="s">
        <v>7</v>
      </c>
      <c r="S10" s="69">
        <v>44301</v>
      </c>
      <c r="T10" t="s">
        <v>8</v>
      </c>
      <c r="U10" t="s">
        <v>14</v>
      </c>
      <c r="V10" s="71">
        <v>20000</v>
      </c>
      <c r="W10" s="83">
        <v>50</v>
      </c>
      <c r="X10" s="83">
        <v>1</v>
      </c>
      <c r="Y10" s="84">
        <v>0</v>
      </c>
      <c r="Z10" s="71">
        <v>0</v>
      </c>
      <c r="AA10" s="71">
        <v>20000</v>
      </c>
    </row>
    <row r="11" spans="1:27" x14ac:dyDescent="0.3">
      <c r="L11" s="2" t="str">
        <f t="shared" si="0"/>
        <v/>
      </c>
      <c r="M11" s="2" t="str">
        <f t="shared" si="1"/>
        <v/>
      </c>
      <c r="R11" t="s">
        <v>7</v>
      </c>
      <c r="S11" s="69">
        <v>44301</v>
      </c>
      <c r="T11" t="s">
        <v>8</v>
      </c>
      <c r="U11" t="s">
        <v>14</v>
      </c>
      <c r="V11" s="71">
        <v>20000</v>
      </c>
      <c r="W11" s="83">
        <v>50</v>
      </c>
      <c r="X11" s="83">
        <v>1</v>
      </c>
      <c r="Y11" s="84">
        <v>0</v>
      </c>
      <c r="Z11" s="71">
        <v>0</v>
      </c>
      <c r="AA11" s="71">
        <v>20000</v>
      </c>
    </row>
    <row r="12" spans="1:27" x14ac:dyDescent="0.3">
      <c r="L12" s="2" t="str">
        <f t="shared" si="0"/>
        <v/>
      </c>
      <c r="M12" s="2" t="str">
        <f t="shared" si="1"/>
        <v/>
      </c>
      <c r="R12" t="s">
        <v>9</v>
      </c>
      <c r="S12" s="69">
        <v>44301</v>
      </c>
      <c r="T12" t="s">
        <v>10</v>
      </c>
      <c r="U12" t="s">
        <v>14</v>
      </c>
      <c r="V12" s="71">
        <v>26000</v>
      </c>
      <c r="W12" s="83">
        <v>50</v>
      </c>
      <c r="X12" s="83">
        <v>1</v>
      </c>
      <c r="Y12" s="84">
        <v>0</v>
      </c>
      <c r="Z12" s="71">
        <v>0</v>
      </c>
      <c r="AA12" s="71">
        <v>26000</v>
      </c>
    </row>
    <row r="13" spans="1:27" x14ac:dyDescent="0.3">
      <c r="L13" s="2" t="str">
        <f t="shared" si="0"/>
        <v/>
      </c>
      <c r="M13" s="2" t="str">
        <f t="shared" si="1"/>
        <v/>
      </c>
      <c r="R13" t="s">
        <v>9</v>
      </c>
      <c r="S13" s="69">
        <v>44301</v>
      </c>
      <c r="T13" t="s">
        <v>10</v>
      </c>
      <c r="U13" t="s">
        <v>14</v>
      </c>
      <c r="V13" s="71">
        <v>26000</v>
      </c>
      <c r="W13" s="83">
        <v>50</v>
      </c>
      <c r="X13" s="83">
        <v>1</v>
      </c>
      <c r="Y13" s="84">
        <v>0</v>
      </c>
      <c r="Z13" s="71">
        <v>0</v>
      </c>
      <c r="AA13" s="71">
        <v>26000</v>
      </c>
    </row>
    <row r="14" spans="1:27" x14ac:dyDescent="0.3">
      <c r="L14" s="2" t="str">
        <f t="shared" si="0"/>
        <v/>
      </c>
      <c r="M14" s="2" t="str">
        <f t="shared" si="1"/>
        <v/>
      </c>
      <c r="R14" t="s">
        <v>9</v>
      </c>
      <c r="S14" s="69">
        <v>44301</v>
      </c>
      <c r="T14" t="s">
        <v>10</v>
      </c>
      <c r="U14" t="s">
        <v>14</v>
      </c>
      <c r="V14" s="71">
        <v>26000</v>
      </c>
      <c r="W14" s="83">
        <v>50</v>
      </c>
      <c r="X14" s="83">
        <v>1</v>
      </c>
      <c r="Y14" s="84">
        <v>0</v>
      </c>
      <c r="Z14" s="71">
        <v>0</v>
      </c>
      <c r="AA14" s="71">
        <v>26000</v>
      </c>
    </row>
    <row r="15" spans="1:27" x14ac:dyDescent="0.3">
      <c r="L15" s="2" t="str">
        <f t="shared" si="0"/>
        <v/>
      </c>
      <c r="M15" s="2" t="str">
        <f t="shared" si="1"/>
        <v/>
      </c>
      <c r="R15" t="s">
        <v>52</v>
      </c>
      <c r="S15" s="69">
        <v>44302</v>
      </c>
      <c r="T15" t="s">
        <v>50</v>
      </c>
      <c r="U15" t="s">
        <v>51</v>
      </c>
      <c r="V15" s="71">
        <v>20000</v>
      </c>
      <c r="W15" s="83">
        <v>35</v>
      </c>
      <c r="X15" s="83">
        <v>5</v>
      </c>
      <c r="Y15" s="84">
        <v>0</v>
      </c>
      <c r="Z15" s="71">
        <v>0</v>
      </c>
      <c r="AA15" s="71">
        <v>100000</v>
      </c>
    </row>
    <row r="16" spans="1:27" x14ac:dyDescent="0.3">
      <c r="L16" s="2" t="str">
        <f t="shared" si="0"/>
        <v/>
      </c>
      <c r="M16" s="2" t="str">
        <f t="shared" si="1"/>
        <v/>
      </c>
      <c r="R16" t="s">
        <v>9</v>
      </c>
      <c r="S16" s="69">
        <v>44302</v>
      </c>
      <c r="T16" t="s">
        <v>10</v>
      </c>
      <c r="U16" t="s">
        <v>14</v>
      </c>
      <c r="V16" s="71">
        <v>26000</v>
      </c>
      <c r="W16" s="83">
        <v>107</v>
      </c>
      <c r="X16" s="83">
        <v>20</v>
      </c>
      <c r="Y16" s="84">
        <v>0</v>
      </c>
      <c r="Z16" s="71">
        <v>0</v>
      </c>
      <c r="AA16" s="71">
        <v>520000</v>
      </c>
    </row>
    <row r="17" spans="12:27" x14ac:dyDescent="0.3">
      <c r="L17" s="2" t="str">
        <f t="shared" si="0"/>
        <v/>
      </c>
      <c r="M17" s="2" t="str">
        <f t="shared" si="1"/>
        <v/>
      </c>
      <c r="R17" t="s">
        <v>53</v>
      </c>
      <c r="S17" s="69">
        <v>44302</v>
      </c>
      <c r="T17" t="s">
        <v>54</v>
      </c>
      <c r="U17" t="s">
        <v>14</v>
      </c>
      <c r="V17" s="71">
        <v>20000</v>
      </c>
      <c r="W17" s="83">
        <v>36</v>
      </c>
      <c r="X17" s="83">
        <v>1</v>
      </c>
      <c r="Y17" s="84">
        <v>0</v>
      </c>
      <c r="Z17" s="71">
        <v>0</v>
      </c>
      <c r="AA17" s="71">
        <v>20000</v>
      </c>
    </row>
    <row r="18" spans="12:27" x14ac:dyDescent="0.3">
      <c r="L18" s="2" t="str">
        <f t="shared" si="0"/>
        <v/>
      </c>
      <c r="M18" s="2" t="str">
        <f t="shared" si="1"/>
        <v/>
      </c>
      <c r="R18" t="s">
        <v>59</v>
      </c>
      <c r="S18" s="69">
        <v>44302</v>
      </c>
      <c r="T18" t="s">
        <v>60</v>
      </c>
      <c r="U18" t="s">
        <v>14</v>
      </c>
      <c r="V18" s="71">
        <v>25000</v>
      </c>
      <c r="W18" s="83">
        <v>50</v>
      </c>
      <c r="X18" s="83">
        <v>1</v>
      </c>
      <c r="Y18" s="84">
        <v>0</v>
      </c>
      <c r="Z18" s="71">
        <v>0</v>
      </c>
      <c r="AA18" s="71">
        <v>25000</v>
      </c>
    </row>
    <row r="19" spans="12:27" x14ac:dyDescent="0.3">
      <c r="L19" s="2" t="str">
        <f t="shared" si="0"/>
        <v/>
      </c>
      <c r="M19" s="2" t="str">
        <f t="shared" si="1"/>
        <v/>
      </c>
      <c r="R19" t="s">
        <v>7</v>
      </c>
      <c r="S19" s="69">
        <v>44302</v>
      </c>
      <c r="T19" t="s">
        <v>8</v>
      </c>
      <c r="U19" t="s">
        <v>14</v>
      </c>
      <c r="V19" s="71">
        <v>20000</v>
      </c>
      <c r="W19" s="83">
        <v>78</v>
      </c>
      <c r="X19" s="83">
        <v>1</v>
      </c>
      <c r="Y19" s="84">
        <v>0</v>
      </c>
      <c r="Z19" s="71">
        <v>0</v>
      </c>
      <c r="AA19" s="71">
        <v>20000</v>
      </c>
    </row>
    <row r="20" spans="12:27" x14ac:dyDescent="0.3">
      <c r="L20" s="2" t="str">
        <f t="shared" si="0"/>
        <v/>
      </c>
      <c r="M20" s="2" t="str">
        <f t="shared" si="1"/>
        <v/>
      </c>
      <c r="R20" t="s">
        <v>57</v>
      </c>
      <c r="S20" s="69">
        <v>44302</v>
      </c>
      <c r="T20" t="s">
        <v>58</v>
      </c>
      <c r="U20" t="s">
        <v>14</v>
      </c>
      <c r="V20" s="71">
        <v>15000</v>
      </c>
      <c r="W20" s="83">
        <v>25</v>
      </c>
      <c r="X20" s="83">
        <v>1</v>
      </c>
      <c r="Y20" s="84">
        <v>0</v>
      </c>
      <c r="Z20" s="71">
        <v>0</v>
      </c>
      <c r="AA20" s="71">
        <v>15000</v>
      </c>
    </row>
    <row r="21" spans="12:27" x14ac:dyDescent="0.3">
      <c r="L21" s="2" t="str">
        <f t="shared" si="0"/>
        <v/>
      </c>
      <c r="M21" s="2" t="str">
        <f t="shared" si="1"/>
        <v/>
      </c>
      <c r="R21" t="s">
        <v>55</v>
      </c>
      <c r="S21" s="69">
        <v>44302</v>
      </c>
      <c r="T21" t="s">
        <v>56</v>
      </c>
      <c r="U21" t="s">
        <v>49</v>
      </c>
      <c r="V21" s="71">
        <v>7000</v>
      </c>
      <c r="W21" s="83">
        <v>50</v>
      </c>
      <c r="X21" s="83">
        <v>1</v>
      </c>
      <c r="Y21" s="84">
        <v>0</v>
      </c>
      <c r="Z21" s="71">
        <v>0</v>
      </c>
      <c r="AA21" s="71">
        <v>7000</v>
      </c>
    </row>
    <row r="22" spans="12:27" x14ac:dyDescent="0.3">
      <c r="L22" s="2" t="str">
        <f t="shared" si="0"/>
        <v/>
      </c>
      <c r="M22" s="2" t="str">
        <f t="shared" si="1"/>
        <v/>
      </c>
      <c r="R22" t="s">
        <v>57</v>
      </c>
      <c r="S22" s="69">
        <v>44302</v>
      </c>
      <c r="T22" t="s">
        <v>58</v>
      </c>
      <c r="U22" t="s">
        <v>14</v>
      </c>
      <c r="V22" s="71">
        <v>15000</v>
      </c>
      <c r="W22" s="83">
        <v>24</v>
      </c>
      <c r="X22" s="83">
        <v>1</v>
      </c>
      <c r="Y22" s="84">
        <v>0</v>
      </c>
      <c r="Z22" s="71">
        <v>0</v>
      </c>
      <c r="AA22" s="71">
        <v>15000</v>
      </c>
    </row>
    <row r="23" spans="12:27" x14ac:dyDescent="0.3">
      <c r="L23" s="2" t="str">
        <f t="shared" si="0"/>
        <v/>
      </c>
      <c r="M23" s="2" t="str">
        <f t="shared" si="1"/>
        <v/>
      </c>
      <c r="R23" t="s">
        <v>61</v>
      </c>
      <c r="S23" s="69">
        <v>44469</v>
      </c>
      <c r="T23" t="s">
        <v>60</v>
      </c>
      <c r="U23" t="s">
        <v>14</v>
      </c>
      <c r="V23" s="71">
        <v>25000</v>
      </c>
      <c r="W23" s="83">
        <v>49</v>
      </c>
      <c r="X23" s="83">
        <v>1</v>
      </c>
      <c r="Y23" s="84">
        <v>0</v>
      </c>
      <c r="Z23" s="71">
        <v>0</v>
      </c>
      <c r="AA23" s="71">
        <v>25000</v>
      </c>
    </row>
    <row r="24" spans="12:27" x14ac:dyDescent="0.3">
      <c r="L24" s="2" t="str">
        <f t="shared" si="0"/>
        <v/>
      </c>
      <c r="M24" s="2" t="str">
        <f t="shared" si="1"/>
        <v/>
      </c>
    </row>
    <row r="25" spans="12:27" x14ac:dyDescent="0.3">
      <c r="L25" s="2" t="str">
        <f t="shared" si="0"/>
        <v/>
      </c>
      <c r="M25" s="2" t="str">
        <f t="shared" si="1"/>
        <v/>
      </c>
    </row>
    <row r="26" spans="12:27" x14ac:dyDescent="0.3">
      <c r="L26" s="2" t="str">
        <f t="shared" si="0"/>
        <v/>
      </c>
      <c r="M26" s="2" t="str">
        <f t="shared" si="1"/>
        <v/>
      </c>
    </row>
    <row r="27" spans="12:27" x14ac:dyDescent="0.3">
      <c r="L27" s="2" t="str">
        <f t="shared" si="0"/>
        <v/>
      </c>
      <c r="M27" s="2" t="str">
        <f t="shared" si="1"/>
        <v/>
      </c>
    </row>
    <row r="28" spans="12:27" x14ac:dyDescent="0.3">
      <c r="L28" s="2" t="str">
        <f t="shared" si="0"/>
        <v/>
      </c>
      <c r="M28" s="2" t="str">
        <f t="shared" si="1"/>
        <v/>
      </c>
    </row>
    <row r="29" spans="12:27" x14ac:dyDescent="0.3">
      <c r="L29" s="2" t="str">
        <f t="shared" si="0"/>
        <v/>
      </c>
      <c r="M29" s="2" t="str">
        <f t="shared" si="1"/>
        <v/>
      </c>
    </row>
    <row r="30" spans="12:27" x14ac:dyDescent="0.3">
      <c r="L30" s="2" t="str">
        <f t="shared" si="0"/>
        <v/>
      </c>
      <c r="M30" s="2" t="str">
        <f t="shared" si="1"/>
        <v/>
      </c>
    </row>
    <row r="31" spans="12:27" x14ac:dyDescent="0.3">
      <c r="L31" s="2" t="str">
        <f t="shared" si="0"/>
        <v/>
      </c>
      <c r="M31" s="2" t="str">
        <f t="shared" si="1"/>
        <v/>
      </c>
    </row>
    <row r="32" spans="12:27" x14ac:dyDescent="0.3">
      <c r="L32" s="2" t="str">
        <f t="shared" si="0"/>
        <v/>
      </c>
      <c r="M32" s="2" t="str">
        <f t="shared" si="1"/>
        <v/>
      </c>
    </row>
    <row r="33" spans="12:13" x14ac:dyDescent="0.3">
      <c r="L33" s="2" t="str">
        <f t="shared" si="0"/>
        <v/>
      </c>
      <c r="M33" s="2" t="str">
        <f t="shared" si="1"/>
        <v/>
      </c>
    </row>
    <row r="34" spans="12:13" x14ac:dyDescent="0.3">
      <c r="L34" s="2" t="str">
        <f t="shared" si="0"/>
        <v/>
      </c>
      <c r="M34" s="2" t="str">
        <f t="shared" si="1"/>
        <v/>
      </c>
    </row>
    <row r="35" spans="12:13" x14ac:dyDescent="0.3">
      <c r="L35" s="2" t="str">
        <f t="shared" si="0"/>
        <v/>
      </c>
      <c r="M35" s="2" t="str">
        <f t="shared" si="1"/>
        <v/>
      </c>
    </row>
    <row r="36" spans="12:13" x14ac:dyDescent="0.3">
      <c r="L36" s="2" t="str">
        <f t="shared" si="0"/>
        <v/>
      </c>
      <c r="M36" s="2" t="str">
        <f t="shared" si="1"/>
        <v/>
      </c>
    </row>
    <row r="37" spans="12:13" x14ac:dyDescent="0.3">
      <c r="L37" s="2" t="str">
        <f t="shared" si="0"/>
        <v/>
      </c>
      <c r="M37" s="2" t="str">
        <f t="shared" si="1"/>
        <v/>
      </c>
    </row>
    <row r="38" spans="12:13" x14ac:dyDescent="0.3">
      <c r="L38" s="2" t="str">
        <f t="shared" si="0"/>
        <v/>
      </c>
      <c r="M38" s="2" t="str">
        <f t="shared" si="1"/>
        <v/>
      </c>
    </row>
    <row r="39" spans="12:13" x14ac:dyDescent="0.3">
      <c r="L39" s="2" t="str">
        <f t="shared" si="0"/>
        <v/>
      </c>
      <c r="M39" s="2" t="str">
        <f t="shared" si="1"/>
        <v/>
      </c>
    </row>
    <row r="40" spans="12:13" x14ac:dyDescent="0.3">
      <c r="L40" s="2" t="str">
        <f t="shared" si="0"/>
        <v/>
      </c>
      <c r="M40" s="2" t="str">
        <f t="shared" si="1"/>
        <v/>
      </c>
    </row>
    <row r="41" spans="12:13" x14ac:dyDescent="0.3">
      <c r="L41" s="2" t="str">
        <f t="shared" si="0"/>
        <v/>
      </c>
      <c r="M41" s="2" t="str">
        <f t="shared" si="1"/>
        <v/>
      </c>
    </row>
    <row r="42" spans="12:13" x14ac:dyDescent="0.3">
      <c r="L42" s="2" t="str">
        <f t="shared" si="0"/>
        <v/>
      </c>
      <c r="M42" s="2" t="str">
        <f t="shared" si="1"/>
        <v/>
      </c>
    </row>
    <row r="43" spans="12:13" x14ac:dyDescent="0.3">
      <c r="L43" s="2" t="str">
        <f t="shared" si="0"/>
        <v/>
      </c>
      <c r="M43" s="2" t="str">
        <f t="shared" si="1"/>
        <v/>
      </c>
    </row>
    <row r="44" spans="12:13" x14ac:dyDescent="0.3">
      <c r="L44" s="2" t="str">
        <f t="shared" si="0"/>
        <v/>
      </c>
      <c r="M44" s="2" t="str">
        <f t="shared" si="1"/>
        <v/>
      </c>
    </row>
    <row r="45" spans="12:13" x14ac:dyDescent="0.3">
      <c r="L45" s="2" t="str">
        <f t="shared" si="0"/>
        <v/>
      </c>
      <c r="M45" s="2" t="str">
        <f t="shared" si="1"/>
        <v/>
      </c>
    </row>
    <row r="46" spans="12:13" x14ac:dyDescent="0.3">
      <c r="L46" s="2" t="str">
        <f t="shared" si="0"/>
        <v/>
      </c>
      <c r="M46" s="2" t="str">
        <f t="shared" si="1"/>
        <v/>
      </c>
    </row>
    <row r="47" spans="12:13" x14ac:dyDescent="0.3">
      <c r="L47" s="2" t="str">
        <f t="shared" si="0"/>
        <v/>
      </c>
      <c r="M47" s="2" t="str">
        <f t="shared" si="1"/>
        <v/>
      </c>
    </row>
    <row r="48" spans="12:13" x14ac:dyDescent="0.3">
      <c r="L48" s="2" t="str">
        <f t="shared" si="0"/>
        <v/>
      </c>
      <c r="M48" s="2" t="str">
        <f t="shared" si="1"/>
        <v/>
      </c>
    </row>
    <row r="49" spans="12:13" x14ac:dyDescent="0.3">
      <c r="L49" s="2" t="str">
        <f t="shared" si="0"/>
        <v/>
      </c>
      <c r="M49" s="2" t="str">
        <f t="shared" si="1"/>
        <v/>
      </c>
    </row>
    <row r="50" spans="12:13" x14ac:dyDescent="0.3">
      <c r="L50" s="2" t="str">
        <f t="shared" si="0"/>
        <v/>
      </c>
      <c r="M50" s="2" t="str">
        <f t="shared" si="1"/>
        <v/>
      </c>
    </row>
    <row r="51" spans="12:13" x14ac:dyDescent="0.3">
      <c r="L51" s="2" t="str">
        <f t="shared" si="0"/>
        <v/>
      </c>
      <c r="M51" s="2" t="str">
        <f t="shared" si="1"/>
        <v/>
      </c>
    </row>
    <row r="52" spans="12:13" x14ac:dyDescent="0.3">
      <c r="L52" s="2" t="str">
        <f t="shared" si="0"/>
        <v/>
      </c>
      <c r="M52" s="2" t="str">
        <f t="shared" si="1"/>
        <v/>
      </c>
    </row>
    <row r="53" spans="12:13" x14ac:dyDescent="0.3">
      <c r="L53" s="2" t="str">
        <f t="shared" si="0"/>
        <v/>
      </c>
      <c r="M53" s="2" t="str">
        <f t="shared" si="1"/>
        <v/>
      </c>
    </row>
    <row r="54" spans="12:13" x14ac:dyDescent="0.3">
      <c r="L54" s="2" t="str">
        <f t="shared" si="0"/>
        <v/>
      </c>
      <c r="M54" s="2" t="str">
        <f t="shared" si="1"/>
        <v/>
      </c>
    </row>
    <row r="55" spans="12:13" x14ac:dyDescent="0.3">
      <c r="L55" s="2" t="str">
        <f t="shared" si="0"/>
        <v/>
      </c>
      <c r="M55" s="2" t="str">
        <f t="shared" si="1"/>
        <v/>
      </c>
    </row>
    <row r="56" spans="12:13" x14ac:dyDescent="0.3">
      <c r="L56" s="2" t="str">
        <f t="shared" si="0"/>
        <v/>
      </c>
      <c r="M56" s="2" t="str">
        <f t="shared" si="1"/>
        <v/>
      </c>
    </row>
    <row r="57" spans="12:13" x14ac:dyDescent="0.3">
      <c r="L57" s="2" t="str">
        <f t="shared" si="0"/>
        <v/>
      </c>
      <c r="M57" s="2" t="str">
        <f t="shared" si="1"/>
        <v/>
      </c>
    </row>
    <row r="58" spans="12:13" x14ac:dyDescent="0.3">
      <c r="L58" s="2" t="str">
        <f t="shared" si="0"/>
        <v/>
      </c>
      <c r="M58" s="2" t="str">
        <f t="shared" si="1"/>
        <v/>
      </c>
    </row>
    <row r="59" spans="12:13" x14ac:dyDescent="0.3">
      <c r="L59" s="2" t="str">
        <f t="shared" si="0"/>
        <v/>
      </c>
      <c r="M59" s="2" t="str">
        <f t="shared" si="1"/>
        <v/>
      </c>
    </row>
    <row r="60" spans="12:13" x14ac:dyDescent="0.3">
      <c r="L60" s="2" t="str">
        <f t="shared" si="0"/>
        <v/>
      </c>
      <c r="M60" s="2" t="str">
        <f t="shared" si="1"/>
        <v/>
      </c>
    </row>
    <row r="61" spans="12:13" x14ac:dyDescent="0.3">
      <c r="L61" s="2" t="str">
        <f t="shared" si="0"/>
        <v/>
      </c>
      <c r="M61" s="2" t="str">
        <f t="shared" si="1"/>
        <v/>
      </c>
    </row>
    <row r="62" spans="12:13" x14ac:dyDescent="0.3">
      <c r="L62" s="2" t="str">
        <f t="shared" si="0"/>
        <v/>
      </c>
      <c r="M62" s="2" t="str">
        <f t="shared" si="1"/>
        <v/>
      </c>
    </row>
    <row r="63" spans="12:13" x14ac:dyDescent="0.3">
      <c r="L63" s="2" t="str">
        <f t="shared" si="0"/>
        <v/>
      </c>
      <c r="M63" s="2" t="str">
        <f t="shared" si="1"/>
        <v/>
      </c>
    </row>
    <row r="64" spans="12:13" x14ac:dyDescent="0.3">
      <c r="L64" s="2" t="str">
        <f t="shared" si="0"/>
        <v/>
      </c>
      <c r="M64" s="2" t="str">
        <f t="shared" si="1"/>
        <v/>
      </c>
    </row>
    <row r="65" spans="12:13" x14ac:dyDescent="0.3">
      <c r="L65" s="2" t="str">
        <f t="shared" si="0"/>
        <v/>
      </c>
      <c r="M65" s="2" t="str">
        <f t="shared" si="1"/>
        <v/>
      </c>
    </row>
    <row r="66" spans="12:13" x14ac:dyDescent="0.3">
      <c r="L66" s="2" t="str">
        <f t="shared" si="0"/>
        <v/>
      </c>
      <c r="M66" s="2" t="str">
        <f t="shared" si="1"/>
        <v/>
      </c>
    </row>
    <row r="67" spans="12:13" x14ac:dyDescent="0.3">
      <c r="L67" s="2" t="str">
        <f t="shared" si="0"/>
        <v/>
      </c>
      <c r="M67" s="2" t="str">
        <f t="shared" si="1"/>
        <v/>
      </c>
    </row>
    <row r="68" spans="12:13" x14ac:dyDescent="0.3">
      <c r="L68" s="2" t="str">
        <f t="shared" si="0"/>
        <v/>
      </c>
      <c r="M68" s="2" t="str">
        <f t="shared" si="1"/>
        <v/>
      </c>
    </row>
    <row r="69" spans="12:13" x14ac:dyDescent="0.3">
      <c r="L69" s="2" t="str">
        <f t="shared" si="0"/>
        <v/>
      </c>
      <c r="M69" s="2" t="str">
        <f t="shared" si="1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0"/>
  <sheetViews>
    <sheetView workbookViewId="0">
      <selection activeCell="H3" sqref="H3"/>
    </sheetView>
  </sheetViews>
  <sheetFormatPr defaultRowHeight="14.4" x14ac:dyDescent="0.3"/>
  <cols>
    <col min="1" max="1" width="15.21875" bestFit="1" customWidth="1"/>
    <col min="2" max="2" width="28.21875" bestFit="1" customWidth="1"/>
    <col min="3" max="3" width="7.44140625" bestFit="1" customWidth="1"/>
    <col min="4" max="4" width="4.33203125" bestFit="1" customWidth="1"/>
    <col min="5" max="6" width="10.2187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13</v>
      </c>
      <c r="D1" s="15" t="s">
        <v>5</v>
      </c>
      <c r="E1" s="15" t="s">
        <v>11</v>
      </c>
      <c r="F1" s="16" t="s">
        <v>12</v>
      </c>
      <c r="H1" t="s">
        <v>2</v>
      </c>
    </row>
    <row r="2" spans="1:8" x14ac:dyDescent="0.3">
      <c r="A2" s="1" t="s">
        <v>223</v>
      </c>
      <c r="B2" t="s">
        <v>224</v>
      </c>
      <c r="C2" t="s">
        <v>49</v>
      </c>
      <c r="D2" s="2">
        <v>1</v>
      </c>
      <c r="E2" s="3">
        <v>7500</v>
      </c>
      <c r="F2" s="3">
        <v>15000</v>
      </c>
      <c r="H2" t="s">
        <v>225</v>
      </c>
    </row>
    <row r="3" spans="1:8" x14ac:dyDescent="0.3">
      <c r="A3" s="1"/>
      <c r="D3" s="2"/>
      <c r="E3" s="3"/>
      <c r="F3" s="3"/>
    </row>
    <row r="4" spans="1:8" x14ac:dyDescent="0.3">
      <c r="A4" s="1"/>
      <c r="D4" s="2"/>
      <c r="E4" s="3"/>
      <c r="F4" s="3"/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I19"/>
  <sheetViews>
    <sheetView showGridLines="0" workbookViewId="0">
      <selection activeCell="I15" sqref="I15"/>
    </sheetView>
  </sheetViews>
  <sheetFormatPr defaultRowHeight="14.4" x14ac:dyDescent="0.3"/>
  <cols>
    <col min="2" max="2" width="14.88671875" customWidth="1"/>
    <col min="3" max="3" width="16" style="2" customWidth="1"/>
    <col min="4" max="4" width="14.44140625" style="2" customWidth="1"/>
    <col min="6" max="6" width="5.33203125" style="2" customWidth="1"/>
    <col min="7" max="7" width="16" customWidth="1"/>
    <col min="8" max="8" width="14.44140625" style="2" customWidth="1"/>
    <col min="9" max="9" width="13" customWidth="1"/>
  </cols>
  <sheetData>
    <row r="4" spans="2:9" x14ac:dyDescent="0.3">
      <c r="B4" s="51" t="s">
        <v>33</v>
      </c>
      <c r="C4" s="52"/>
      <c r="D4" s="52">
        <v>2021</v>
      </c>
      <c r="F4" s="78" t="s">
        <v>34</v>
      </c>
      <c r="I4" s="77">
        <f ca="1">TODAY()</f>
        <v>44470</v>
      </c>
    </row>
    <row r="6" spans="2:9" x14ac:dyDescent="0.3">
      <c r="B6" s="72" t="s">
        <v>29</v>
      </c>
      <c r="C6" s="73" t="s">
        <v>30</v>
      </c>
      <c r="D6" s="73" t="s">
        <v>6</v>
      </c>
      <c r="F6" s="73" t="s">
        <v>36</v>
      </c>
      <c r="G6" s="73" t="s">
        <v>28</v>
      </c>
      <c r="H6" s="73" t="s">
        <v>30</v>
      </c>
      <c r="I6" s="72" t="s">
        <v>35</v>
      </c>
    </row>
    <row r="7" spans="2:9" x14ac:dyDescent="0.3">
      <c r="B7" s="74" t="s">
        <v>37</v>
      </c>
      <c r="C7" s="75">
        <f>SUMIFS(TRANSAKSI!$G$5:$G$90000,TRANSAKSI!$L$5:$L$90000,REKAPITULASI!B7,TRANSAKSI!$M$5:$M$90000,REKAPITULASI!$D$4)</f>
        <v>0</v>
      </c>
      <c r="D7" s="76">
        <f>SUMIFS(TRANSAKSI!$J$5:$J$90000,TRANSAKSI!$L$5:$L$90000,REKAPITULASI!B7,TRANSAKSI!$M$5:$M$90000,REKAPITULASI!$D$4)</f>
        <v>0</v>
      </c>
      <c r="F7" s="86">
        <v>1</v>
      </c>
      <c r="G7" s="87">
        <f ca="1">I4-6</f>
        <v>44464</v>
      </c>
      <c r="H7" s="86">
        <f ca="1">SUMIF(TRANSAKSI!$B$5:$B$90000,REKAPITULASI!G7,TRANSAKSI!$G$5:$G$90000)</f>
        <v>0</v>
      </c>
      <c r="I7" s="88">
        <f ca="1">SUMIF(TRANSAKSI!$B$5:$B$90000,REKAPITULASI!G7,TRANSAKSI!$J$5:$J$90000)</f>
        <v>0</v>
      </c>
    </row>
    <row r="8" spans="2:9" x14ac:dyDescent="0.3">
      <c r="B8" s="74" t="s">
        <v>38</v>
      </c>
      <c r="C8" s="75">
        <f>SUMIFS(TRANSAKSI!$G$5:$G$90000,TRANSAKSI!$L$5:$L$90000,REKAPITULASI!B8,TRANSAKSI!$M$5:$M$90000,REKAPITULASI!$D$4)</f>
        <v>0</v>
      </c>
      <c r="D8" s="76">
        <f>SUMIFS(TRANSAKSI!$J$5:$J$90000,TRANSAKSI!$L$5:$L$90000,REKAPITULASI!B8,TRANSAKSI!$M$5:$M$90000,REKAPITULASI!$D$4)</f>
        <v>0</v>
      </c>
      <c r="F8" s="86">
        <v>2</v>
      </c>
      <c r="G8" s="87">
        <f t="shared" ref="G8:G13" ca="1" si="0">G7+1</f>
        <v>44465</v>
      </c>
      <c r="H8" s="86">
        <f ca="1">SUMIF(TRANSAKSI!$B$5:$B$90000,REKAPITULASI!G8,TRANSAKSI!$G$5:$G$90000)</f>
        <v>0</v>
      </c>
      <c r="I8" s="88">
        <f ca="1">SUMIF(TRANSAKSI!$B$5:$B$90000,REKAPITULASI!G8,TRANSAKSI!$J$5:$J$90000)</f>
        <v>0</v>
      </c>
    </row>
    <row r="9" spans="2:9" x14ac:dyDescent="0.3">
      <c r="B9" s="74" t="s">
        <v>39</v>
      </c>
      <c r="C9" s="75">
        <f>SUMIFS(TRANSAKSI!$G$5:$G$90000,TRANSAKSI!$L$5:$L$90000,REKAPITULASI!B9,TRANSAKSI!$M$5:$M$90000,REKAPITULASI!$D$4)</f>
        <v>0</v>
      </c>
      <c r="D9" s="76">
        <f>SUMIFS(TRANSAKSI!$J$5:$J$90000,TRANSAKSI!$L$5:$L$90000,REKAPITULASI!B9,TRANSAKSI!$M$5:$M$90000,REKAPITULASI!$D$4)</f>
        <v>0</v>
      </c>
      <c r="F9" s="86">
        <v>3</v>
      </c>
      <c r="G9" s="87">
        <f t="shared" ca="1" si="0"/>
        <v>44466</v>
      </c>
      <c r="H9" s="86">
        <f ca="1">SUMIF(TRANSAKSI!$B$5:$B$90000,REKAPITULASI!G9,TRANSAKSI!$G$5:$G$90000)</f>
        <v>0</v>
      </c>
      <c r="I9" s="88">
        <f ca="1">SUMIF(TRANSAKSI!$B$5:$B$90000,REKAPITULASI!G9,TRANSAKSI!$J$5:$J$90000)</f>
        <v>0</v>
      </c>
    </row>
    <row r="10" spans="2:9" x14ac:dyDescent="0.3">
      <c r="B10" s="74" t="s">
        <v>40</v>
      </c>
      <c r="C10" s="75">
        <f>SUMIFS(TRANSAKSI!$G$5:$G$90000,TRANSAKSI!$L$5:$L$90000,REKAPITULASI!B10,TRANSAKSI!$M$5:$M$90000,REKAPITULASI!$D$4)</f>
        <v>0</v>
      </c>
      <c r="D10" s="76">
        <f>SUMIFS(TRANSAKSI!$J$5:$J$90000,TRANSAKSI!$L$5:$L$90000,REKAPITULASI!B10,TRANSAKSI!$M$5:$M$90000,REKAPITULASI!$D$4)</f>
        <v>0</v>
      </c>
      <c r="F10" s="86">
        <v>4</v>
      </c>
      <c r="G10" s="87">
        <f t="shared" ca="1" si="0"/>
        <v>44467</v>
      </c>
      <c r="H10" s="86">
        <f ca="1">SUMIF(TRANSAKSI!$B$5:$B$90000,REKAPITULASI!G10,TRANSAKSI!$G$5:$G$90000)</f>
        <v>0</v>
      </c>
      <c r="I10" s="88">
        <f ca="1">SUMIF(TRANSAKSI!$B$5:$B$90000,REKAPITULASI!G10,TRANSAKSI!$J$5:$J$90000)</f>
        <v>0</v>
      </c>
    </row>
    <row r="11" spans="2:9" x14ac:dyDescent="0.3">
      <c r="B11" s="74" t="s">
        <v>32</v>
      </c>
      <c r="C11" s="75">
        <f>SUMIFS(TRANSAKSI!$G$5:$G$90000,TRANSAKSI!$L$5:$L$90000,REKAPITULASI!B11,TRANSAKSI!$M$5:$M$90000,REKAPITULASI!$D$4)</f>
        <v>0</v>
      </c>
      <c r="D11" s="76">
        <f>SUMIFS(TRANSAKSI!$J$5:$J$90000,TRANSAKSI!$L$5:$L$90000,REKAPITULASI!B11,TRANSAKSI!$M$5:$M$90000,REKAPITULASI!$D$4)</f>
        <v>0</v>
      </c>
      <c r="F11" s="86">
        <v>5</v>
      </c>
      <c r="G11" s="87">
        <f t="shared" ca="1" si="0"/>
        <v>44468</v>
      </c>
      <c r="H11" s="86">
        <f ca="1">SUMIF(TRANSAKSI!$B$5:$B$90000,REKAPITULASI!G11,TRANSAKSI!$G$5:$G$90000)</f>
        <v>0</v>
      </c>
      <c r="I11" s="88">
        <f ca="1">SUMIF(TRANSAKSI!$B$5:$B$90000,REKAPITULASI!G11,TRANSAKSI!$J$5:$J$90000)</f>
        <v>0</v>
      </c>
    </row>
    <row r="12" spans="2:9" x14ac:dyDescent="0.3">
      <c r="B12" s="74" t="s">
        <v>41</v>
      </c>
      <c r="C12" s="75">
        <f>SUMIFS(TRANSAKSI!$G$5:$G$90000,TRANSAKSI!$L$5:$L$90000,REKAPITULASI!B12,TRANSAKSI!$M$5:$M$90000,REKAPITULASI!$D$4)</f>
        <v>0</v>
      </c>
      <c r="D12" s="76">
        <f>SUMIFS(TRANSAKSI!$J$5:$J$90000,TRANSAKSI!$L$5:$L$90000,REKAPITULASI!B12,TRANSAKSI!$M$5:$M$90000,REKAPITULASI!$D$4)</f>
        <v>0</v>
      </c>
      <c r="F12" s="86">
        <v>6</v>
      </c>
      <c r="G12" s="87">
        <f t="shared" ca="1" si="0"/>
        <v>44469</v>
      </c>
      <c r="H12" s="86">
        <f ca="1">SUMIF(TRANSAKSI!$B$5:$B$90000,REKAPITULASI!G12,TRANSAKSI!$G$5:$G$90000)</f>
        <v>2</v>
      </c>
      <c r="I12" s="88">
        <f ca="1">SUMIF(TRANSAKSI!$B$5:$B$90000,REKAPITULASI!G12,TRANSAKSI!$J$5:$J$90000)</f>
        <v>140000</v>
      </c>
    </row>
    <row r="13" spans="2:9" x14ac:dyDescent="0.3">
      <c r="B13" s="74" t="s">
        <v>42</v>
      </c>
      <c r="C13" s="75">
        <f>SUMIFS(TRANSAKSI!$G$5:$G$90000,TRANSAKSI!$L$5:$L$90000,REKAPITULASI!B13,TRANSAKSI!$M$5:$M$90000,REKAPITULASI!$D$4)</f>
        <v>0</v>
      </c>
      <c r="D13" s="76">
        <f>SUMIFS(TRANSAKSI!$J$5:$J$90000,TRANSAKSI!$L$5:$L$90000,REKAPITULASI!B13,TRANSAKSI!$M$5:$M$90000,REKAPITULASI!$D$4)</f>
        <v>0</v>
      </c>
      <c r="F13" s="86">
        <v>7</v>
      </c>
      <c r="G13" s="87">
        <f t="shared" ca="1" si="0"/>
        <v>44470</v>
      </c>
      <c r="H13" s="86">
        <f ca="1">SUMIF(TRANSAKSI!$B$5:$B$90000,REKAPITULASI!G13,TRANSAKSI!$G$5:$G$90000)</f>
        <v>0</v>
      </c>
      <c r="I13" s="88">
        <f ca="1">SUMIF(TRANSAKSI!$B$5:$B$90000,REKAPITULASI!G13,TRANSAKSI!$J$5:$J$90000)</f>
        <v>0</v>
      </c>
    </row>
    <row r="14" spans="2:9" x14ac:dyDescent="0.3">
      <c r="B14" s="74" t="s">
        <v>43</v>
      </c>
      <c r="C14" s="75">
        <f>SUMIFS(TRANSAKSI!$G$5:$G$90000,TRANSAKSI!$L$5:$L$90000,REKAPITULASI!B14,TRANSAKSI!$M$5:$M$90000,REKAPITULASI!$D$4)</f>
        <v>0</v>
      </c>
      <c r="D14" s="76">
        <f>SUMIFS(TRANSAKSI!$J$5:$J$90000,TRANSAKSI!$L$5:$L$90000,REKAPITULASI!B14,TRANSAKSI!$M$5:$M$90000,REKAPITULASI!$D$4)</f>
        <v>0</v>
      </c>
      <c r="I14" s="80"/>
    </row>
    <row r="15" spans="2:9" x14ac:dyDescent="0.3">
      <c r="B15" s="74" t="s">
        <v>44</v>
      </c>
      <c r="C15" s="75">
        <f>SUMIFS(TRANSAKSI!$G$5:$G$90000,TRANSAKSI!$L$5:$L$90000,REKAPITULASI!B15,TRANSAKSI!$M$5:$M$90000,REKAPITULASI!$D$4)</f>
        <v>2</v>
      </c>
      <c r="D15" s="76">
        <f>SUMIFS(TRANSAKSI!$J$5:$J$90000,TRANSAKSI!$L$5:$L$90000,REKAPITULASI!B15,TRANSAKSI!$M$5:$M$90000,REKAPITULASI!$D$4)</f>
        <v>140000</v>
      </c>
      <c r="G15" t="s">
        <v>48</v>
      </c>
      <c r="H15" s="2">
        <f ca="1">SUM(H7:H13)</f>
        <v>2</v>
      </c>
      <c r="I15" s="79">
        <f ca="1">SUM(I7:I13)</f>
        <v>140000</v>
      </c>
    </row>
    <row r="16" spans="2:9" x14ac:dyDescent="0.3">
      <c r="B16" s="74" t="s">
        <v>45</v>
      </c>
      <c r="C16" s="75">
        <f>SUMIFS(TRANSAKSI!$G$5:$G$90000,TRANSAKSI!$L$5:$L$90000,REKAPITULASI!B16,TRANSAKSI!$M$5:$M$90000,REKAPITULASI!$D$4)</f>
        <v>0</v>
      </c>
      <c r="D16" s="76">
        <f>SUMIFS(TRANSAKSI!$J$5:$J$90000,TRANSAKSI!$L$5:$L$90000,REKAPITULASI!B16,TRANSAKSI!$M$5:$M$90000,REKAPITULASI!$D$4)</f>
        <v>0</v>
      </c>
    </row>
    <row r="17" spans="2:4" x14ac:dyDescent="0.3">
      <c r="B17" s="74" t="s">
        <v>46</v>
      </c>
      <c r="C17" s="75">
        <f>SUMIFS(TRANSAKSI!$G$5:$G$90000,TRANSAKSI!$L$5:$L$90000,REKAPITULASI!B17,TRANSAKSI!$M$5:$M$90000,REKAPITULASI!$D$4)</f>
        <v>0</v>
      </c>
      <c r="D17" s="76">
        <f>SUMIFS(TRANSAKSI!$J$5:$J$90000,TRANSAKSI!$L$5:$L$90000,REKAPITULASI!B17,TRANSAKSI!$M$5:$M$90000,REKAPITULASI!$D$4)</f>
        <v>0</v>
      </c>
    </row>
    <row r="18" spans="2:4" x14ac:dyDescent="0.3">
      <c r="B18" s="74" t="s">
        <v>47</v>
      </c>
      <c r="C18" s="75">
        <f>SUMIFS(TRANSAKSI!$G$5:$G$90000,TRANSAKSI!$L$5:$L$90000,REKAPITULASI!B18,TRANSAKSI!$M$5:$M$90000,REKAPITULASI!$D$4)</f>
        <v>0</v>
      </c>
      <c r="D18" s="76">
        <f>SUMIFS(TRANSAKSI!$J$5:$J$90000,TRANSAKSI!$L$5:$L$90000,REKAPITULASI!B18,TRANSAKSI!$M$5:$M$90000,REKAPITULASI!$D$4)</f>
        <v>0</v>
      </c>
    </row>
    <row r="19" spans="2:4" x14ac:dyDescent="0.3">
      <c r="B19" s="74" t="s">
        <v>25</v>
      </c>
      <c r="C19" s="75">
        <f>SUM(C7:C18)</f>
        <v>2</v>
      </c>
      <c r="D19" s="76">
        <f>SUM(D7:D18)</f>
        <v>140000</v>
      </c>
    </row>
  </sheetData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2021-09-30T05:56:28Z</cp:lastPrinted>
  <dcterms:created xsi:type="dcterms:W3CDTF">2021-04-14T11:12:43Z</dcterms:created>
  <dcterms:modified xsi:type="dcterms:W3CDTF">2021-10-01T07:21:04Z</dcterms:modified>
</cp:coreProperties>
</file>